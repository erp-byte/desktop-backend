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floorwise machine list" sheetId="2" r:id="rId6"/>
  </sheets>
  <definedNames/>
  <calcPr/>
</workbook>
</file>

<file path=xl/sharedStrings.xml><?xml version="1.0" encoding="utf-8"?>
<sst xmlns="http://schemas.openxmlformats.org/spreadsheetml/2006/main" count="457" uniqueCount="342">
  <si>
    <t xml:space="preserve">   </t>
  </si>
  <si>
    <t>Lower basement</t>
  </si>
  <si>
    <t>Upper basement</t>
  </si>
  <si>
    <t>service floor</t>
  </si>
  <si>
    <t>Ground floor</t>
  </si>
  <si>
    <t>1st floor</t>
  </si>
  <si>
    <t>2nd floor</t>
  </si>
  <si>
    <t>Office</t>
  </si>
  <si>
    <t>Tarrace</t>
  </si>
  <si>
    <t>AC</t>
  </si>
  <si>
    <t>Old lift</t>
  </si>
  <si>
    <t>KWH</t>
  </si>
  <si>
    <t xml:space="preserve">RO system checking work 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</si>
  <si>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</si>
  <si>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</si>
  <si>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</si>
  <si>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</si>
  <si>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</si>
  <si>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</si>
  <si>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</si>
  <si>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</si>
  <si>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</si>
  <si>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</si>
  <si>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</si>
  <si>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</si>
  <si>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</si>
  <si>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</si>
  <si>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</si>
  <si>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</si>
  <si>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29-04-2026</t>
  </si>
  <si>
    <t>30-04-2027</t>
  </si>
  <si>
    <t>total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</si>
  <si>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</si>
  <si>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</si>
  <si>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</si>
  <si>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</si>
  <si>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</si>
  <si>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</si>
  <si>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</si>
  <si>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</si>
  <si>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</si>
  <si>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</si>
  <si>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</si>
  <si>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</si>
  <si>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</si>
  <si>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</si>
  <si>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</si>
  <si>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</si>
  <si>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</si>
  <si>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</si>
  <si>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</si>
  <si>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</si>
  <si>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</si>
  <si>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</si>
  <si>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</si>
  <si>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</si>
  <si>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</si>
  <si>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</si>
  <si>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</si>
  <si>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</si>
  <si>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</si>
  <si>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</si>
  <si>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</si>
  <si>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</si>
  <si>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</si>
  <si>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</si>
  <si>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</si>
  <si>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</si>
  <si>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</si>
  <si>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13/07/2025</t>
  </si>
  <si>
    <t>14/7/2025</t>
  </si>
  <si>
    <t>15/07/2025</t>
  </si>
  <si>
    <t>16/07/2025</t>
  </si>
  <si>
    <t>17/7/2025</t>
  </si>
  <si>
    <t>18/7/2025</t>
  </si>
  <si>
    <t>19/07/2025</t>
  </si>
  <si>
    <t>20/7/2025</t>
  </si>
  <si>
    <t>21/7/2025</t>
  </si>
  <si>
    <t>22/7/2025</t>
  </si>
  <si>
    <t>23/7/2025</t>
  </si>
  <si>
    <t>24/7/2025</t>
  </si>
  <si>
    <t>25/7/2025</t>
  </si>
  <si>
    <t>26/7/2025</t>
  </si>
  <si>
    <t>27/7/2025</t>
  </si>
  <si>
    <t>28/7/2025</t>
  </si>
  <si>
    <t>29/7/2025</t>
  </si>
  <si>
    <t>30/7/2025</t>
  </si>
  <si>
    <t>31/7/2025</t>
  </si>
  <si>
    <t>13/8/2025</t>
  </si>
  <si>
    <t>14/8/2025</t>
  </si>
  <si>
    <t>15/8/2025</t>
  </si>
  <si>
    <t>16/08/2025</t>
  </si>
  <si>
    <t>17/08/2025</t>
  </si>
  <si>
    <t>18/08/2025</t>
  </si>
  <si>
    <t>19/8/2025</t>
  </si>
  <si>
    <t>20/8/2025</t>
  </si>
  <si>
    <t>21/8/2025</t>
  </si>
  <si>
    <t>22/8/2025</t>
  </si>
  <si>
    <t>23/8/2025</t>
  </si>
  <si>
    <t>24/8/2025</t>
  </si>
  <si>
    <t>25/8/2025</t>
  </si>
  <si>
    <t>26/8/2025</t>
  </si>
  <si>
    <t>27/8/2025</t>
  </si>
  <si>
    <t>28/8/2025</t>
  </si>
  <si>
    <t>29/8/2025</t>
  </si>
  <si>
    <t>30/8/2025</t>
  </si>
  <si>
    <t>31/82025</t>
  </si>
  <si>
    <t>13/9/2025</t>
  </si>
  <si>
    <t>14/9/2025</t>
  </si>
  <si>
    <t>15/9/2025</t>
  </si>
  <si>
    <t>16/9/2025</t>
  </si>
  <si>
    <t>17/9/2025</t>
  </si>
  <si>
    <t>19/9/2025</t>
  </si>
  <si>
    <t>20/9/2025</t>
  </si>
  <si>
    <t>21/9/2025</t>
  </si>
  <si>
    <t>22/9/2025</t>
  </si>
  <si>
    <t>23/9/2025</t>
  </si>
  <si>
    <t>24/9/2025</t>
  </si>
  <si>
    <t>25/9/2025</t>
  </si>
  <si>
    <t>26/9/2025</t>
  </si>
  <si>
    <t>27/9/2025</t>
  </si>
  <si>
    <t>28/9/2025</t>
  </si>
  <si>
    <t>29/9/2025</t>
  </si>
  <si>
    <t>30/9/2025</t>
  </si>
  <si>
    <t>13/10/2025</t>
  </si>
  <si>
    <t xml:space="preserve">                  </t>
  </si>
  <si>
    <t>15/10/2025</t>
  </si>
  <si>
    <t>16/10/2025</t>
  </si>
  <si>
    <t>17/10/2025</t>
  </si>
  <si>
    <t>18/10/2025</t>
  </si>
  <si>
    <t>19/10/2025</t>
  </si>
  <si>
    <t>20/10/2025</t>
  </si>
  <si>
    <t>24/10/2025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</si>
  <si>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</si>
  <si>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</si>
  <si>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</si>
  <si>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</si>
  <si>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</si>
  <si>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</si>
  <si>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</si>
  <si>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</si>
  <si>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</si>
  <si>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</si>
  <si>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</si>
  <si>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</si>
  <si>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</si>
  <si>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</si>
  <si>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</si>
  <si>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</si>
  <si>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5/12/0225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</si>
  <si>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</si>
  <si>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</si>
  <si>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</si>
  <si>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</si>
  <si>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</si>
  <si>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</si>
  <si>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</si>
  <si>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</si>
  <si>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</si>
  <si>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</si>
  <si>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</si>
  <si>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</si>
  <si>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</si>
  <si>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</si>
  <si>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</si>
  <si>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</si>
  <si>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</si>
  <si>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</si>
  <si>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</si>
  <si>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13/1/2026</t>
  </si>
  <si>
    <t>14/1/2026</t>
  </si>
  <si>
    <t>15/1/2026</t>
  </si>
  <si>
    <t>16/1/2026</t>
  </si>
  <si>
    <t>17/1/2026</t>
  </si>
  <si>
    <t>18/1/2026</t>
  </si>
  <si>
    <t>19/1/2026</t>
  </si>
  <si>
    <t>20/1/2026</t>
  </si>
  <si>
    <t>21/1/2026</t>
  </si>
  <si>
    <t>22/1/2026</t>
  </si>
  <si>
    <t>23/1/2026</t>
  </si>
  <si>
    <t>24/1/2026</t>
  </si>
  <si>
    <t>25/1/2026</t>
  </si>
  <si>
    <t>26/1/2026</t>
  </si>
  <si>
    <t>27/1/2026</t>
  </si>
  <si>
    <t>28/1/2026</t>
  </si>
  <si>
    <t>29/1/2026</t>
  </si>
  <si>
    <t>30/102026</t>
  </si>
  <si>
    <t>31/1/2026</t>
  </si>
  <si>
    <t>13/2/2026</t>
  </si>
  <si>
    <t>14/2/2026</t>
  </si>
  <si>
    <t>15/2/2026</t>
  </si>
  <si>
    <t>16/2/2026</t>
  </si>
  <si>
    <t>17/2/2026</t>
  </si>
  <si>
    <t>18/2/2026</t>
  </si>
  <si>
    <t>19/2/2026</t>
  </si>
  <si>
    <t>20/2/2026</t>
  </si>
  <si>
    <t>-</t>
  </si>
  <si>
    <t>21/2/2026</t>
  </si>
  <si>
    <t>22/2/2026</t>
  </si>
  <si>
    <t>23/2/2026</t>
  </si>
  <si>
    <t>24/2/2026</t>
  </si>
  <si>
    <t>25/2/2026</t>
  </si>
  <si>
    <t>26/2/2026</t>
  </si>
  <si>
    <t>27/2/2026</t>
  </si>
  <si>
    <t>28/2/2026</t>
  </si>
  <si>
    <t>13/3/2026</t>
  </si>
  <si>
    <t>14/3/2026</t>
  </si>
  <si>
    <t>15/3/2026</t>
  </si>
  <si>
    <t>16/3/2026</t>
  </si>
  <si>
    <t>17/3/2026</t>
  </si>
  <si>
    <t>18/3/2026</t>
  </si>
  <si>
    <t>19/3/2026</t>
  </si>
  <si>
    <t>20/3/2026</t>
  </si>
  <si>
    <t>21/3/2026</t>
  </si>
  <si>
    <t>22/3/2026</t>
  </si>
  <si>
    <t>23/3/2026</t>
  </si>
  <si>
    <t>24/3/2026</t>
  </si>
  <si>
    <t>25/3/2026</t>
  </si>
  <si>
    <t>26/3/2026</t>
  </si>
  <si>
    <t>27/3/2026</t>
  </si>
  <si>
    <t>28/3/2026</t>
  </si>
  <si>
    <t>29/3/2026</t>
  </si>
  <si>
    <t>30/3/2026</t>
  </si>
  <si>
    <t>Area</t>
  </si>
  <si>
    <t>machine name</t>
  </si>
  <si>
    <t>Quantity</t>
  </si>
  <si>
    <t>KW</t>
  </si>
  <si>
    <t xml:space="preserve">Shrink wrap  </t>
  </si>
  <si>
    <t>1nps</t>
  </si>
  <si>
    <t>Web sealer</t>
  </si>
  <si>
    <t>1nos</t>
  </si>
  <si>
    <t>L sealer manul</t>
  </si>
  <si>
    <t>Band sealer</t>
  </si>
  <si>
    <t>508watt</t>
  </si>
  <si>
    <t>Pet sealer</t>
  </si>
  <si>
    <t>1.5kw</t>
  </si>
  <si>
    <t>Strapping machine</t>
  </si>
  <si>
    <t>1.0kw</t>
  </si>
  <si>
    <t>Vaccum packing machine</t>
  </si>
  <si>
    <t>2.5kw</t>
  </si>
  <si>
    <t>Fly catcher</t>
  </si>
  <si>
    <t>3 nos</t>
  </si>
  <si>
    <t>120W</t>
  </si>
  <si>
    <t>Drian pump</t>
  </si>
  <si>
    <t>tubes light</t>
  </si>
  <si>
    <t>34nos</t>
  </si>
  <si>
    <t xml:space="preserve"> </t>
  </si>
  <si>
    <t>LED flood light</t>
  </si>
  <si>
    <t>3nos</t>
  </si>
  <si>
    <t>150W</t>
  </si>
  <si>
    <t>AC indor unit</t>
  </si>
  <si>
    <t>8nos</t>
  </si>
  <si>
    <t>Upper basemant</t>
  </si>
  <si>
    <t xml:space="preserve">Band sealer </t>
  </si>
  <si>
    <t>2nos</t>
  </si>
  <si>
    <t>508Watt</t>
  </si>
  <si>
    <t>AC indoor unit</t>
  </si>
  <si>
    <t>9nos</t>
  </si>
  <si>
    <t>AC fresh air unit</t>
  </si>
  <si>
    <t>Tube light</t>
  </si>
  <si>
    <t>36nos</t>
  </si>
  <si>
    <t>80W</t>
  </si>
  <si>
    <t>LAB</t>
  </si>
  <si>
    <t>Split AC</t>
  </si>
  <si>
    <t>120watt</t>
  </si>
  <si>
    <t>Hot air oven</t>
  </si>
  <si>
    <t>NPD</t>
  </si>
  <si>
    <t xml:space="preserve">freezer </t>
  </si>
  <si>
    <t>Baking oven</t>
  </si>
  <si>
    <t>pan coater</t>
  </si>
  <si>
    <t>tube light</t>
  </si>
  <si>
    <t>6nos</t>
  </si>
  <si>
    <t xml:space="preserve">Old VRV indoor </t>
  </si>
  <si>
    <t>stick pack m/c</t>
  </si>
  <si>
    <t>hand sealer</t>
  </si>
  <si>
    <t>Printing</t>
  </si>
  <si>
    <t>Printers</t>
  </si>
  <si>
    <t>7nos</t>
  </si>
  <si>
    <t>5nos</t>
  </si>
  <si>
    <t>canteen</t>
  </si>
  <si>
    <t>Exhuast fan</t>
  </si>
  <si>
    <t>1st Floor</t>
  </si>
  <si>
    <t>FFS</t>
  </si>
  <si>
    <t>destoner</t>
  </si>
  <si>
    <t>vibro separator</t>
  </si>
  <si>
    <t>band sealer</t>
  </si>
  <si>
    <t>36 nos</t>
  </si>
  <si>
    <t>VRV indoor unit</t>
  </si>
  <si>
    <t>foot sealer</t>
  </si>
  <si>
    <t>fly catcher</t>
  </si>
  <si>
    <t>strapping machine</t>
  </si>
  <si>
    <t>1st floor Mazzenine</t>
  </si>
  <si>
    <t>maintanance room</t>
  </si>
  <si>
    <t>split AC</t>
  </si>
  <si>
    <t>floor</t>
  </si>
  <si>
    <t>indoor unit</t>
  </si>
  <si>
    <t>matel detector</t>
  </si>
  <si>
    <t>33nos</t>
  </si>
  <si>
    <t>vaccum packing machine</t>
  </si>
  <si>
    <t xml:space="preserve">wash room </t>
  </si>
  <si>
    <t>exhuast fan</t>
  </si>
  <si>
    <t>panel light</t>
  </si>
  <si>
    <t>18nos</t>
  </si>
  <si>
    <t>shrink wrap machine</t>
  </si>
  <si>
    <t>X-ray mchine</t>
  </si>
  <si>
    <t xml:space="preserve">band sealer </t>
  </si>
  <si>
    <t xml:space="preserve">flow wrap machine </t>
  </si>
  <si>
    <t>1 nos</t>
  </si>
  <si>
    <t>TLM flow wrap</t>
  </si>
  <si>
    <t>enrobing machine</t>
  </si>
  <si>
    <t>melting tank 200L</t>
  </si>
  <si>
    <t>melting tank</t>
  </si>
  <si>
    <t>1noo</t>
  </si>
  <si>
    <t>krugger machine</t>
  </si>
  <si>
    <t>sheet and cut</t>
  </si>
  <si>
    <t>try roaster</t>
  </si>
  <si>
    <t>conveyers</t>
  </si>
  <si>
    <t>gyser</t>
  </si>
  <si>
    <t>freezer</t>
  </si>
  <si>
    <t>2nd floor mazenine</t>
  </si>
  <si>
    <t>Paddal mixer 90kg</t>
  </si>
  <si>
    <t>paddal mixer 60Kg</t>
  </si>
  <si>
    <t>paddal mixer 300L</t>
  </si>
  <si>
    <t>baking oven</t>
  </si>
  <si>
    <t>5kw</t>
  </si>
  <si>
    <t>deep freezer</t>
  </si>
  <si>
    <t>30nos</t>
  </si>
  <si>
    <t>slicer machine</t>
  </si>
  <si>
    <t>penut butter machine</t>
  </si>
  <si>
    <t>grinder 2hp</t>
  </si>
  <si>
    <t>electrical induction</t>
  </si>
  <si>
    <t>2kw</t>
  </si>
  <si>
    <t>pulveiser</t>
  </si>
  <si>
    <t>tarraes</t>
  </si>
  <si>
    <t>6kw</t>
  </si>
  <si>
    <t>508w</t>
  </si>
  <si>
    <t>5ph</t>
  </si>
  <si>
    <t>V vaccum packing machine</t>
  </si>
  <si>
    <t>3.5kw</t>
  </si>
  <si>
    <t>Ac</t>
  </si>
  <si>
    <t>14nos</t>
  </si>
  <si>
    <t>pedsteal fan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</si>
</sst>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m-dd-yyyy"/>
    <numFmt numFmtId="166" formatCode="mm/dd/yyyy"/>
  </numFmts>
  <fonts count="9">
    <font>
      <sz val="10.0"/>
      <color rgb="FF000000"/>
      <name val="Arial"/>
      <scheme val="minor"/>
    </font>
    <font>
      <b/>
      <sz val="11.0"/>
      <color rgb="FF000000"/>
      <name val="Calibri"/>
    </font>
    <font/>
    <font>
      <sz val="11.0"/>
      <color theme="1"/>
      <name val="Calibri"/>
    </font>
    <font>
      <sz val="11.0"/>
      <color rgb="FF000000"/>
      <name val="Calibri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6D9EEB"/>
        <bgColor rgb="FF6D9E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3" fillId="0" fontId="2" numFmtId="0" xfId="0" applyBorder="1" applyFont="1"/>
    <xf borderId="1" fillId="0" fontId="3" numFmtId="164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horizontal="right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4" numFmtId="165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2" fontId="4" numFmtId="0" xfId="0" applyAlignment="1" applyBorder="1" applyFon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0" fontId="5" numFmtId="0" xfId="0" applyBorder="1" applyFont="1"/>
    <xf borderId="1" fillId="0" fontId="4" numFmtId="0" xfId="0" applyAlignment="1" applyBorder="1" applyFont="1">
      <alignment horizontal="right" readingOrder="0" shrinkToFit="0" vertical="bottom" wrapText="0"/>
    </xf>
    <xf borderId="1" fillId="2" fontId="4" numFmtId="0" xfId="0" applyAlignment="1" applyBorder="1" applyFont="1">
      <alignment horizontal="right" readingOrder="0" shrinkToFit="0" vertical="bottom" wrapText="0"/>
    </xf>
    <xf borderId="1" fillId="0" fontId="6" numFmtId="0" xfId="0" applyAlignment="1" applyBorder="1" applyFont="1">
      <alignment readingOrder="0"/>
    </xf>
    <xf borderId="1" fillId="2" fontId="6" numFmtId="0" xfId="0" applyBorder="1" applyFont="1"/>
    <xf borderId="1" fillId="0" fontId="6" numFmtId="0" xfId="0" applyBorder="1" applyFont="1"/>
    <xf borderId="1" fillId="3" fontId="6" numFmtId="0" xfId="0" applyBorder="1" applyFont="1"/>
    <xf borderId="1" fillId="0" fontId="4" numFmtId="0" xfId="0" applyAlignment="1" applyBorder="1" applyFont="1">
      <alignment readingOrder="0" shrinkToFit="0" vertical="bottom" wrapText="0"/>
    </xf>
    <xf borderId="1" fillId="2" fontId="4" numFmtId="0" xfId="0" applyAlignment="1" applyBorder="1" applyFont="1">
      <alignment readingOrder="0" shrinkToFit="0" vertical="bottom" wrapText="0"/>
    </xf>
    <xf borderId="1" fillId="4" fontId="4" numFmtId="0" xfId="0" applyAlignment="1" applyBorder="1" applyFill="1" applyFont="1">
      <alignment horizontal="right" readingOrder="0" shrinkToFit="0" vertical="bottom" wrapText="0"/>
    </xf>
    <xf borderId="1" fillId="4" fontId="4" numFmtId="0" xfId="0" applyAlignment="1" applyBorder="1" applyFont="1">
      <alignment readingOrder="0" shrinkToFit="0" vertical="bottom" wrapText="0"/>
    </xf>
    <xf borderId="1" fillId="4" fontId="4" numFmtId="0" xfId="0" applyAlignment="1" applyBorder="1" applyFont="1">
      <alignment shrinkToFit="0" vertical="bottom" wrapText="0"/>
    </xf>
    <xf borderId="0" fillId="4" fontId="6" numFmtId="0" xfId="0" applyFont="1"/>
    <xf borderId="1" fillId="0" fontId="5" numFmtId="0" xfId="0" applyAlignment="1" applyBorder="1" applyFont="1">
      <alignment horizontal="right" readingOrder="0"/>
    </xf>
    <xf borderId="1" fillId="0" fontId="6" numFmtId="0" xfId="0" applyAlignment="1" applyBorder="1" applyFont="1">
      <alignment horizontal="right"/>
    </xf>
    <xf borderId="1" fillId="0" fontId="6" numFmtId="166" xfId="0" applyAlignment="1" applyBorder="1" applyFont="1" applyNumberFormat="1">
      <alignment horizontal="right" readingOrder="0"/>
    </xf>
    <xf borderId="1" fillId="2" fontId="6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right" readingOrder="0"/>
    </xf>
    <xf borderId="1" fillId="5" fontId="6" numFmtId="166" xfId="0" applyAlignment="1" applyBorder="1" applyFill="1" applyFont="1" applyNumberFormat="1">
      <alignment horizontal="right" readingOrder="0"/>
    </xf>
    <xf borderId="1" fillId="5" fontId="6" numFmtId="0" xfId="0" applyAlignment="1" applyBorder="1" applyFont="1">
      <alignment readingOrder="0"/>
    </xf>
    <xf borderId="1" fillId="5" fontId="6" numFmtId="0" xfId="0" applyBorder="1" applyFont="1"/>
    <xf borderId="1" fillId="5" fontId="5" numFmtId="0" xfId="0" applyBorder="1" applyFont="1"/>
    <xf borderId="0" fillId="5" fontId="6" numFmtId="0" xfId="0" applyFont="1"/>
    <xf borderId="1" fillId="2" fontId="7" numFmtId="0" xfId="0" applyAlignment="1" applyBorder="1" applyFont="1">
      <alignment horizontal="right" vertical="bottom"/>
    </xf>
    <xf borderId="1" fillId="0" fontId="6" numFmtId="164" xfId="0" applyAlignment="1" applyBorder="1" applyFont="1" applyNumberFormat="1">
      <alignment horizontal="right" readingOrder="0"/>
    </xf>
    <xf borderId="1" fillId="3" fontId="7" numFmtId="0" xfId="0" applyAlignment="1" applyBorder="1" applyFont="1">
      <alignment horizontal="right" vertical="bottom"/>
    </xf>
    <xf borderId="0" fillId="0" fontId="6" numFmtId="0" xfId="0" applyFont="1"/>
    <xf borderId="1" fillId="6" fontId="6" numFmtId="0" xfId="0" applyBorder="1" applyFill="1" applyFont="1"/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2" t="s">
        <v>4</v>
      </c>
      <c r="I1" s="3"/>
      <c r="J1" s="2" t="s">
        <v>5</v>
      </c>
      <c r="K1" s="3"/>
      <c r="L1" s="2" t="s">
        <v>6</v>
      </c>
      <c r="M1" s="3"/>
      <c r="N1" s="2" t="s">
        <v>7</v>
      </c>
      <c r="O1" s="3"/>
      <c r="P1" s="2" t="s">
        <v>8</v>
      </c>
      <c r="Q1" s="3"/>
      <c r="R1" s="2" t="s">
        <v>9</v>
      </c>
      <c r="S1" s="3"/>
      <c r="T1" s="2" t="s">
        <v>10</v>
      </c>
      <c r="U1" s="3"/>
      <c r="V1" s="4"/>
      <c r="W1" s="4"/>
    </row>
    <row r="2">
      <c r="A2" s="5"/>
      <c r="B2" s="6"/>
      <c r="C2" s="7" t="s">
        <v>11</v>
      </c>
      <c r="D2" s="6"/>
      <c r="E2" s="7" t="s">
        <v>11</v>
      </c>
      <c r="F2" s="6"/>
      <c r="G2" s="7" t="s">
        <v>11</v>
      </c>
      <c r="H2" s="6"/>
      <c r="I2" s="7" t="s">
        <v>11</v>
      </c>
      <c r="J2" s="6"/>
      <c r="K2" s="7" t="s">
        <v>11</v>
      </c>
      <c r="L2" s="6"/>
      <c r="M2" s="7" t="s">
        <v>11</v>
      </c>
      <c r="N2" s="6"/>
      <c r="O2" s="7" t="s">
        <v>11</v>
      </c>
      <c r="P2" s="6"/>
      <c r="Q2" s="7" t="s">
        <v>11</v>
      </c>
      <c r="R2" s="6"/>
      <c r="S2" s="7" t="s">
        <v>11</v>
      </c>
      <c r="T2" s="6"/>
      <c r="U2" s="7" t="s">
        <v>11</v>
      </c>
      <c r="V2" s="8"/>
      <c r="W2" s="9"/>
    </row>
    <row r="3">
      <c r="A3" s="10">
        <v>45661.0</v>
      </c>
      <c r="B3" s="11"/>
      <c r="C3" s="12"/>
      <c r="D3" s="11"/>
      <c r="E3" s="12"/>
      <c r="F3" s="11"/>
      <c r="G3" s="12"/>
      <c r="H3" s="11"/>
      <c r="I3" s="12"/>
      <c r="J3" s="11"/>
      <c r="K3" s="13"/>
      <c r="L3" s="11"/>
      <c r="M3" s="12"/>
      <c r="N3" s="11"/>
      <c r="O3" s="12"/>
      <c r="P3" s="11"/>
      <c r="Q3" s="12"/>
      <c r="R3" s="11"/>
      <c r="S3" s="12"/>
      <c r="T3" s="11"/>
      <c r="U3" s="12"/>
      <c r="V3" s="9"/>
      <c r="W3" s="9" t="s">
        <v>12</v>
      </c>
    </row>
    <row r="4">
      <c r="A4" s="10">
        <v>45692.0</v>
      </c>
      <c r="B4" s="11"/>
      <c r="C4" s="12"/>
      <c r="D4" s="11"/>
      <c r="E4" s="12"/>
      <c r="F4" s="11"/>
      <c r="G4" s="12"/>
      <c r="H4" s="11"/>
      <c r="I4" s="12"/>
      <c r="J4" s="11"/>
      <c r="K4" s="13"/>
      <c r="L4" s="11"/>
      <c r="M4" s="12"/>
      <c r="N4" s="11"/>
      <c r="O4" s="12"/>
      <c r="P4" s="11"/>
      <c r="Q4" s="12"/>
      <c r="R4" s="11"/>
      <c r="S4" s="12"/>
      <c r="T4" s="11"/>
      <c r="U4" s="12"/>
      <c r="V4" s="14"/>
    </row>
    <row r="5">
      <c r="A5" s="10">
        <v>45720.0</v>
      </c>
      <c r="B5" s="11"/>
      <c r="C5" s="12"/>
      <c r="D5" s="11"/>
      <c r="E5" s="12"/>
      <c r="F5" s="11"/>
      <c r="G5" s="12"/>
      <c r="H5" s="11"/>
      <c r="I5" s="12"/>
      <c r="J5" s="11"/>
      <c r="K5" s="13"/>
      <c r="L5" s="11"/>
      <c r="M5" s="12"/>
      <c r="N5" s="11"/>
      <c r="O5" s="12"/>
      <c r="P5" s="11"/>
      <c r="Q5" s="12"/>
      <c r="R5" s="11"/>
      <c r="S5" s="12"/>
      <c r="T5" s="11"/>
      <c r="U5" s="12"/>
      <c r="V5" s="14"/>
    </row>
    <row r="6">
      <c r="A6" s="10">
        <v>45751.0</v>
      </c>
      <c r="B6" s="11"/>
      <c r="C6" s="12"/>
      <c r="D6" s="11"/>
      <c r="E6" s="12"/>
      <c r="F6" s="11"/>
      <c r="G6" s="12"/>
      <c r="H6" s="11"/>
      <c r="I6" s="12"/>
      <c r="J6" s="11"/>
      <c r="K6" s="13"/>
      <c r="L6" s="11"/>
      <c r="M6" s="12"/>
      <c r="N6" s="11"/>
      <c r="O6" s="12"/>
      <c r="P6" s="11"/>
      <c r="Q6" s="12"/>
      <c r="R6" s="11"/>
      <c r="S6" s="12"/>
      <c r="T6" s="11"/>
      <c r="U6" s="12"/>
      <c r="V6" s="14"/>
    </row>
    <row r="7">
      <c r="A7" s="10">
        <v>45781.0</v>
      </c>
      <c r="B7" s="11"/>
      <c r="C7" s="12"/>
      <c r="D7" s="11"/>
      <c r="E7" s="12"/>
      <c r="F7" s="11"/>
      <c r="G7" s="12"/>
      <c r="H7" s="11"/>
      <c r="I7" s="12"/>
      <c r="J7" s="11"/>
      <c r="K7" s="13"/>
      <c r="L7" s="11"/>
      <c r="M7" s="12"/>
      <c r="N7" s="11"/>
      <c r="O7" s="12"/>
      <c r="P7" s="11"/>
      <c r="Q7" s="12"/>
      <c r="R7" s="11"/>
      <c r="S7" s="12"/>
      <c r="T7" s="11"/>
      <c r="U7" s="12"/>
      <c r="V7" s="14"/>
    </row>
    <row r="8">
      <c r="A8" s="10">
        <v>45812.0</v>
      </c>
      <c r="B8" s="11"/>
      <c r="C8" s="12"/>
      <c r="D8" s="11"/>
      <c r="E8" s="12"/>
      <c r="F8" s="11"/>
      <c r="G8" s="12"/>
      <c r="H8" s="11"/>
      <c r="I8" s="12"/>
      <c r="J8" s="11"/>
      <c r="K8" s="13"/>
      <c r="L8" s="11"/>
      <c r="M8" s="12"/>
      <c r="N8" s="11"/>
      <c r="O8" s="12"/>
      <c r="P8" s="11"/>
      <c r="Q8" s="12"/>
      <c r="R8" s="11"/>
      <c r="S8" s="12"/>
      <c r="T8" s="11"/>
      <c r="U8" s="12"/>
      <c r="V8" s="14"/>
    </row>
    <row r="9">
      <c r="A9" s="10">
        <v>45842.0</v>
      </c>
      <c r="B9" s="11"/>
      <c r="C9" s="12"/>
      <c r="D9" s="11"/>
      <c r="E9" s="12"/>
      <c r="F9" s="11"/>
      <c r="G9" s="12"/>
      <c r="H9" s="11"/>
      <c r="I9" s="12"/>
      <c r="J9" s="11"/>
      <c r="K9" s="13"/>
      <c r="L9" s="11"/>
      <c r="M9" s="12"/>
      <c r="N9" s="11"/>
      <c r="O9" s="12"/>
      <c r="P9" s="11"/>
      <c r="Q9" s="12"/>
      <c r="R9" s="11"/>
      <c r="S9" s="12"/>
      <c r="T9" s="11"/>
      <c r="U9" s="12"/>
      <c r="V9" s="14"/>
    </row>
    <row r="10">
      <c r="A10" s="10">
        <v>45873.0</v>
      </c>
      <c r="B10" s="11"/>
      <c r="C10" s="12"/>
      <c r="D10" s="11"/>
      <c r="E10" s="12"/>
      <c r="F10" s="11"/>
      <c r="G10" s="12"/>
      <c r="H10" s="11"/>
      <c r="I10" s="12"/>
      <c r="J10" s="11"/>
      <c r="K10" s="13"/>
      <c r="L10" s="11"/>
      <c r="M10" s="12"/>
      <c r="N10" s="11"/>
      <c r="O10" s="12"/>
      <c r="P10" s="11"/>
      <c r="Q10" s="12"/>
      <c r="R10" s="11"/>
      <c r="S10" s="12"/>
      <c r="T10" s="11"/>
      <c r="U10" s="12"/>
      <c r="V10" s="14"/>
    </row>
    <row r="11">
      <c r="A11" s="10">
        <v>45904.0</v>
      </c>
      <c r="B11" s="11"/>
      <c r="C11" s="12"/>
      <c r="D11" s="11"/>
      <c r="E11" s="12"/>
      <c r="F11" s="11"/>
      <c r="G11" s="12"/>
      <c r="H11" s="11"/>
      <c r="I11" s="12"/>
      <c r="J11" s="11"/>
      <c r="K11" s="13"/>
      <c r="L11" s="11"/>
      <c r="M11" s="12"/>
      <c r="N11" s="11"/>
      <c r="O11" s="12"/>
      <c r="P11" s="11"/>
      <c r="Q11" s="12"/>
      <c r="R11" s="11"/>
      <c r="S11" s="12"/>
      <c r="T11" s="11"/>
      <c r="U11" s="12"/>
      <c r="V11" s="14"/>
    </row>
    <row r="12">
      <c r="A12" s="10">
        <v>45934.0</v>
      </c>
      <c r="B12" s="11"/>
      <c r="C12" s="12"/>
      <c r="D12" s="11"/>
      <c r="E12" s="12"/>
      <c r="F12" s="11"/>
      <c r="G12" s="12"/>
      <c r="H12" s="11"/>
      <c r="I12" s="12"/>
      <c r="J12" s="11"/>
      <c r="K12" s="13"/>
      <c r="L12" s="11"/>
      <c r="M12" s="12"/>
      <c r="N12" s="11"/>
      <c r="O12" s="12"/>
      <c r="P12" s="11"/>
      <c r="Q12" s="12"/>
      <c r="R12" s="11"/>
      <c r="S12" s="12"/>
      <c r="T12" s="11"/>
      <c r="U12" s="12"/>
      <c r="V12" s="14"/>
    </row>
    <row r="13">
      <c r="A13" s="10">
        <v>45965.0</v>
      </c>
      <c r="B13" s="15">
        <v>223885.824</v>
      </c>
      <c r="C13" s="12"/>
      <c r="D13" s="15">
        <v>134415.216</v>
      </c>
      <c r="E13" s="12"/>
      <c r="F13" s="15">
        <v>62781.8688</v>
      </c>
      <c r="G13" s="12"/>
      <c r="H13" s="15">
        <v>143746.912</v>
      </c>
      <c r="I13" s="12"/>
      <c r="J13" s="11"/>
      <c r="K13" s="13"/>
      <c r="L13" s="15">
        <v>76857.0944</v>
      </c>
      <c r="M13" s="12"/>
      <c r="N13" s="15">
        <v>96365.1328</v>
      </c>
      <c r="O13" s="12"/>
      <c r="P13" s="15">
        <v>135785.456</v>
      </c>
      <c r="Q13" s="12"/>
      <c r="R13" s="15">
        <v>883144.256</v>
      </c>
      <c r="S13" s="12"/>
      <c r="T13" s="15">
        <v>54407.8274</v>
      </c>
      <c r="U13" s="12"/>
      <c r="V13" s="14"/>
    </row>
    <row r="14">
      <c r="A14" s="10">
        <v>45995.0</v>
      </c>
      <c r="B14" s="11"/>
      <c r="C14" s="12"/>
      <c r="D14" s="11"/>
      <c r="E14" s="12"/>
      <c r="F14" s="11"/>
      <c r="G14" s="12"/>
      <c r="H14" s="11"/>
      <c r="I14" s="12"/>
      <c r="J14" s="11"/>
      <c r="K14" s="13"/>
      <c r="L14" s="11"/>
      <c r="M14" s="12"/>
      <c r="N14" s="11"/>
      <c r="O14" s="12"/>
      <c r="P14" s="11"/>
      <c r="Q14" s="12"/>
      <c r="R14" s="11"/>
      <c r="S14" s="12"/>
      <c r="T14" s="11"/>
      <c r="U14" s="12"/>
      <c r="V14" s="14"/>
    </row>
    <row r="15">
      <c r="A15" s="15" t="s">
        <v>13</v>
      </c>
      <c r="B15" s="11"/>
      <c r="C15" s="12"/>
      <c r="D15" s="11"/>
      <c r="E15" s="12"/>
      <c r="F15" s="11"/>
      <c r="G15" s="12"/>
      <c r="H15" s="11"/>
      <c r="I15" s="12"/>
      <c r="J15" s="11"/>
      <c r="K15" s="13"/>
      <c r="L15" s="11"/>
      <c r="M15" s="12"/>
      <c r="N15" s="11"/>
      <c r="O15" s="12"/>
      <c r="P15" s="11"/>
      <c r="Q15" s="12"/>
      <c r="R15" s="11"/>
      <c r="S15" s="12"/>
      <c r="T15" s="11"/>
      <c r="U15" s="12"/>
      <c r="V15" s="14"/>
    </row>
    <row r="16">
      <c r="A16" s="15" t="s">
        <v>14</v>
      </c>
      <c r="B16" s="15">
        <v>224139.392</v>
      </c>
      <c r="C16" s="16">
        <v>253.568</v>
      </c>
      <c r="D16" s="15">
        <v>134545.584</v>
      </c>
      <c r="E16" s="12"/>
      <c r="F16" s="15">
        <v>62811.1296</v>
      </c>
      <c r="G16" s="12"/>
      <c r="H16" s="15">
        <v>143860.352</v>
      </c>
      <c r="I16" s="12"/>
      <c r="J16" s="11"/>
      <c r="K16" s="13"/>
      <c r="L16" s="15">
        <v>76988.4736</v>
      </c>
      <c r="M16" s="12"/>
      <c r="N16" s="15">
        <v>96471.7312</v>
      </c>
      <c r="O16" s="12"/>
      <c r="P16" s="15">
        <v>135919.136</v>
      </c>
      <c r="Q16" s="12"/>
      <c r="R16" s="15">
        <v>884387.2</v>
      </c>
      <c r="S16" s="12"/>
      <c r="T16" s="15">
        <v>54428.864</v>
      </c>
      <c r="U16" s="12"/>
      <c r="V16" s="14"/>
    </row>
    <row r="17">
      <c r="A17" s="15" t="s">
        <v>15</v>
      </c>
      <c r="B17" s="11"/>
      <c r="C17" s="12"/>
      <c r="D17" s="11"/>
      <c r="E17" s="12"/>
      <c r="F17" s="11"/>
      <c r="G17" s="12"/>
      <c r="H17" s="11"/>
      <c r="I17" s="12"/>
      <c r="J17" s="11"/>
      <c r="K17" s="13"/>
      <c r="L17" s="11"/>
      <c r="M17" s="12"/>
      <c r="N17" s="11"/>
      <c r="O17" s="12"/>
      <c r="P17" s="11"/>
      <c r="Q17" s="12"/>
      <c r="R17" s="11"/>
      <c r="S17" s="12"/>
      <c r="T17" s="11"/>
      <c r="U17" s="12"/>
      <c r="V17" s="14"/>
    </row>
    <row r="18">
      <c r="A18" s="15" t="s">
        <v>16</v>
      </c>
      <c r="B18" s="17">
        <v>224461.952</v>
      </c>
      <c r="C18" s="18">
        <f>B18-B16</f>
        <v>322.56</v>
      </c>
      <c r="D18" s="17">
        <v>134664.384</v>
      </c>
      <c r="E18" s="18">
        <f>D18-D16</f>
        <v>118.8</v>
      </c>
      <c r="F18" s="17">
        <v>62846.5408</v>
      </c>
      <c r="G18" s="18">
        <f>F18-F16</f>
        <v>35.4112</v>
      </c>
      <c r="H18" s="17">
        <v>143937.584</v>
      </c>
      <c r="I18" s="18">
        <f>H18-H16</f>
        <v>77.232</v>
      </c>
      <c r="J18" s="19"/>
      <c r="K18" s="20"/>
      <c r="L18" s="17">
        <v>77110.9696</v>
      </c>
      <c r="M18" s="18">
        <f>L18-L16</f>
        <v>122.496</v>
      </c>
      <c r="N18" s="17">
        <v>96570.7008</v>
      </c>
      <c r="O18" s="18">
        <f>N18-N16</f>
        <v>98.9696</v>
      </c>
      <c r="P18" s="17">
        <v>136071.456</v>
      </c>
      <c r="Q18" s="18">
        <f>P18-P16</f>
        <v>152.32</v>
      </c>
      <c r="R18" s="17">
        <v>885591.424</v>
      </c>
      <c r="S18" s="18">
        <f>R18-R16</f>
        <v>1204.224</v>
      </c>
      <c r="T18" s="17"/>
      <c r="U18" s="18"/>
      <c r="V18" s="14"/>
    </row>
    <row r="19">
      <c r="A19" s="15" t="s">
        <v>17</v>
      </c>
      <c r="B19" s="15">
        <v>224481.952</v>
      </c>
      <c r="C19" s="16">
        <v>322.56</v>
      </c>
      <c r="D19" s="15">
        <v>134745.872</v>
      </c>
      <c r="E19" s="16">
        <f t="shared" ref="E19:E21" si="1">D19-D18</f>
        <v>81.488</v>
      </c>
      <c r="F19" s="15">
        <v>62866.4512</v>
      </c>
      <c r="G19" s="16">
        <f>F19-F18</f>
        <v>19.9104</v>
      </c>
      <c r="H19" s="15">
        <v>143937.584</v>
      </c>
      <c r="I19" s="16">
        <v>77.232</v>
      </c>
      <c r="J19" s="21">
        <v>12201.4616</v>
      </c>
      <c r="K19" s="13"/>
      <c r="L19" s="15">
        <v>77165.67</v>
      </c>
      <c r="M19" s="16">
        <f t="shared" ref="M19:M21" si="2">L19-L18</f>
        <v>54.7004</v>
      </c>
      <c r="N19" s="15">
        <v>96625.1264</v>
      </c>
      <c r="O19" s="16">
        <v>98.9696</v>
      </c>
      <c r="P19" s="15">
        <v>136148.016</v>
      </c>
      <c r="Q19" s="16">
        <f t="shared" ref="Q19:Q21" si="3">P19-P18</f>
        <v>76.56</v>
      </c>
      <c r="R19" s="15">
        <v>886227.84</v>
      </c>
      <c r="S19" s="16">
        <v>1204.224</v>
      </c>
      <c r="T19" s="15">
        <v>54455.8272</v>
      </c>
      <c r="U19" s="16">
        <v>16.672</v>
      </c>
      <c r="V19" s="14">
        <f t="shared" ref="V19:V21" si="4">U19+S19+Q19+O19+M19+K19+I19+G19+E19+C19</f>
        <v>1952.3164</v>
      </c>
    </row>
    <row r="20">
      <c r="A20" s="15" t="s">
        <v>18</v>
      </c>
      <c r="B20" s="15">
        <v>224753.121</v>
      </c>
      <c r="C20" s="16">
        <f t="shared" ref="C20:C21" si="5">B20-B19</f>
        <v>271.169</v>
      </c>
      <c r="D20" s="15">
        <v>134843.456</v>
      </c>
      <c r="E20" s="16">
        <f t="shared" si="1"/>
        <v>97.584</v>
      </c>
      <c r="F20" s="15">
        <v>62881.4656</v>
      </c>
      <c r="G20" s="16">
        <v>35.0576</v>
      </c>
      <c r="H20" s="15">
        <v>144024.144</v>
      </c>
      <c r="I20" s="16">
        <v>86.56</v>
      </c>
      <c r="J20" s="15">
        <v>12233.4216</v>
      </c>
      <c r="K20" s="13">
        <f t="shared" ref="K20:K21" si="6">J20-J19</f>
        <v>31.96</v>
      </c>
      <c r="L20" s="15">
        <v>77224.384</v>
      </c>
      <c r="M20" s="16">
        <f t="shared" si="2"/>
        <v>58.714</v>
      </c>
      <c r="N20" s="15">
        <v>96681.632</v>
      </c>
      <c r="O20" s="16">
        <f t="shared" ref="O20:O21" si="7">N20-N19</f>
        <v>56.5056</v>
      </c>
      <c r="P20" s="15">
        <v>136204.464</v>
      </c>
      <c r="Q20" s="16">
        <f t="shared" si="3"/>
        <v>56.448</v>
      </c>
      <c r="R20" s="15">
        <v>886763.072</v>
      </c>
      <c r="S20" s="16">
        <v>1171.648</v>
      </c>
      <c r="T20" s="15">
        <v>54464.896</v>
      </c>
      <c r="U20" s="16">
        <v>19.36</v>
      </c>
      <c r="V20" s="14">
        <f t="shared" si="4"/>
        <v>1885.0062</v>
      </c>
    </row>
    <row r="21">
      <c r="A21" s="15" t="s">
        <v>19</v>
      </c>
      <c r="B21" s="21">
        <v>224900.464</v>
      </c>
      <c r="C21" s="16">
        <f t="shared" si="5"/>
        <v>147.343</v>
      </c>
      <c r="D21" s="21">
        <v>134902.368</v>
      </c>
      <c r="E21" s="16">
        <f t="shared" si="1"/>
        <v>58.912</v>
      </c>
      <c r="F21" s="21">
        <v>62896.9728</v>
      </c>
      <c r="G21" s="16">
        <f>F21-F20</f>
        <v>15.5072</v>
      </c>
      <c r="H21" s="21">
        <v>144068.016</v>
      </c>
      <c r="I21" s="12">
        <f>H21-H20</f>
        <v>43.872</v>
      </c>
      <c r="J21" s="21">
        <v>12264.2368</v>
      </c>
      <c r="K21" s="13">
        <f t="shared" si="6"/>
        <v>30.8152</v>
      </c>
      <c r="L21" s="21">
        <v>77270.912</v>
      </c>
      <c r="M21" s="12">
        <f t="shared" si="2"/>
        <v>46.528</v>
      </c>
      <c r="N21" s="21">
        <v>96726.7264</v>
      </c>
      <c r="O21" s="12">
        <f t="shared" si="7"/>
        <v>45.0944</v>
      </c>
      <c r="P21" s="21">
        <v>136265.504</v>
      </c>
      <c r="Q21" s="12">
        <f t="shared" si="3"/>
        <v>61.04</v>
      </c>
      <c r="R21" s="21">
        <v>887295.168</v>
      </c>
      <c r="S21" s="12">
        <f>R21-R20</f>
        <v>532.096</v>
      </c>
      <c r="T21" s="21">
        <v>54475.2128</v>
      </c>
      <c r="U21" s="12">
        <f>T21-T20</f>
        <v>10.3168</v>
      </c>
      <c r="V21" s="14">
        <f t="shared" si="4"/>
        <v>991.5246</v>
      </c>
    </row>
    <row r="22">
      <c r="A22" s="15" t="s">
        <v>20</v>
      </c>
      <c r="B22" s="11"/>
      <c r="C22" s="16"/>
      <c r="D22" s="11"/>
      <c r="E22" s="12"/>
      <c r="F22" s="11"/>
      <c r="G22" s="12"/>
      <c r="H22" s="11"/>
      <c r="I22" s="12"/>
      <c r="J22" s="11"/>
      <c r="K22" s="13"/>
      <c r="L22" s="11"/>
      <c r="M22" s="12"/>
      <c r="N22" s="11"/>
      <c r="O22" s="12"/>
      <c r="P22" s="11"/>
      <c r="Q22" s="12"/>
      <c r="R22" s="11"/>
      <c r="S22" s="12"/>
      <c r="T22" s="11"/>
      <c r="U22" s="12"/>
      <c r="V22" s="14"/>
    </row>
    <row r="23">
      <c r="A23" s="15" t="s">
        <v>21</v>
      </c>
      <c r="B23" s="21">
        <v>225021.424</v>
      </c>
      <c r="C23" s="12">
        <f>B23-B21</f>
        <v>120.96</v>
      </c>
      <c r="D23" s="21">
        <v>134953.472</v>
      </c>
      <c r="E23" s="12">
        <f>D23-D21</f>
        <v>51.104</v>
      </c>
      <c r="F23" s="21">
        <v>62918.7776</v>
      </c>
      <c r="G23" s="12">
        <f>F23-F21</f>
        <v>21.8048</v>
      </c>
      <c r="H23" s="21">
        <v>144143.12</v>
      </c>
      <c r="I23" s="12">
        <f>H23-H21</f>
        <v>75.104</v>
      </c>
      <c r="J23" s="21">
        <v>12290.4589</v>
      </c>
      <c r="K23" s="13">
        <f>J23-J21</f>
        <v>26.2221</v>
      </c>
      <c r="L23" s="21">
        <v>77338.5152</v>
      </c>
      <c r="M23" s="12">
        <f>L23-L21</f>
        <v>67.6032</v>
      </c>
      <c r="N23" s="21">
        <v>96797.2864</v>
      </c>
      <c r="O23" s="12">
        <f>N23-N21</f>
        <v>70.56</v>
      </c>
      <c r="P23" s="21">
        <v>136322.064</v>
      </c>
      <c r="Q23" s="12">
        <f>P23-P21</f>
        <v>56.56</v>
      </c>
      <c r="R23" s="21">
        <v>887779.904</v>
      </c>
      <c r="S23" s="12">
        <f>R23-R21</f>
        <v>484.736</v>
      </c>
      <c r="T23" s="21">
        <v>54481.856</v>
      </c>
      <c r="U23" s="12">
        <f>T23-T21</f>
        <v>6.6432</v>
      </c>
      <c r="V23" s="14">
        <f t="shared" ref="V23:V32" si="8">U23+S23+Q23+O23+M23+K23+I23+G23+E23+C23</f>
        <v>981.2973</v>
      </c>
    </row>
    <row r="24">
      <c r="A24" s="15" t="s">
        <v>22</v>
      </c>
      <c r="B24" s="21">
        <v>225162.384</v>
      </c>
      <c r="C24" s="12">
        <f t="shared" ref="C24:C32" si="9">B24-B23</f>
        <v>140.96</v>
      </c>
      <c r="D24" s="21">
        <v>135011.488</v>
      </c>
      <c r="E24" s="12">
        <f t="shared" ref="E24:E32" si="10">D24-D23</f>
        <v>58.016</v>
      </c>
      <c r="F24" s="21">
        <v>62935.6416</v>
      </c>
      <c r="G24" s="12">
        <f t="shared" ref="G24:G32" si="11">F24-F23</f>
        <v>16.864</v>
      </c>
      <c r="H24" s="21">
        <v>144182.096</v>
      </c>
      <c r="I24" s="12">
        <f t="shared" ref="I24:I32" si="12">H24-H23</f>
        <v>38.976</v>
      </c>
      <c r="J24" s="21">
        <v>12306.548</v>
      </c>
      <c r="K24" s="13">
        <f t="shared" ref="K24:K32" si="13">J24-J23</f>
        <v>16.0891</v>
      </c>
      <c r="L24" s="21">
        <v>77391.5776</v>
      </c>
      <c r="M24" s="12">
        <f t="shared" ref="M24:M32" si="14">L24-L23</f>
        <v>53.0624</v>
      </c>
      <c r="N24" s="21">
        <v>96844.416</v>
      </c>
      <c r="O24" s="12">
        <f t="shared" ref="O24:O32" si="15">N24-N23</f>
        <v>47.1296</v>
      </c>
      <c r="P24" s="21">
        <v>136389.84</v>
      </c>
      <c r="Q24" s="12">
        <f t="shared" ref="Q24:Q32" si="16">P24-P23</f>
        <v>67.776</v>
      </c>
      <c r="R24" s="21">
        <v>888346.56</v>
      </c>
      <c r="S24" s="12">
        <f t="shared" ref="S24:S32" si="17">R24-R23</f>
        <v>566.656</v>
      </c>
      <c r="T24" s="21">
        <v>54491.552</v>
      </c>
      <c r="U24" s="12">
        <f t="shared" ref="U24:U32" si="18">T24-T23</f>
        <v>9.696</v>
      </c>
      <c r="V24" s="14">
        <f t="shared" si="8"/>
        <v>1015.2251</v>
      </c>
    </row>
    <row r="25">
      <c r="A25" s="15" t="s">
        <v>23</v>
      </c>
      <c r="B25" s="21">
        <v>225304.912</v>
      </c>
      <c r="C25" s="12">
        <f t="shared" si="9"/>
        <v>142.528</v>
      </c>
      <c r="D25" s="21">
        <v>135069.104</v>
      </c>
      <c r="E25" s="12">
        <f t="shared" si="10"/>
        <v>57.616</v>
      </c>
      <c r="F25" s="21">
        <v>62951.5328</v>
      </c>
      <c r="G25" s="12">
        <f t="shared" si="11"/>
        <v>15.8912</v>
      </c>
      <c r="H25" s="21">
        <v>144217.36</v>
      </c>
      <c r="I25" s="12">
        <f t="shared" si="12"/>
        <v>35.264</v>
      </c>
      <c r="J25" s="21">
        <v>12337.0336</v>
      </c>
      <c r="K25" s="13">
        <f t="shared" si="13"/>
        <v>30.4856</v>
      </c>
      <c r="L25" s="21">
        <v>77436.9536</v>
      </c>
      <c r="M25" s="12">
        <f t="shared" si="14"/>
        <v>45.376</v>
      </c>
      <c r="N25" s="21">
        <v>96897.1776</v>
      </c>
      <c r="O25" s="12">
        <f t="shared" si="15"/>
        <v>52.7616</v>
      </c>
      <c r="P25" s="21">
        <v>136464.704</v>
      </c>
      <c r="Q25" s="12">
        <f t="shared" si="16"/>
        <v>74.864</v>
      </c>
      <c r="R25" s="21">
        <v>888826.688</v>
      </c>
      <c r="S25" s="12">
        <f t="shared" si="17"/>
        <v>480.128</v>
      </c>
      <c r="T25" s="21">
        <v>54500.5164</v>
      </c>
      <c r="U25" s="12">
        <f t="shared" si="18"/>
        <v>8.9644</v>
      </c>
      <c r="V25" s="14">
        <f t="shared" si="8"/>
        <v>943.8788</v>
      </c>
    </row>
    <row r="26">
      <c r="A26" s="15" t="s">
        <v>24</v>
      </c>
      <c r="B26" s="21">
        <v>225396.272</v>
      </c>
      <c r="C26" s="12">
        <f t="shared" si="9"/>
        <v>91.36</v>
      </c>
      <c r="D26" s="21">
        <v>135140.144</v>
      </c>
      <c r="E26" s="12">
        <f t="shared" si="10"/>
        <v>71.04</v>
      </c>
      <c r="F26" s="21">
        <v>62968.6656</v>
      </c>
      <c r="G26" s="22">
        <f t="shared" si="11"/>
        <v>17.1328</v>
      </c>
      <c r="H26" s="21">
        <v>144256.56</v>
      </c>
      <c r="I26" s="12">
        <f t="shared" si="12"/>
        <v>39.2</v>
      </c>
      <c r="J26" s="21">
        <v>12368.572</v>
      </c>
      <c r="K26" s="13">
        <f t="shared" si="13"/>
        <v>31.5384</v>
      </c>
      <c r="L26" s="21">
        <v>77471.689</v>
      </c>
      <c r="M26" s="12">
        <f t="shared" si="14"/>
        <v>34.7354</v>
      </c>
      <c r="N26" s="21">
        <v>96944.1728</v>
      </c>
      <c r="O26" s="12">
        <f t="shared" si="15"/>
        <v>46.9952</v>
      </c>
      <c r="P26" s="21">
        <v>136537.528</v>
      </c>
      <c r="Q26" s="12">
        <f t="shared" si="16"/>
        <v>72.824</v>
      </c>
      <c r="R26" s="21">
        <v>889328.512</v>
      </c>
      <c r="S26" s="12">
        <f t="shared" si="17"/>
        <v>501.824</v>
      </c>
      <c r="T26" s="21">
        <v>54509.9328</v>
      </c>
      <c r="U26" s="12">
        <f t="shared" si="18"/>
        <v>9.4164</v>
      </c>
      <c r="V26" s="14">
        <f t="shared" si="8"/>
        <v>916.0662</v>
      </c>
    </row>
    <row r="27">
      <c r="A27" s="15" t="s">
        <v>25</v>
      </c>
      <c r="B27" s="21">
        <v>225516.464</v>
      </c>
      <c r="C27" s="12">
        <f t="shared" si="9"/>
        <v>120.192</v>
      </c>
      <c r="D27" s="21">
        <v>135220.016</v>
      </c>
      <c r="E27" s="12">
        <f t="shared" si="10"/>
        <v>79.872</v>
      </c>
      <c r="F27" s="21">
        <v>62984.352</v>
      </c>
      <c r="G27" s="12">
        <f t="shared" si="11"/>
        <v>15.6864</v>
      </c>
      <c r="H27" s="21">
        <v>144299.296</v>
      </c>
      <c r="I27" s="12">
        <f t="shared" si="12"/>
        <v>42.736</v>
      </c>
      <c r="J27" s="21">
        <v>12404.588</v>
      </c>
      <c r="K27" s="13">
        <f t="shared" si="13"/>
        <v>36.016</v>
      </c>
      <c r="L27" s="21">
        <v>77526.1312</v>
      </c>
      <c r="M27" s="12">
        <f t="shared" si="14"/>
        <v>54.4422</v>
      </c>
      <c r="N27" s="21">
        <v>96991.7248</v>
      </c>
      <c r="O27" s="12">
        <f t="shared" si="15"/>
        <v>47.552</v>
      </c>
      <c r="P27" s="21">
        <v>136634.592</v>
      </c>
      <c r="Q27" s="12">
        <f t="shared" si="16"/>
        <v>97.064</v>
      </c>
      <c r="R27" s="21">
        <v>889877.824</v>
      </c>
      <c r="S27" s="12">
        <f t="shared" si="17"/>
        <v>549.312</v>
      </c>
      <c r="T27" s="21">
        <v>54520.6912</v>
      </c>
      <c r="U27" s="12">
        <f t="shared" si="18"/>
        <v>10.7584</v>
      </c>
      <c r="V27" s="14">
        <f t="shared" si="8"/>
        <v>1053.631</v>
      </c>
    </row>
    <row r="28">
      <c r="A28" s="15" t="s">
        <v>26</v>
      </c>
      <c r="B28" s="21">
        <v>225641.552</v>
      </c>
      <c r="C28" s="12">
        <f t="shared" si="9"/>
        <v>125.088</v>
      </c>
      <c r="D28" s="21">
        <v>135302.064</v>
      </c>
      <c r="E28" s="12">
        <f t="shared" si="10"/>
        <v>82.048</v>
      </c>
      <c r="F28" s="21">
        <v>63001.3184</v>
      </c>
      <c r="G28" s="12">
        <f t="shared" si="11"/>
        <v>16.9664</v>
      </c>
      <c r="H28" s="21">
        <v>144331.776</v>
      </c>
      <c r="I28" s="12">
        <f t="shared" si="12"/>
        <v>32.48</v>
      </c>
      <c r="J28" s="21">
        <v>12439.6136</v>
      </c>
      <c r="K28" s="13">
        <f t="shared" si="13"/>
        <v>35.0256</v>
      </c>
      <c r="L28" s="21">
        <v>77573.2288</v>
      </c>
      <c r="M28" s="12">
        <f t="shared" si="14"/>
        <v>47.0976</v>
      </c>
      <c r="N28" s="21">
        <v>97041.1584</v>
      </c>
      <c r="O28" s="12">
        <f t="shared" si="15"/>
        <v>49.4336</v>
      </c>
      <c r="P28" s="21">
        <v>136709.536</v>
      </c>
      <c r="Q28" s="12">
        <f t="shared" si="16"/>
        <v>74.944</v>
      </c>
      <c r="R28" s="21">
        <v>890463.3936</v>
      </c>
      <c r="S28" s="12">
        <f t="shared" si="17"/>
        <v>585.5696</v>
      </c>
      <c r="T28" s="21">
        <v>54527.7632</v>
      </c>
      <c r="U28" s="12">
        <f t="shared" si="18"/>
        <v>7.072</v>
      </c>
      <c r="V28" s="14">
        <f t="shared" si="8"/>
        <v>1055.7248</v>
      </c>
    </row>
    <row r="29">
      <c r="A29" s="23" t="s">
        <v>27</v>
      </c>
      <c r="B29" s="24">
        <v>225750.464</v>
      </c>
      <c r="C29" s="25">
        <f t="shared" si="9"/>
        <v>108.912</v>
      </c>
      <c r="D29" s="24">
        <v>135388.32</v>
      </c>
      <c r="E29" s="25">
        <f t="shared" si="10"/>
        <v>86.256</v>
      </c>
      <c r="F29" s="24">
        <v>63020.7168</v>
      </c>
      <c r="G29" s="25">
        <f t="shared" si="11"/>
        <v>19.3984</v>
      </c>
      <c r="H29" s="24">
        <v>144368.512</v>
      </c>
      <c r="I29" s="25">
        <f t="shared" si="12"/>
        <v>36.736</v>
      </c>
      <c r="J29" s="24">
        <v>12474.6914</v>
      </c>
      <c r="K29" s="13">
        <f t="shared" si="13"/>
        <v>35.0778</v>
      </c>
      <c r="L29" s="24">
        <v>77626.1184</v>
      </c>
      <c r="M29" s="25">
        <f t="shared" si="14"/>
        <v>52.8896</v>
      </c>
      <c r="N29" s="24">
        <v>97091.936</v>
      </c>
      <c r="O29" s="25">
        <f t="shared" si="15"/>
        <v>50.7776</v>
      </c>
      <c r="P29" s="24">
        <v>136763.776</v>
      </c>
      <c r="Q29" s="25">
        <f t="shared" si="16"/>
        <v>54.24</v>
      </c>
      <c r="R29" s="24">
        <v>891052.9</v>
      </c>
      <c r="S29" s="25">
        <f t="shared" si="17"/>
        <v>589.5064</v>
      </c>
      <c r="T29" s="24">
        <v>54536.3712</v>
      </c>
      <c r="U29" s="25">
        <f t="shared" si="18"/>
        <v>8.608</v>
      </c>
      <c r="V29" s="14">
        <f t="shared" si="8"/>
        <v>1042.4018</v>
      </c>
      <c r="W29" s="26"/>
      <c r="X29" s="26"/>
      <c r="Y29" s="26"/>
      <c r="Z29" s="26"/>
    </row>
    <row r="30">
      <c r="A30" s="15" t="s">
        <v>28</v>
      </c>
      <c r="B30" s="21">
        <v>225810.704</v>
      </c>
      <c r="C30" s="12">
        <f t="shared" si="9"/>
        <v>60.24</v>
      </c>
      <c r="D30" s="21">
        <v>135416.544</v>
      </c>
      <c r="E30" s="12">
        <f t="shared" si="10"/>
        <v>28.224</v>
      </c>
      <c r="F30" s="21">
        <v>63036.8192</v>
      </c>
      <c r="G30" s="12">
        <f t="shared" si="11"/>
        <v>16.1024</v>
      </c>
      <c r="H30" s="21">
        <v>144401.376</v>
      </c>
      <c r="I30" s="12">
        <f t="shared" si="12"/>
        <v>32.864</v>
      </c>
      <c r="J30" s="21">
        <v>12495.0048</v>
      </c>
      <c r="K30" s="13">
        <f t="shared" si="13"/>
        <v>20.3134</v>
      </c>
      <c r="L30" s="21">
        <v>77660.1344</v>
      </c>
      <c r="M30" s="12">
        <f t="shared" si="14"/>
        <v>34.016</v>
      </c>
      <c r="N30" s="21">
        <v>97117.8048</v>
      </c>
      <c r="O30" s="12">
        <f t="shared" si="15"/>
        <v>25.8688</v>
      </c>
      <c r="P30" s="21">
        <v>136779.456</v>
      </c>
      <c r="Q30" s="12">
        <f t="shared" si="16"/>
        <v>15.68</v>
      </c>
      <c r="R30" s="21">
        <v>891395.392</v>
      </c>
      <c r="S30" s="12">
        <f t="shared" si="17"/>
        <v>342.492</v>
      </c>
      <c r="T30" s="21">
        <v>54543.475</v>
      </c>
      <c r="U30" s="12">
        <f t="shared" si="18"/>
        <v>7.1038</v>
      </c>
      <c r="V30" s="14">
        <f t="shared" si="8"/>
        <v>582.9044</v>
      </c>
    </row>
    <row r="31">
      <c r="A31" s="15" t="s">
        <v>29</v>
      </c>
      <c r="B31" s="17">
        <v>225945.36</v>
      </c>
      <c r="C31" s="12">
        <f t="shared" si="9"/>
        <v>134.656</v>
      </c>
      <c r="D31" s="17">
        <v>135483.024</v>
      </c>
      <c r="E31" s="12">
        <f t="shared" si="10"/>
        <v>66.48</v>
      </c>
      <c r="F31" s="17">
        <v>63055.1516</v>
      </c>
      <c r="G31" s="12">
        <f t="shared" si="11"/>
        <v>18.3324</v>
      </c>
      <c r="H31" s="17">
        <v>144448.768</v>
      </c>
      <c r="I31" s="12">
        <f t="shared" si="12"/>
        <v>47.392</v>
      </c>
      <c r="J31" s="17">
        <v>12524.7336</v>
      </c>
      <c r="K31" s="13">
        <f t="shared" si="13"/>
        <v>29.7288</v>
      </c>
      <c r="L31" s="17">
        <v>77712.0704</v>
      </c>
      <c r="M31" s="12">
        <f t="shared" si="14"/>
        <v>51.936</v>
      </c>
      <c r="N31" s="17">
        <v>97175.4304</v>
      </c>
      <c r="O31" s="12">
        <f t="shared" si="15"/>
        <v>57.6256</v>
      </c>
      <c r="P31" s="17">
        <v>136842.752</v>
      </c>
      <c r="Q31" s="12">
        <f t="shared" si="16"/>
        <v>63.296</v>
      </c>
      <c r="R31" s="17">
        <v>891950.976</v>
      </c>
      <c r="S31" s="12">
        <f t="shared" si="17"/>
        <v>555.584</v>
      </c>
      <c r="T31" s="17">
        <v>54554.1056</v>
      </c>
      <c r="U31" s="12">
        <f t="shared" si="18"/>
        <v>10.6306</v>
      </c>
      <c r="V31" s="14">
        <f t="shared" si="8"/>
        <v>1035.6614</v>
      </c>
    </row>
    <row r="32">
      <c r="A32" s="15" t="s">
        <v>30</v>
      </c>
      <c r="B32" s="17">
        <v>226074.992</v>
      </c>
      <c r="C32" s="12">
        <f t="shared" si="9"/>
        <v>129.632</v>
      </c>
      <c r="D32" s="17">
        <v>135537.12</v>
      </c>
      <c r="E32" s="12">
        <f t="shared" si="10"/>
        <v>54.096</v>
      </c>
      <c r="F32" s="17">
        <v>63073.152</v>
      </c>
      <c r="G32" s="12">
        <f t="shared" si="11"/>
        <v>18.0004</v>
      </c>
      <c r="H32" s="17">
        <v>144490.816</v>
      </c>
      <c r="I32" s="12">
        <f t="shared" si="12"/>
        <v>42.048</v>
      </c>
      <c r="J32" s="17">
        <v>12547.9216</v>
      </c>
      <c r="K32" s="13">
        <f t="shared" si="13"/>
        <v>23.188</v>
      </c>
      <c r="L32" s="17">
        <v>77755.68</v>
      </c>
      <c r="M32" s="12">
        <f t="shared" si="14"/>
        <v>43.6096</v>
      </c>
      <c r="N32" s="17">
        <v>97222.0032</v>
      </c>
      <c r="O32" s="12">
        <f t="shared" si="15"/>
        <v>46.5728</v>
      </c>
      <c r="P32" s="17">
        <v>136912.288</v>
      </c>
      <c r="Q32" s="12">
        <f t="shared" si="16"/>
        <v>69.536</v>
      </c>
      <c r="R32" s="17">
        <v>892357.696</v>
      </c>
      <c r="S32" s="12">
        <f t="shared" si="17"/>
        <v>406.72</v>
      </c>
      <c r="T32" s="17">
        <v>54563.0656</v>
      </c>
      <c r="U32" s="12">
        <f t="shared" si="18"/>
        <v>8.96</v>
      </c>
      <c r="V32" s="14">
        <f t="shared" si="8"/>
        <v>842.3628</v>
      </c>
    </row>
    <row r="33">
      <c r="A33" s="27" t="s">
        <v>31</v>
      </c>
      <c r="B33" s="19"/>
      <c r="C33" s="18"/>
      <c r="D33" s="19"/>
      <c r="E33" s="18"/>
      <c r="F33" s="19"/>
      <c r="G33" s="18"/>
      <c r="H33" s="19"/>
      <c r="I33" s="18"/>
      <c r="J33" s="19"/>
      <c r="K33" s="20"/>
      <c r="L33" s="19"/>
      <c r="M33" s="18"/>
      <c r="N33" s="19"/>
      <c r="O33" s="18"/>
      <c r="P33" s="19"/>
      <c r="Q33" s="18"/>
      <c r="R33" s="19"/>
      <c r="S33" s="18"/>
      <c r="T33" s="19"/>
      <c r="U33" s="18"/>
      <c r="V33" s="14"/>
    </row>
    <row r="34">
      <c r="A34" s="28"/>
      <c r="B34" s="19"/>
      <c r="C34" s="18"/>
      <c r="D34" s="19"/>
      <c r="E34" s="18"/>
      <c r="F34" s="19"/>
      <c r="G34" s="18"/>
      <c r="H34" s="19"/>
      <c r="I34" s="18"/>
      <c r="J34" s="19"/>
      <c r="K34" s="20"/>
      <c r="L34" s="19"/>
      <c r="M34" s="18"/>
      <c r="N34" s="19"/>
      <c r="O34" s="18"/>
      <c r="P34" s="19"/>
      <c r="Q34" s="18"/>
      <c r="R34" s="19"/>
      <c r="S34" s="18"/>
      <c r="T34" s="19"/>
      <c r="U34" s="18"/>
      <c r="V34" s="14"/>
    </row>
    <row r="35">
      <c r="A35" s="28"/>
      <c r="B35" s="19"/>
      <c r="C35" s="18"/>
      <c r="D35" s="19"/>
      <c r="E35" s="18"/>
      <c r="F35" s="19"/>
      <c r="G35" s="18"/>
      <c r="H35" s="19"/>
      <c r="I35" s="18"/>
      <c r="J35" s="19"/>
      <c r="K35" s="20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4"/>
    </row>
    <row r="36">
      <c r="A36" s="29">
        <v>45662.0</v>
      </c>
      <c r="B36" s="19"/>
      <c r="C36" s="18"/>
      <c r="D36" s="19"/>
      <c r="E36" s="18"/>
      <c r="F36" s="19"/>
      <c r="G36" s="18"/>
      <c r="H36" s="19"/>
      <c r="I36" s="18"/>
      <c r="J36" s="19"/>
      <c r="K36" s="20"/>
      <c r="L36" s="19"/>
      <c r="M36" s="18"/>
      <c r="N36" s="19"/>
      <c r="O36" s="18"/>
      <c r="P36" s="19"/>
      <c r="Q36" s="18"/>
      <c r="R36" s="19"/>
      <c r="S36" s="18"/>
      <c r="T36" s="19"/>
      <c r="U36" s="18"/>
      <c r="V36" s="14"/>
    </row>
    <row r="37">
      <c r="A37" s="29">
        <v>45693.0</v>
      </c>
      <c r="B37" s="17">
        <v>226190.192</v>
      </c>
      <c r="C37" s="18">
        <f>B37-B32</f>
        <v>115.2</v>
      </c>
      <c r="D37" s="17">
        <v>135608.24</v>
      </c>
      <c r="E37" s="18">
        <f>D37-D32</f>
        <v>71.12</v>
      </c>
      <c r="F37" s="17">
        <v>63095.6544</v>
      </c>
      <c r="G37" s="18">
        <f>F37-F32</f>
        <v>22.5024</v>
      </c>
      <c r="H37" s="17">
        <v>144555.024</v>
      </c>
      <c r="I37" s="18">
        <f>H37-H32</f>
        <v>64.208</v>
      </c>
      <c r="J37" s="17">
        <v>12572.4756</v>
      </c>
      <c r="K37" s="20">
        <f>J37-J32</f>
        <v>24.554</v>
      </c>
      <c r="L37" s="17">
        <v>77835.3048</v>
      </c>
      <c r="M37" s="18">
        <f>L37-L32</f>
        <v>79.6248</v>
      </c>
      <c r="N37" s="17">
        <v>97289.8816</v>
      </c>
      <c r="O37" s="18">
        <f>N37-N32</f>
        <v>67.8784</v>
      </c>
      <c r="P37" s="17">
        <v>136988.912</v>
      </c>
      <c r="Q37" s="18">
        <f>P37-P32</f>
        <v>76.624</v>
      </c>
      <c r="R37" s="17">
        <v>893037.248</v>
      </c>
      <c r="S37" s="18">
        <f>R37-R32</f>
        <v>679.552</v>
      </c>
      <c r="T37" s="17">
        <v>54569.4592</v>
      </c>
      <c r="U37" s="18">
        <f>T37-T32</f>
        <v>6.3936</v>
      </c>
      <c r="V37" s="14">
        <f t="shared" ref="V37:V43" si="19">U37+S37+Q37+O37+M37+K37+I37+G37+E37+C37</f>
        <v>1207.6572</v>
      </c>
    </row>
    <row r="38">
      <c r="A38" s="29">
        <v>45721.0</v>
      </c>
      <c r="B38" s="17">
        <v>226288.544</v>
      </c>
      <c r="C38" s="30">
        <f t="shared" ref="C38:C43" si="20">B38-B37</f>
        <v>98.352</v>
      </c>
      <c r="D38" s="17">
        <v>135659.584</v>
      </c>
      <c r="E38" s="18">
        <f t="shared" ref="E38:E43" si="21">D38-D37</f>
        <v>51.344</v>
      </c>
      <c r="F38" s="17">
        <v>63109.408</v>
      </c>
      <c r="G38" s="18">
        <f t="shared" ref="G38:G43" si="22">F38-F37</f>
        <v>13.7536</v>
      </c>
      <c r="H38" s="17">
        <v>144591.36</v>
      </c>
      <c r="I38" s="18">
        <f t="shared" ref="I38:I43" si="23">H38-H37</f>
        <v>36.336</v>
      </c>
      <c r="J38" s="17">
        <v>12590.64</v>
      </c>
      <c r="K38" s="20">
        <f t="shared" ref="K38:K43" si="24">J38-J37</f>
        <v>18.1644</v>
      </c>
      <c r="L38" s="17">
        <v>77863.9168</v>
      </c>
      <c r="M38" s="18">
        <f t="shared" ref="M38:M43" si="25">L38-L37</f>
        <v>28.612</v>
      </c>
      <c r="N38" s="17">
        <v>97339.5264</v>
      </c>
      <c r="O38" s="18">
        <f t="shared" ref="O38:O43" si="26">N38-N37</f>
        <v>49.6448</v>
      </c>
      <c r="P38" s="17">
        <v>137024.128</v>
      </c>
      <c r="Q38" s="18">
        <f t="shared" ref="Q38:Q43" si="27">P38-P37</f>
        <v>35.216</v>
      </c>
      <c r="R38" s="17">
        <v>893534.72</v>
      </c>
      <c r="S38" s="18">
        <f t="shared" ref="S38:S43" si="28">R38-R37</f>
        <v>497.472</v>
      </c>
      <c r="T38" s="17">
        <v>54573.728</v>
      </c>
      <c r="U38" s="18">
        <f t="shared" ref="U38:U43" si="29">T38-T37</f>
        <v>4.2688</v>
      </c>
      <c r="V38" s="14">
        <f t="shared" si="19"/>
        <v>833.1636</v>
      </c>
    </row>
    <row r="39">
      <c r="A39" s="29">
        <v>45752.0</v>
      </c>
      <c r="B39" s="17">
        <v>226423.84</v>
      </c>
      <c r="C39" s="18">
        <f t="shared" si="20"/>
        <v>135.296</v>
      </c>
      <c r="D39" s="17">
        <v>135714.992</v>
      </c>
      <c r="E39" s="18">
        <f t="shared" si="21"/>
        <v>55.408</v>
      </c>
      <c r="F39" s="17">
        <v>63127.7312</v>
      </c>
      <c r="G39" s="18">
        <f t="shared" si="22"/>
        <v>18.3232</v>
      </c>
      <c r="H39" s="17">
        <v>144625.024</v>
      </c>
      <c r="I39" s="18">
        <f t="shared" si="23"/>
        <v>33.664</v>
      </c>
      <c r="J39" s="17">
        <v>12626.96</v>
      </c>
      <c r="K39" s="20">
        <f t="shared" si="24"/>
        <v>36.32</v>
      </c>
      <c r="L39" s="17">
        <v>77913.5808</v>
      </c>
      <c r="M39" s="18">
        <f t="shared" si="25"/>
        <v>49.664</v>
      </c>
      <c r="N39" s="17">
        <v>97386.464</v>
      </c>
      <c r="O39" s="18">
        <f t="shared" si="26"/>
        <v>46.9376</v>
      </c>
      <c r="P39" s="17">
        <v>137074.801</v>
      </c>
      <c r="Q39" s="18">
        <f t="shared" si="27"/>
        <v>50.673</v>
      </c>
      <c r="R39" s="17">
        <v>894020.992</v>
      </c>
      <c r="S39" s="18">
        <f t="shared" si="28"/>
        <v>486.272</v>
      </c>
      <c r="T39" s="17">
        <v>54579.5032</v>
      </c>
      <c r="U39" s="18">
        <f t="shared" si="29"/>
        <v>5.7752</v>
      </c>
      <c r="V39" s="14">
        <f t="shared" si="19"/>
        <v>918.333</v>
      </c>
    </row>
    <row r="40">
      <c r="A40" s="29">
        <v>45782.0</v>
      </c>
      <c r="B40" s="17">
        <v>226441.921</v>
      </c>
      <c r="C40" s="18">
        <f t="shared" si="20"/>
        <v>18.081</v>
      </c>
      <c r="D40" s="17">
        <v>135722.624</v>
      </c>
      <c r="E40" s="18">
        <f t="shared" si="21"/>
        <v>7.632</v>
      </c>
      <c r="F40" s="17">
        <v>63140.896</v>
      </c>
      <c r="G40" s="18">
        <f t="shared" si="22"/>
        <v>13.1648</v>
      </c>
      <c r="H40" s="17">
        <v>144649.024</v>
      </c>
      <c r="I40" s="18">
        <f t="shared" si="23"/>
        <v>24</v>
      </c>
      <c r="J40" s="17">
        <v>12644.6016</v>
      </c>
      <c r="K40" s="20">
        <f t="shared" si="24"/>
        <v>17.6416</v>
      </c>
      <c r="L40" s="17">
        <v>77960.2816</v>
      </c>
      <c r="M40" s="18">
        <f t="shared" si="25"/>
        <v>46.7008</v>
      </c>
      <c r="N40" s="17">
        <v>97405.888</v>
      </c>
      <c r="O40" s="18">
        <f t="shared" si="26"/>
        <v>19.424</v>
      </c>
      <c r="P40" s="17">
        <v>137084.416</v>
      </c>
      <c r="Q40" s="18">
        <f t="shared" si="27"/>
        <v>9.615</v>
      </c>
      <c r="R40" s="17">
        <v>894256.192</v>
      </c>
      <c r="S40" s="18">
        <f t="shared" si="28"/>
        <v>235.2</v>
      </c>
      <c r="T40" s="17">
        <v>54584.2112</v>
      </c>
      <c r="U40" s="18">
        <f t="shared" si="29"/>
        <v>4.708</v>
      </c>
      <c r="V40" s="14">
        <f t="shared" si="19"/>
        <v>396.1672</v>
      </c>
    </row>
    <row r="41">
      <c r="A41" s="29">
        <v>45813.0</v>
      </c>
      <c r="B41" s="17">
        <v>226559.152</v>
      </c>
      <c r="C41" s="18">
        <f t="shared" si="20"/>
        <v>117.231</v>
      </c>
      <c r="D41" s="17">
        <v>135797.136</v>
      </c>
      <c r="E41" s="18">
        <f t="shared" si="21"/>
        <v>74.512</v>
      </c>
      <c r="F41" s="17">
        <v>63158.56</v>
      </c>
      <c r="G41" s="18">
        <f t="shared" si="22"/>
        <v>17.664</v>
      </c>
      <c r="H41" s="17">
        <v>144690.016</v>
      </c>
      <c r="I41" s="18">
        <f t="shared" si="23"/>
        <v>40.992</v>
      </c>
      <c r="J41" s="17">
        <v>12662.636</v>
      </c>
      <c r="K41" s="20">
        <f t="shared" si="24"/>
        <v>18.0344</v>
      </c>
      <c r="L41" s="17">
        <v>78008.576</v>
      </c>
      <c r="M41" s="18">
        <f t="shared" si="25"/>
        <v>48.2944</v>
      </c>
      <c r="N41" s="17">
        <v>97456.768</v>
      </c>
      <c r="O41" s="18">
        <f t="shared" si="26"/>
        <v>50.88</v>
      </c>
      <c r="P41" s="17">
        <v>137139.408</v>
      </c>
      <c r="Q41" s="18">
        <f t="shared" si="27"/>
        <v>54.992</v>
      </c>
      <c r="R41" s="17">
        <v>894751.551</v>
      </c>
      <c r="S41" s="18">
        <f t="shared" si="28"/>
        <v>495.359</v>
      </c>
      <c r="T41" s="17">
        <v>54590.5821</v>
      </c>
      <c r="U41" s="18">
        <f t="shared" si="29"/>
        <v>6.3709</v>
      </c>
      <c r="V41" s="14">
        <f t="shared" si="19"/>
        <v>924.3297</v>
      </c>
    </row>
    <row r="42">
      <c r="A42" s="29">
        <v>45843.0</v>
      </c>
      <c r="B42" s="17">
        <v>226666.336</v>
      </c>
      <c r="C42" s="18">
        <f t="shared" si="20"/>
        <v>107.184</v>
      </c>
      <c r="D42" s="17">
        <v>135860.448</v>
      </c>
      <c r="E42" s="18">
        <f t="shared" si="21"/>
        <v>63.312</v>
      </c>
      <c r="F42" s="17">
        <v>63177.8176</v>
      </c>
      <c r="G42" s="18">
        <f t="shared" si="22"/>
        <v>19.2576</v>
      </c>
      <c r="H42" s="17">
        <v>144721.104</v>
      </c>
      <c r="I42" s="18">
        <f t="shared" si="23"/>
        <v>31.088</v>
      </c>
      <c r="J42" s="17">
        <v>12693.088</v>
      </c>
      <c r="K42" s="20">
        <f t="shared" si="24"/>
        <v>30.452</v>
      </c>
      <c r="L42" s="17">
        <v>78053.6704</v>
      </c>
      <c r="M42" s="18">
        <f t="shared" si="25"/>
        <v>45.0944</v>
      </c>
      <c r="N42" s="17">
        <v>97506.4064</v>
      </c>
      <c r="O42" s="18">
        <f t="shared" si="26"/>
        <v>49.6384</v>
      </c>
      <c r="P42" s="17">
        <v>137190.096</v>
      </c>
      <c r="Q42" s="18">
        <f t="shared" si="27"/>
        <v>50.688</v>
      </c>
      <c r="R42" s="17">
        <v>895252.544</v>
      </c>
      <c r="S42" s="18">
        <f t="shared" si="28"/>
        <v>500.993</v>
      </c>
      <c r="T42" s="17">
        <v>54595.2064</v>
      </c>
      <c r="U42" s="18">
        <f t="shared" si="29"/>
        <v>4.6243</v>
      </c>
      <c r="V42" s="14">
        <f t="shared" si="19"/>
        <v>902.3317</v>
      </c>
    </row>
    <row r="43">
      <c r="A43" s="29">
        <v>45874.0</v>
      </c>
      <c r="B43" s="17">
        <v>226758.208</v>
      </c>
      <c r="C43" s="18">
        <f t="shared" si="20"/>
        <v>91.872</v>
      </c>
      <c r="D43" s="17">
        <v>135902.576</v>
      </c>
      <c r="E43" s="18">
        <f t="shared" si="21"/>
        <v>42.128</v>
      </c>
      <c r="F43" s="17">
        <v>63194.8032</v>
      </c>
      <c r="G43" s="18">
        <f t="shared" si="22"/>
        <v>16.9856</v>
      </c>
      <c r="H43" s="17">
        <v>144754.448</v>
      </c>
      <c r="I43" s="18">
        <f t="shared" si="23"/>
        <v>33.344</v>
      </c>
      <c r="J43" s="17">
        <v>12722.2176</v>
      </c>
      <c r="K43" s="20">
        <f t="shared" si="24"/>
        <v>29.1296</v>
      </c>
      <c r="L43" s="17">
        <v>78102.784</v>
      </c>
      <c r="M43" s="18">
        <f t="shared" si="25"/>
        <v>49.1136</v>
      </c>
      <c r="N43" s="17">
        <v>97552.384</v>
      </c>
      <c r="O43" s="18">
        <f t="shared" si="26"/>
        <v>45.9776</v>
      </c>
      <c r="P43" s="17">
        <v>137237.376</v>
      </c>
      <c r="Q43" s="18">
        <f t="shared" si="27"/>
        <v>47.28</v>
      </c>
      <c r="R43" s="17">
        <v>895648.896</v>
      </c>
      <c r="S43" s="18">
        <f t="shared" si="28"/>
        <v>396.352</v>
      </c>
      <c r="T43" s="17">
        <v>54600.3456</v>
      </c>
      <c r="U43" s="18">
        <f t="shared" si="29"/>
        <v>5.1392</v>
      </c>
      <c r="V43" s="14">
        <f t="shared" si="19"/>
        <v>757.3216</v>
      </c>
    </row>
    <row r="44">
      <c r="A44" s="29">
        <v>45905.0</v>
      </c>
      <c r="B44" s="19"/>
      <c r="C44" s="18"/>
      <c r="D44" s="19"/>
      <c r="E44" s="18"/>
      <c r="F44" s="19"/>
      <c r="G44" s="18"/>
      <c r="H44" s="19"/>
      <c r="I44" s="18"/>
      <c r="J44" s="19"/>
      <c r="K44" s="20"/>
      <c r="L44" s="19"/>
      <c r="M44" s="18"/>
      <c r="N44" s="19"/>
      <c r="O44" s="18"/>
      <c r="P44" s="19"/>
      <c r="Q44" s="18"/>
      <c r="R44" s="19"/>
      <c r="S44" s="18"/>
      <c r="T44" s="19"/>
      <c r="U44" s="18"/>
      <c r="V44" s="14"/>
    </row>
    <row r="45">
      <c r="A45" s="29">
        <v>45935.0</v>
      </c>
      <c r="B45" s="17">
        <v>226950.976</v>
      </c>
      <c r="C45" s="18">
        <f>B45-B43</f>
        <v>192.768</v>
      </c>
      <c r="D45" s="17">
        <v>135993.904</v>
      </c>
      <c r="E45" s="18">
        <f>D45-D43</f>
        <v>91.328</v>
      </c>
      <c r="F45" s="17">
        <v>63226.8992</v>
      </c>
      <c r="G45" s="18">
        <f>F45-F43</f>
        <v>32.096</v>
      </c>
      <c r="H45" s="17">
        <v>144825.0</v>
      </c>
      <c r="I45" s="18">
        <f>H45-H43</f>
        <v>70.552</v>
      </c>
      <c r="J45" s="17">
        <v>12784.3216</v>
      </c>
      <c r="K45" s="20">
        <f>J45-J43</f>
        <v>62.104</v>
      </c>
      <c r="L45" s="17">
        <v>78210.912</v>
      </c>
      <c r="M45" s="18">
        <f>L45-L43</f>
        <v>108.128</v>
      </c>
      <c r="N45" s="17">
        <v>97643.232</v>
      </c>
      <c r="O45" s="18">
        <f>N45-N43</f>
        <v>90.848</v>
      </c>
      <c r="P45" s="17">
        <v>137350.336</v>
      </c>
      <c r="Q45" s="18">
        <f>P45-P43</f>
        <v>112.96</v>
      </c>
      <c r="R45" s="17">
        <v>896438.04</v>
      </c>
      <c r="S45" s="18">
        <f>R45-R43</f>
        <v>789.144</v>
      </c>
      <c r="T45" s="17">
        <v>54610.9888</v>
      </c>
      <c r="U45" s="18">
        <f>T45-T43</f>
        <v>10.6432</v>
      </c>
      <c r="V45" s="31">
        <f t="shared" ref="V45:V66" si="30">U45+S45+Q45+O45+M45+K45+I45+G45+E45+C45</f>
        <v>1560.5712</v>
      </c>
    </row>
    <row r="46">
      <c r="A46" s="29">
        <v>45966.0</v>
      </c>
      <c r="B46" s="17">
        <v>227037.312</v>
      </c>
      <c r="C46" s="18">
        <f t="shared" ref="C46:C52" si="31">B46-B45</f>
        <v>86.336</v>
      </c>
      <c r="D46" s="17">
        <v>136051.504</v>
      </c>
      <c r="E46" s="18">
        <f t="shared" ref="E46:E52" si="32">D46-D45</f>
        <v>57.6</v>
      </c>
      <c r="F46" s="17">
        <v>63244.822</v>
      </c>
      <c r="G46" s="18">
        <f t="shared" ref="G46:G52" si="33">F46-F45</f>
        <v>17.9228</v>
      </c>
      <c r="H46" s="17">
        <v>144857.024</v>
      </c>
      <c r="I46" s="18">
        <f t="shared" ref="I46:I52" si="34">H46-H45</f>
        <v>32.024</v>
      </c>
      <c r="J46" s="17">
        <v>12814.7664</v>
      </c>
      <c r="K46" s="20">
        <f t="shared" ref="K46:K52" si="35">J46-J45</f>
        <v>30.4448</v>
      </c>
      <c r="L46" s="17">
        <v>78272.7552</v>
      </c>
      <c r="M46" s="18">
        <f t="shared" ref="M46:M52" si="36">L46-L45</f>
        <v>61.8432</v>
      </c>
      <c r="N46" s="17">
        <v>97691.7552</v>
      </c>
      <c r="O46" s="18">
        <f t="shared" ref="O46:O52" si="37">N46-N45</f>
        <v>48.5232</v>
      </c>
      <c r="P46" s="17">
        <v>137395.904</v>
      </c>
      <c r="Q46" s="18">
        <f t="shared" ref="Q46:Q52" si="38">P46-P45</f>
        <v>45.568</v>
      </c>
      <c r="R46" s="17">
        <v>896865.152</v>
      </c>
      <c r="S46" s="18">
        <f t="shared" ref="S46:S52" si="39">R46-R45</f>
        <v>427.112</v>
      </c>
      <c r="T46" s="17">
        <v>54617.0112</v>
      </c>
      <c r="U46" s="18">
        <f t="shared" ref="U46:U52" si="40">T46-T45</f>
        <v>6.0224</v>
      </c>
      <c r="V46" s="14">
        <f t="shared" si="30"/>
        <v>813.3964</v>
      </c>
    </row>
    <row r="47">
      <c r="A47" s="29">
        <v>45996.0</v>
      </c>
      <c r="B47" s="17">
        <v>227129.04</v>
      </c>
      <c r="C47" s="18">
        <f t="shared" si="31"/>
        <v>91.728</v>
      </c>
      <c r="D47" s="17">
        <v>136109.808</v>
      </c>
      <c r="E47" s="18">
        <f t="shared" si="32"/>
        <v>58.304</v>
      </c>
      <c r="F47" s="17">
        <v>63262.3296</v>
      </c>
      <c r="G47" s="18">
        <f t="shared" si="33"/>
        <v>17.5076</v>
      </c>
      <c r="H47" s="17">
        <v>144884.416</v>
      </c>
      <c r="I47" s="18">
        <f t="shared" si="34"/>
        <v>27.392</v>
      </c>
      <c r="J47" s="17">
        <v>12841.0648</v>
      </c>
      <c r="K47" s="20">
        <f t="shared" si="35"/>
        <v>26.2984</v>
      </c>
      <c r="L47" s="17">
        <v>78314.4688</v>
      </c>
      <c r="M47" s="18">
        <f t="shared" si="36"/>
        <v>41.7136</v>
      </c>
      <c r="N47" s="17">
        <v>97726.1184</v>
      </c>
      <c r="O47" s="18">
        <f t="shared" si="37"/>
        <v>34.3632</v>
      </c>
      <c r="P47" s="17">
        <v>137410.752</v>
      </c>
      <c r="Q47" s="18">
        <f t="shared" si="38"/>
        <v>14.848</v>
      </c>
      <c r="R47" s="17">
        <v>897260.688</v>
      </c>
      <c r="S47" s="18">
        <f t="shared" si="39"/>
        <v>395.536</v>
      </c>
      <c r="T47" s="17">
        <v>54621.632</v>
      </c>
      <c r="U47" s="18">
        <f t="shared" si="40"/>
        <v>4.6208</v>
      </c>
      <c r="V47" s="14">
        <f t="shared" si="30"/>
        <v>712.3116</v>
      </c>
    </row>
    <row r="48">
      <c r="A48" s="32" t="s">
        <v>32</v>
      </c>
      <c r="B48" s="17">
        <v>227247.888</v>
      </c>
      <c r="C48" s="18">
        <f t="shared" si="31"/>
        <v>118.848</v>
      </c>
      <c r="D48" s="17">
        <v>136176.352</v>
      </c>
      <c r="E48" s="18">
        <f t="shared" si="32"/>
        <v>66.544</v>
      </c>
      <c r="F48" s="17">
        <v>63282.1184</v>
      </c>
      <c r="G48" s="18">
        <f t="shared" si="33"/>
        <v>19.7888</v>
      </c>
      <c r="H48" s="17">
        <v>144934.064</v>
      </c>
      <c r="I48" s="18">
        <f t="shared" si="34"/>
        <v>49.648</v>
      </c>
      <c r="J48" s="17">
        <v>12870.8392</v>
      </c>
      <c r="K48" s="20">
        <f t="shared" si="35"/>
        <v>29.7744</v>
      </c>
      <c r="L48" s="17">
        <v>78380.8256</v>
      </c>
      <c r="M48" s="18">
        <f t="shared" si="36"/>
        <v>66.3568</v>
      </c>
      <c r="N48" s="17">
        <v>97774.1184</v>
      </c>
      <c r="O48" s="18">
        <f t="shared" si="37"/>
        <v>48</v>
      </c>
      <c r="P48" s="17">
        <v>137473.352</v>
      </c>
      <c r="Q48" s="18">
        <f t="shared" si="38"/>
        <v>62.6</v>
      </c>
      <c r="R48" s="17">
        <v>897763.712</v>
      </c>
      <c r="S48" s="18">
        <f t="shared" si="39"/>
        <v>503.024</v>
      </c>
      <c r="T48" s="17">
        <v>54627.4944</v>
      </c>
      <c r="U48" s="18">
        <f t="shared" si="40"/>
        <v>5.8624</v>
      </c>
      <c r="V48" s="14">
        <f t="shared" si="30"/>
        <v>970.4464</v>
      </c>
    </row>
    <row r="49">
      <c r="A49" s="32" t="s">
        <v>33</v>
      </c>
      <c r="B49" s="17">
        <v>227388.544</v>
      </c>
      <c r="C49" s="18">
        <f t="shared" si="31"/>
        <v>140.656</v>
      </c>
      <c r="D49" s="17">
        <v>136231.04</v>
      </c>
      <c r="E49" s="18">
        <f t="shared" si="32"/>
        <v>54.688</v>
      </c>
      <c r="F49" s="17">
        <v>63303.584</v>
      </c>
      <c r="G49" s="18">
        <f t="shared" si="33"/>
        <v>21.4656</v>
      </c>
      <c r="H49" s="17">
        <v>144991.024</v>
      </c>
      <c r="I49" s="18">
        <f t="shared" si="34"/>
        <v>56.96</v>
      </c>
      <c r="J49" s="17">
        <v>12904.0144</v>
      </c>
      <c r="K49" s="20">
        <f t="shared" si="35"/>
        <v>33.1752</v>
      </c>
      <c r="L49" s="17">
        <v>78439.7056</v>
      </c>
      <c r="M49" s="18">
        <f t="shared" si="36"/>
        <v>58.88</v>
      </c>
      <c r="N49" s="17">
        <v>97824.2752</v>
      </c>
      <c r="O49" s="18">
        <f t="shared" si="37"/>
        <v>50.1568</v>
      </c>
      <c r="P49" s="17">
        <v>137534.704</v>
      </c>
      <c r="Q49" s="18">
        <f t="shared" si="38"/>
        <v>61.352</v>
      </c>
      <c r="R49" s="17">
        <v>898262.784</v>
      </c>
      <c r="S49" s="18">
        <f t="shared" si="39"/>
        <v>499.072</v>
      </c>
      <c r="T49" s="17">
        <v>54632.96</v>
      </c>
      <c r="U49" s="18">
        <f t="shared" si="40"/>
        <v>5.4656</v>
      </c>
      <c r="V49" s="14">
        <f t="shared" si="30"/>
        <v>981.8712</v>
      </c>
    </row>
    <row r="50">
      <c r="A50" s="32" t="s">
        <v>34</v>
      </c>
      <c r="B50" s="17">
        <v>227530.288</v>
      </c>
      <c r="C50" s="18">
        <f t="shared" si="31"/>
        <v>141.744</v>
      </c>
      <c r="D50" s="17">
        <v>136270.848</v>
      </c>
      <c r="E50" s="18">
        <f t="shared" si="32"/>
        <v>39.808</v>
      </c>
      <c r="F50" s="17">
        <v>63324.608</v>
      </c>
      <c r="G50" s="18">
        <f t="shared" si="33"/>
        <v>21.024</v>
      </c>
      <c r="H50" s="17">
        <v>145031.232</v>
      </c>
      <c r="I50" s="18">
        <f t="shared" si="34"/>
        <v>40.208</v>
      </c>
      <c r="J50" s="17">
        <v>12930.9688</v>
      </c>
      <c r="K50" s="20">
        <f t="shared" si="35"/>
        <v>26.9544</v>
      </c>
      <c r="L50" s="17">
        <v>78507.5648</v>
      </c>
      <c r="M50" s="18">
        <f t="shared" si="36"/>
        <v>67.8592</v>
      </c>
      <c r="N50" s="17">
        <v>97870.0096</v>
      </c>
      <c r="O50" s="18">
        <f t="shared" si="37"/>
        <v>45.7344</v>
      </c>
      <c r="P50" s="17">
        <v>137618.336</v>
      </c>
      <c r="Q50" s="18">
        <f t="shared" si="38"/>
        <v>83.632</v>
      </c>
      <c r="R50" s="17">
        <v>898700.352</v>
      </c>
      <c r="S50" s="18">
        <f t="shared" si="39"/>
        <v>437.568</v>
      </c>
      <c r="T50" s="17">
        <v>54638.24</v>
      </c>
      <c r="U50" s="18">
        <f t="shared" si="40"/>
        <v>5.28</v>
      </c>
      <c r="V50" s="14">
        <f t="shared" si="30"/>
        <v>909.812</v>
      </c>
    </row>
    <row r="51">
      <c r="A51" s="32" t="s">
        <v>35</v>
      </c>
      <c r="B51" s="17">
        <v>227706.464</v>
      </c>
      <c r="C51" s="18">
        <f t="shared" si="31"/>
        <v>176.176</v>
      </c>
      <c r="D51" s="17">
        <v>136329.2</v>
      </c>
      <c r="E51" s="18">
        <f t="shared" si="32"/>
        <v>58.352</v>
      </c>
      <c r="F51" s="17">
        <v>63345.9328</v>
      </c>
      <c r="G51" s="18">
        <f t="shared" si="33"/>
        <v>21.3248</v>
      </c>
      <c r="H51" s="17">
        <v>145078.464</v>
      </c>
      <c r="I51" s="18">
        <f t="shared" si="34"/>
        <v>47.232</v>
      </c>
      <c r="J51" s="17">
        <v>12963.3776</v>
      </c>
      <c r="K51" s="20">
        <f t="shared" si="35"/>
        <v>32.4088</v>
      </c>
      <c r="L51" s="17">
        <v>78568.3968</v>
      </c>
      <c r="M51" s="18">
        <f t="shared" si="36"/>
        <v>60.832</v>
      </c>
      <c r="N51" s="17">
        <v>97921.5872</v>
      </c>
      <c r="O51" s="18">
        <f t="shared" si="37"/>
        <v>51.5776</v>
      </c>
      <c r="P51" s="17">
        <v>137721.808</v>
      </c>
      <c r="Q51" s="18">
        <f t="shared" si="38"/>
        <v>103.472</v>
      </c>
      <c r="R51" s="17">
        <v>899266.048</v>
      </c>
      <c r="S51" s="18">
        <f t="shared" si="39"/>
        <v>565.696</v>
      </c>
      <c r="T51" s="17">
        <v>54644.3776</v>
      </c>
      <c r="U51" s="18">
        <f t="shared" si="40"/>
        <v>6.1376</v>
      </c>
      <c r="V51" s="14">
        <f t="shared" si="30"/>
        <v>1123.2088</v>
      </c>
    </row>
    <row r="52">
      <c r="A52" s="32" t="s">
        <v>36</v>
      </c>
      <c r="B52" s="17">
        <v>227859.072</v>
      </c>
      <c r="C52" s="18">
        <f t="shared" si="31"/>
        <v>152.608</v>
      </c>
      <c r="D52" s="17">
        <v>136413.312</v>
      </c>
      <c r="E52" s="18">
        <f t="shared" si="32"/>
        <v>84.112</v>
      </c>
      <c r="F52" s="17">
        <v>63370.4128</v>
      </c>
      <c r="G52" s="18">
        <f t="shared" si="33"/>
        <v>24.48</v>
      </c>
      <c r="H52" s="17">
        <v>145116.624</v>
      </c>
      <c r="I52" s="18">
        <f t="shared" si="34"/>
        <v>38.16</v>
      </c>
      <c r="J52" s="17">
        <v>12991.4072</v>
      </c>
      <c r="K52" s="20">
        <f t="shared" si="35"/>
        <v>28.0296</v>
      </c>
      <c r="L52" s="17">
        <v>78625.984</v>
      </c>
      <c r="M52" s="18">
        <f t="shared" si="36"/>
        <v>57.5872</v>
      </c>
      <c r="N52" s="17">
        <v>97976.3716</v>
      </c>
      <c r="O52" s="18">
        <f t="shared" si="37"/>
        <v>54.7844</v>
      </c>
      <c r="P52" s="17">
        <v>137811.632</v>
      </c>
      <c r="Q52" s="18">
        <f t="shared" si="38"/>
        <v>89.824</v>
      </c>
      <c r="R52" s="17">
        <v>899721.6</v>
      </c>
      <c r="S52" s="18">
        <f t="shared" si="39"/>
        <v>455.552</v>
      </c>
      <c r="T52" s="17">
        <v>54650.1632</v>
      </c>
      <c r="U52" s="18">
        <f t="shared" si="40"/>
        <v>5.7856</v>
      </c>
      <c r="V52" s="14">
        <f t="shared" si="30"/>
        <v>990.9228</v>
      </c>
    </row>
    <row r="53">
      <c r="A53" s="32" t="s">
        <v>37</v>
      </c>
      <c r="B53" s="19"/>
      <c r="C53" s="18"/>
      <c r="D53" s="19"/>
      <c r="E53" s="18"/>
      <c r="F53" s="19"/>
      <c r="G53" s="18"/>
      <c r="H53" s="19"/>
      <c r="I53" s="18"/>
      <c r="J53" s="19"/>
      <c r="K53" s="20"/>
      <c r="L53" s="19"/>
      <c r="M53" s="18"/>
      <c r="N53" s="19"/>
      <c r="O53" s="18"/>
      <c r="P53" s="19"/>
      <c r="Q53" s="18"/>
      <c r="R53" s="19"/>
      <c r="S53" s="18"/>
      <c r="T53" s="19"/>
      <c r="U53" s="18"/>
      <c r="V53" s="14">
        <f t="shared" si="30"/>
        <v>0</v>
      </c>
    </row>
    <row r="54">
      <c r="A54" s="32" t="s">
        <v>38</v>
      </c>
      <c r="B54" s="19"/>
      <c r="C54" s="18"/>
      <c r="D54" s="19"/>
      <c r="E54" s="18"/>
      <c r="F54" s="19"/>
      <c r="G54" s="18"/>
      <c r="H54" s="19"/>
      <c r="I54" s="18"/>
      <c r="J54" s="19"/>
      <c r="K54" s="20"/>
      <c r="L54" s="19"/>
      <c r="M54" s="18"/>
      <c r="N54" s="19"/>
      <c r="O54" s="18"/>
      <c r="P54" s="19"/>
      <c r="Q54" s="18"/>
      <c r="R54" s="19"/>
      <c r="S54" s="18"/>
      <c r="T54" s="19"/>
      <c r="U54" s="18"/>
      <c r="V54" s="14">
        <f t="shared" si="30"/>
        <v>0</v>
      </c>
    </row>
    <row r="55">
      <c r="A55" s="32" t="s">
        <v>39</v>
      </c>
      <c r="B55" s="17">
        <v>228107.6</v>
      </c>
      <c r="C55" s="18"/>
      <c r="D55" s="17">
        <v>136568.528</v>
      </c>
      <c r="E55" s="18"/>
      <c r="F55" s="17">
        <v>63437.8496</v>
      </c>
      <c r="G55" s="18"/>
      <c r="H55" s="17">
        <v>145219.184</v>
      </c>
      <c r="I55" s="18"/>
      <c r="J55" s="17">
        <v>13062.904</v>
      </c>
      <c r="K55" s="20"/>
      <c r="L55" s="17">
        <v>78828.8192</v>
      </c>
      <c r="M55" s="18"/>
      <c r="N55" s="17">
        <v>98093.9392</v>
      </c>
      <c r="O55" s="18"/>
      <c r="P55" s="17">
        <v>137984.016</v>
      </c>
      <c r="Q55" s="18"/>
      <c r="R55" s="17">
        <v>901074.752</v>
      </c>
      <c r="S55" s="18"/>
      <c r="T55" s="17">
        <v>54667.6352</v>
      </c>
      <c r="U55" s="18"/>
      <c r="V55" s="14">
        <f t="shared" si="30"/>
        <v>0</v>
      </c>
    </row>
    <row r="56">
      <c r="A56" s="32" t="s">
        <v>40</v>
      </c>
      <c r="B56" s="17">
        <v>228259.184</v>
      </c>
      <c r="C56" s="18">
        <f t="shared" ref="C56:C66" si="41">B56-B55</f>
        <v>151.584</v>
      </c>
      <c r="D56" s="17">
        <v>136613.792</v>
      </c>
      <c r="E56" s="18">
        <f t="shared" ref="E56:E66" si="42">D56-D55</f>
        <v>45.264</v>
      </c>
      <c r="F56" s="17">
        <v>63461.4208</v>
      </c>
      <c r="G56" s="18">
        <f t="shared" ref="G56:G66" si="43">F56-F55</f>
        <v>23.5712</v>
      </c>
      <c r="H56" s="17">
        <v>145256.416</v>
      </c>
      <c r="I56" s="18">
        <f t="shared" ref="I56:I66" si="44">H56-H55</f>
        <v>37.232</v>
      </c>
      <c r="J56" s="17">
        <v>13088.3552</v>
      </c>
      <c r="K56" s="20">
        <f t="shared" ref="K56:K66" si="45">J56-J55</f>
        <v>25.4512</v>
      </c>
      <c r="L56" s="17">
        <v>78885.6192</v>
      </c>
      <c r="M56" s="18">
        <f t="shared" ref="M56:M66" si="46">L56-L55</f>
        <v>56.8</v>
      </c>
      <c r="N56" s="17">
        <v>98148.576</v>
      </c>
      <c r="O56" s="18">
        <f t="shared" ref="O56:O66" si="47">N56-N55</f>
        <v>54.6368</v>
      </c>
      <c r="P56" s="17">
        <v>138042.912</v>
      </c>
      <c r="Q56" s="18">
        <f t="shared" ref="Q56:Q66" si="48">P56-P55</f>
        <v>58.896</v>
      </c>
      <c r="R56" s="17">
        <v>901588.032</v>
      </c>
      <c r="S56" s="18">
        <f t="shared" ref="S56:S66" si="49">R56-R55</f>
        <v>513.28</v>
      </c>
      <c r="T56" s="17">
        <v>54673.4464</v>
      </c>
      <c r="U56" s="18">
        <f t="shared" ref="U56:U66" si="50">T56-T55</f>
        <v>5.8112</v>
      </c>
      <c r="V56" s="14">
        <f t="shared" si="30"/>
        <v>972.5264</v>
      </c>
    </row>
    <row r="57">
      <c r="A57" s="32" t="s">
        <v>41</v>
      </c>
      <c r="B57" s="17">
        <v>228429.648</v>
      </c>
      <c r="C57" s="18">
        <f t="shared" si="41"/>
        <v>170.464</v>
      </c>
      <c r="D57" s="17">
        <v>136665.776</v>
      </c>
      <c r="E57" s="18">
        <f t="shared" si="42"/>
        <v>51.984</v>
      </c>
      <c r="F57" s="17">
        <v>63482.2592</v>
      </c>
      <c r="G57" s="18">
        <f t="shared" si="43"/>
        <v>20.8384</v>
      </c>
      <c r="H57" s="17">
        <v>145304.544</v>
      </c>
      <c r="I57" s="18">
        <f t="shared" si="44"/>
        <v>48.128</v>
      </c>
      <c r="J57" s="17">
        <v>13114.1424</v>
      </c>
      <c r="K57" s="20">
        <f t="shared" si="45"/>
        <v>25.7872</v>
      </c>
      <c r="L57" s="17">
        <v>78967.4048</v>
      </c>
      <c r="M57" s="18">
        <f t="shared" si="46"/>
        <v>81.7856</v>
      </c>
      <c r="N57" s="17">
        <v>98196.9216</v>
      </c>
      <c r="O57" s="18">
        <f t="shared" si="47"/>
        <v>48.3456</v>
      </c>
      <c r="P57" s="17">
        <v>138110.96</v>
      </c>
      <c r="Q57" s="18">
        <f t="shared" si="48"/>
        <v>68.048</v>
      </c>
      <c r="R57" s="17">
        <v>902074.112</v>
      </c>
      <c r="S57" s="18">
        <f t="shared" si="49"/>
        <v>486.08</v>
      </c>
      <c r="T57" s="17">
        <v>54678.8352</v>
      </c>
      <c r="U57" s="18">
        <f t="shared" si="50"/>
        <v>5.3888</v>
      </c>
      <c r="V57" s="14">
        <f t="shared" si="30"/>
        <v>1006.8496</v>
      </c>
    </row>
    <row r="58">
      <c r="A58" s="32" t="s">
        <v>42</v>
      </c>
      <c r="B58" s="17">
        <v>228603.201</v>
      </c>
      <c r="C58" s="18">
        <f t="shared" si="41"/>
        <v>173.553</v>
      </c>
      <c r="D58" s="17">
        <v>136718.432</v>
      </c>
      <c r="E58" s="18">
        <f t="shared" si="42"/>
        <v>52.656</v>
      </c>
      <c r="F58" s="17">
        <v>63502.9056</v>
      </c>
      <c r="G58" s="18">
        <f t="shared" si="43"/>
        <v>20.6464</v>
      </c>
      <c r="H58" s="17">
        <v>145376.736</v>
      </c>
      <c r="I58" s="18">
        <f t="shared" si="44"/>
        <v>72.192</v>
      </c>
      <c r="J58" s="17">
        <v>13145.1328</v>
      </c>
      <c r="K58" s="20">
        <f t="shared" si="45"/>
        <v>30.9904</v>
      </c>
      <c r="L58" s="17">
        <v>79056.1792</v>
      </c>
      <c r="M58" s="18">
        <f t="shared" si="46"/>
        <v>88.7744</v>
      </c>
      <c r="N58" s="17">
        <v>98245.9072</v>
      </c>
      <c r="O58" s="18">
        <f t="shared" si="47"/>
        <v>48.9856</v>
      </c>
      <c r="P58" s="17">
        <v>138188.256</v>
      </c>
      <c r="Q58" s="18">
        <f t="shared" si="48"/>
        <v>77.296</v>
      </c>
      <c r="R58" s="17">
        <v>902529.728</v>
      </c>
      <c r="S58" s="18">
        <f t="shared" si="49"/>
        <v>455.616</v>
      </c>
      <c r="T58" s="17">
        <v>54686.0928</v>
      </c>
      <c r="U58" s="18">
        <f t="shared" si="50"/>
        <v>7.2576</v>
      </c>
      <c r="V58" s="14">
        <f t="shared" si="30"/>
        <v>1027.9674</v>
      </c>
    </row>
    <row r="59">
      <c r="A59" s="32" t="s">
        <v>43</v>
      </c>
      <c r="B59" s="17">
        <v>228804.096</v>
      </c>
      <c r="C59" s="18">
        <f t="shared" si="41"/>
        <v>200.895</v>
      </c>
      <c r="D59" s="17">
        <v>136770.096</v>
      </c>
      <c r="E59" s="18">
        <f t="shared" si="42"/>
        <v>51.664</v>
      </c>
      <c r="F59" s="17">
        <v>63523.8784</v>
      </c>
      <c r="G59" s="18">
        <f t="shared" si="43"/>
        <v>20.9728</v>
      </c>
      <c r="H59" s="17">
        <v>145379.963</v>
      </c>
      <c r="I59" s="18">
        <f t="shared" si="44"/>
        <v>3.227</v>
      </c>
      <c r="J59" s="17">
        <v>13180.768</v>
      </c>
      <c r="K59" s="20">
        <f t="shared" si="45"/>
        <v>35.6352</v>
      </c>
      <c r="L59" s="17">
        <v>79135.712</v>
      </c>
      <c r="M59" s="18">
        <f t="shared" si="46"/>
        <v>79.5328</v>
      </c>
      <c r="N59" s="17">
        <v>98293.344</v>
      </c>
      <c r="O59" s="18">
        <f t="shared" si="47"/>
        <v>47.4368</v>
      </c>
      <c r="P59" s="17">
        <v>138252.845</v>
      </c>
      <c r="Q59" s="18">
        <f t="shared" si="48"/>
        <v>64.589</v>
      </c>
      <c r="R59" s="17">
        <v>903135.68</v>
      </c>
      <c r="S59" s="18">
        <f t="shared" si="49"/>
        <v>605.952</v>
      </c>
      <c r="T59" s="17">
        <v>54692.8768</v>
      </c>
      <c r="U59" s="18">
        <f t="shared" si="50"/>
        <v>6.784</v>
      </c>
      <c r="V59" s="14">
        <f t="shared" si="30"/>
        <v>1116.6886</v>
      </c>
    </row>
    <row r="60">
      <c r="A60" s="32" t="s">
        <v>44</v>
      </c>
      <c r="B60" s="17">
        <v>228949.744</v>
      </c>
      <c r="C60" s="18">
        <f t="shared" si="41"/>
        <v>145.648</v>
      </c>
      <c r="D60" s="17">
        <v>136813.408</v>
      </c>
      <c r="E60" s="18">
        <f t="shared" si="42"/>
        <v>43.312</v>
      </c>
      <c r="F60" s="17">
        <v>63543.6416</v>
      </c>
      <c r="G60" s="18">
        <f t="shared" si="43"/>
        <v>19.7632</v>
      </c>
      <c r="H60" s="17">
        <v>145409.681</v>
      </c>
      <c r="I60" s="18">
        <f t="shared" si="44"/>
        <v>29.718</v>
      </c>
      <c r="J60" s="17">
        <v>13206.3896</v>
      </c>
      <c r="K60" s="20">
        <f t="shared" si="45"/>
        <v>25.6216</v>
      </c>
      <c r="L60" s="17">
        <v>79211.9296</v>
      </c>
      <c r="M60" s="18">
        <f t="shared" si="46"/>
        <v>76.2176</v>
      </c>
      <c r="N60" s="17">
        <v>98332.768</v>
      </c>
      <c r="O60" s="18">
        <f t="shared" si="47"/>
        <v>39.424</v>
      </c>
      <c r="P60" s="17">
        <v>138289.536</v>
      </c>
      <c r="Q60" s="18">
        <f t="shared" si="48"/>
        <v>36.691</v>
      </c>
      <c r="R60" s="17">
        <v>903572.16</v>
      </c>
      <c r="S60" s="18">
        <f t="shared" si="49"/>
        <v>436.48</v>
      </c>
      <c r="T60" s="17">
        <v>54699.072</v>
      </c>
      <c r="U60" s="18">
        <f t="shared" si="50"/>
        <v>6.1952</v>
      </c>
      <c r="V60" s="14">
        <f t="shared" si="30"/>
        <v>859.0706</v>
      </c>
    </row>
    <row r="61">
      <c r="A61" s="32" t="s">
        <v>45</v>
      </c>
      <c r="B61" s="17">
        <v>229088.768</v>
      </c>
      <c r="C61" s="18">
        <f t="shared" si="41"/>
        <v>139.024</v>
      </c>
      <c r="D61" s="17">
        <v>136845.216</v>
      </c>
      <c r="E61" s="18">
        <f t="shared" si="42"/>
        <v>31.808</v>
      </c>
      <c r="F61" s="17">
        <v>63563.6096</v>
      </c>
      <c r="G61" s="18">
        <f t="shared" si="43"/>
        <v>19.968</v>
      </c>
      <c r="H61" s="17">
        <v>145449.952</v>
      </c>
      <c r="I61" s="18">
        <f t="shared" si="44"/>
        <v>40.271</v>
      </c>
      <c r="J61" s="17">
        <v>13226.6256</v>
      </c>
      <c r="K61" s="20">
        <f t="shared" si="45"/>
        <v>20.236</v>
      </c>
      <c r="L61" s="17">
        <v>79314.3936</v>
      </c>
      <c r="M61" s="18">
        <f t="shared" si="46"/>
        <v>102.464</v>
      </c>
      <c r="N61" s="17">
        <v>98358.3936</v>
      </c>
      <c r="O61" s="18">
        <f t="shared" si="47"/>
        <v>25.6256</v>
      </c>
      <c r="P61" s="17">
        <v>138299.68</v>
      </c>
      <c r="Q61" s="18">
        <f t="shared" si="48"/>
        <v>10.144</v>
      </c>
      <c r="R61" s="17">
        <v>903890.496</v>
      </c>
      <c r="S61" s="18">
        <f t="shared" si="49"/>
        <v>318.336</v>
      </c>
      <c r="T61" s="17">
        <v>54703.7632</v>
      </c>
      <c r="U61" s="18">
        <f t="shared" si="50"/>
        <v>4.6912</v>
      </c>
      <c r="V61" s="14">
        <f t="shared" si="30"/>
        <v>712.5678</v>
      </c>
    </row>
    <row r="62">
      <c r="A62" s="32" t="s">
        <v>46</v>
      </c>
      <c r="B62" s="17">
        <v>229184.52</v>
      </c>
      <c r="C62" s="18">
        <f t="shared" si="41"/>
        <v>95.752</v>
      </c>
      <c r="D62" s="17">
        <v>136882.576</v>
      </c>
      <c r="E62" s="18">
        <f t="shared" si="42"/>
        <v>37.36</v>
      </c>
      <c r="F62" s="17">
        <v>63581.952</v>
      </c>
      <c r="G62" s="18">
        <f t="shared" si="43"/>
        <v>18.3424</v>
      </c>
      <c r="H62" s="17">
        <v>145492.001</v>
      </c>
      <c r="I62" s="18">
        <f t="shared" si="44"/>
        <v>42.049</v>
      </c>
      <c r="J62" s="17">
        <v>13256.9681</v>
      </c>
      <c r="K62" s="20">
        <f t="shared" si="45"/>
        <v>30.3425</v>
      </c>
      <c r="L62" s="17">
        <v>79387.872</v>
      </c>
      <c r="M62" s="18">
        <f t="shared" si="46"/>
        <v>73.4784</v>
      </c>
      <c r="N62" s="17">
        <v>98402.9632</v>
      </c>
      <c r="O62" s="18">
        <f t="shared" si="47"/>
        <v>44.5696</v>
      </c>
      <c r="P62" s="17">
        <v>138336.944</v>
      </c>
      <c r="Q62" s="18">
        <f t="shared" si="48"/>
        <v>37.264</v>
      </c>
      <c r="R62" s="17">
        <v>904241.92</v>
      </c>
      <c r="S62" s="18">
        <f t="shared" si="49"/>
        <v>351.424</v>
      </c>
      <c r="T62" s="17">
        <v>54708.9024</v>
      </c>
      <c r="U62" s="18">
        <f t="shared" si="50"/>
        <v>5.1392</v>
      </c>
      <c r="V62" s="14">
        <f t="shared" si="30"/>
        <v>735.7211</v>
      </c>
    </row>
    <row r="63">
      <c r="A63" s="32" t="s">
        <v>47</v>
      </c>
      <c r="B63" s="17">
        <v>229341.328</v>
      </c>
      <c r="C63" s="18">
        <f t="shared" si="41"/>
        <v>156.808</v>
      </c>
      <c r="D63" s="17">
        <v>136915.984</v>
      </c>
      <c r="E63" s="18">
        <f t="shared" si="42"/>
        <v>33.408</v>
      </c>
      <c r="F63" s="17">
        <v>63601.3568</v>
      </c>
      <c r="G63" s="18">
        <f t="shared" si="43"/>
        <v>19.4048</v>
      </c>
      <c r="H63" s="17">
        <v>145532.224</v>
      </c>
      <c r="I63" s="18">
        <f t="shared" si="44"/>
        <v>40.223</v>
      </c>
      <c r="J63" s="17">
        <v>13287.4432</v>
      </c>
      <c r="K63" s="20">
        <f t="shared" si="45"/>
        <v>30.4751</v>
      </c>
      <c r="L63" s="17">
        <v>79473.3056</v>
      </c>
      <c r="M63" s="18">
        <f t="shared" si="46"/>
        <v>85.4336</v>
      </c>
      <c r="N63" s="17">
        <v>98450.784</v>
      </c>
      <c r="O63" s="18">
        <f t="shared" si="47"/>
        <v>47.8208</v>
      </c>
      <c r="P63" s="17">
        <v>138391.535</v>
      </c>
      <c r="Q63" s="18">
        <f t="shared" si="48"/>
        <v>54.591</v>
      </c>
      <c r="R63" s="17">
        <v>904623.744</v>
      </c>
      <c r="S63" s="18">
        <f t="shared" si="49"/>
        <v>381.824</v>
      </c>
      <c r="T63" s="17">
        <v>54715.8464</v>
      </c>
      <c r="U63" s="18">
        <f t="shared" si="50"/>
        <v>6.944</v>
      </c>
      <c r="V63" s="14">
        <f t="shared" si="30"/>
        <v>856.9323</v>
      </c>
    </row>
    <row r="64">
      <c r="A64" s="32" t="s">
        <v>48</v>
      </c>
      <c r="B64" s="17">
        <v>229451.136</v>
      </c>
      <c r="C64" s="18">
        <f t="shared" si="41"/>
        <v>109.808</v>
      </c>
      <c r="D64" s="17">
        <v>136957.601</v>
      </c>
      <c r="E64" s="18">
        <f t="shared" si="42"/>
        <v>41.617</v>
      </c>
      <c r="F64" s="17">
        <v>63619.1681</v>
      </c>
      <c r="G64" s="18">
        <f t="shared" si="43"/>
        <v>17.8113</v>
      </c>
      <c r="H64" s="17">
        <v>145571.64</v>
      </c>
      <c r="I64" s="18">
        <f t="shared" si="44"/>
        <v>39.416</v>
      </c>
      <c r="J64" s="17">
        <v>13313.8232</v>
      </c>
      <c r="K64" s="20">
        <f t="shared" si="45"/>
        <v>26.38</v>
      </c>
      <c r="L64" s="17">
        <v>79540.4864</v>
      </c>
      <c r="M64" s="18">
        <f t="shared" si="46"/>
        <v>67.1808</v>
      </c>
      <c r="N64" s="17">
        <v>98493.0176</v>
      </c>
      <c r="O64" s="18">
        <f t="shared" si="47"/>
        <v>42.2336</v>
      </c>
      <c r="P64" s="17">
        <v>138447.52</v>
      </c>
      <c r="Q64" s="18">
        <f t="shared" si="48"/>
        <v>55.985</v>
      </c>
      <c r="R64" s="17">
        <v>904914.368</v>
      </c>
      <c r="S64" s="18">
        <f t="shared" si="49"/>
        <v>290.624</v>
      </c>
      <c r="T64" s="17">
        <v>54720.4864</v>
      </c>
      <c r="U64" s="18">
        <f t="shared" si="50"/>
        <v>4.64</v>
      </c>
      <c r="V64" s="14">
        <f t="shared" si="30"/>
        <v>695.6957</v>
      </c>
    </row>
    <row r="65">
      <c r="A65" s="32" t="s">
        <v>49</v>
      </c>
      <c r="B65" s="17">
        <v>229612.144</v>
      </c>
      <c r="C65" s="18">
        <f t="shared" si="41"/>
        <v>161.008</v>
      </c>
      <c r="D65" s="17">
        <v>137014.544</v>
      </c>
      <c r="E65" s="18">
        <f t="shared" si="42"/>
        <v>56.943</v>
      </c>
      <c r="F65" s="17">
        <v>63635.0081</v>
      </c>
      <c r="G65" s="18">
        <f t="shared" si="43"/>
        <v>15.84</v>
      </c>
      <c r="H65" s="17">
        <v>145617.92</v>
      </c>
      <c r="I65" s="18">
        <f t="shared" si="44"/>
        <v>46.28</v>
      </c>
      <c r="J65" s="17">
        <v>13341.8568</v>
      </c>
      <c r="K65" s="20">
        <f t="shared" si="45"/>
        <v>28.0336</v>
      </c>
      <c r="L65" s="17">
        <v>79599.6801</v>
      </c>
      <c r="M65" s="18">
        <f t="shared" si="46"/>
        <v>59.1937</v>
      </c>
      <c r="N65" s="17">
        <v>98541.216</v>
      </c>
      <c r="O65" s="18">
        <f t="shared" si="47"/>
        <v>48.1984</v>
      </c>
      <c r="P65" s="17">
        <v>138515.632</v>
      </c>
      <c r="Q65" s="18">
        <f t="shared" si="48"/>
        <v>68.112</v>
      </c>
      <c r="R65" s="17">
        <v>905470.272</v>
      </c>
      <c r="S65" s="18">
        <f t="shared" si="49"/>
        <v>555.904</v>
      </c>
      <c r="T65" s="17">
        <v>54726.912</v>
      </c>
      <c r="U65" s="18">
        <f t="shared" si="50"/>
        <v>6.4256</v>
      </c>
      <c r="V65" s="14">
        <f t="shared" si="30"/>
        <v>1045.9383</v>
      </c>
    </row>
    <row r="66">
      <c r="A66" s="32" t="s">
        <v>50</v>
      </c>
      <c r="B66" s="17">
        <v>229793.856</v>
      </c>
      <c r="C66" s="18">
        <f t="shared" si="41"/>
        <v>181.712</v>
      </c>
      <c r="D66" s="17">
        <v>137075.936</v>
      </c>
      <c r="E66" s="18">
        <f t="shared" si="42"/>
        <v>61.392</v>
      </c>
      <c r="F66" s="17">
        <v>63654.3936</v>
      </c>
      <c r="G66" s="18">
        <f t="shared" si="43"/>
        <v>19.3855</v>
      </c>
      <c r="H66" s="17">
        <v>145663.024</v>
      </c>
      <c r="I66" s="18">
        <f t="shared" si="44"/>
        <v>45.104</v>
      </c>
      <c r="J66" s="17">
        <v>13371.904</v>
      </c>
      <c r="K66" s="20">
        <f t="shared" si="45"/>
        <v>30.0472</v>
      </c>
      <c r="L66" s="17">
        <v>79683.1872</v>
      </c>
      <c r="M66" s="18">
        <f t="shared" si="46"/>
        <v>83.5071</v>
      </c>
      <c r="N66" s="17">
        <v>98590.7648</v>
      </c>
      <c r="O66" s="18">
        <f t="shared" si="47"/>
        <v>49.5488</v>
      </c>
      <c r="P66" s="17">
        <v>138576.16</v>
      </c>
      <c r="Q66" s="18">
        <f t="shared" si="48"/>
        <v>60.528</v>
      </c>
      <c r="R66" s="17">
        <v>906241.28</v>
      </c>
      <c r="S66" s="18">
        <f t="shared" si="49"/>
        <v>771.008</v>
      </c>
      <c r="T66" s="17">
        <v>54733.2096</v>
      </c>
      <c r="U66" s="18">
        <f t="shared" si="50"/>
        <v>6.2976</v>
      </c>
      <c r="V66" s="14">
        <f t="shared" si="30"/>
        <v>1308.5302</v>
      </c>
    </row>
    <row r="67">
      <c r="A67" s="29"/>
      <c r="B67" s="19"/>
      <c r="C67" s="18"/>
      <c r="D67" s="19"/>
      <c r="E67" s="18"/>
      <c r="F67" s="19"/>
      <c r="G67" s="18"/>
      <c r="H67" s="19"/>
      <c r="I67" s="18"/>
      <c r="J67" s="19"/>
      <c r="K67" s="20"/>
      <c r="L67" s="19"/>
      <c r="M67" s="18"/>
      <c r="N67" s="19"/>
      <c r="O67" s="18"/>
      <c r="P67" s="19"/>
      <c r="Q67" s="18"/>
      <c r="R67" s="19"/>
      <c r="S67" s="18"/>
      <c r="T67" s="19"/>
      <c r="U67" s="18"/>
      <c r="V67" s="14"/>
    </row>
    <row r="68">
      <c r="A68" s="29"/>
      <c r="B68" s="19"/>
      <c r="C68" s="18"/>
      <c r="D68" s="19"/>
      <c r="E68" s="18"/>
      <c r="F68" s="19"/>
      <c r="G68" s="18"/>
      <c r="H68" s="19"/>
      <c r="I68" s="18"/>
      <c r="J68" s="19"/>
      <c r="K68" s="20"/>
      <c r="L68" s="19"/>
      <c r="M68" s="18"/>
      <c r="N68" s="19"/>
      <c r="O68" s="18"/>
      <c r="P68" s="19"/>
      <c r="Q68" s="18"/>
      <c r="R68" s="19"/>
      <c r="S68" s="18"/>
      <c r="T68" s="19"/>
      <c r="U68" s="18"/>
      <c r="V68" s="14"/>
    </row>
    <row r="69">
      <c r="A69" s="33">
        <v>45663.0</v>
      </c>
      <c r="B69" s="34">
        <v>229970.368</v>
      </c>
      <c r="C69" s="35">
        <f>B69-B66</f>
        <v>176.512</v>
      </c>
      <c r="D69" s="34">
        <v>137132.272</v>
      </c>
      <c r="E69" s="35">
        <f>D69-D66</f>
        <v>56.336</v>
      </c>
      <c r="F69" s="34">
        <v>63676.2368</v>
      </c>
      <c r="G69" s="35">
        <f>F69-F66</f>
        <v>21.8432</v>
      </c>
      <c r="H69" s="34">
        <v>145707.196</v>
      </c>
      <c r="I69" s="35">
        <f>H69-H66</f>
        <v>44.172</v>
      </c>
      <c r="J69" s="34">
        <v>13405.1496</v>
      </c>
      <c r="K69" s="20">
        <f>J69-J66</f>
        <v>33.2456</v>
      </c>
      <c r="L69" s="34">
        <v>79745.0398</v>
      </c>
      <c r="M69" s="35">
        <f>L69-L66</f>
        <v>61.8526</v>
      </c>
      <c r="N69" s="34">
        <v>98636.8576</v>
      </c>
      <c r="O69" s="35">
        <f>N69-N66</f>
        <v>46.0928</v>
      </c>
      <c r="P69" s="34">
        <v>138630.416</v>
      </c>
      <c r="Q69" s="35">
        <f>P69-P66</f>
        <v>54.256</v>
      </c>
      <c r="R69" s="34">
        <v>906986.496</v>
      </c>
      <c r="S69" s="35">
        <f>R69-R66</f>
        <v>745.216</v>
      </c>
      <c r="T69" s="34">
        <v>54740.1312</v>
      </c>
      <c r="U69" s="35">
        <f>T69-T66</f>
        <v>6.9216</v>
      </c>
      <c r="V69" s="36">
        <f t="shared" ref="V69:V98" si="51">U69+S69+Q69+O69+M69+K69+I69+G69+E69+C69</f>
        <v>1246.4478</v>
      </c>
      <c r="W69" s="37"/>
      <c r="X69" s="37"/>
      <c r="Y69" s="37"/>
      <c r="Z69" s="37"/>
    </row>
    <row r="70">
      <c r="A70" s="29">
        <v>45694.0</v>
      </c>
      <c r="B70" s="17">
        <v>230043.12</v>
      </c>
      <c r="C70" s="18">
        <f t="shared" ref="C70:C98" si="52">B70-B69</f>
        <v>72.752</v>
      </c>
      <c r="D70" s="17">
        <v>137148.208</v>
      </c>
      <c r="E70" s="18">
        <f t="shared" ref="E70:E98" si="53">D70-D69</f>
        <v>15.936</v>
      </c>
      <c r="F70" s="17">
        <v>63691.5008</v>
      </c>
      <c r="G70" s="18">
        <f t="shared" ref="G70:G73" si="54">F70-F69</f>
        <v>15.264</v>
      </c>
      <c r="H70" s="17">
        <v>145752.208</v>
      </c>
      <c r="I70" s="18">
        <f t="shared" ref="I70:I98" si="55">H70-H69</f>
        <v>45.012</v>
      </c>
      <c r="J70" s="17">
        <v>13432.5072</v>
      </c>
      <c r="K70" s="20">
        <f t="shared" ref="K70:K98" si="56">J70-J69</f>
        <v>27.3576</v>
      </c>
      <c r="L70" s="17">
        <v>79772.6016</v>
      </c>
      <c r="M70" s="18">
        <f t="shared" ref="M70:M98" si="57">L70-L69</f>
        <v>27.5618</v>
      </c>
      <c r="N70" s="17">
        <v>98666.5472</v>
      </c>
      <c r="O70" s="18">
        <f t="shared" ref="O70:O98" si="58">N70-N69</f>
        <v>29.6896</v>
      </c>
      <c r="P70" s="17">
        <v>138665.328</v>
      </c>
      <c r="Q70" s="18">
        <f t="shared" ref="Q70:Q98" si="59">P70-P69</f>
        <v>34.912</v>
      </c>
      <c r="R70" s="17">
        <v>907477.312</v>
      </c>
      <c r="S70" s="18">
        <f t="shared" ref="S70:S98" si="60">R70-R69</f>
        <v>490.816</v>
      </c>
      <c r="T70" s="17">
        <v>54742.2208</v>
      </c>
      <c r="U70" s="18">
        <f t="shared" ref="U70:U98" si="61">T70-T69</f>
        <v>2.0896</v>
      </c>
      <c r="V70" s="14">
        <f t="shared" si="51"/>
        <v>761.3906</v>
      </c>
    </row>
    <row r="71">
      <c r="A71" s="29">
        <v>45722.0</v>
      </c>
      <c r="B71" s="17">
        <v>230139.348</v>
      </c>
      <c r="C71" s="30">
        <f t="shared" si="52"/>
        <v>96.228</v>
      </c>
      <c r="D71" s="17">
        <v>137189.569</v>
      </c>
      <c r="E71" s="18">
        <f t="shared" si="53"/>
        <v>41.361</v>
      </c>
      <c r="F71" s="17">
        <v>63710.5863</v>
      </c>
      <c r="G71" s="18">
        <f t="shared" si="54"/>
        <v>19.0855</v>
      </c>
      <c r="H71" s="17">
        <v>145794.386</v>
      </c>
      <c r="I71" s="18">
        <f t="shared" si="55"/>
        <v>42.178</v>
      </c>
      <c r="J71" s="17">
        <v>13458.476</v>
      </c>
      <c r="K71" s="20">
        <f t="shared" si="56"/>
        <v>25.9688</v>
      </c>
      <c r="L71" s="17">
        <v>79839.865</v>
      </c>
      <c r="M71" s="18">
        <f t="shared" si="57"/>
        <v>67.2634</v>
      </c>
      <c r="N71" s="17">
        <v>98710.843</v>
      </c>
      <c r="O71" s="18">
        <f t="shared" si="58"/>
        <v>44.2958</v>
      </c>
      <c r="P71" s="17">
        <v>138707.358</v>
      </c>
      <c r="Q71" s="18">
        <f t="shared" si="59"/>
        <v>42.03</v>
      </c>
      <c r="R71" s="17">
        <v>907896.845</v>
      </c>
      <c r="S71" s="18">
        <f t="shared" si="60"/>
        <v>419.533</v>
      </c>
      <c r="T71" s="17">
        <v>54748.365</v>
      </c>
      <c r="U71" s="18">
        <f t="shared" si="61"/>
        <v>6.1442</v>
      </c>
      <c r="V71" s="14">
        <f t="shared" si="51"/>
        <v>804.0877</v>
      </c>
    </row>
    <row r="72">
      <c r="A72" s="29">
        <v>45753.0</v>
      </c>
      <c r="B72" s="17">
        <v>230238.911</v>
      </c>
      <c r="C72" s="30">
        <f t="shared" si="52"/>
        <v>99.563</v>
      </c>
      <c r="D72" s="17">
        <v>137238.865</v>
      </c>
      <c r="E72" s="18">
        <f t="shared" si="53"/>
        <v>49.296</v>
      </c>
      <c r="F72" s="17">
        <v>63728.486</v>
      </c>
      <c r="G72" s="18">
        <f t="shared" si="54"/>
        <v>17.8997</v>
      </c>
      <c r="H72" s="17">
        <v>145839.584</v>
      </c>
      <c r="I72" s="18">
        <f t="shared" si="55"/>
        <v>45.198</v>
      </c>
      <c r="J72" s="17">
        <v>13484.365</v>
      </c>
      <c r="K72" s="20">
        <f t="shared" si="56"/>
        <v>25.889</v>
      </c>
      <c r="L72" s="17">
        <v>79905.527</v>
      </c>
      <c r="M72" s="18">
        <f t="shared" si="57"/>
        <v>65.662</v>
      </c>
      <c r="N72" s="17">
        <v>98759.832</v>
      </c>
      <c r="O72" s="18">
        <f t="shared" si="58"/>
        <v>48.989</v>
      </c>
      <c r="P72" s="17">
        <v>138748.689</v>
      </c>
      <c r="Q72" s="18">
        <f t="shared" si="59"/>
        <v>41.331</v>
      </c>
      <c r="R72" s="17">
        <v>908448.365</v>
      </c>
      <c r="S72" s="18">
        <f t="shared" si="60"/>
        <v>551.52</v>
      </c>
      <c r="T72" s="17">
        <v>54754.478</v>
      </c>
      <c r="U72" s="18">
        <f t="shared" si="61"/>
        <v>6.113</v>
      </c>
      <c r="V72" s="14">
        <f t="shared" si="51"/>
        <v>951.4607</v>
      </c>
    </row>
    <row r="73">
      <c r="A73" s="29">
        <v>45783.0</v>
      </c>
      <c r="B73" s="17">
        <v>230321.408</v>
      </c>
      <c r="C73" s="18">
        <f t="shared" si="52"/>
        <v>82.497</v>
      </c>
      <c r="D73" s="17">
        <v>137284.064</v>
      </c>
      <c r="E73" s="18">
        <f t="shared" si="53"/>
        <v>45.199</v>
      </c>
      <c r="F73" s="17">
        <v>63745.1968</v>
      </c>
      <c r="G73" s="38">
        <f t="shared" si="54"/>
        <v>16.7108</v>
      </c>
      <c r="H73" s="17">
        <v>145886.081</v>
      </c>
      <c r="I73" s="18">
        <f t="shared" si="55"/>
        <v>46.497</v>
      </c>
      <c r="J73" s="17">
        <v>13505.8384</v>
      </c>
      <c r="K73" s="20">
        <f t="shared" si="56"/>
        <v>21.4734</v>
      </c>
      <c r="L73" s="17">
        <v>79969.728</v>
      </c>
      <c r="M73" s="18">
        <f t="shared" si="57"/>
        <v>64.201</v>
      </c>
      <c r="N73" s="17">
        <v>98808.544</v>
      </c>
      <c r="O73" s="18">
        <f t="shared" si="58"/>
        <v>48.712</v>
      </c>
      <c r="P73" s="17">
        <v>138788.672</v>
      </c>
      <c r="Q73" s="18">
        <f t="shared" si="59"/>
        <v>39.983</v>
      </c>
      <c r="R73" s="17">
        <v>908951.04</v>
      </c>
      <c r="S73" s="18">
        <f t="shared" si="60"/>
        <v>502.675</v>
      </c>
      <c r="T73" s="17">
        <v>54759.6352</v>
      </c>
      <c r="U73" s="18">
        <f t="shared" si="61"/>
        <v>5.1572</v>
      </c>
      <c r="V73" s="14">
        <f t="shared" si="51"/>
        <v>873.1054</v>
      </c>
    </row>
    <row r="74">
      <c r="A74" s="29">
        <v>45814.0</v>
      </c>
      <c r="B74" s="17">
        <v>230477.936</v>
      </c>
      <c r="C74" s="18">
        <f t="shared" si="52"/>
        <v>156.528</v>
      </c>
      <c r="D74" s="17">
        <v>137334.672</v>
      </c>
      <c r="E74" s="18">
        <f t="shared" si="53"/>
        <v>50.608</v>
      </c>
      <c r="F74" s="17">
        <v>63764.5056</v>
      </c>
      <c r="G74" s="18">
        <f>SUM(G69:G73)</f>
        <v>90.8032</v>
      </c>
      <c r="H74" s="17">
        <v>145931.616</v>
      </c>
      <c r="I74" s="18">
        <f t="shared" si="55"/>
        <v>45.535</v>
      </c>
      <c r="J74" s="17">
        <v>13533.5392</v>
      </c>
      <c r="K74" s="20">
        <f t="shared" si="56"/>
        <v>27.7008</v>
      </c>
      <c r="L74" s="17">
        <v>80044.4736</v>
      </c>
      <c r="M74" s="18">
        <f t="shared" si="57"/>
        <v>74.7456</v>
      </c>
      <c r="N74" s="17">
        <v>98851.7056</v>
      </c>
      <c r="O74" s="18">
        <f t="shared" si="58"/>
        <v>43.1616</v>
      </c>
      <c r="P74" s="17">
        <v>138854.561</v>
      </c>
      <c r="Q74" s="18">
        <f t="shared" si="59"/>
        <v>65.889</v>
      </c>
      <c r="R74" s="17">
        <v>909428.481</v>
      </c>
      <c r="S74" s="18">
        <f t="shared" si="60"/>
        <v>477.441</v>
      </c>
      <c r="T74" s="17">
        <v>54765.4528</v>
      </c>
      <c r="U74" s="18">
        <f t="shared" si="61"/>
        <v>5.8176</v>
      </c>
      <c r="V74" s="14">
        <f t="shared" si="51"/>
        <v>1038.2298</v>
      </c>
    </row>
    <row r="75">
      <c r="A75" s="29">
        <v>45844.0</v>
      </c>
      <c r="B75" s="17">
        <v>230657.56</v>
      </c>
      <c r="C75" s="18">
        <f t="shared" si="52"/>
        <v>179.624</v>
      </c>
      <c r="D75" s="17">
        <v>137382.656</v>
      </c>
      <c r="E75" s="18">
        <f t="shared" si="53"/>
        <v>47.984</v>
      </c>
      <c r="F75" s="17">
        <v>63786.4704</v>
      </c>
      <c r="G75" s="18">
        <f t="shared" ref="G75:G98" si="62">F75-F74</f>
        <v>21.9648</v>
      </c>
      <c r="H75" s="17">
        <v>145974.016</v>
      </c>
      <c r="I75" s="18">
        <f t="shared" si="55"/>
        <v>42.4</v>
      </c>
      <c r="J75" s="17">
        <v>13561.7056</v>
      </c>
      <c r="K75" s="20">
        <f t="shared" si="56"/>
        <v>28.1664</v>
      </c>
      <c r="L75" s="17">
        <v>80117.904</v>
      </c>
      <c r="M75" s="18">
        <f t="shared" si="57"/>
        <v>73.4304</v>
      </c>
      <c r="N75" s="17">
        <v>98895.424</v>
      </c>
      <c r="O75" s="18">
        <f t="shared" si="58"/>
        <v>43.7184</v>
      </c>
      <c r="P75" s="17">
        <v>138907.664</v>
      </c>
      <c r="Q75" s="18">
        <f t="shared" si="59"/>
        <v>53.103</v>
      </c>
      <c r="R75" s="17">
        <v>909954.112</v>
      </c>
      <c r="S75" s="18">
        <f t="shared" si="60"/>
        <v>525.631</v>
      </c>
      <c r="T75" s="17">
        <v>54770.7392</v>
      </c>
      <c r="U75" s="18">
        <f t="shared" si="61"/>
        <v>5.2864</v>
      </c>
      <c r="V75" s="14">
        <f t="shared" si="51"/>
        <v>1021.3084</v>
      </c>
    </row>
    <row r="76">
      <c r="A76" s="29">
        <v>45875.0</v>
      </c>
      <c r="B76" s="17">
        <v>230861.855</v>
      </c>
      <c r="C76" s="18">
        <f t="shared" si="52"/>
        <v>204.295</v>
      </c>
      <c r="D76" s="17">
        <v>137447.216</v>
      </c>
      <c r="E76" s="18">
        <f t="shared" si="53"/>
        <v>64.56</v>
      </c>
      <c r="F76" s="17">
        <v>63806.3232</v>
      </c>
      <c r="G76" s="18">
        <f t="shared" si="62"/>
        <v>19.8528</v>
      </c>
      <c r="H76" s="17">
        <v>146020.912</v>
      </c>
      <c r="I76" s="18">
        <f t="shared" si="55"/>
        <v>46.896</v>
      </c>
      <c r="J76" s="17">
        <v>13590.8272</v>
      </c>
      <c r="K76" s="20">
        <f t="shared" si="56"/>
        <v>29.1216</v>
      </c>
      <c r="L76" s="17">
        <v>80201.241</v>
      </c>
      <c r="M76" s="18">
        <f t="shared" si="57"/>
        <v>83.337</v>
      </c>
      <c r="N76" s="17">
        <v>98939.2704</v>
      </c>
      <c r="O76" s="18">
        <f t="shared" si="58"/>
        <v>43.8464</v>
      </c>
      <c r="P76" s="17">
        <v>138964.08</v>
      </c>
      <c r="Q76" s="18">
        <f t="shared" si="59"/>
        <v>56.416</v>
      </c>
      <c r="R76" s="17">
        <v>910446.464</v>
      </c>
      <c r="S76" s="18">
        <f t="shared" si="60"/>
        <v>492.352</v>
      </c>
      <c r="T76" s="17">
        <v>54776.9601</v>
      </c>
      <c r="U76" s="18">
        <f t="shared" si="61"/>
        <v>6.2209</v>
      </c>
      <c r="V76" s="14">
        <f t="shared" si="51"/>
        <v>1046.8977</v>
      </c>
    </row>
    <row r="77">
      <c r="A77" s="29">
        <v>45906.0</v>
      </c>
      <c r="B77" s="17">
        <v>230983.12</v>
      </c>
      <c r="C77" s="18">
        <f t="shared" si="52"/>
        <v>121.265</v>
      </c>
      <c r="D77" s="17">
        <v>137512.944</v>
      </c>
      <c r="E77" s="18">
        <f t="shared" si="53"/>
        <v>65.728</v>
      </c>
      <c r="F77" s="17">
        <v>63824.63</v>
      </c>
      <c r="G77" s="18">
        <f t="shared" si="62"/>
        <v>18.3068</v>
      </c>
      <c r="H77" s="17">
        <v>146050.48</v>
      </c>
      <c r="I77" s="18">
        <f t="shared" si="55"/>
        <v>29.568</v>
      </c>
      <c r="J77" s="17">
        <v>13617.408</v>
      </c>
      <c r="K77" s="20">
        <f t="shared" si="56"/>
        <v>26.5808</v>
      </c>
      <c r="L77" s="17">
        <v>80257.968</v>
      </c>
      <c r="M77" s="18">
        <f t="shared" si="57"/>
        <v>56.727</v>
      </c>
      <c r="N77" s="17">
        <v>98958.5408</v>
      </c>
      <c r="O77" s="18">
        <f t="shared" si="58"/>
        <v>19.2704</v>
      </c>
      <c r="P77" s="17">
        <v>139011.824</v>
      </c>
      <c r="Q77" s="18">
        <f t="shared" si="59"/>
        <v>47.744</v>
      </c>
      <c r="R77" s="17">
        <v>910770.304</v>
      </c>
      <c r="S77" s="18">
        <f t="shared" si="60"/>
        <v>323.84</v>
      </c>
      <c r="T77" s="17">
        <v>54781.9584</v>
      </c>
      <c r="U77" s="18">
        <f t="shared" si="61"/>
        <v>4.9983</v>
      </c>
      <c r="V77" s="14">
        <f t="shared" si="51"/>
        <v>714.0283</v>
      </c>
    </row>
    <row r="78">
      <c r="A78" s="29">
        <v>45936.0</v>
      </c>
      <c r="B78" s="17">
        <v>231066.576</v>
      </c>
      <c r="C78" s="18">
        <f t="shared" si="52"/>
        <v>83.456</v>
      </c>
      <c r="D78" s="17">
        <v>137556.112</v>
      </c>
      <c r="E78" s="18">
        <f t="shared" si="53"/>
        <v>43.168</v>
      </c>
      <c r="F78" s="17">
        <v>63843.0848</v>
      </c>
      <c r="G78" s="18">
        <f t="shared" si="62"/>
        <v>18.4548</v>
      </c>
      <c r="H78" s="17">
        <v>146092.641</v>
      </c>
      <c r="I78" s="18">
        <f t="shared" si="55"/>
        <v>42.161</v>
      </c>
      <c r="J78" s="17">
        <v>13645.8448</v>
      </c>
      <c r="K78" s="20">
        <f t="shared" si="56"/>
        <v>28.4368</v>
      </c>
      <c r="L78" s="17">
        <v>80323.1488</v>
      </c>
      <c r="M78" s="18">
        <f t="shared" si="57"/>
        <v>65.1808</v>
      </c>
      <c r="N78" s="17">
        <v>99003.7568</v>
      </c>
      <c r="O78" s="18">
        <f t="shared" si="58"/>
        <v>45.216</v>
      </c>
      <c r="P78" s="17">
        <v>139061.601</v>
      </c>
      <c r="Q78" s="18">
        <f t="shared" si="59"/>
        <v>49.777</v>
      </c>
      <c r="R78" s="17">
        <v>911196.032</v>
      </c>
      <c r="S78" s="18">
        <f t="shared" si="60"/>
        <v>425.728</v>
      </c>
      <c r="T78" s="17">
        <v>54787.712</v>
      </c>
      <c r="U78" s="18">
        <f t="shared" si="61"/>
        <v>5.7536</v>
      </c>
      <c r="V78" s="14">
        <f t="shared" si="51"/>
        <v>807.332</v>
      </c>
    </row>
    <row r="79">
      <c r="A79" s="29">
        <v>45967.0</v>
      </c>
      <c r="B79" s="17">
        <v>231180.096</v>
      </c>
      <c r="C79" s="18">
        <f t="shared" si="52"/>
        <v>113.52</v>
      </c>
      <c r="D79" s="17">
        <v>137603.424</v>
      </c>
      <c r="E79" s="18">
        <f t="shared" si="53"/>
        <v>47.312</v>
      </c>
      <c r="F79" s="17">
        <v>63863.6161</v>
      </c>
      <c r="G79" s="18">
        <f t="shared" si="62"/>
        <v>20.5313</v>
      </c>
      <c r="H79" s="17">
        <v>146132.64</v>
      </c>
      <c r="I79" s="18">
        <f t="shared" si="55"/>
        <v>39.999</v>
      </c>
      <c r="J79" s="17">
        <v>13671.4976</v>
      </c>
      <c r="K79" s="20">
        <f t="shared" si="56"/>
        <v>25.6528</v>
      </c>
      <c r="L79" s="17">
        <v>80402.7392</v>
      </c>
      <c r="M79" s="18">
        <f t="shared" si="57"/>
        <v>79.5904</v>
      </c>
      <c r="N79" s="17">
        <v>99054.0612</v>
      </c>
      <c r="O79" s="18">
        <f t="shared" si="58"/>
        <v>50.3044</v>
      </c>
      <c r="P79" s="17">
        <v>139112.576</v>
      </c>
      <c r="Q79" s="18">
        <f t="shared" si="59"/>
        <v>50.975</v>
      </c>
      <c r="R79" s="17">
        <v>911653.568</v>
      </c>
      <c r="S79" s="18">
        <f t="shared" si="60"/>
        <v>457.536</v>
      </c>
      <c r="T79" s="17">
        <v>54793.6256</v>
      </c>
      <c r="U79" s="18">
        <f t="shared" si="61"/>
        <v>5.9136</v>
      </c>
      <c r="V79" s="14">
        <f t="shared" si="51"/>
        <v>891.3345</v>
      </c>
    </row>
    <row r="80">
      <c r="A80" s="29">
        <v>45997.0</v>
      </c>
      <c r="B80" s="17">
        <v>231355.44</v>
      </c>
      <c r="C80" s="18">
        <f t="shared" si="52"/>
        <v>175.344</v>
      </c>
      <c r="D80" s="17">
        <v>137679.872</v>
      </c>
      <c r="E80" s="18">
        <f t="shared" si="53"/>
        <v>76.448</v>
      </c>
      <c r="F80" s="17">
        <v>63885.0368</v>
      </c>
      <c r="G80" s="18">
        <f t="shared" si="62"/>
        <v>21.4207</v>
      </c>
      <c r="H80" s="17">
        <v>146174.544</v>
      </c>
      <c r="I80" s="18">
        <f t="shared" si="55"/>
        <v>41.904</v>
      </c>
      <c r="J80" s="17">
        <v>13701.9136</v>
      </c>
      <c r="K80" s="20">
        <f t="shared" si="56"/>
        <v>30.416</v>
      </c>
      <c r="L80" s="17">
        <v>80483.3648</v>
      </c>
      <c r="M80" s="18">
        <f t="shared" si="57"/>
        <v>80.6256</v>
      </c>
      <c r="N80" s="17">
        <v>99103.8912</v>
      </c>
      <c r="O80" s="18">
        <f t="shared" si="58"/>
        <v>49.83</v>
      </c>
      <c r="P80" s="17">
        <v>139226.992</v>
      </c>
      <c r="Q80" s="18">
        <f t="shared" si="59"/>
        <v>114.416</v>
      </c>
      <c r="R80" s="17">
        <v>912257.408</v>
      </c>
      <c r="S80" s="18">
        <f t="shared" si="60"/>
        <v>603.84</v>
      </c>
      <c r="T80" s="17">
        <v>54800.384</v>
      </c>
      <c r="U80" s="18">
        <f t="shared" si="61"/>
        <v>6.7584</v>
      </c>
      <c r="V80" s="14">
        <f t="shared" si="51"/>
        <v>1201.0027</v>
      </c>
    </row>
    <row r="81">
      <c r="A81" s="32" t="s">
        <v>51</v>
      </c>
      <c r="B81" s="17">
        <v>231510.544</v>
      </c>
      <c r="C81" s="18">
        <f t="shared" si="52"/>
        <v>155.104</v>
      </c>
      <c r="D81" s="17">
        <v>137722.768</v>
      </c>
      <c r="E81" s="18">
        <f t="shared" si="53"/>
        <v>42.896</v>
      </c>
      <c r="F81" s="17">
        <v>63906.7321</v>
      </c>
      <c r="G81" s="18">
        <f t="shared" si="62"/>
        <v>21.6953</v>
      </c>
      <c r="H81" s="17">
        <v>146210.512</v>
      </c>
      <c r="I81" s="18">
        <f t="shared" si="55"/>
        <v>35.968</v>
      </c>
      <c r="J81" s="17">
        <v>13726.1744</v>
      </c>
      <c r="K81" s="20">
        <f t="shared" si="56"/>
        <v>24.2608</v>
      </c>
      <c r="L81" s="17">
        <v>80595.9744</v>
      </c>
      <c r="M81" s="18">
        <f t="shared" si="57"/>
        <v>112.6096</v>
      </c>
      <c r="N81" s="17">
        <v>99152.6976</v>
      </c>
      <c r="O81" s="18">
        <f t="shared" si="58"/>
        <v>48.8064</v>
      </c>
      <c r="P81" s="17">
        <v>139334.416</v>
      </c>
      <c r="Q81" s="18">
        <f t="shared" si="59"/>
        <v>107.424</v>
      </c>
      <c r="R81" s="17">
        <v>912767.16</v>
      </c>
      <c r="S81" s="18">
        <f t="shared" si="60"/>
        <v>509.752</v>
      </c>
      <c r="T81" s="17">
        <v>54806.8096</v>
      </c>
      <c r="U81" s="18">
        <f t="shared" si="61"/>
        <v>6.4256</v>
      </c>
      <c r="V81" s="14">
        <f t="shared" si="51"/>
        <v>1064.9417</v>
      </c>
    </row>
    <row r="82">
      <c r="A82" s="32" t="s">
        <v>52</v>
      </c>
      <c r="B82" s="17">
        <v>231626.224</v>
      </c>
      <c r="C82" s="18">
        <f t="shared" si="52"/>
        <v>115.68</v>
      </c>
      <c r="D82" s="17">
        <v>137765.568</v>
      </c>
      <c r="E82" s="18">
        <f t="shared" si="53"/>
        <v>42.8</v>
      </c>
      <c r="F82" s="17">
        <v>63926.5216</v>
      </c>
      <c r="G82" s="18">
        <f t="shared" si="62"/>
        <v>19.7895</v>
      </c>
      <c r="H82" s="17">
        <v>146255.072</v>
      </c>
      <c r="I82" s="18">
        <f t="shared" si="55"/>
        <v>44.56</v>
      </c>
      <c r="J82" s="17">
        <v>13755.4864</v>
      </c>
      <c r="K82" s="20">
        <f t="shared" si="56"/>
        <v>29.312</v>
      </c>
      <c r="L82" s="17">
        <v>80712.5568</v>
      </c>
      <c r="M82" s="18">
        <f t="shared" si="57"/>
        <v>116.5824</v>
      </c>
      <c r="N82" s="17">
        <v>99202.9376</v>
      </c>
      <c r="O82" s="18">
        <f t="shared" si="58"/>
        <v>50.24</v>
      </c>
      <c r="P82" s="17">
        <v>139463.808</v>
      </c>
      <c r="Q82" s="18">
        <f t="shared" si="59"/>
        <v>129.392</v>
      </c>
      <c r="R82" s="17">
        <v>913305.728</v>
      </c>
      <c r="S82" s="18">
        <f t="shared" si="60"/>
        <v>538.568</v>
      </c>
      <c r="T82" s="17">
        <v>54813.4862</v>
      </c>
      <c r="U82" s="18">
        <f t="shared" si="61"/>
        <v>6.6766</v>
      </c>
      <c r="V82" s="14">
        <f t="shared" si="51"/>
        <v>1093.6005</v>
      </c>
    </row>
    <row r="83">
      <c r="A83" s="32" t="s">
        <v>53</v>
      </c>
      <c r="B83" s="17">
        <v>231741.008</v>
      </c>
      <c r="C83" s="18">
        <f t="shared" si="52"/>
        <v>114.784</v>
      </c>
      <c r="D83" s="17">
        <v>137841.664</v>
      </c>
      <c r="E83" s="18">
        <f t="shared" si="53"/>
        <v>76.096</v>
      </c>
      <c r="F83" s="17">
        <v>63947.8528</v>
      </c>
      <c r="G83" s="18">
        <f t="shared" si="62"/>
        <v>21.3312</v>
      </c>
      <c r="H83" s="17">
        <v>146299.072</v>
      </c>
      <c r="I83" s="18">
        <f t="shared" si="55"/>
        <v>44</v>
      </c>
      <c r="J83" s="17">
        <v>13782.9696</v>
      </c>
      <c r="K83" s="20">
        <f t="shared" si="56"/>
        <v>27.4832</v>
      </c>
      <c r="L83" s="17">
        <v>80793.888</v>
      </c>
      <c r="M83" s="18">
        <f t="shared" si="57"/>
        <v>81.3312</v>
      </c>
      <c r="N83" s="17">
        <v>99257.0752</v>
      </c>
      <c r="O83" s="18">
        <f t="shared" si="58"/>
        <v>54.1376</v>
      </c>
      <c r="P83" s="17">
        <v>139561.744</v>
      </c>
      <c r="Q83" s="18">
        <f t="shared" si="59"/>
        <v>97.936</v>
      </c>
      <c r="R83" s="17">
        <v>913959.808</v>
      </c>
      <c r="S83" s="18">
        <f t="shared" si="60"/>
        <v>654.08</v>
      </c>
      <c r="T83" s="17">
        <v>54819.6481</v>
      </c>
      <c r="U83" s="18">
        <f t="shared" si="61"/>
        <v>6.1619</v>
      </c>
      <c r="V83" s="14">
        <f t="shared" si="51"/>
        <v>1177.3411</v>
      </c>
    </row>
    <row r="84">
      <c r="A84" s="32" t="s">
        <v>54</v>
      </c>
      <c r="B84" s="17">
        <v>231848.912</v>
      </c>
      <c r="C84" s="18">
        <f t="shared" si="52"/>
        <v>107.904</v>
      </c>
      <c r="D84" s="17">
        <v>137876.224</v>
      </c>
      <c r="E84" s="18">
        <f t="shared" si="53"/>
        <v>34.56</v>
      </c>
      <c r="F84" s="17">
        <v>63965.064</v>
      </c>
      <c r="G84" s="18">
        <f t="shared" si="62"/>
        <v>17.2112</v>
      </c>
      <c r="H84" s="17">
        <v>146335.824</v>
      </c>
      <c r="I84" s="18">
        <f t="shared" si="55"/>
        <v>36.752</v>
      </c>
      <c r="J84" s="17">
        <v>13807.3424</v>
      </c>
      <c r="K84" s="20">
        <f t="shared" si="56"/>
        <v>24.3728</v>
      </c>
      <c r="L84" s="17">
        <v>80842.7904</v>
      </c>
      <c r="M84" s="18">
        <f t="shared" si="57"/>
        <v>48.9024</v>
      </c>
      <c r="N84" s="17">
        <v>99277.8112</v>
      </c>
      <c r="O84" s="18">
        <f t="shared" si="58"/>
        <v>20.736</v>
      </c>
      <c r="P84" s="17">
        <v>139572.848</v>
      </c>
      <c r="Q84" s="18">
        <f t="shared" si="59"/>
        <v>11.104</v>
      </c>
      <c r="R84" s="17">
        <v>914366.976</v>
      </c>
      <c r="S84" s="18">
        <f t="shared" si="60"/>
        <v>407.168</v>
      </c>
      <c r="T84" s="17">
        <v>54823.1804</v>
      </c>
      <c r="U84" s="18">
        <f t="shared" si="61"/>
        <v>3.5323</v>
      </c>
      <c r="V84" s="14">
        <f t="shared" si="51"/>
        <v>712.2427</v>
      </c>
    </row>
    <row r="85">
      <c r="A85" s="32" t="s">
        <v>55</v>
      </c>
      <c r="B85" s="17">
        <v>231962.032</v>
      </c>
      <c r="C85" s="18">
        <f t="shared" si="52"/>
        <v>113.12</v>
      </c>
      <c r="D85" s="17">
        <v>137920.912</v>
      </c>
      <c r="E85" s="18">
        <f t="shared" si="53"/>
        <v>44.688</v>
      </c>
      <c r="F85" s="17">
        <v>63984.3136</v>
      </c>
      <c r="G85" s="18">
        <f t="shared" si="62"/>
        <v>19.2496</v>
      </c>
      <c r="H85" s="17">
        <v>146377.376</v>
      </c>
      <c r="I85" s="18">
        <f t="shared" si="55"/>
        <v>41.552</v>
      </c>
      <c r="J85" s="17">
        <v>13831.0912</v>
      </c>
      <c r="K85" s="20">
        <f t="shared" si="56"/>
        <v>23.7488</v>
      </c>
      <c r="L85" s="17">
        <v>80937.1392</v>
      </c>
      <c r="M85" s="18">
        <f t="shared" si="57"/>
        <v>94.3488</v>
      </c>
      <c r="N85" s="17">
        <v>99320.2368</v>
      </c>
      <c r="O85" s="18">
        <f t="shared" si="58"/>
        <v>42.4256</v>
      </c>
      <c r="P85" s="17">
        <v>139659.568</v>
      </c>
      <c r="Q85" s="18">
        <f t="shared" si="59"/>
        <v>86.72</v>
      </c>
      <c r="R85" s="17">
        <v>914987.008</v>
      </c>
      <c r="S85" s="18">
        <f t="shared" si="60"/>
        <v>620.032</v>
      </c>
      <c r="T85" s="17">
        <v>54830.7136</v>
      </c>
      <c r="U85" s="18">
        <f t="shared" si="61"/>
        <v>7.5332</v>
      </c>
      <c r="V85" s="14">
        <f t="shared" si="51"/>
        <v>1093.418</v>
      </c>
    </row>
    <row r="86">
      <c r="A86" s="32" t="s">
        <v>56</v>
      </c>
      <c r="B86" s="17">
        <v>232120.016</v>
      </c>
      <c r="C86" s="18">
        <f t="shared" si="52"/>
        <v>157.984</v>
      </c>
      <c r="D86" s="17">
        <v>137974.144</v>
      </c>
      <c r="E86" s="18">
        <f t="shared" si="53"/>
        <v>53.232</v>
      </c>
      <c r="F86" s="17">
        <v>63999.86</v>
      </c>
      <c r="G86" s="18">
        <f t="shared" si="62"/>
        <v>15.5464</v>
      </c>
      <c r="H86" s="17">
        <v>146423.856</v>
      </c>
      <c r="I86" s="18">
        <f t="shared" si="55"/>
        <v>46.48</v>
      </c>
      <c r="J86" s="17">
        <v>13857.3344</v>
      </c>
      <c r="K86" s="20">
        <f t="shared" si="56"/>
        <v>26.2432</v>
      </c>
      <c r="L86" s="17">
        <v>81027.104</v>
      </c>
      <c r="M86" s="18">
        <f t="shared" si="57"/>
        <v>89.9648</v>
      </c>
      <c r="N86" s="17">
        <v>99365.5184</v>
      </c>
      <c r="O86" s="18">
        <f t="shared" si="58"/>
        <v>45.2816</v>
      </c>
      <c r="P86" s="17">
        <v>139723.04</v>
      </c>
      <c r="Q86" s="18">
        <f t="shared" si="59"/>
        <v>63.472</v>
      </c>
      <c r="R86" s="17">
        <v>915549.696</v>
      </c>
      <c r="S86" s="18">
        <f t="shared" si="60"/>
        <v>562.688</v>
      </c>
      <c r="T86" s="17">
        <v>54836.168</v>
      </c>
      <c r="U86" s="18">
        <f t="shared" si="61"/>
        <v>5.4544</v>
      </c>
      <c r="V86" s="14">
        <f t="shared" si="51"/>
        <v>1066.3464</v>
      </c>
    </row>
    <row r="87">
      <c r="A87" s="32" t="s">
        <v>57</v>
      </c>
      <c r="B87" s="17">
        <v>232217.232</v>
      </c>
      <c r="C87" s="18">
        <f t="shared" si="52"/>
        <v>97.216</v>
      </c>
      <c r="D87" s="17">
        <v>138044.944</v>
      </c>
      <c r="E87" s="18">
        <f t="shared" si="53"/>
        <v>70.8</v>
      </c>
      <c r="F87" s="17">
        <v>64025.9904</v>
      </c>
      <c r="G87" s="18">
        <f t="shared" si="62"/>
        <v>26.1304</v>
      </c>
      <c r="H87" s="17">
        <v>146448.096</v>
      </c>
      <c r="I87" s="18">
        <f t="shared" si="55"/>
        <v>24.24</v>
      </c>
      <c r="J87" s="17">
        <v>13889.744</v>
      </c>
      <c r="K87" s="20">
        <f t="shared" si="56"/>
        <v>32.4096</v>
      </c>
      <c r="L87" s="17">
        <v>81126.968</v>
      </c>
      <c r="M87" s="18">
        <f t="shared" si="57"/>
        <v>99.864</v>
      </c>
      <c r="N87" s="17">
        <v>99413.4784</v>
      </c>
      <c r="O87" s="18">
        <f t="shared" si="58"/>
        <v>47.96</v>
      </c>
      <c r="P87" s="17">
        <v>139836.176</v>
      </c>
      <c r="Q87" s="18">
        <f t="shared" si="59"/>
        <v>113.136</v>
      </c>
      <c r="R87" s="17">
        <v>916045.184</v>
      </c>
      <c r="S87" s="18">
        <f t="shared" si="60"/>
        <v>495.488</v>
      </c>
      <c r="T87" s="17">
        <v>54842.869</v>
      </c>
      <c r="U87" s="18">
        <f t="shared" si="61"/>
        <v>6.701</v>
      </c>
      <c r="V87" s="14">
        <f t="shared" si="51"/>
        <v>1013.945</v>
      </c>
    </row>
    <row r="88">
      <c r="A88" s="32" t="s">
        <v>58</v>
      </c>
      <c r="B88" s="17">
        <v>232361.344</v>
      </c>
      <c r="C88" s="18">
        <f t="shared" si="52"/>
        <v>144.112</v>
      </c>
      <c r="D88" s="17">
        <v>138088.752</v>
      </c>
      <c r="E88" s="18">
        <f t="shared" si="53"/>
        <v>43.808</v>
      </c>
      <c r="F88" s="17">
        <v>64046.2912</v>
      </c>
      <c r="G88" s="18">
        <f t="shared" si="62"/>
        <v>20.3008</v>
      </c>
      <c r="H88" s="17">
        <v>146522.064</v>
      </c>
      <c r="I88" s="18">
        <f t="shared" si="55"/>
        <v>73.968</v>
      </c>
      <c r="J88" s="17">
        <v>13920.0256</v>
      </c>
      <c r="K88" s="20">
        <f t="shared" si="56"/>
        <v>30.2816</v>
      </c>
      <c r="L88" s="17">
        <v>81229.1584</v>
      </c>
      <c r="M88" s="18">
        <f t="shared" si="57"/>
        <v>102.1904</v>
      </c>
      <c r="N88" s="17">
        <v>99465.016</v>
      </c>
      <c r="O88" s="18">
        <f t="shared" si="58"/>
        <v>51.5376</v>
      </c>
      <c r="P88" s="17">
        <v>139917.361</v>
      </c>
      <c r="Q88" s="18">
        <f t="shared" si="59"/>
        <v>81.185</v>
      </c>
      <c r="R88" s="17">
        <v>916597.588</v>
      </c>
      <c r="S88" s="18">
        <f t="shared" si="60"/>
        <v>552.404</v>
      </c>
      <c r="T88" s="17">
        <v>54850.0161</v>
      </c>
      <c r="U88" s="18">
        <f t="shared" si="61"/>
        <v>7.1471</v>
      </c>
      <c r="V88" s="14">
        <f t="shared" si="51"/>
        <v>1106.9345</v>
      </c>
    </row>
    <row r="89">
      <c r="A89" s="32" t="s">
        <v>59</v>
      </c>
      <c r="B89" s="17">
        <v>232540.288</v>
      </c>
      <c r="C89" s="18">
        <f t="shared" si="52"/>
        <v>178.944</v>
      </c>
      <c r="D89" s="17">
        <v>138134.944</v>
      </c>
      <c r="E89" s="18">
        <f t="shared" si="53"/>
        <v>46.192</v>
      </c>
      <c r="F89" s="17">
        <v>64066.1184</v>
      </c>
      <c r="G89" s="18">
        <f t="shared" si="62"/>
        <v>19.8272</v>
      </c>
      <c r="H89" s="17">
        <v>146566.224</v>
      </c>
      <c r="I89" s="18">
        <f t="shared" si="55"/>
        <v>44.16</v>
      </c>
      <c r="J89" s="17">
        <v>13954.1056</v>
      </c>
      <c r="K89" s="20">
        <f t="shared" si="56"/>
        <v>34.08</v>
      </c>
      <c r="L89" s="17">
        <v>81297.0944</v>
      </c>
      <c r="M89" s="18">
        <f t="shared" si="57"/>
        <v>67.936</v>
      </c>
      <c r="N89" s="17">
        <v>99517.9392</v>
      </c>
      <c r="O89" s="18">
        <f t="shared" si="58"/>
        <v>52.9232</v>
      </c>
      <c r="P89" s="17">
        <v>139993.312</v>
      </c>
      <c r="Q89" s="18">
        <f t="shared" si="59"/>
        <v>75.951</v>
      </c>
      <c r="R89" s="17">
        <v>917124.288</v>
      </c>
      <c r="S89" s="18">
        <f t="shared" si="60"/>
        <v>526.7</v>
      </c>
      <c r="T89" s="17">
        <v>54855.6168</v>
      </c>
      <c r="U89" s="18">
        <f t="shared" si="61"/>
        <v>5.6007</v>
      </c>
      <c r="V89" s="14">
        <f t="shared" si="51"/>
        <v>1052.3141</v>
      </c>
    </row>
    <row r="90">
      <c r="A90" s="32" t="s">
        <v>60</v>
      </c>
      <c r="B90" s="17">
        <v>232707.92</v>
      </c>
      <c r="C90" s="18">
        <f t="shared" si="52"/>
        <v>167.632</v>
      </c>
      <c r="D90" s="17">
        <v>138189.952</v>
      </c>
      <c r="E90" s="18">
        <f t="shared" si="53"/>
        <v>55.008</v>
      </c>
      <c r="F90" s="17">
        <v>64087.6672</v>
      </c>
      <c r="G90" s="18">
        <f t="shared" si="62"/>
        <v>21.5488</v>
      </c>
      <c r="H90" s="17">
        <v>146625.392</v>
      </c>
      <c r="I90" s="18">
        <f t="shared" si="55"/>
        <v>59.168</v>
      </c>
      <c r="J90" s="17">
        <v>13965.458</v>
      </c>
      <c r="K90" s="20">
        <f t="shared" si="56"/>
        <v>11.3524</v>
      </c>
      <c r="L90" s="17">
        <v>81381.792</v>
      </c>
      <c r="M90" s="18">
        <f t="shared" si="57"/>
        <v>84.6976</v>
      </c>
      <c r="N90" s="17">
        <v>99558.245</v>
      </c>
      <c r="O90" s="18">
        <f t="shared" si="58"/>
        <v>40.3058</v>
      </c>
      <c r="P90" s="17">
        <v>140054.128</v>
      </c>
      <c r="Q90" s="18">
        <f t="shared" si="59"/>
        <v>60.816</v>
      </c>
      <c r="R90" s="17">
        <v>917793.856</v>
      </c>
      <c r="S90" s="18">
        <f t="shared" si="60"/>
        <v>669.568</v>
      </c>
      <c r="T90" s="17">
        <v>54861.7664</v>
      </c>
      <c r="U90" s="18">
        <f t="shared" si="61"/>
        <v>6.1496</v>
      </c>
      <c r="V90" s="14">
        <f t="shared" si="51"/>
        <v>1176.2462</v>
      </c>
    </row>
    <row r="91">
      <c r="A91" s="32" t="s">
        <v>61</v>
      </c>
      <c r="B91" s="17">
        <v>232885.92</v>
      </c>
      <c r="C91" s="18">
        <f t="shared" si="52"/>
        <v>178</v>
      </c>
      <c r="D91" s="17">
        <v>138236.144</v>
      </c>
      <c r="E91" s="18">
        <f t="shared" si="53"/>
        <v>46.192</v>
      </c>
      <c r="F91" s="17">
        <v>64108.0384</v>
      </c>
      <c r="G91" s="18">
        <f t="shared" si="62"/>
        <v>20.3712</v>
      </c>
      <c r="H91" s="17">
        <v>146675.84</v>
      </c>
      <c r="I91" s="18">
        <f t="shared" si="55"/>
        <v>50.448</v>
      </c>
      <c r="J91" s="17">
        <v>13985.5408</v>
      </c>
      <c r="K91" s="20">
        <f t="shared" si="56"/>
        <v>20.0828</v>
      </c>
      <c r="L91" s="17">
        <v>81466.3616</v>
      </c>
      <c r="M91" s="18">
        <f t="shared" si="57"/>
        <v>84.5696</v>
      </c>
      <c r="N91" s="17">
        <v>99597.1584</v>
      </c>
      <c r="O91" s="18">
        <f t="shared" si="58"/>
        <v>38.9134</v>
      </c>
      <c r="P91" s="17">
        <v>140084.848</v>
      </c>
      <c r="Q91" s="18">
        <f t="shared" si="59"/>
        <v>30.72</v>
      </c>
      <c r="R91" s="17">
        <v>918293.184</v>
      </c>
      <c r="S91" s="18">
        <f t="shared" si="60"/>
        <v>499.328</v>
      </c>
      <c r="T91" s="17">
        <v>54866.8608</v>
      </c>
      <c r="U91" s="18">
        <f t="shared" si="61"/>
        <v>5.0944</v>
      </c>
      <c r="V91" s="14">
        <f t="shared" si="51"/>
        <v>973.7194</v>
      </c>
    </row>
    <row r="92">
      <c r="A92" s="32" t="s">
        <v>62</v>
      </c>
      <c r="B92" s="17">
        <v>233034.241</v>
      </c>
      <c r="C92" s="18">
        <f t="shared" si="52"/>
        <v>148.321</v>
      </c>
      <c r="D92" s="17">
        <v>138288.992</v>
      </c>
      <c r="E92" s="18">
        <f t="shared" si="53"/>
        <v>52.848</v>
      </c>
      <c r="F92" s="17">
        <v>64127.1936</v>
      </c>
      <c r="G92" s="18">
        <f t="shared" si="62"/>
        <v>19.1552</v>
      </c>
      <c r="H92" s="17">
        <v>146725.96</v>
      </c>
      <c r="I92" s="18">
        <f t="shared" si="55"/>
        <v>50.12</v>
      </c>
      <c r="J92" s="17">
        <v>14016.0296</v>
      </c>
      <c r="K92" s="20">
        <f t="shared" si="56"/>
        <v>30.4888</v>
      </c>
      <c r="L92" s="17">
        <v>81577.9712</v>
      </c>
      <c r="M92" s="18">
        <f t="shared" si="57"/>
        <v>111.6096</v>
      </c>
      <c r="N92" s="17">
        <v>99645.0176</v>
      </c>
      <c r="O92" s="18">
        <f t="shared" si="58"/>
        <v>47.8592</v>
      </c>
      <c r="P92" s="17">
        <v>140170.448</v>
      </c>
      <c r="Q92" s="18">
        <f t="shared" si="59"/>
        <v>85.6</v>
      </c>
      <c r="R92" s="17">
        <v>918847.744</v>
      </c>
      <c r="S92" s="18">
        <f t="shared" si="60"/>
        <v>554.56</v>
      </c>
      <c r="T92" s="17">
        <v>54872.4992</v>
      </c>
      <c r="U92" s="18">
        <f t="shared" si="61"/>
        <v>5.6384</v>
      </c>
      <c r="V92" s="14">
        <f t="shared" si="51"/>
        <v>1106.2002</v>
      </c>
    </row>
    <row r="93">
      <c r="A93" s="32" t="s">
        <v>63</v>
      </c>
      <c r="B93" s="17">
        <v>233215.696</v>
      </c>
      <c r="C93" s="18">
        <f t="shared" si="52"/>
        <v>181.455</v>
      </c>
      <c r="D93" s="17">
        <v>138343.761</v>
      </c>
      <c r="E93" s="18">
        <f t="shared" si="53"/>
        <v>54.769</v>
      </c>
      <c r="F93" s="17">
        <v>64147.0464</v>
      </c>
      <c r="G93" s="18">
        <f t="shared" si="62"/>
        <v>19.8528</v>
      </c>
      <c r="H93" s="17">
        <v>146779.104</v>
      </c>
      <c r="I93" s="18">
        <f t="shared" si="55"/>
        <v>53.144</v>
      </c>
      <c r="J93" s="17">
        <v>14043.7552</v>
      </c>
      <c r="K93" s="20">
        <f t="shared" si="56"/>
        <v>27.7256</v>
      </c>
      <c r="L93" s="17">
        <v>81684.9792</v>
      </c>
      <c r="M93" s="18">
        <f t="shared" si="57"/>
        <v>107.008</v>
      </c>
      <c r="N93" s="17">
        <v>99692.4481</v>
      </c>
      <c r="O93" s="18">
        <f t="shared" si="58"/>
        <v>47.4305</v>
      </c>
      <c r="P93" s="17">
        <v>140267.216</v>
      </c>
      <c r="Q93" s="18">
        <f t="shared" si="59"/>
        <v>96.768</v>
      </c>
      <c r="R93" s="17">
        <v>919503.232</v>
      </c>
      <c r="S93" s="18">
        <f t="shared" si="60"/>
        <v>655.488</v>
      </c>
      <c r="T93" s="17">
        <v>54879.5584</v>
      </c>
      <c r="U93" s="18">
        <f t="shared" si="61"/>
        <v>7.0592</v>
      </c>
      <c r="V93" s="14">
        <f t="shared" si="51"/>
        <v>1250.7001</v>
      </c>
    </row>
    <row r="94">
      <c r="A94" s="32" t="s">
        <v>64</v>
      </c>
      <c r="B94" s="17">
        <v>233409.776</v>
      </c>
      <c r="C94" s="18">
        <f t="shared" si="52"/>
        <v>194.08</v>
      </c>
      <c r="D94" s="17">
        <v>138422.336</v>
      </c>
      <c r="E94" s="18">
        <f t="shared" si="53"/>
        <v>78.575</v>
      </c>
      <c r="F94" s="17">
        <v>64170.3424</v>
      </c>
      <c r="G94" s="18">
        <f t="shared" si="62"/>
        <v>23.296</v>
      </c>
      <c r="H94" s="17">
        <v>146824.0</v>
      </c>
      <c r="I94" s="18">
        <f t="shared" si="55"/>
        <v>44.896</v>
      </c>
      <c r="J94" s="17">
        <v>14075.0656</v>
      </c>
      <c r="K94" s="20">
        <f t="shared" si="56"/>
        <v>31.3104</v>
      </c>
      <c r="L94" s="17">
        <v>81759.001</v>
      </c>
      <c r="M94" s="18">
        <f t="shared" si="57"/>
        <v>74.0218</v>
      </c>
      <c r="N94" s="17">
        <v>99745.1201</v>
      </c>
      <c r="O94" s="18">
        <f t="shared" si="58"/>
        <v>52.672</v>
      </c>
      <c r="P94" s="17">
        <v>140348.544</v>
      </c>
      <c r="Q94" s="18">
        <f t="shared" si="59"/>
        <v>81.328</v>
      </c>
      <c r="R94" s="17">
        <v>920141.696</v>
      </c>
      <c r="S94" s="18">
        <f t="shared" si="60"/>
        <v>638.464</v>
      </c>
      <c r="T94" s="17">
        <v>54885.2736</v>
      </c>
      <c r="U94" s="18">
        <f t="shared" si="61"/>
        <v>5.7152</v>
      </c>
      <c r="V94" s="14">
        <f t="shared" si="51"/>
        <v>1224.3584</v>
      </c>
    </row>
    <row r="95">
      <c r="A95" s="32" t="s">
        <v>65</v>
      </c>
      <c r="B95" s="17">
        <v>233614.336</v>
      </c>
      <c r="C95" s="18">
        <f t="shared" si="52"/>
        <v>204.56</v>
      </c>
      <c r="D95" s="17">
        <v>138504.288</v>
      </c>
      <c r="E95" s="18">
        <f t="shared" si="53"/>
        <v>81.952</v>
      </c>
      <c r="F95" s="17">
        <v>64193.8624</v>
      </c>
      <c r="G95" s="18">
        <f t="shared" si="62"/>
        <v>23.52</v>
      </c>
      <c r="H95" s="17">
        <v>146873.344</v>
      </c>
      <c r="I95" s="18">
        <f t="shared" si="55"/>
        <v>49.344</v>
      </c>
      <c r="J95" s="17">
        <v>14108.0448</v>
      </c>
      <c r="K95" s="20">
        <f t="shared" si="56"/>
        <v>32.9792</v>
      </c>
      <c r="L95" s="17">
        <v>81859.3152</v>
      </c>
      <c r="M95" s="18">
        <f t="shared" si="57"/>
        <v>100.3142</v>
      </c>
      <c r="N95" s="17">
        <v>99792.281</v>
      </c>
      <c r="O95" s="18">
        <f t="shared" si="58"/>
        <v>47.1609</v>
      </c>
      <c r="P95" s="17">
        <v>140430.256</v>
      </c>
      <c r="Q95" s="18">
        <f t="shared" si="59"/>
        <v>81.712</v>
      </c>
      <c r="R95" s="17">
        <v>920644.672</v>
      </c>
      <c r="S95" s="18">
        <f t="shared" si="60"/>
        <v>502.976</v>
      </c>
      <c r="T95" s="17">
        <v>54892.5568</v>
      </c>
      <c r="U95" s="18">
        <f t="shared" si="61"/>
        <v>7.2832</v>
      </c>
      <c r="V95" s="14">
        <f t="shared" si="51"/>
        <v>1131.8015</v>
      </c>
    </row>
    <row r="96">
      <c r="A96" s="32" t="s">
        <v>66</v>
      </c>
      <c r="B96" s="17">
        <v>233798.608</v>
      </c>
      <c r="C96" s="18">
        <f t="shared" si="52"/>
        <v>184.272</v>
      </c>
      <c r="D96" s="17">
        <v>138559.616</v>
      </c>
      <c r="E96" s="18">
        <f t="shared" si="53"/>
        <v>55.328</v>
      </c>
      <c r="F96" s="17">
        <v>64226.0881</v>
      </c>
      <c r="G96" s="18">
        <f t="shared" si="62"/>
        <v>32.2257</v>
      </c>
      <c r="H96" s="17">
        <v>146923.8656</v>
      </c>
      <c r="I96" s="18">
        <f t="shared" si="55"/>
        <v>50.5216</v>
      </c>
      <c r="J96" s="17">
        <v>14146.968</v>
      </c>
      <c r="K96" s="20">
        <f t="shared" si="56"/>
        <v>38.9232</v>
      </c>
      <c r="L96" s="17">
        <v>81983.7824</v>
      </c>
      <c r="M96" s="18">
        <f t="shared" si="57"/>
        <v>124.4672</v>
      </c>
      <c r="N96" s="17">
        <v>99842.7328</v>
      </c>
      <c r="O96" s="18">
        <f t="shared" si="58"/>
        <v>50.4518</v>
      </c>
      <c r="P96" s="17">
        <v>140552.608</v>
      </c>
      <c r="Q96" s="18">
        <f t="shared" si="59"/>
        <v>122.352</v>
      </c>
      <c r="R96" s="17">
        <v>921319.232</v>
      </c>
      <c r="S96" s="18">
        <f t="shared" si="60"/>
        <v>674.56</v>
      </c>
      <c r="T96" s="17">
        <v>54899.9616</v>
      </c>
      <c r="U96" s="18">
        <f t="shared" si="61"/>
        <v>7.4048</v>
      </c>
      <c r="V96" s="14">
        <f t="shared" si="51"/>
        <v>1340.5063</v>
      </c>
    </row>
    <row r="97">
      <c r="A97" s="32" t="s">
        <v>67</v>
      </c>
      <c r="B97" s="17">
        <v>233931.424</v>
      </c>
      <c r="C97" s="18">
        <f t="shared" si="52"/>
        <v>132.816</v>
      </c>
      <c r="D97" s="17">
        <v>138616.656</v>
      </c>
      <c r="E97" s="18">
        <f t="shared" si="53"/>
        <v>57.04</v>
      </c>
      <c r="F97" s="17">
        <v>64248.064</v>
      </c>
      <c r="G97" s="18">
        <f t="shared" si="62"/>
        <v>21.9759</v>
      </c>
      <c r="H97" s="17">
        <v>146980.928</v>
      </c>
      <c r="I97" s="18">
        <f t="shared" si="55"/>
        <v>57.0624</v>
      </c>
      <c r="J97" s="17">
        <v>14185.584</v>
      </c>
      <c r="K97" s="20">
        <f t="shared" si="56"/>
        <v>38.616</v>
      </c>
      <c r="L97" s="17">
        <v>82100.4288</v>
      </c>
      <c r="M97" s="18">
        <f t="shared" si="57"/>
        <v>116.6464</v>
      </c>
      <c r="N97" s="17">
        <v>99890.7712</v>
      </c>
      <c r="O97" s="18">
        <f t="shared" si="58"/>
        <v>48.0384</v>
      </c>
      <c r="P97" s="17">
        <v>140613.376</v>
      </c>
      <c r="Q97" s="18">
        <f t="shared" si="59"/>
        <v>60.768</v>
      </c>
      <c r="R97" s="17">
        <v>921970.24</v>
      </c>
      <c r="S97" s="18">
        <f t="shared" si="60"/>
        <v>651.008</v>
      </c>
      <c r="T97" s="17">
        <v>54905.3504</v>
      </c>
      <c r="U97" s="18">
        <f t="shared" si="61"/>
        <v>5.3888</v>
      </c>
      <c r="V97" s="14">
        <f t="shared" si="51"/>
        <v>1189.3599</v>
      </c>
    </row>
    <row r="98">
      <c r="A98" s="32" t="s">
        <v>68</v>
      </c>
      <c r="B98" s="17">
        <v>234026.176</v>
      </c>
      <c r="C98" s="18">
        <f t="shared" si="52"/>
        <v>94.752</v>
      </c>
      <c r="D98" s="17">
        <v>138650.608</v>
      </c>
      <c r="E98" s="18">
        <f t="shared" si="53"/>
        <v>33.952</v>
      </c>
      <c r="F98" s="17">
        <v>64274.912</v>
      </c>
      <c r="G98" s="18">
        <f t="shared" si="62"/>
        <v>26.848</v>
      </c>
      <c r="H98" s="17">
        <v>147024.846</v>
      </c>
      <c r="I98" s="18">
        <f t="shared" si="55"/>
        <v>43.918</v>
      </c>
      <c r="J98" s="17">
        <v>14213.232</v>
      </c>
      <c r="K98" s="20">
        <f t="shared" si="56"/>
        <v>27.648</v>
      </c>
      <c r="L98" s="17">
        <v>82185.7728</v>
      </c>
      <c r="M98" s="18">
        <f t="shared" si="57"/>
        <v>85.344</v>
      </c>
      <c r="N98" s="17">
        <v>99927.2576</v>
      </c>
      <c r="O98" s="18">
        <f t="shared" si="58"/>
        <v>36.4864</v>
      </c>
      <c r="P98" s="17">
        <v>140655.776</v>
      </c>
      <c r="Q98" s="18">
        <f t="shared" si="59"/>
        <v>42.4</v>
      </c>
      <c r="R98" s="17">
        <v>922423.808</v>
      </c>
      <c r="S98" s="18">
        <f t="shared" si="60"/>
        <v>453.568</v>
      </c>
      <c r="T98" s="17">
        <v>54910.5408</v>
      </c>
      <c r="U98" s="18">
        <f t="shared" si="61"/>
        <v>5.1904</v>
      </c>
      <c r="V98" s="14">
        <f t="shared" si="51"/>
        <v>850.1068</v>
      </c>
    </row>
    <row r="99">
      <c r="A99" s="28"/>
      <c r="B99" s="19"/>
      <c r="C99" s="18"/>
      <c r="D99" s="19"/>
      <c r="E99" s="18"/>
      <c r="F99" s="19"/>
      <c r="G99" s="18"/>
      <c r="H99" s="19"/>
      <c r="I99" s="18"/>
      <c r="J99" s="19"/>
      <c r="K99" s="20"/>
      <c r="L99" s="19"/>
      <c r="M99" s="18"/>
      <c r="N99" s="19"/>
      <c r="O99" s="18"/>
      <c r="P99" s="19"/>
      <c r="Q99" s="18"/>
      <c r="R99" s="19"/>
      <c r="S99" s="18"/>
      <c r="T99" s="19"/>
      <c r="U99" s="18"/>
      <c r="V99" s="14"/>
    </row>
    <row r="100">
      <c r="A100" s="28"/>
      <c r="B100" s="19"/>
      <c r="C100" s="18"/>
      <c r="D100" s="19"/>
      <c r="E100" s="18"/>
      <c r="F100" s="19"/>
      <c r="G100" s="18"/>
      <c r="H100" s="19"/>
      <c r="I100" s="18"/>
      <c r="J100" s="19"/>
      <c r="K100" s="20"/>
      <c r="L100" s="19"/>
      <c r="M100" s="18"/>
      <c r="N100" s="19"/>
      <c r="O100" s="18"/>
      <c r="P100" s="19"/>
      <c r="Q100" s="18"/>
      <c r="R100" s="19"/>
      <c r="S100" s="18"/>
      <c r="T100" s="19"/>
      <c r="U100" s="18"/>
      <c r="V100" s="14"/>
    </row>
    <row r="101">
      <c r="A101" s="29">
        <v>45664.0</v>
      </c>
      <c r="B101" s="17">
        <v>234138.544</v>
      </c>
      <c r="C101" s="18">
        <f>B101-B98</f>
        <v>112.368</v>
      </c>
      <c r="D101" s="17">
        <v>138699.841</v>
      </c>
      <c r="E101" s="18">
        <f>D101-D98</f>
        <v>49.233</v>
      </c>
      <c r="F101" s="17">
        <v>64297.0561</v>
      </c>
      <c r="G101" s="18">
        <f>F101-F98</f>
        <v>22.1441</v>
      </c>
      <c r="H101" s="17">
        <v>147075.952</v>
      </c>
      <c r="I101" s="18">
        <f>H101-H98</f>
        <v>51.106</v>
      </c>
      <c r="J101" s="17">
        <v>14244.4352</v>
      </c>
      <c r="K101" s="20">
        <f>J101-J98</f>
        <v>31.2032</v>
      </c>
      <c r="L101" s="17">
        <v>82307.9168</v>
      </c>
      <c r="M101" s="18">
        <f>L101-L98</f>
        <v>122.144</v>
      </c>
      <c r="N101" s="17">
        <v>99976.256</v>
      </c>
      <c r="O101" s="18">
        <f>N101-N98</f>
        <v>48.9984</v>
      </c>
      <c r="P101" s="17">
        <v>140701.552</v>
      </c>
      <c r="Q101" s="18">
        <f>P101-P98</f>
        <v>45.776</v>
      </c>
      <c r="R101" s="17">
        <v>923033.28</v>
      </c>
      <c r="S101" s="18">
        <f>R101-R98</f>
        <v>609.472</v>
      </c>
      <c r="T101" s="17">
        <v>54917.4464</v>
      </c>
      <c r="U101" s="18">
        <f>T101-T98</f>
        <v>6.9056</v>
      </c>
      <c r="V101" s="14">
        <f t="shared" ref="V101:V131" si="63">U101+S101+Q101+O101+M101+K101+I101+G101+E101+C101</f>
        <v>1099.3503</v>
      </c>
    </row>
    <row r="102">
      <c r="A102" s="39">
        <v>45695.0</v>
      </c>
      <c r="B102" s="17">
        <v>234228.801</v>
      </c>
      <c r="C102" s="18">
        <f t="shared" ref="C102:C131" si="64">B102-B101</f>
        <v>90.257</v>
      </c>
      <c r="D102" s="17">
        <v>138741.968</v>
      </c>
      <c r="E102" s="18">
        <f t="shared" ref="E102:E131" si="65">D102-D101</f>
        <v>42.127</v>
      </c>
      <c r="F102" s="17">
        <v>64317.8624</v>
      </c>
      <c r="G102" s="18">
        <f t="shared" ref="G102:G131" si="66">F102-F101</f>
        <v>20.8063</v>
      </c>
      <c r="H102" s="17">
        <v>147127.368</v>
      </c>
      <c r="I102" s="18">
        <f t="shared" ref="I102:I131" si="67">H102-H101</f>
        <v>51.416</v>
      </c>
      <c r="J102" s="17">
        <v>14266.3872</v>
      </c>
      <c r="K102" s="20">
        <f t="shared" ref="K102:K131" si="68">J102-J101</f>
        <v>21.952</v>
      </c>
      <c r="L102" s="17">
        <v>82391.6864</v>
      </c>
      <c r="M102" s="18">
        <f t="shared" ref="M102:M131" si="69">L102-L101</f>
        <v>83.7696</v>
      </c>
      <c r="N102" s="17">
        <v>100021.216</v>
      </c>
      <c r="O102" s="18">
        <f t="shared" ref="O102:O131" si="70">N102-N101</f>
        <v>44.96</v>
      </c>
      <c r="P102" s="17">
        <v>140741.68</v>
      </c>
      <c r="Q102" s="18">
        <f t="shared" ref="Q102:Q131" si="71">P102-P101</f>
        <v>40.128</v>
      </c>
      <c r="R102" s="17">
        <v>923465.5152</v>
      </c>
      <c r="S102" s="18">
        <f t="shared" ref="S102:S131" si="72">R102-R101</f>
        <v>432.2352</v>
      </c>
      <c r="T102" s="17">
        <v>54922.6944</v>
      </c>
      <c r="U102" s="18">
        <f t="shared" ref="U102:U107" si="73">T102-T101</f>
        <v>5.248</v>
      </c>
      <c r="V102" s="14">
        <f t="shared" si="63"/>
        <v>832.8991</v>
      </c>
    </row>
    <row r="103">
      <c r="A103" s="29">
        <v>45723.0</v>
      </c>
      <c r="B103" s="17">
        <v>234337.328</v>
      </c>
      <c r="C103" s="18">
        <f t="shared" si="64"/>
        <v>108.527</v>
      </c>
      <c r="D103" s="17">
        <v>138795.184</v>
      </c>
      <c r="E103" s="18">
        <f t="shared" si="65"/>
        <v>53.216</v>
      </c>
      <c r="F103" s="17">
        <v>64341.3056</v>
      </c>
      <c r="G103" s="18">
        <f t="shared" si="66"/>
        <v>23.4432</v>
      </c>
      <c r="H103" s="17">
        <v>147174.352</v>
      </c>
      <c r="I103" s="18">
        <f t="shared" si="67"/>
        <v>46.984</v>
      </c>
      <c r="J103" s="17">
        <v>14294.5264</v>
      </c>
      <c r="K103" s="20">
        <f t="shared" si="68"/>
        <v>28.1392</v>
      </c>
      <c r="L103" s="17">
        <v>82446.4448</v>
      </c>
      <c r="M103" s="18">
        <f t="shared" si="69"/>
        <v>54.7584</v>
      </c>
      <c r="N103" s="17">
        <v>100067.04</v>
      </c>
      <c r="O103" s="18">
        <f t="shared" si="70"/>
        <v>45.824</v>
      </c>
      <c r="P103" s="17">
        <v>140823.536</v>
      </c>
      <c r="Q103" s="18">
        <f t="shared" si="71"/>
        <v>81.856</v>
      </c>
      <c r="R103" s="17">
        <v>923792.576</v>
      </c>
      <c r="S103" s="18">
        <f t="shared" si="72"/>
        <v>327.0608</v>
      </c>
      <c r="T103" s="17">
        <v>54929.4656</v>
      </c>
      <c r="U103" s="18">
        <f t="shared" si="73"/>
        <v>6.7712</v>
      </c>
      <c r="V103" s="14">
        <f t="shared" si="63"/>
        <v>776.5798</v>
      </c>
    </row>
    <row r="104">
      <c r="A104" s="29">
        <v>45754.0</v>
      </c>
      <c r="B104" s="17">
        <v>234461.824</v>
      </c>
      <c r="C104" s="18">
        <f t="shared" si="64"/>
        <v>124.496</v>
      </c>
      <c r="D104" s="17">
        <v>138841.488</v>
      </c>
      <c r="E104" s="18">
        <f t="shared" si="65"/>
        <v>46.304</v>
      </c>
      <c r="F104" s="17">
        <v>64364.3201</v>
      </c>
      <c r="G104" s="18">
        <f t="shared" si="66"/>
        <v>23.0145</v>
      </c>
      <c r="H104" s="17">
        <v>147228.112</v>
      </c>
      <c r="I104" s="18">
        <f t="shared" si="67"/>
        <v>53.76</v>
      </c>
      <c r="J104" s="17">
        <v>14322.5808</v>
      </c>
      <c r="K104" s="20">
        <f t="shared" si="68"/>
        <v>28.0544</v>
      </c>
      <c r="L104" s="17">
        <v>82474.2728</v>
      </c>
      <c r="M104" s="18">
        <f t="shared" si="69"/>
        <v>27.828</v>
      </c>
      <c r="N104" s="17">
        <v>100107.56</v>
      </c>
      <c r="O104" s="18">
        <f t="shared" si="70"/>
        <v>40.52</v>
      </c>
      <c r="P104" s="17">
        <v>140915.841</v>
      </c>
      <c r="Q104" s="18">
        <f t="shared" si="71"/>
        <v>92.305</v>
      </c>
      <c r="R104" s="17">
        <v>924081.472</v>
      </c>
      <c r="S104" s="18">
        <f t="shared" si="72"/>
        <v>288.896</v>
      </c>
      <c r="T104" s="17">
        <v>54935.3792</v>
      </c>
      <c r="U104" s="18">
        <f t="shared" si="73"/>
        <v>5.9136</v>
      </c>
      <c r="V104" s="14">
        <f t="shared" si="63"/>
        <v>731.0915</v>
      </c>
    </row>
    <row r="105">
      <c r="A105" s="29">
        <v>45784.0</v>
      </c>
      <c r="B105" s="17">
        <v>234576.016</v>
      </c>
      <c r="C105" s="18">
        <f t="shared" si="64"/>
        <v>114.192</v>
      </c>
      <c r="D105" s="17">
        <v>138877.4401</v>
      </c>
      <c r="E105" s="18">
        <f t="shared" si="65"/>
        <v>35.9521</v>
      </c>
      <c r="F105" s="17">
        <v>64385.0368</v>
      </c>
      <c r="G105" s="18">
        <f t="shared" si="66"/>
        <v>20.7167</v>
      </c>
      <c r="H105" s="17">
        <v>147275.312</v>
      </c>
      <c r="I105" s="18">
        <f t="shared" si="67"/>
        <v>47.2</v>
      </c>
      <c r="J105" s="17">
        <v>14349.2962</v>
      </c>
      <c r="K105" s="20">
        <f t="shared" si="68"/>
        <v>26.7154</v>
      </c>
      <c r="L105" s="17">
        <v>82523.2704</v>
      </c>
      <c r="M105" s="18">
        <f t="shared" si="69"/>
        <v>48.9976</v>
      </c>
      <c r="N105" s="17">
        <v>100148.648</v>
      </c>
      <c r="O105" s="18">
        <f t="shared" si="70"/>
        <v>41.088</v>
      </c>
      <c r="P105" s="17">
        <v>140995.312</v>
      </c>
      <c r="Q105" s="18">
        <f t="shared" si="71"/>
        <v>79.471</v>
      </c>
      <c r="R105" s="17">
        <v>924385.472</v>
      </c>
      <c r="S105" s="18">
        <f t="shared" si="72"/>
        <v>304</v>
      </c>
      <c r="T105" s="17">
        <v>54940.5312</v>
      </c>
      <c r="U105" s="18">
        <f t="shared" si="73"/>
        <v>5.152</v>
      </c>
      <c r="V105" s="14">
        <f t="shared" si="63"/>
        <v>723.4848</v>
      </c>
    </row>
    <row r="106">
      <c r="A106" s="29">
        <v>45815.0</v>
      </c>
      <c r="B106" s="17">
        <v>234733.728</v>
      </c>
      <c r="C106" s="18">
        <f t="shared" si="64"/>
        <v>157.712</v>
      </c>
      <c r="D106" s="17">
        <v>138911.6664</v>
      </c>
      <c r="E106" s="18">
        <f t="shared" si="65"/>
        <v>34.2263</v>
      </c>
      <c r="F106" s="17">
        <v>64405.184</v>
      </c>
      <c r="G106" s="18">
        <f t="shared" si="66"/>
        <v>20.1472</v>
      </c>
      <c r="H106" s="17">
        <v>147316.256</v>
      </c>
      <c r="I106" s="18">
        <f t="shared" si="67"/>
        <v>40.944</v>
      </c>
      <c r="J106" s="17">
        <v>14377.8332</v>
      </c>
      <c r="K106" s="20">
        <f t="shared" si="68"/>
        <v>28.537</v>
      </c>
      <c r="L106" s="17">
        <v>82558.016</v>
      </c>
      <c r="M106" s="18">
        <f t="shared" si="69"/>
        <v>34.7456</v>
      </c>
      <c r="N106" s="17">
        <v>100187.48</v>
      </c>
      <c r="O106" s="18">
        <f t="shared" si="70"/>
        <v>38.832</v>
      </c>
      <c r="P106" s="17">
        <v>141060.752</v>
      </c>
      <c r="Q106" s="18">
        <f t="shared" si="71"/>
        <v>65.44</v>
      </c>
      <c r="R106" s="17">
        <v>924734.208</v>
      </c>
      <c r="S106" s="18">
        <f t="shared" si="72"/>
        <v>348.736</v>
      </c>
      <c r="T106" s="17">
        <v>54946.5216</v>
      </c>
      <c r="U106" s="18">
        <f t="shared" si="73"/>
        <v>5.9904</v>
      </c>
      <c r="V106" s="14">
        <f t="shared" si="63"/>
        <v>775.3105</v>
      </c>
    </row>
    <row r="107">
      <c r="A107" s="29">
        <v>45845.0</v>
      </c>
      <c r="B107" s="17">
        <v>234751.888</v>
      </c>
      <c r="C107" s="18">
        <f t="shared" si="64"/>
        <v>18.16</v>
      </c>
      <c r="D107" s="17">
        <v>138917.168</v>
      </c>
      <c r="E107" s="18">
        <f t="shared" si="65"/>
        <v>5.5016</v>
      </c>
      <c r="F107" s="17">
        <v>64409.2</v>
      </c>
      <c r="G107" s="18">
        <f t="shared" si="66"/>
        <v>4.016</v>
      </c>
      <c r="H107" s="17">
        <v>147356.272</v>
      </c>
      <c r="I107" s="18">
        <f t="shared" si="67"/>
        <v>40.016</v>
      </c>
      <c r="J107" s="17">
        <v>14388.9328</v>
      </c>
      <c r="K107" s="20">
        <f t="shared" si="68"/>
        <v>11.0996</v>
      </c>
      <c r="L107" s="17">
        <v>82575.968</v>
      </c>
      <c r="M107" s="18">
        <f t="shared" si="69"/>
        <v>17.952</v>
      </c>
      <c r="N107" s="17">
        <v>100202.396</v>
      </c>
      <c r="O107" s="18">
        <f t="shared" si="70"/>
        <v>14.916</v>
      </c>
      <c r="P107" s="17">
        <v>141074.416</v>
      </c>
      <c r="Q107" s="18">
        <f t="shared" si="71"/>
        <v>13.664</v>
      </c>
      <c r="R107" s="17">
        <v>924797.44</v>
      </c>
      <c r="S107" s="18">
        <f t="shared" si="72"/>
        <v>63.232</v>
      </c>
      <c r="T107" s="17">
        <v>54948.1563</v>
      </c>
      <c r="U107" s="18">
        <f t="shared" si="73"/>
        <v>1.6347</v>
      </c>
      <c r="V107" s="14">
        <f t="shared" si="63"/>
        <v>190.1919</v>
      </c>
    </row>
    <row r="108">
      <c r="A108" s="29">
        <v>45876.0</v>
      </c>
      <c r="B108" s="17">
        <v>234891.968</v>
      </c>
      <c r="C108" s="18">
        <f t="shared" si="64"/>
        <v>140.08</v>
      </c>
      <c r="D108" s="17">
        <v>138971.856</v>
      </c>
      <c r="E108" s="18">
        <f t="shared" si="65"/>
        <v>54.688</v>
      </c>
      <c r="F108" s="17">
        <v>64431.304</v>
      </c>
      <c r="G108" s="18">
        <f t="shared" si="66"/>
        <v>22.104</v>
      </c>
      <c r="H108" s="17">
        <v>147410.416</v>
      </c>
      <c r="I108" s="18">
        <f t="shared" si="67"/>
        <v>54.144</v>
      </c>
      <c r="J108" s="17">
        <v>14422.8161</v>
      </c>
      <c r="K108" s="20">
        <f t="shared" si="68"/>
        <v>33.8833</v>
      </c>
      <c r="L108" s="17">
        <v>82641.2288</v>
      </c>
      <c r="M108" s="18">
        <f t="shared" si="69"/>
        <v>65.2608</v>
      </c>
      <c r="N108" s="17">
        <v>100248.776</v>
      </c>
      <c r="O108" s="18">
        <f t="shared" si="70"/>
        <v>46.38</v>
      </c>
      <c r="P108" s="17">
        <v>141132.976</v>
      </c>
      <c r="Q108" s="18">
        <f t="shared" si="71"/>
        <v>58.56</v>
      </c>
      <c r="R108" s="17">
        <v>925453.056</v>
      </c>
      <c r="S108" s="18">
        <f t="shared" si="72"/>
        <v>655.616</v>
      </c>
      <c r="T108" s="17">
        <v>54955.8272</v>
      </c>
      <c r="U108" s="30">
        <v>18.16</v>
      </c>
      <c r="V108" s="14">
        <f t="shared" si="63"/>
        <v>1148.8761</v>
      </c>
    </row>
    <row r="109">
      <c r="A109" s="29">
        <v>45907.0</v>
      </c>
      <c r="B109" s="17">
        <v>235024.848</v>
      </c>
      <c r="C109" s="18">
        <f t="shared" si="64"/>
        <v>132.88</v>
      </c>
      <c r="D109" s="17">
        <v>139025.072</v>
      </c>
      <c r="E109" s="18">
        <f t="shared" si="65"/>
        <v>53.216</v>
      </c>
      <c r="F109" s="17">
        <v>64452.224</v>
      </c>
      <c r="G109" s="18">
        <f t="shared" si="66"/>
        <v>20.92</v>
      </c>
      <c r="H109" s="17">
        <v>147463.888</v>
      </c>
      <c r="I109" s="18">
        <f t="shared" si="67"/>
        <v>53.472</v>
      </c>
      <c r="J109" s="17">
        <v>14449.8654</v>
      </c>
      <c r="K109" s="20">
        <f t="shared" si="68"/>
        <v>27.0493</v>
      </c>
      <c r="L109" s="17">
        <v>82735.7</v>
      </c>
      <c r="M109" s="18">
        <f t="shared" si="69"/>
        <v>94.4712</v>
      </c>
      <c r="N109" s="17">
        <v>100298.808</v>
      </c>
      <c r="O109" s="18">
        <f t="shared" si="70"/>
        <v>50.032</v>
      </c>
      <c r="P109" s="17">
        <v>141229.28</v>
      </c>
      <c r="Q109" s="18">
        <f t="shared" si="71"/>
        <v>96.304</v>
      </c>
      <c r="R109" s="17">
        <v>926047.296</v>
      </c>
      <c r="S109" s="18">
        <f t="shared" si="72"/>
        <v>594.24</v>
      </c>
      <c r="T109" s="17">
        <v>54961.3632</v>
      </c>
      <c r="U109" s="18">
        <f t="shared" ref="U109:U131" si="74">T109-T108</f>
        <v>5.536</v>
      </c>
      <c r="V109" s="14">
        <f t="shared" si="63"/>
        <v>1128.1205</v>
      </c>
    </row>
    <row r="110">
      <c r="A110" s="29">
        <v>45937.0</v>
      </c>
      <c r="B110" s="17">
        <v>235184.359</v>
      </c>
      <c r="C110" s="18">
        <f t="shared" si="64"/>
        <v>159.511</v>
      </c>
      <c r="D110" s="17">
        <v>139075.325</v>
      </c>
      <c r="E110" s="18">
        <f t="shared" si="65"/>
        <v>50.253</v>
      </c>
      <c r="F110" s="17">
        <v>64470.58</v>
      </c>
      <c r="G110" s="18">
        <f t="shared" si="66"/>
        <v>18.356</v>
      </c>
      <c r="H110" s="17">
        <v>147510.589</v>
      </c>
      <c r="I110" s="18">
        <f t="shared" si="67"/>
        <v>46.701</v>
      </c>
      <c r="J110" s="17">
        <v>14489.26</v>
      </c>
      <c r="K110" s="20">
        <f t="shared" si="68"/>
        <v>39.3946</v>
      </c>
      <c r="L110" s="17">
        <v>82810.698</v>
      </c>
      <c r="M110" s="18">
        <f t="shared" si="69"/>
        <v>74.998</v>
      </c>
      <c r="N110" s="17">
        <v>100340.65</v>
      </c>
      <c r="O110" s="18">
        <f t="shared" si="70"/>
        <v>41.842</v>
      </c>
      <c r="P110" s="17">
        <v>141335.659</v>
      </c>
      <c r="Q110" s="18">
        <f t="shared" si="71"/>
        <v>106.379</v>
      </c>
      <c r="R110" s="17">
        <v>926586.56</v>
      </c>
      <c r="S110" s="18">
        <f t="shared" si="72"/>
        <v>539.264</v>
      </c>
      <c r="T110" s="17">
        <v>54967.568</v>
      </c>
      <c r="U110" s="18">
        <f t="shared" si="74"/>
        <v>6.2048</v>
      </c>
      <c r="V110" s="14">
        <f t="shared" si="63"/>
        <v>1082.9034</v>
      </c>
    </row>
    <row r="111">
      <c r="A111" s="29">
        <v>45968.0</v>
      </c>
      <c r="B111" s="17">
        <v>235333.136</v>
      </c>
      <c r="C111" s="18">
        <f t="shared" si="64"/>
        <v>148.777</v>
      </c>
      <c r="D111" s="17">
        <v>139118.976</v>
      </c>
      <c r="E111" s="18">
        <f t="shared" si="65"/>
        <v>43.651</v>
      </c>
      <c r="F111" s="17">
        <v>64494.1248</v>
      </c>
      <c r="G111" s="18">
        <f t="shared" si="66"/>
        <v>23.5448</v>
      </c>
      <c r="H111" s="17">
        <v>147559.808</v>
      </c>
      <c r="I111" s="18">
        <f t="shared" si="67"/>
        <v>49.219</v>
      </c>
      <c r="J111" s="17">
        <v>14526.6304</v>
      </c>
      <c r="K111" s="20">
        <f t="shared" si="68"/>
        <v>37.3704</v>
      </c>
      <c r="L111" s="17">
        <v>82879.4816</v>
      </c>
      <c r="M111" s="18">
        <f t="shared" si="69"/>
        <v>68.7836</v>
      </c>
      <c r="N111" s="17">
        <v>100381.601</v>
      </c>
      <c r="O111" s="18">
        <f t="shared" si="70"/>
        <v>40.951</v>
      </c>
      <c r="P111" s="17">
        <v>141498.739</v>
      </c>
      <c r="Q111" s="18">
        <f t="shared" si="71"/>
        <v>163.08</v>
      </c>
      <c r="R111" s="17">
        <v>927193.536</v>
      </c>
      <c r="S111" s="18">
        <f t="shared" si="72"/>
        <v>606.976</v>
      </c>
      <c r="T111" s="17">
        <v>54974.7842</v>
      </c>
      <c r="U111" s="18">
        <f t="shared" si="74"/>
        <v>7.2162</v>
      </c>
      <c r="V111" s="14">
        <f t="shared" si="63"/>
        <v>1189.569</v>
      </c>
    </row>
    <row r="112">
      <c r="A112" s="29">
        <v>45998.0</v>
      </c>
      <c r="B112" s="17">
        <v>235492.481</v>
      </c>
      <c r="C112" s="18">
        <f t="shared" si="64"/>
        <v>159.345</v>
      </c>
      <c r="D112" s="17">
        <v>139167.952</v>
      </c>
      <c r="E112" s="18">
        <f t="shared" si="65"/>
        <v>48.976</v>
      </c>
      <c r="F112" s="17">
        <v>64515.7568</v>
      </c>
      <c r="G112" s="18">
        <f t="shared" si="66"/>
        <v>21.632</v>
      </c>
      <c r="H112" s="17">
        <v>147610.448</v>
      </c>
      <c r="I112" s="18">
        <f t="shared" si="67"/>
        <v>50.64</v>
      </c>
      <c r="J112" s="17">
        <v>14559.6912</v>
      </c>
      <c r="K112" s="20">
        <f t="shared" si="68"/>
        <v>33.0608</v>
      </c>
      <c r="L112" s="17">
        <v>82970.4128</v>
      </c>
      <c r="M112" s="18">
        <f t="shared" si="69"/>
        <v>90.9312</v>
      </c>
      <c r="N112" s="17">
        <v>100421.456</v>
      </c>
      <c r="O112" s="18">
        <f t="shared" si="70"/>
        <v>39.855</v>
      </c>
      <c r="P112" s="17">
        <v>141607.264</v>
      </c>
      <c r="Q112" s="18">
        <f t="shared" si="71"/>
        <v>108.525</v>
      </c>
      <c r="R112" s="17">
        <v>927712.788</v>
      </c>
      <c r="S112" s="18">
        <f t="shared" si="72"/>
        <v>519.252</v>
      </c>
      <c r="T112" s="17">
        <v>54981.0624</v>
      </c>
      <c r="U112" s="18">
        <f t="shared" si="74"/>
        <v>6.2782</v>
      </c>
      <c r="V112" s="14">
        <f t="shared" si="63"/>
        <v>1078.4952</v>
      </c>
    </row>
    <row r="113">
      <c r="A113" s="32" t="s">
        <v>69</v>
      </c>
      <c r="B113" s="17">
        <v>235642.432</v>
      </c>
      <c r="C113" s="18">
        <f t="shared" si="64"/>
        <v>149.951</v>
      </c>
      <c r="D113" s="17">
        <v>139209.888</v>
      </c>
      <c r="E113" s="18">
        <f t="shared" si="65"/>
        <v>41.936</v>
      </c>
      <c r="F113" s="17">
        <v>64538.9652</v>
      </c>
      <c r="G113" s="18">
        <f t="shared" si="66"/>
        <v>23.2084</v>
      </c>
      <c r="H113" s="17">
        <v>147645.488</v>
      </c>
      <c r="I113" s="18">
        <f t="shared" si="67"/>
        <v>35.04</v>
      </c>
      <c r="J113" s="17">
        <v>14594.5744</v>
      </c>
      <c r="K113" s="20">
        <f t="shared" si="68"/>
        <v>34.8832</v>
      </c>
      <c r="L113" s="17">
        <v>83060.9876</v>
      </c>
      <c r="M113" s="18">
        <f t="shared" si="69"/>
        <v>90.5748</v>
      </c>
      <c r="N113" s="17">
        <v>100460.976</v>
      </c>
      <c r="O113" s="18">
        <f t="shared" si="70"/>
        <v>39.52</v>
      </c>
      <c r="P113" s="17">
        <v>141703.072</v>
      </c>
      <c r="Q113" s="18">
        <f t="shared" si="71"/>
        <v>95.808</v>
      </c>
      <c r="R113" s="17">
        <v>928278.786</v>
      </c>
      <c r="S113" s="18">
        <f t="shared" si="72"/>
        <v>565.998</v>
      </c>
      <c r="T113" s="17">
        <v>54987.136</v>
      </c>
      <c r="U113" s="18">
        <f t="shared" si="74"/>
        <v>6.0736</v>
      </c>
      <c r="V113" s="14">
        <f t="shared" si="63"/>
        <v>1082.993</v>
      </c>
    </row>
    <row r="114">
      <c r="A114" s="32" t="s">
        <v>70</v>
      </c>
      <c r="B114" s="17">
        <v>235748.32</v>
      </c>
      <c r="C114" s="18">
        <f t="shared" si="64"/>
        <v>105.888</v>
      </c>
      <c r="D114" s="17">
        <v>139238.032</v>
      </c>
      <c r="E114" s="18">
        <f t="shared" si="65"/>
        <v>28.144</v>
      </c>
      <c r="F114" s="17">
        <v>64556.832</v>
      </c>
      <c r="G114" s="18">
        <f t="shared" si="66"/>
        <v>17.8668</v>
      </c>
      <c r="H114" s="17">
        <v>147688.496</v>
      </c>
      <c r="I114" s="18">
        <f t="shared" si="67"/>
        <v>43.008</v>
      </c>
      <c r="J114" s="17">
        <v>14616.4561</v>
      </c>
      <c r="K114" s="20">
        <f t="shared" si="68"/>
        <v>21.8817</v>
      </c>
      <c r="L114" s="17">
        <v>83134.3488</v>
      </c>
      <c r="M114" s="18">
        <f t="shared" si="69"/>
        <v>73.3612</v>
      </c>
      <c r="N114" s="17">
        <v>100488.248</v>
      </c>
      <c r="O114" s="18">
        <f t="shared" si="70"/>
        <v>27.272</v>
      </c>
      <c r="P114" s="17">
        <v>141768.624</v>
      </c>
      <c r="Q114" s="18">
        <f t="shared" si="71"/>
        <v>65.552</v>
      </c>
      <c r="R114" s="17">
        <v>928715.2</v>
      </c>
      <c r="S114" s="18">
        <f t="shared" si="72"/>
        <v>436.414</v>
      </c>
      <c r="T114" s="17">
        <v>54994.896</v>
      </c>
      <c r="U114" s="18">
        <f t="shared" si="74"/>
        <v>7.76</v>
      </c>
      <c r="V114" s="14">
        <f t="shared" si="63"/>
        <v>827.1477</v>
      </c>
    </row>
    <row r="115">
      <c r="A115" s="32" t="s">
        <v>71</v>
      </c>
      <c r="B115" s="17">
        <v>235872.248</v>
      </c>
      <c r="C115" s="18">
        <f t="shared" si="64"/>
        <v>123.928</v>
      </c>
      <c r="D115" s="17">
        <v>139279.056</v>
      </c>
      <c r="E115" s="18">
        <f t="shared" si="65"/>
        <v>41.024</v>
      </c>
      <c r="F115" s="17">
        <v>64591.424</v>
      </c>
      <c r="G115" s="18">
        <f t="shared" si="66"/>
        <v>34.592</v>
      </c>
      <c r="H115" s="17">
        <v>147746.688</v>
      </c>
      <c r="I115" s="18">
        <f t="shared" si="67"/>
        <v>58.192</v>
      </c>
      <c r="J115" s="17">
        <v>14663.168</v>
      </c>
      <c r="K115" s="20">
        <f t="shared" si="68"/>
        <v>46.7119</v>
      </c>
      <c r="L115" s="17">
        <v>83201.7984</v>
      </c>
      <c r="M115" s="18">
        <f t="shared" si="69"/>
        <v>67.4496</v>
      </c>
      <c r="N115" s="17">
        <v>100530.121</v>
      </c>
      <c r="O115" s="18">
        <f t="shared" si="70"/>
        <v>41.873</v>
      </c>
      <c r="P115" s="17">
        <v>141912.081</v>
      </c>
      <c r="Q115" s="18">
        <f t="shared" si="71"/>
        <v>143.457</v>
      </c>
      <c r="R115" s="17">
        <v>929196.416</v>
      </c>
      <c r="S115" s="18">
        <f t="shared" si="72"/>
        <v>481.216</v>
      </c>
      <c r="T115" s="17">
        <v>54997.304</v>
      </c>
      <c r="U115" s="18">
        <f t="shared" si="74"/>
        <v>2.408</v>
      </c>
      <c r="V115" s="14">
        <f t="shared" si="63"/>
        <v>1040.8515</v>
      </c>
    </row>
    <row r="116">
      <c r="A116" s="32" t="s">
        <v>72</v>
      </c>
      <c r="B116" s="17">
        <v>236022.512</v>
      </c>
      <c r="C116" s="38">
        <f t="shared" si="64"/>
        <v>150.264</v>
      </c>
      <c r="D116" s="17">
        <v>139323.601</v>
      </c>
      <c r="E116" s="18">
        <f t="shared" si="65"/>
        <v>44.545</v>
      </c>
      <c r="F116" s="17">
        <v>64613.648</v>
      </c>
      <c r="G116" s="18">
        <f t="shared" si="66"/>
        <v>22.224</v>
      </c>
      <c r="H116" s="17">
        <v>147796.624</v>
      </c>
      <c r="I116" s="18">
        <f t="shared" si="67"/>
        <v>49.936</v>
      </c>
      <c r="J116" s="17">
        <v>14679.44</v>
      </c>
      <c r="K116" s="20">
        <f t="shared" si="68"/>
        <v>16.272</v>
      </c>
      <c r="L116" s="17">
        <v>83277.872</v>
      </c>
      <c r="M116" s="18">
        <f t="shared" si="69"/>
        <v>76.0736</v>
      </c>
      <c r="N116" s="17">
        <v>100571.32</v>
      </c>
      <c r="O116" s="18">
        <f t="shared" si="70"/>
        <v>41.199</v>
      </c>
      <c r="P116" s="17">
        <v>142098.832</v>
      </c>
      <c r="Q116" s="18">
        <f t="shared" si="71"/>
        <v>186.751</v>
      </c>
      <c r="R116" s="17">
        <v>929654.912</v>
      </c>
      <c r="S116" s="18">
        <f t="shared" si="72"/>
        <v>458.496</v>
      </c>
      <c r="T116" s="17">
        <v>55002.3481</v>
      </c>
      <c r="U116" s="18">
        <f t="shared" si="74"/>
        <v>5.0441</v>
      </c>
      <c r="V116" s="14">
        <f t="shared" si="63"/>
        <v>1050.8047</v>
      </c>
    </row>
    <row r="117">
      <c r="A117" s="32" t="s">
        <v>73</v>
      </c>
      <c r="B117" s="17">
        <v>236153.744</v>
      </c>
      <c r="C117" s="38">
        <f t="shared" si="64"/>
        <v>131.232</v>
      </c>
      <c r="D117" s="17">
        <v>139360.56</v>
      </c>
      <c r="E117" s="38">
        <f t="shared" si="65"/>
        <v>36.959</v>
      </c>
      <c r="F117" s="17">
        <v>64635.7056</v>
      </c>
      <c r="G117" s="38">
        <f t="shared" si="66"/>
        <v>22.0576</v>
      </c>
      <c r="H117" s="17">
        <v>147844.744</v>
      </c>
      <c r="I117" s="38">
        <f t="shared" si="67"/>
        <v>48.12</v>
      </c>
      <c r="J117" s="17">
        <v>14705.5648</v>
      </c>
      <c r="K117" s="40">
        <f t="shared" si="68"/>
        <v>26.1248</v>
      </c>
      <c r="L117" s="17">
        <v>83352.4736</v>
      </c>
      <c r="M117" s="38">
        <f t="shared" si="69"/>
        <v>74.6016</v>
      </c>
      <c r="N117" s="17">
        <v>100615.568</v>
      </c>
      <c r="O117" s="38">
        <f t="shared" si="70"/>
        <v>44.248</v>
      </c>
      <c r="P117" s="17">
        <v>142206.896</v>
      </c>
      <c r="Q117" s="38">
        <f t="shared" si="71"/>
        <v>108.064</v>
      </c>
      <c r="R117" s="17">
        <v>930029.376</v>
      </c>
      <c r="S117" s="38">
        <f t="shared" si="72"/>
        <v>374.464</v>
      </c>
      <c r="T117" s="17">
        <v>55008.798</v>
      </c>
      <c r="U117" s="38">
        <f t="shared" si="74"/>
        <v>6.4499</v>
      </c>
      <c r="V117" s="14">
        <f t="shared" si="63"/>
        <v>872.3209</v>
      </c>
    </row>
    <row r="118">
      <c r="A118" s="32" t="s">
        <v>74</v>
      </c>
      <c r="B118" s="17">
        <v>236344.144</v>
      </c>
      <c r="C118" s="18">
        <f t="shared" si="64"/>
        <v>190.4</v>
      </c>
      <c r="D118" s="17">
        <v>139404.672</v>
      </c>
      <c r="E118" s="18">
        <f t="shared" si="65"/>
        <v>44.112</v>
      </c>
      <c r="F118" s="17">
        <v>64657.8944</v>
      </c>
      <c r="G118" s="18">
        <f t="shared" si="66"/>
        <v>22.1888</v>
      </c>
      <c r="H118" s="17">
        <v>147892.112</v>
      </c>
      <c r="I118" s="18">
        <f t="shared" si="67"/>
        <v>47.368</v>
      </c>
      <c r="J118" s="17">
        <v>14737.3904</v>
      </c>
      <c r="K118" s="20">
        <f t="shared" si="68"/>
        <v>31.8256</v>
      </c>
      <c r="L118" s="17">
        <v>83441.2096</v>
      </c>
      <c r="M118" s="18">
        <f t="shared" si="69"/>
        <v>88.736</v>
      </c>
      <c r="N118" s="17">
        <v>100655.48</v>
      </c>
      <c r="O118" s="18">
        <f t="shared" si="70"/>
        <v>39.912</v>
      </c>
      <c r="P118" s="17">
        <v>142311.152</v>
      </c>
      <c r="Q118" s="18">
        <f t="shared" si="71"/>
        <v>104.256</v>
      </c>
      <c r="R118" s="17">
        <v>930485.504</v>
      </c>
      <c r="S118" s="18">
        <f t="shared" si="72"/>
        <v>456.128</v>
      </c>
      <c r="T118" s="17">
        <v>55014.7648</v>
      </c>
      <c r="U118" s="18">
        <f t="shared" si="74"/>
        <v>5.9668</v>
      </c>
      <c r="V118" s="14">
        <f t="shared" si="63"/>
        <v>1030.8932</v>
      </c>
    </row>
    <row r="119">
      <c r="A119" s="32" t="s">
        <v>75</v>
      </c>
      <c r="B119" s="17">
        <v>236493.688</v>
      </c>
      <c r="C119" s="18">
        <f t="shared" si="64"/>
        <v>149.544</v>
      </c>
      <c r="D119" s="17">
        <v>139438.321</v>
      </c>
      <c r="E119" s="18">
        <f t="shared" si="65"/>
        <v>33.649</v>
      </c>
      <c r="F119" s="17">
        <v>64679.912</v>
      </c>
      <c r="G119" s="18">
        <f t="shared" si="66"/>
        <v>22.0176</v>
      </c>
      <c r="H119" s="17">
        <v>147938.128</v>
      </c>
      <c r="I119" s="18">
        <f t="shared" si="67"/>
        <v>46.016</v>
      </c>
      <c r="J119" s="17">
        <v>14768.6801</v>
      </c>
      <c r="K119" s="20">
        <f t="shared" si="68"/>
        <v>31.2897</v>
      </c>
      <c r="L119" s="17">
        <v>83506.5856</v>
      </c>
      <c r="M119" s="18">
        <f t="shared" si="69"/>
        <v>65.376</v>
      </c>
      <c r="N119" s="17">
        <v>100692.812</v>
      </c>
      <c r="O119" s="18">
        <f t="shared" si="70"/>
        <v>37.332</v>
      </c>
      <c r="P119" s="17">
        <v>142387.504</v>
      </c>
      <c r="Q119" s="18">
        <f t="shared" si="71"/>
        <v>76.352</v>
      </c>
      <c r="R119" s="17">
        <v>930940.168</v>
      </c>
      <c r="S119" s="18">
        <f t="shared" si="72"/>
        <v>454.664</v>
      </c>
      <c r="T119" s="17">
        <v>55020.8448</v>
      </c>
      <c r="U119" s="18">
        <f t="shared" si="74"/>
        <v>6.08</v>
      </c>
      <c r="V119" s="14">
        <f t="shared" si="63"/>
        <v>922.3203</v>
      </c>
    </row>
    <row r="120">
      <c r="A120" s="32" t="s">
        <v>76</v>
      </c>
      <c r="B120" s="17">
        <v>236613.256</v>
      </c>
      <c r="C120" s="18">
        <f t="shared" si="64"/>
        <v>119.568</v>
      </c>
      <c r="D120" s="17">
        <v>139474.256</v>
      </c>
      <c r="E120" s="18">
        <f t="shared" si="65"/>
        <v>35.935</v>
      </c>
      <c r="F120" s="17">
        <v>64698.566</v>
      </c>
      <c r="G120" s="18">
        <f t="shared" si="66"/>
        <v>18.654</v>
      </c>
      <c r="H120" s="17">
        <v>147980.566</v>
      </c>
      <c r="I120" s="18">
        <f t="shared" si="67"/>
        <v>42.438</v>
      </c>
      <c r="J120" s="17">
        <v>14799.256</v>
      </c>
      <c r="K120" s="20">
        <f t="shared" si="68"/>
        <v>30.5759</v>
      </c>
      <c r="L120" s="17">
        <v>83589.596</v>
      </c>
      <c r="M120" s="18">
        <f t="shared" si="69"/>
        <v>83.0104</v>
      </c>
      <c r="N120" s="17">
        <v>100723.45</v>
      </c>
      <c r="O120" s="18">
        <f t="shared" si="70"/>
        <v>30.638</v>
      </c>
      <c r="P120" s="17">
        <v>142523.256</v>
      </c>
      <c r="Q120" s="18">
        <f t="shared" si="71"/>
        <v>135.752</v>
      </c>
      <c r="R120" s="17">
        <v>931423.594</v>
      </c>
      <c r="S120" s="18">
        <f t="shared" si="72"/>
        <v>483.426</v>
      </c>
      <c r="T120" s="17">
        <v>55026.589</v>
      </c>
      <c r="U120" s="18">
        <f t="shared" si="74"/>
        <v>5.7442</v>
      </c>
      <c r="V120" s="14">
        <f t="shared" si="63"/>
        <v>985.7415</v>
      </c>
    </row>
    <row r="121">
      <c r="A121" s="32" t="s">
        <v>77</v>
      </c>
      <c r="B121" s="17">
        <v>236770.928</v>
      </c>
      <c r="C121" s="18">
        <f t="shared" si="64"/>
        <v>157.672</v>
      </c>
      <c r="D121" s="17">
        <v>139515.264</v>
      </c>
      <c r="E121" s="18">
        <f t="shared" si="65"/>
        <v>41.008</v>
      </c>
      <c r="F121" s="17">
        <v>64723.7696</v>
      </c>
      <c r="G121" s="18">
        <f t="shared" si="66"/>
        <v>25.2036</v>
      </c>
      <c r="H121" s="17">
        <v>148029.648</v>
      </c>
      <c r="I121" s="18">
        <f t="shared" si="67"/>
        <v>49.082</v>
      </c>
      <c r="J121" s="17">
        <v>14830.3424</v>
      </c>
      <c r="K121" s="20">
        <f t="shared" si="68"/>
        <v>31.0864</v>
      </c>
      <c r="L121" s="17">
        <v>83679.4688</v>
      </c>
      <c r="M121" s="18">
        <f t="shared" si="69"/>
        <v>89.8728</v>
      </c>
      <c r="N121" s="17">
        <v>100757.88</v>
      </c>
      <c r="O121" s="18">
        <f t="shared" si="70"/>
        <v>34.43</v>
      </c>
      <c r="P121" s="17">
        <v>142642.114</v>
      </c>
      <c r="Q121" s="18">
        <f t="shared" si="71"/>
        <v>118.858</v>
      </c>
      <c r="R121" s="17">
        <v>931819.328</v>
      </c>
      <c r="S121" s="18">
        <f t="shared" si="72"/>
        <v>395.734</v>
      </c>
      <c r="T121" s="17">
        <v>55032.4608</v>
      </c>
      <c r="U121" s="18">
        <f t="shared" si="74"/>
        <v>5.8718</v>
      </c>
      <c r="V121" s="14">
        <f t="shared" si="63"/>
        <v>948.8186</v>
      </c>
    </row>
    <row r="122">
      <c r="A122" s="32" t="s">
        <v>78</v>
      </c>
      <c r="B122" s="17">
        <v>236942.081</v>
      </c>
      <c r="C122" s="18">
        <f t="shared" si="64"/>
        <v>171.153</v>
      </c>
      <c r="D122" s="17">
        <v>139562.432</v>
      </c>
      <c r="E122" s="18">
        <f t="shared" si="65"/>
        <v>47.168</v>
      </c>
      <c r="F122" s="17">
        <v>64745.184</v>
      </c>
      <c r="G122" s="18">
        <f t="shared" si="66"/>
        <v>21.4144</v>
      </c>
      <c r="H122" s="17">
        <v>148082.928</v>
      </c>
      <c r="I122" s="18">
        <f t="shared" si="67"/>
        <v>53.28</v>
      </c>
      <c r="J122" s="17">
        <v>14861.496</v>
      </c>
      <c r="K122" s="20">
        <f t="shared" si="68"/>
        <v>31.1536</v>
      </c>
      <c r="L122" s="17">
        <v>83767.1488</v>
      </c>
      <c r="M122" s="18">
        <f t="shared" si="69"/>
        <v>87.68</v>
      </c>
      <c r="N122" s="17">
        <v>100792.968</v>
      </c>
      <c r="O122" s="18">
        <f t="shared" si="70"/>
        <v>35.088</v>
      </c>
      <c r="P122" s="17">
        <v>142759.52</v>
      </c>
      <c r="Q122" s="18">
        <f t="shared" si="71"/>
        <v>117.406</v>
      </c>
      <c r="R122" s="17">
        <v>932359.04</v>
      </c>
      <c r="S122" s="18">
        <f t="shared" si="72"/>
        <v>539.712</v>
      </c>
      <c r="T122" s="17">
        <v>55038.3424</v>
      </c>
      <c r="U122" s="18">
        <f t="shared" si="74"/>
        <v>5.8816</v>
      </c>
      <c r="V122" s="14">
        <f t="shared" si="63"/>
        <v>1109.9366</v>
      </c>
    </row>
    <row r="123">
      <c r="A123" s="32" t="s">
        <v>79</v>
      </c>
      <c r="B123" s="17">
        <v>237088.896</v>
      </c>
      <c r="C123" s="18">
        <f t="shared" si="64"/>
        <v>146.815</v>
      </c>
      <c r="D123" s="17">
        <v>139624.608</v>
      </c>
      <c r="E123" s="18">
        <f t="shared" si="65"/>
        <v>62.176</v>
      </c>
      <c r="F123" s="17">
        <v>64767.1232</v>
      </c>
      <c r="G123" s="18">
        <f t="shared" si="66"/>
        <v>21.9392</v>
      </c>
      <c r="H123" s="17">
        <v>148142.144</v>
      </c>
      <c r="I123" s="18">
        <f t="shared" si="67"/>
        <v>59.216</v>
      </c>
      <c r="J123" s="17">
        <v>14892.936</v>
      </c>
      <c r="K123" s="20">
        <f t="shared" si="68"/>
        <v>31.44</v>
      </c>
      <c r="L123" s="17">
        <v>83850.2976</v>
      </c>
      <c r="M123" s="18">
        <f t="shared" si="69"/>
        <v>83.1488</v>
      </c>
      <c r="N123" s="17">
        <v>100833.264</v>
      </c>
      <c r="O123" s="18">
        <f t="shared" si="70"/>
        <v>40.296</v>
      </c>
      <c r="P123" s="17">
        <v>142849.344</v>
      </c>
      <c r="Q123" s="18">
        <f t="shared" si="71"/>
        <v>89.824</v>
      </c>
      <c r="R123" s="17">
        <v>932738.432</v>
      </c>
      <c r="S123" s="18">
        <f t="shared" si="72"/>
        <v>379.392</v>
      </c>
      <c r="T123" s="17">
        <v>55044.84</v>
      </c>
      <c r="U123" s="18">
        <f t="shared" si="74"/>
        <v>6.4976</v>
      </c>
      <c r="V123" s="14">
        <f t="shared" si="63"/>
        <v>920.7446</v>
      </c>
    </row>
    <row r="124">
      <c r="A124" s="32" t="s">
        <v>80</v>
      </c>
      <c r="B124" s="17">
        <v>237261.68</v>
      </c>
      <c r="C124" s="18">
        <f t="shared" si="64"/>
        <v>172.784</v>
      </c>
      <c r="D124" s="17">
        <v>139664.128</v>
      </c>
      <c r="E124" s="18">
        <f t="shared" si="65"/>
        <v>39.52</v>
      </c>
      <c r="F124" s="17">
        <v>64788.096</v>
      </c>
      <c r="G124" s="18">
        <f t="shared" si="66"/>
        <v>20.9728</v>
      </c>
      <c r="H124" s="17">
        <v>148190.72</v>
      </c>
      <c r="I124" s="18">
        <f t="shared" si="67"/>
        <v>48.576</v>
      </c>
      <c r="J124" s="17">
        <v>14920.056</v>
      </c>
      <c r="K124" s="20">
        <f t="shared" si="68"/>
        <v>27.12</v>
      </c>
      <c r="L124" s="17">
        <v>83935.3216</v>
      </c>
      <c r="M124" s="18">
        <f t="shared" si="69"/>
        <v>85.024</v>
      </c>
      <c r="N124" s="17">
        <v>100871.96</v>
      </c>
      <c r="O124" s="18">
        <f t="shared" si="70"/>
        <v>38.696</v>
      </c>
      <c r="P124" s="17">
        <v>143000.816</v>
      </c>
      <c r="Q124" s="18">
        <f t="shared" si="71"/>
        <v>151.472</v>
      </c>
      <c r="R124" s="17">
        <v>933106.112</v>
      </c>
      <c r="S124" s="18">
        <f t="shared" si="72"/>
        <v>367.68</v>
      </c>
      <c r="T124" s="17">
        <v>55050.0544</v>
      </c>
      <c r="U124" s="18">
        <f t="shared" si="74"/>
        <v>5.2144</v>
      </c>
      <c r="V124" s="14">
        <f t="shared" si="63"/>
        <v>957.0592</v>
      </c>
    </row>
    <row r="125">
      <c r="A125" s="32" t="s">
        <v>81</v>
      </c>
      <c r="B125" s="17">
        <v>237424.019</v>
      </c>
      <c r="C125" s="18">
        <f t="shared" si="64"/>
        <v>162.339</v>
      </c>
      <c r="D125" s="17">
        <v>139704.544</v>
      </c>
      <c r="E125" s="18">
        <f t="shared" si="65"/>
        <v>40.416</v>
      </c>
      <c r="F125" s="17">
        <v>64807.7696</v>
      </c>
      <c r="G125" s="18">
        <f t="shared" si="66"/>
        <v>19.6736</v>
      </c>
      <c r="H125" s="17">
        <v>148236.932</v>
      </c>
      <c r="I125" s="18">
        <f t="shared" si="67"/>
        <v>46.212</v>
      </c>
      <c r="J125" s="17">
        <v>14951.6032</v>
      </c>
      <c r="K125" s="20">
        <f t="shared" si="68"/>
        <v>31.5472</v>
      </c>
      <c r="L125" s="17">
        <v>84015.922</v>
      </c>
      <c r="M125" s="18">
        <f t="shared" si="69"/>
        <v>80.6004</v>
      </c>
      <c r="N125" s="17">
        <v>100919.542</v>
      </c>
      <c r="O125" s="18">
        <f t="shared" si="70"/>
        <v>47.582</v>
      </c>
      <c r="P125" s="17">
        <v>143106.64</v>
      </c>
      <c r="Q125" s="18">
        <f t="shared" si="71"/>
        <v>105.824</v>
      </c>
      <c r="R125" s="17">
        <v>933526.592</v>
      </c>
      <c r="S125" s="18">
        <f t="shared" si="72"/>
        <v>420.48</v>
      </c>
      <c r="T125" s="17">
        <v>55054.1056</v>
      </c>
      <c r="U125" s="18">
        <f t="shared" si="74"/>
        <v>4.0512</v>
      </c>
      <c r="V125" s="14">
        <f t="shared" si="63"/>
        <v>958.7254</v>
      </c>
    </row>
    <row r="126">
      <c r="A126" s="32" t="s">
        <v>82</v>
      </c>
      <c r="B126" s="17">
        <v>237619.26</v>
      </c>
      <c r="C126" s="18">
        <f t="shared" si="64"/>
        <v>195.241</v>
      </c>
      <c r="D126" s="17">
        <v>139748.569</v>
      </c>
      <c r="E126" s="18">
        <f t="shared" si="65"/>
        <v>44.025</v>
      </c>
      <c r="F126" s="17">
        <v>64829.265</v>
      </c>
      <c r="G126" s="18">
        <f t="shared" si="66"/>
        <v>21.4954</v>
      </c>
      <c r="H126" s="17">
        <v>148281.5693</v>
      </c>
      <c r="I126" s="18">
        <f t="shared" si="67"/>
        <v>44.6373</v>
      </c>
      <c r="J126" s="17">
        <v>14985.365</v>
      </c>
      <c r="K126" s="20">
        <f t="shared" si="68"/>
        <v>33.7618</v>
      </c>
      <c r="L126" s="17">
        <v>84102.599</v>
      </c>
      <c r="M126" s="18">
        <f t="shared" si="69"/>
        <v>86.677</v>
      </c>
      <c r="N126" s="17">
        <v>100949.56</v>
      </c>
      <c r="O126" s="18">
        <f t="shared" si="70"/>
        <v>30.018</v>
      </c>
      <c r="P126" s="17">
        <v>143201.56</v>
      </c>
      <c r="Q126" s="18">
        <f t="shared" si="71"/>
        <v>94.92</v>
      </c>
      <c r="R126" s="17">
        <v>933924.566</v>
      </c>
      <c r="S126" s="18">
        <f t="shared" si="72"/>
        <v>397.974</v>
      </c>
      <c r="T126" s="17">
        <v>55055.665</v>
      </c>
      <c r="U126" s="18">
        <f t="shared" si="74"/>
        <v>1.5594</v>
      </c>
      <c r="V126" s="14">
        <f t="shared" si="63"/>
        <v>950.3089</v>
      </c>
    </row>
    <row r="127">
      <c r="A127" s="32" t="s">
        <v>83</v>
      </c>
      <c r="B127" s="17">
        <v>237815.424</v>
      </c>
      <c r="C127" s="18">
        <f t="shared" si="64"/>
        <v>196.164</v>
      </c>
      <c r="D127" s="17">
        <v>139799.232</v>
      </c>
      <c r="E127" s="18">
        <f t="shared" si="65"/>
        <v>50.663</v>
      </c>
      <c r="F127" s="17">
        <v>64846.1569</v>
      </c>
      <c r="G127" s="18">
        <f t="shared" si="66"/>
        <v>16.8919</v>
      </c>
      <c r="H127" s="17">
        <v>148344.896</v>
      </c>
      <c r="I127" s="18">
        <f t="shared" si="67"/>
        <v>63.3267</v>
      </c>
      <c r="J127" s="17">
        <v>15018.5963</v>
      </c>
      <c r="K127" s="20">
        <f t="shared" si="68"/>
        <v>33.2313</v>
      </c>
      <c r="L127" s="17">
        <v>84190.549</v>
      </c>
      <c r="M127" s="18">
        <f t="shared" si="69"/>
        <v>87.95</v>
      </c>
      <c r="N127" s="17">
        <v>100998.564</v>
      </c>
      <c r="O127" s="18">
        <f t="shared" si="70"/>
        <v>49.004</v>
      </c>
      <c r="P127" s="17">
        <v>143281.584</v>
      </c>
      <c r="Q127" s="18">
        <f t="shared" si="71"/>
        <v>80.024</v>
      </c>
      <c r="R127" s="17">
        <v>934453.696</v>
      </c>
      <c r="S127" s="18">
        <f t="shared" si="72"/>
        <v>529.13</v>
      </c>
      <c r="T127" s="17">
        <v>55064.862</v>
      </c>
      <c r="U127" s="18">
        <f t="shared" si="74"/>
        <v>9.197</v>
      </c>
      <c r="V127" s="14">
        <f t="shared" si="63"/>
        <v>1115.5819</v>
      </c>
    </row>
    <row r="128">
      <c r="A128" s="32" t="s">
        <v>84</v>
      </c>
      <c r="B128" s="17">
        <v>237964.73</v>
      </c>
      <c r="C128" s="18">
        <f t="shared" si="64"/>
        <v>149.306</v>
      </c>
      <c r="D128" s="17">
        <v>139837.216</v>
      </c>
      <c r="E128" s="18">
        <f t="shared" si="65"/>
        <v>37.984</v>
      </c>
      <c r="F128" s="17">
        <v>64868.0128</v>
      </c>
      <c r="G128" s="18">
        <f t="shared" si="66"/>
        <v>21.8559</v>
      </c>
      <c r="H128" s="17">
        <v>148392.768</v>
      </c>
      <c r="I128" s="18">
        <f t="shared" si="67"/>
        <v>47.872</v>
      </c>
      <c r="J128" s="17">
        <v>15051.4</v>
      </c>
      <c r="K128" s="20">
        <f t="shared" si="68"/>
        <v>32.8037</v>
      </c>
      <c r="L128" s="17">
        <v>84267.04</v>
      </c>
      <c r="M128" s="18">
        <f t="shared" si="69"/>
        <v>76.491</v>
      </c>
      <c r="N128" s="17">
        <v>101027.792</v>
      </c>
      <c r="O128" s="18">
        <f t="shared" si="70"/>
        <v>29.228</v>
      </c>
      <c r="P128" s="17">
        <v>143435.25</v>
      </c>
      <c r="Q128" s="18">
        <f t="shared" si="71"/>
        <v>153.666</v>
      </c>
      <c r="R128" s="17">
        <v>934764.864</v>
      </c>
      <c r="S128" s="18">
        <f t="shared" si="72"/>
        <v>311.168</v>
      </c>
      <c r="T128" s="17">
        <v>55069.576</v>
      </c>
      <c r="U128" s="18">
        <f t="shared" si="74"/>
        <v>4.714</v>
      </c>
      <c r="V128" s="14">
        <f t="shared" si="63"/>
        <v>865.0886</v>
      </c>
    </row>
    <row r="129">
      <c r="A129" s="32" t="s">
        <v>85</v>
      </c>
      <c r="B129" s="17">
        <v>238086.789</v>
      </c>
      <c r="C129" s="18">
        <f t="shared" si="64"/>
        <v>122.059</v>
      </c>
      <c r="D129" s="17">
        <v>139897.368</v>
      </c>
      <c r="E129" s="18">
        <f t="shared" si="65"/>
        <v>60.152</v>
      </c>
      <c r="F129" s="17">
        <v>64885.1968</v>
      </c>
      <c r="G129" s="18">
        <f t="shared" si="66"/>
        <v>17.184</v>
      </c>
      <c r="H129" s="17">
        <v>148447.601</v>
      </c>
      <c r="I129" s="18">
        <f t="shared" si="67"/>
        <v>54.833</v>
      </c>
      <c r="J129" s="17">
        <v>15082.7328</v>
      </c>
      <c r="K129" s="20">
        <f t="shared" si="68"/>
        <v>31.3328</v>
      </c>
      <c r="L129" s="17">
        <v>84345.4081</v>
      </c>
      <c r="M129" s="18">
        <f t="shared" si="69"/>
        <v>78.3681</v>
      </c>
      <c r="N129" s="17">
        <v>101070.361</v>
      </c>
      <c r="O129" s="18">
        <f t="shared" si="70"/>
        <v>42.569</v>
      </c>
      <c r="P129" s="17">
        <v>143622.801</v>
      </c>
      <c r="Q129" s="18">
        <f t="shared" si="71"/>
        <v>187.551</v>
      </c>
      <c r="R129" s="17">
        <v>935222.721</v>
      </c>
      <c r="S129" s="18">
        <f t="shared" si="72"/>
        <v>457.857</v>
      </c>
      <c r="T129" s="17">
        <v>55076.3008</v>
      </c>
      <c r="U129" s="18">
        <f t="shared" si="74"/>
        <v>6.7248</v>
      </c>
      <c r="V129" s="14">
        <f t="shared" si="63"/>
        <v>1058.6307</v>
      </c>
    </row>
    <row r="130">
      <c r="A130" s="32" t="s">
        <v>86</v>
      </c>
      <c r="B130" s="17">
        <v>238245.655</v>
      </c>
      <c r="C130" s="18">
        <f t="shared" si="64"/>
        <v>158.866</v>
      </c>
      <c r="D130" s="17">
        <v>139983.744</v>
      </c>
      <c r="E130" s="18">
        <f t="shared" si="65"/>
        <v>86.376</v>
      </c>
      <c r="F130" s="17">
        <v>64902.8416</v>
      </c>
      <c r="G130" s="18">
        <f t="shared" si="66"/>
        <v>17.6448</v>
      </c>
      <c r="H130" s="17">
        <v>148487.792</v>
      </c>
      <c r="I130" s="18">
        <f t="shared" si="67"/>
        <v>40.191</v>
      </c>
      <c r="J130" s="17">
        <v>15117.4081</v>
      </c>
      <c r="K130" s="20">
        <f t="shared" si="68"/>
        <v>34.6753</v>
      </c>
      <c r="L130" s="17">
        <v>84424.4481</v>
      </c>
      <c r="M130" s="18">
        <f t="shared" si="69"/>
        <v>79.04</v>
      </c>
      <c r="N130" s="17">
        <v>101107.728</v>
      </c>
      <c r="O130" s="18">
        <f t="shared" si="70"/>
        <v>37.367</v>
      </c>
      <c r="P130" s="17">
        <v>143721.776</v>
      </c>
      <c r="Q130" s="18">
        <f t="shared" si="71"/>
        <v>98.975</v>
      </c>
      <c r="R130" s="17">
        <v>935576.768</v>
      </c>
      <c r="S130" s="18">
        <f t="shared" si="72"/>
        <v>354.047</v>
      </c>
      <c r="T130" s="17">
        <v>55082.5216</v>
      </c>
      <c r="U130" s="18">
        <f t="shared" si="74"/>
        <v>6.2208</v>
      </c>
      <c r="V130" s="14">
        <f t="shared" si="63"/>
        <v>913.4029</v>
      </c>
    </row>
    <row r="131">
      <c r="A131" s="32" t="s">
        <v>87</v>
      </c>
      <c r="B131" s="17">
        <v>238399.086</v>
      </c>
      <c r="C131" s="18">
        <f t="shared" si="64"/>
        <v>153.431</v>
      </c>
      <c r="D131" s="17">
        <v>140060.992</v>
      </c>
      <c r="E131" s="18">
        <f t="shared" si="65"/>
        <v>77.248</v>
      </c>
      <c r="F131" s="17">
        <v>64922.2144</v>
      </c>
      <c r="G131" s="18">
        <f t="shared" si="66"/>
        <v>19.3728</v>
      </c>
      <c r="H131" s="17">
        <v>148540.384</v>
      </c>
      <c r="I131" s="18">
        <f t="shared" si="67"/>
        <v>52.592</v>
      </c>
      <c r="J131" s="17">
        <v>15147.128</v>
      </c>
      <c r="K131" s="20">
        <f t="shared" si="68"/>
        <v>29.7199</v>
      </c>
      <c r="L131" s="17">
        <v>84513.9968</v>
      </c>
      <c r="M131" s="18">
        <f t="shared" si="69"/>
        <v>89.5487</v>
      </c>
      <c r="N131" s="17">
        <v>101146.856</v>
      </c>
      <c r="O131" s="18">
        <f t="shared" si="70"/>
        <v>39.128</v>
      </c>
      <c r="P131" s="17">
        <v>143812.448</v>
      </c>
      <c r="Q131" s="18">
        <f t="shared" si="71"/>
        <v>90.672</v>
      </c>
      <c r="R131" s="17">
        <v>936161.28</v>
      </c>
      <c r="S131" s="18">
        <f t="shared" si="72"/>
        <v>584.512</v>
      </c>
      <c r="T131" s="17">
        <v>55088.0</v>
      </c>
      <c r="U131" s="18">
        <f t="shared" si="74"/>
        <v>5.4784</v>
      </c>
      <c r="V131" s="14">
        <f t="shared" si="63"/>
        <v>1141.7028</v>
      </c>
    </row>
    <row r="132">
      <c r="A132" s="28"/>
      <c r="B132" s="19"/>
      <c r="C132" s="18"/>
      <c r="D132" s="19"/>
      <c r="E132" s="18"/>
      <c r="F132" s="19"/>
      <c r="G132" s="18"/>
      <c r="H132" s="19"/>
      <c r="I132" s="18"/>
      <c r="J132" s="19"/>
      <c r="K132" s="20"/>
      <c r="L132" s="19"/>
      <c r="M132" s="18"/>
      <c r="N132" s="19"/>
      <c r="O132" s="18"/>
      <c r="P132" s="19"/>
      <c r="Q132" s="18"/>
      <c r="R132" s="19"/>
      <c r="S132" s="18"/>
      <c r="T132" s="19"/>
      <c r="U132" s="18"/>
      <c r="V132" s="14"/>
    </row>
    <row r="133">
      <c r="A133" s="39">
        <v>45665.0</v>
      </c>
      <c r="B133" s="17">
        <v>238674.016</v>
      </c>
      <c r="C133" s="18">
        <f>B133-B131</f>
        <v>274.93</v>
      </c>
      <c r="D133" s="17">
        <v>140143.888</v>
      </c>
      <c r="E133" s="18">
        <f>D133-D131</f>
        <v>82.896</v>
      </c>
      <c r="F133" s="17">
        <v>64945.4912</v>
      </c>
      <c r="G133" s="18">
        <f>F133-F131</f>
        <v>23.2768</v>
      </c>
      <c r="H133" s="17">
        <v>148599.456</v>
      </c>
      <c r="I133" s="18">
        <f>H133-H131</f>
        <v>59.072</v>
      </c>
      <c r="J133" s="17">
        <v>15186.3264</v>
      </c>
      <c r="K133" s="20">
        <f>J133-J131</f>
        <v>39.1984</v>
      </c>
      <c r="L133" s="17">
        <v>84592.6656</v>
      </c>
      <c r="M133" s="18">
        <f>L133-L131</f>
        <v>78.6688</v>
      </c>
      <c r="N133" s="17">
        <v>101187.592</v>
      </c>
      <c r="O133" s="18">
        <f>N133-N131</f>
        <v>40.736</v>
      </c>
      <c r="P133" s="17">
        <v>143945.696</v>
      </c>
      <c r="Q133" s="18">
        <f>P133-P131</f>
        <v>133.248</v>
      </c>
      <c r="R133" s="17">
        <v>936741.952</v>
      </c>
      <c r="S133" s="18">
        <f>R133-R131</f>
        <v>580.672</v>
      </c>
      <c r="T133" s="17">
        <v>55095.0144</v>
      </c>
      <c r="U133" s="18">
        <f>T133-T131</f>
        <v>7.0144</v>
      </c>
      <c r="V133" s="14">
        <f t="shared" ref="V133:V146" si="75">U133+S133+Q133+O133+M133+K133+I133+G133+E133+C133</f>
        <v>1319.7124</v>
      </c>
    </row>
    <row r="134">
      <c r="A134" s="39">
        <v>45696.0</v>
      </c>
      <c r="B134" s="17">
        <v>238819.648</v>
      </c>
      <c r="C134" s="18">
        <f t="shared" ref="C134:C146" si="76">B134-B133</f>
        <v>145.632</v>
      </c>
      <c r="D134" s="17">
        <v>140185.072</v>
      </c>
      <c r="E134" s="18">
        <f t="shared" ref="E134:E146" si="77">D134-D133</f>
        <v>41.184</v>
      </c>
      <c r="F134" s="17">
        <v>64964.5913</v>
      </c>
      <c r="G134" s="18">
        <f t="shared" ref="G134:G137" si="78">F134-F133</f>
        <v>19.1001</v>
      </c>
      <c r="H134" s="17">
        <v>148646.594</v>
      </c>
      <c r="I134" s="18">
        <f t="shared" ref="I134:I146" si="79">H134-H133</f>
        <v>47.138</v>
      </c>
      <c r="J134" s="17">
        <v>15205.1088</v>
      </c>
      <c r="K134" s="20">
        <f t="shared" ref="K134:K146" si="80">J134-J133</f>
        <v>18.7824</v>
      </c>
      <c r="L134" s="17">
        <v>84639.64899</v>
      </c>
      <c r="M134" s="18">
        <f t="shared" ref="M134:M146" si="81">L134-L133</f>
        <v>46.98339</v>
      </c>
      <c r="N134" s="17">
        <v>101225.596</v>
      </c>
      <c r="O134" s="18">
        <f t="shared" ref="O134:O146" si="82">N134-N133</f>
        <v>38.004</v>
      </c>
      <c r="P134" s="17">
        <v>144042.96</v>
      </c>
      <c r="Q134" s="18">
        <f t="shared" ref="Q134:Q146" si="83">P134-P133</f>
        <v>97.264</v>
      </c>
      <c r="R134" s="17">
        <v>937022.4</v>
      </c>
      <c r="S134" s="18">
        <f t="shared" ref="S134:S146" si="84">R134-R133</f>
        <v>280.448</v>
      </c>
      <c r="T134" s="17">
        <v>55100.256</v>
      </c>
      <c r="U134" s="18">
        <f t="shared" ref="U134:U146" si="85">T134-T133</f>
        <v>5.2416</v>
      </c>
      <c r="V134" s="14">
        <f t="shared" si="75"/>
        <v>739.77749</v>
      </c>
    </row>
    <row r="135">
      <c r="A135" s="39">
        <v>45724.0</v>
      </c>
      <c r="B135" s="17">
        <v>238969.92</v>
      </c>
      <c r="C135" s="18">
        <f t="shared" si="76"/>
        <v>150.272</v>
      </c>
      <c r="D135" s="17">
        <v>140231.328</v>
      </c>
      <c r="E135" s="18">
        <f t="shared" si="77"/>
        <v>46.256</v>
      </c>
      <c r="F135" s="17">
        <v>64984.786</v>
      </c>
      <c r="G135" s="18">
        <f t="shared" si="78"/>
        <v>20.1947</v>
      </c>
      <c r="H135" s="17">
        <v>148697.543</v>
      </c>
      <c r="I135" s="18">
        <f t="shared" si="79"/>
        <v>50.949</v>
      </c>
      <c r="J135" s="17">
        <v>15236.259</v>
      </c>
      <c r="K135" s="20">
        <f t="shared" si="80"/>
        <v>31.1502</v>
      </c>
      <c r="L135" s="17">
        <v>84745.888</v>
      </c>
      <c r="M135" s="18">
        <f t="shared" si="81"/>
        <v>106.23901</v>
      </c>
      <c r="N135" s="17">
        <v>101263.96</v>
      </c>
      <c r="O135" s="18">
        <f t="shared" si="82"/>
        <v>38.364</v>
      </c>
      <c r="P135" s="17">
        <v>144208.176</v>
      </c>
      <c r="Q135" s="18">
        <f t="shared" si="83"/>
        <v>165.216</v>
      </c>
      <c r="R135" s="17">
        <v>937523.548</v>
      </c>
      <c r="S135" s="18">
        <f t="shared" si="84"/>
        <v>501.148</v>
      </c>
      <c r="T135" s="17">
        <v>55105.691</v>
      </c>
      <c r="U135" s="18">
        <f t="shared" si="85"/>
        <v>5.435</v>
      </c>
      <c r="V135" s="14">
        <f t="shared" si="75"/>
        <v>1115.22391</v>
      </c>
    </row>
    <row r="136">
      <c r="A136" s="39">
        <v>45755.0</v>
      </c>
      <c r="B136" s="17">
        <v>239066.592</v>
      </c>
      <c r="C136" s="18">
        <f t="shared" si="76"/>
        <v>96.672</v>
      </c>
      <c r="D136" s="17">
        <v>140247.056</v>
      </c>
      <c r="E136" s="18">
        <f t="shared" si="77"/>
        <v>15.728</v>
      </c>
      <c r="F136" s="17">
        <v>64999.7312</v>
      </c>
      <c r="G136" s="18">
        <f t="shared" si="78"/>
        <v>14.9452</v>
      </c>
      <c r="H136" s="17">
        <v>148741.84</v>
      </c>
      <c r="I136" s="18">
        <f t="shared" si="79"/>
        <v>44.297</v>
      </c>
      <c r="J136" s="17">
        <v>15262.5776</v>
      </c>
      <c r="K136" s="20">
        <f t="shared" si="80"/>
        <v>26.3186</v>
      </c>
      <c r="L136" s="17">
        <v>84838.8672</v>
      </c>
      <c r="M136" s="18">
        <f t="shared" si="81"/>
        <v>92.9792</v>
      </c>
      <c r="N136" s="17">
        <v>101293.696</v>
      </c>
      <c r="O136" s="18">
        <f t="shared" si="82"/>
        <v>29.736</v>
      </c>
      <c r="P136" s="17">
        <v>144307.2</v>
      </c>
      <c r="Q136" s="18">
        <f t="shared" si="83"/>
        <v>99.024</v>
      </c>
      <c r="R136" s="17">
        <v>937833.792</v>
      </c>
      <c r="S136" s="18">
        <f t="shared" si="84"/>
        <v>310.244</v>
      </c>
      <c r="T136" s="17">
        <v>55110.098</v>
      </c>
      <c r="U136" s="18">
        <f t="shared" si="85"/>
        <v>4.407</v>
      </c>
      <c r="V136" s="14">
        <f t="shared" si="75"/>
        <v>734.351</v>
      </c>
    </row>
    <row r="137">
      <c r="A137" s="39">
        <v>45785.0</v>
      </c>
      <c r="B137" s="17">
        <v>239256.704</v>
      </c>
      <c r="C137" s="18">
        <f t="shared" si="76"/>
        <v>190.112</v>
      </c>
      <c r="D137" s="17">
        <v>140283.664</v>
      </c>
      <c r="E137" s="18">
        <f t="shared" si="77"/>
        <v>36.608</v>
      </c>
      <c r="F137" s="17">
        <v>65015.2384</v>
      </c>
      <c r="G137" s="18">
        <f t="shared" si="78"/>
        <v>15.5072</v>
      </c>
      <c r="H137" s="17">
        <v>148787.121</v>
      </c>
      <c r="I137" s="18">
        <f t="shared" si="79"/>
        <v>45.281</v>
      </c>
      <c r="J137" s="17">
        <v>15293.4928</v>
      </c>
      <c r="K137" s="20">
        <f t="shared" si="80"/>
        <v>30.9152</v>
      </c>
      <c r="L137" s="17">
        <v>84958.0928</v>
      </c>
      <c r="M137" s="18">
        <f t="shared" si="81"/>
        <v>119.2256</v>
      </c>
      <c r="N137" s="17">
        <v>101334.8</v>
      </c>
      <c r="O137" s="18">
        <f t="shared" si="82"/>
        <v>41.104</v>
      </c>
      <c r="P137" s="17">
        <v>144409.664</v>
      </c>
      <c r="Q137" s="18">
        <f t="shared" si="83"/>
        <v>102.464</v>
      </c>
      <c r="R137" s="17">
        <v>938374.336</v>
      </c>
      <c r="S137" s="18">
        <f t="shared" si="84"/>
        <v>540.544</v>
      </c>
      <c r="T137" s="17">
        <v>55116.648</v>
      </c>
      <c r="U137" s="18">
        <f t="shared" si="85"/>
        <v>6.55</v>
      </c>
      <c r="V137" s="14">
        <f t="shared" si="75"/>
        <v>1128.311</v>
      </c>
    </row>
    <row r="138">
      <c r="A138" s="39">
        <v>45816.0</v>
      </c>
      <c r="B138" s="17">
        <v>239423.136</v>
      </c>
      <c r="C138" s="18">
        <f t="shared" si="76"/>
        <v>166.432</v>
      </c>
      <c r="D138" s="17">
        <v>140317.648</v>
      </c>
      <c r="E138" s="18">
        <f t="shared" si="77"/>
        <v>33.984</v>
      </c>
      <c r="F138" s="17">
        <v>65024.0961</v>
      </c>
      <c r="G138" s="18">
        <f>C138</f>
        <v>166.432</v>
      </c>
      <c r="H138" s="17">
        <v>148834.544</v>
      </c>
      <c r="I138" s="18">
        <f t="shared" si="79"/>
        <v>47.423</v>
      </c>
      <c r="J138" s="17">
        <v>15324.4032</v>
      </c>
      <c r="K138" s="20">
        <f t="shared" si="80"/>
        <v>30.9104</v>
      </c>
      <c r="L138" s="17">
        <v>85058.5088</v>
      </c>
      <c r="M138" s="18">
        <f t="shared" si="81"/>
        <v>100.416</v>
      </c>
      <c r="N138" s="17">
        <v>101375.992</v>
      </c>
      <c r="O138" s="18">
        <f t="shared" si="82"/>
        <v>41.192</v>
      </c>
      <c r="P138" s="17">
        <v>144487.536</v>
      </c>
      <c r="Q138" s="18">
        <f t="shared" si="83"/>
        <v>77.872</v>
      </c>
      <c r="R138" s="17">
        <v>938811.904</v>
      </c>
      <c r="S138" s="18">
        <f t="shared" si="84"/>
        <v>437.568</v>
      </c>
      <c r="T138" s="17">
        <v>55123.1552</v>
      </c>
      <c r="U138" s="18">
        <f t="shared" si="85"/>
        <v>6.5072</v>
      </c>
      <c r="V138" s="14">
        <f t="shared" si="75"/>
        <v>1108.7366</v>
      </c>
    </row>
    <row r="139">
      <c r="A139" s="39">
        <v>45846.0</v>
      </c>
      <c r="B139" s="17">
        <v>239549.584</v>
      </c>
      <c r="C139" s="18">
        <f t="shared" si="76"/>
        <v>126.448</v>
      </c>
      <c r="D139" s="17">
        <v>140352.672</v>
      </c>
      <c r="E139" s="18">
        <f t="shared" si="77"/>
        <v>35.024</v>
      </c>
      <c r="F139" s="17">
        <v>65039.762</v>
      </c>
      <c r="G139" s="18">
        <f t="shared" ref="G139:G146" si="86">F139-F138</f>
        <v>15.6659</v>
      </c>
      <c r="H139" s="17">
        <v>148881.795</v>
      </c>
      <c r="I139" s="18">
        <f t="shared" si="79"/>
        <v>47.251</v>
      </c>
      <c r="J139" s="17">
        <v>15353.1456</v>
      </c>
      <c r="K139" s="20">
        <f t="shared" si="80"/>
        <v>28.7424</v>
      </c>
      <c r="L139" s="17">
        <v>85148.1256</v>
      </c>
      <c r="M139" s="18">
        <f t="shared" si="81"/>
        <v>89.6168</v>
      </c>
      <c r="N139" s="17">
        <v>101414.648</v>
      </c>
      <c r="O139" s="18">
        <f t="shared" si="82"/>
        <v>38.656</v>
      </c>
      <c r="P139" s="17">
        <v>144562.566</v>
      </c>
      <c r="Q139" s="18">
        <f t="shared" si="83"/>
        <v>75.03</v>
      </c>
      <c r="R139" s="17">
        <v>939172.569</v>
      </c>
      <c r="S139" s="18">
        <f t="shared" si="84"/>
        <v>360.665</v>
      </c>
      <c r="T139" s="17">
        <v>55129.561</v>
      </c>
      <c r="U139" s="18">
        <f t="shared" si="85"/>
        <v>6.4058</v>
      </c>
      <c r="V139" s="14">
        <f t="shared" si="75"/>
        <v>823.5049</v>
      </c>
    </row>
    <row r="140">
      <c r="A140" s="39">
        <v>45877.0</v>
      </c>
      <c r="B140" s="17">
        <v>239706.464</v>
      </c>
      <c r="C140" s="18">
        <f t="shared" si="76"/>
        <v>156.88</v>
      </c>
      <c r="D140" s="17">
        <v>140398.32</v>
      </c>
      <c r="E140" s="18">
        <f t="shared" si="77"/>
        <v>45.648</v>
      </c>
      <c r="F140" s="17">
        <v>65055.0208</v>
      </c>
      <c r="G140" s="18">
        <f t="shared" si="86"/>
        <v>15.2588</v>
      </c>
      <c r="H140" s="17">
        <v>148932.112</v>
      </c>
      <c r="I140" s="18">
        <f t="shared" si="79"/>
        <v>50.317</v>
      </c>
      <c r="J140" s="17">
        <v>15391.6176</v>
      </c>
      <c r="K140" s="20">
        <f t="shared" si="80"/>
        <v>38.472</v>
      </c>
      <c r="L140" s="17">
        <v>85241.92</v>
      </c>
      <c r="M140" s="18">
        <f t="shared" si="81"/>
        <v>93.7944</v>
      </c>
      <c r="N140" s="17">
        <v>101460.16</v>
      </c>
      <c r="O140" s="18">
        <f t="shared" si="82"/>
        <v>45.512</v>
      </c>
      <c r="P140" s="17">
        <v>144666.864</v>
      </c>
      <c r="Q140" s="18">
        <f t="shared" si="83"/>
        <v>104.298</v>
      </c>
      <c r="R140" s="17">
        <v>939632.448</v>
      </c>
      <c r="S140" s="18">
        <f t="shared" si="84"/>
        <v>459.879</v>
      </c>
      <c r="T140" s="17">
        <v>55136.888</v>
      </c>
      <c r="U140" s="18">
        <f t="shared" si="85"/>
        <v>7.327</v>
      </c>
      <c r="V140" s="14">
        <f t="shared" si="75"/>
        <v>1017.3862</v>
      </c>
    </row>
    <row r="141">
      <c r="A141" s="39">
        <v>45908.0</v>
      </c>
      <c r="B141" s="17">
        <v>239845.265</v>
      </c>
      <c r="C141" s="18">
        <f t="shared" si="76"/>
        <v>138.801</v>
      </c>
      <c r="D141" s="17">
        <v>140440.566</v>
      </c>
      <c r="E141" s="18">
        <f t="shared" si="77"/>
        <v>42.246</v>
      </c>
      <c r="F141" s="17">
        <v>65068.26</v>
      </c>
      <c r="G141" s="18">
        <f t="shared" si="86"/>
        <v>13.2392</v>
      </c>
      <c r="H141" s="17">
        <v>148961.256</v>
      </c>
      <c r="I141" s="18">
        <f t="shared" si="79"/>
        <v>29.144</v>
      </c>
      <c r="J141" s="17">
        <v>15415.265</v>
      </c>
      <c r="K141" s="20">
        <f t="shared" si="80"/>
        <v>23.6474</v>
      </c>
      <c r="L141" s="17">
        <v>85298.888</v>
      </c>
      <c r="M141" s="18">
        <f t="shared" si="81"/>
        <v>56.968</v>
      </c>
      <c r="N141" s="17">
        <v>101492.256</v>
      </c>
      <c r="O141" s="18">
        <f t="shared" si="82"/>
        <v>32.096</v>
      </c>
      <c r="P141" s="17">
        <v>144739.566</v>
      </c>
      <c r="Q141" s="18">
        <f t="shared" si="83"/>
        <v>72.702</v>
      </c>
      <c r="R141" s="17">
        <v>939940.58</v>
      </c>
      <c r="S141" s="18">
        <f t="shared" si="84"/>
        <v>308.132</v>
      </c>
      <c r="T141" s="17">
        <v>55140.568</v>
      </c>
      <c r="U141" s="18">
        <f t="shared" si="85"/>
        <v>3.68</v>
      </c>
      <c r="V141" s="14">
        <f t="shared" si="75"/>
        <v>720.6556</v>
      </c>
    </row>
    <row r="142">
      <c r="A142" s="39">
        <v>45938.0</v>
      </c>
      <c r="B142" s="17">
        <v>239949.595</v>
      </c>
      <c r="C142" s="18">
        <f t="shared" si="76"/>
        <v>104.33</v>
      </c>
      <c r="D142" s="17">
        <v>140478.496</v>
      </c>
      <c r="E142" s="18">
        <f t="shared" si="77"/>
        <v>37.93</v>
      </c>
      <c r="F142" s="17">
        <v>65081.264</v>
      </c>
      <c r="G142" s="18">
        <f t="shared" si="86"/>
        <v>13.004</v>
      </c>
      <c r="H142" s="17">
        <v>148991.2</v>
      </c>
      <c r="I142" s="18">
        <f t="shared" si="79"/>
        <v>29.944</v>
      </c>
      <c r="J142" s="17">
        <v>15429.165</v>
      </c>
      <c r="K142" s="20">
        <f t="shared" si="80"/>
        <v>13.9</v>
      </c>
      <c r="L142" s="17">
        <v>85355.4368</v>
      </c>
      <c r="M142" s="18">
        <f t="shared" si="81"/>
        <v>56.5488</v>
      </c>
      <c r="N142" s="17">
        <v>101528.855</v>
      </c>
      <c r="O142" s="18">
        <f t="shared" si="82"/>
        <v>36.599</v>
      </c>
      <c r="P142" s="17">
        <v>144811.163</v>
      </c>
      <c r="Q142" s="18">
        <f t="shared" si="83"/>
        <v>71.597</v>
      </c>
      <c r="R142" s="17">
        <v>940266.56</v>
      </c>
      <c r="S142" s="18">
        <f t="shared" si="84"/>
        <v>325.98</v>
      </c>
      <c r="T142" s="17">
        <v>55146.5695</v>
      </c>
      <c r="U142" s="18">
        <f t="shared" si="85"/>
        <v>6.0015</v>
      </c>
      <c r="V142" s="14">
        <f t="shared" si="75"/>
        <v>695.8343</v>
      </c>
    </row>
    <row r="143">
      <c r="A143" s="39">
        <v>45969.0</v>
      </c>
      <c r="B143" s="17">
        <v>240054.296</v>
      </c>
      <c r="C143" s="18">
        <f t="shared" si="76"/>
        <v>104.701</v>
      </c>
      <c r="D143" s="17">
        <v>140520.56</v>
      </c>
      <c r="E143" s="18">
        <f t="shared" si="77"/>
        <v>42.064</v>
      </c>
      <c r="F143" s="17">
        <v>65093.1964</v>
      </c>
      <c r="G143" s="18">
        <f t="shared" si="86"/>
        <v>11.9324</v>
      </c>
      <c r="H143" s="17">
        <v>149022.656</v>
      </c>
      <c r="I143" s="18">
        <f t="shared" si="79"/>
        <v>31.456</v>
      </c>
      <c r="J143" s="17">
        <v>15456.9936</v>
      </c>
      <c r="K143" s="20">
        <f t="shared" si="80"/>
        <v>27.8286</v>
      </c>
      <c r="L143" s="17">
        <v>85410.5088</v>
      </c>
      <c r="M143" s="18">
        <f t="shared" si="81"/>
        <v>55.072</v>
      </c>
      <c r="N143" s="17">
        <v>101559.566</v>
      </c>
      <c r="O143" s="18">
        <f t="shared" si="82"/>
        <v>30.711</v>
      </c>
      <c r="P143" s="17">
        <v>144892.26</v>
      </c>
      <c r="Q143" s="18">
        <f t="shared" si="83"/>
        <v>81.097</v>
      </c>
      <c r="R143" s="17">
        <v>940576.248</v>
      </c>
      <c r="S143" s="18">
        <f t="shared" si="84"/>
        <v>309.688</v>
      </c>
      <c r="T143" s="17">
        <v>55152.659</v>
      </c>
      <c r="U143" s="18">
        <f t="shared" si="85"/>
        <v>6.0895</v>
      </c>
      <c r="V143" s="14">
        <f t="shared" si="75"/>
        <v>700.6395</v>
      </c>
    </row>
    <row r="144">
      <c r="A144" s="39">
        <v>45999.0</v>
      </c>
      <c r="B144" s="17">
        <v>240201.25</v>
      </c>
      <c r="C144" s="18">
        <f t="shared" si="76"/>
        <v>146.954</v>
      </c>
      <c r="D144" s="17">
        <v>140565.256</v>
      </c>
      <c r="E144" s="18">
        <f t="shared" si="77"/>
        <v>44.696</v>
      </c>
      <c r="F144" s="17">
        <v>65110.26</v>
      </c>
      <c r="G144" s="18">
        <f t="shared" si="86"/>
        <v>17.0636</v>
      </c>
      <c r="H144" s="17">
        <v>149067.566</v>
      </c>
      <c r="I144" s="18">
        <f t="shared" si="79"/>
        <v>44.91</v>
      </c>
      <c r="J144" s="17">
        <v>15489.26</v>
      </c>
      <c r="K144" s="20">
        <f t="shared" si="80"/>
        <v>32.2664</v>
      </c>
      <c r="L144" s="17">
        <v>85490.566</v>
      </c>
      <c r="M144" s="18">
        <f t="shared" si="81"/>
        <v>80.0572</v>
      </c>
      <c r="N144" s="17">
        <v>101609.56</v>
      </c>
      <c r="O144" s="18">
        <f t="shared" si="82"/>
        <v>49.994</v>
      </c>
      <c r="P144" s="17">
        <v>145016.325</v>
      </c>
      <c r="Q144" s="18">
        <f t="shared" si="83"/>
        <v>124.065</v>
      </c>
      <c r="R144" s="17">
        <v>940998.599</v>
      </c>
      <c r="S144" s="18">
        <f t="shared" si="84"/>
        <v>422.351</v>
      </c>
      <c r="T144" s="17">
        <v>55158.65</v>
      </c>
      <c r="U144" s="18">
        <f t="shared" si="85"/>
        <v>5.991</v>
      </c>
      <c r="V144" s="14">
        <f t="shared" si="75"/>
        <v>968.3482</v>
      </c>
    </row>
    <row r="145">
      <c r="A145" s="32" t="s">
        <v>88</v>
      </c>
      <c r="B145" s="17">
        <v>240408.032</v>
      </c>
      <c r="C145" s="18">
        <f t="shared" si="76"/>
        <v>206.782</v>
      </c>
      <c r="D145" s="17">
        <v>140620.368</v>
      </c>
      <c r="E145" s="18">
        <f t="shared" si="77"/>
        <v>55.112</v>
      </c>
      <c r="F145" s="17">
        <v>65125.7664</v>
      </c>
      <c r="G145" s="18">
        <f t="shared" si="86"/>
        <v>15.5064</v>
      </c>
      <c r="H145" s="17">
        <v>149109.292</v>
      </c>
      <c r="I145" s="18">
        <f t="shared" si="79"/>
        <v>41.726</v>
      </c>
      <c r="J145" s="17">
        <v>15528.7792</v>
      </c>
      <c r="K145" s="20">
        <f t="shared" si="80"/>
        <v>39.5192</v>
      </c>
      <c r="L145" s="17">
        <v>85582.464</v>
      </c>
      <c r="M145" s="18">
        <f t="shared" si="81"/>
        <v>91.898</v>
      </c>
      <c r="N145" s="17">
        <v>101650.576</v>
      </c>
      <c r="O145" s="18">
        <f t="shared" si="82"/>
        <v>41.016</v>
      </c>
      <c r="P145" s="17">
        <v>145139.041</v>
      </c>
      <c r="Q145" s="18">
        <f t="shared" si="83"/>
        <v>122.716</v>
      </c>
      <c r="R145" s="17">
        <v>941429.696</v>
      </c>
      <c r="S145" s="18">
        <f t="shared" si="84"/>
        <v>431.097</v>
      </c>
      <c r="T145" s="17">
        <v>55165.4464</v>
      </c>
      <c r="U145" s="18">
        <f t="shared" si="85"/>
        <v>6.7964</v>
      </c>
      <c r="V145" s="14">
        <f t="shared" si="75"/>
        <v>1052.169</v>
      </c>
    </row>
    <row r="146">
      <c r="A146" s="32" t="s">
        <v>89</v>
      </c>
      <c r="B146" s="17">
        <v>240553.632</v>
      </c>
      <c r="C146" s="18">
        <f t="shared" si="76"/>
        <v>145.6</v>
      </c>
      <c r="D146" s="17">
        <v>140664.128</v>
      </c>
      <c r="E146" s="18">
        <f t="shared" si="77"/>
        <v>43.76</v>
      </c>
      <c r="F146" s="17">
        <v>65141.7216</v>
      </c>
      <c r="G146" s="18">
        <f t="shared" si="86"/>
        <v>15.9552</v>
      </c>
      <c r="H146" s="17">
        <v>149158.16</v>
      </c>
      <c r="I146" s="18">
        <f t="shared" si="79"/>
        <v>48.868</v>
      </c>
      <c r="J146" s="17">
        <v>15560.1168</v>
      </c>
      <c r="K146" s="20">
        <f t="shared" si="80"/>
        <v>31.3376</v>
      </c>
      <c r="L146" s="17">
        <v>85670.3616</v>
      </c>
      <c r="M146" s="18">
        <f t="shared" si="81"/>
        <v>87.8976</v>
      </c>
      <c r="N146" s="17">
        <v>101684.336</v>
      </c>
      <c r="O146" s="18">
        <f t="shared" si="82"/>
        <v>33.76</v>
      </c>
      <c r="P146" s="17">
        <v>145220.0</v>
      </c>
      <c r="Q146" s="18">
        <f t="shared" si="83"/>
        <v>80.959</v>
      </c>
      <c r="R146" s="17">
        <v>941828.352</v>
      </c>
      <c r="S146" s="18">
        <f t="shared" si="84"/>
        <v>398.656</v>
      </c>
      <c r="T146" s="17">
        <v>55171.0272</v>
      </c>
      <c r="U146" s="18">
        <f t="shared" si="85"/>
        <v>5.5808</v>
      </c>
      <c r="V146" s="14">
        <f t="shared" si="75"/>
        <v>892.3742</v>
      </c>
    </row>
    <row r="147">
      <c r="A147" s="32" t="s">
        <v>90</v>
      </c>
      <c r="B147" s="19"/>
      <c r="C147" s="18"/>
      <c r="D147" s="19"/>
      <c r="E147" s="18"/>
      <c r="F147" s="19"/>
      <c r="G147" s="18"/>
      <c r="H147" s="19"/>
      <c r="I147" s="18"/>
      <c r="J147" s="19"/>
      <c r="K147" s="20"/>
      <c r="L147" s="19"/>
      <c r="M147" s="18"/>
      <c r="N147" s="19"/>
      <c r="O147" s="18"/>
      <c r="P147" s="19"/>
      <c r="Q147" s="18"/>
      <c r="R147" s="19"/>
      <c r="S147" s="18"/>
      <c r="T147" s="19"/>
      <c r="U147" s="18"/>
      <c r="V147" s="14"/>
    </row>
    <row r="148">
      <c r="A148" s="32" t="s">
        <v>91</v>
      </c>
      <c r="B148" s="17">
        <v>240734.768</v>
      </c>
      <c r="C148" s="18">
        <f>B148-B146</f>
        <v>181.136</v>
      </c>
      <c r="D148" s="17">
        <v>140717.312</v>
      </c>
      <c r="E148" s="18">
        <f>D148-D146</f>
        <v>53.184</v>
      </c>
      <c r="F148" s="17">
        <v>65162.1696</v>
      </c>
      <c r="G148" s="18">
        <f>F148-F146</f>
        <v>20.448</v>
      </c>
      <c r="H148" s="17">
        <v>149243.68</v>
      </c>
      <c r="I148" s="18">
        <f>H148-H146</f>
        <v>85.52</v>
      </c>
      <c r="J148" s="17">
        <v>15602.6096</v>
      </c>
      <c r="K148" s="20">
        <f>J148-J146</f>
        <v>42.4928</v>
      </c>
      <c r="L148" s="17">
        <v>85800.1472</v>
      </c>
      <c r="M148" s="18">
        <f>L148-L146</f>
        <v>129.7856</v>
      </c>
      <c r="N148" s="17">
        <v>101757.128</v>
      </c>
      <c r="O148" s="18">
        <f>N148-N146</f>
        <v>72.792</v>
      </c>
      <c r="P148" s="17">
        <v>145339.296</v>
      </c>
      <c r="Q148" s="18">
        <f>P148-P146</f>
        <v>119.296</v>
      </c>
      <c r="R148" s="17">
        <v>942227.008</v>
      </c>
      <c r="S148" s="18">
        <f>R148-R146</f>
        <v>398.656</v>
      </c>
      <c r="T148" s="17">
        <v>55178.0672</v>
      </c>
      <c r="U148" s="18">
        <f>T148-T146</f>
        <v>7.04</v>
      </c>
      <c r="V148" s="14">
        <f t="shared" ref="V148:V163" si="87">U148+S148+Q148+O148+M148+K148+I148+G148+E148+C148</f>
        <v>1110.3504</v>
      </c>
    </row>
    <row r="149">
      <c r="A149" s="32" t="s">
        <v>92</v>
      </c>
      <c r="B149" s="17">
        <v>240888.26</v>
      </c>
      <c r="C149" s="18">
        <f t="shared" ref="C149:C163" si="88">B149-B148</f>
        <v>153.492</v>
      </c>
      <c r="D149" s="17">
        <v>140754.26</v>
      </c>
      <c r="E149" s="18">
        <f t="shared" ref="E149:E163" si="89">D149-D148</f>
        <v>36.948</v>
      </c>
      <c r="F149" s="17">
        <v>65179.26</v>
      </c>
      <c r="G149" s="18">
        <f t="shared" ref="G149:G156" si="90">F149-F148</f>
        <v>17.0904</v>
      </c>
      <c r="H149" s="17">
        <v>149286.26</v>
      </c>
      <c r="I149" s="18">
        <f t="shared" ref="I149:I163" si="91">H149-H148</f>
        <v>42.58</v>
      </c>
      <c r="J149" s="17">
        <v>15629.26</v>
      </c>
      <c r="K149" s="20">
        <f t="shared" ref="K149:K163" si="92">J149-J148</f>
        <v>26.6504</v>
      </c>
      <c r="L149" s="17">
        <v>85898.26</v>
      </c>
      <c r="M149" s="18">
        <f t="shared" ref="M149:M163" si="93">L149-L148</f>
        <v>98.1128</v>
      </c>
      <c r="N149" s="17">
        <v>101789.26</v>
      </c>
      <c r="O149" s="18">
        <f t="shared" ref="O149:O163" si="94">N149-N148</f>
        <v>32.132</v>
      </c>
      <c r="P149" s="17">
        <v>145395.266</v>
      </c>
      <c r="Q149" s="18">
        <f t="shared" ref="Q149:Q163" si="95">P149-P148</f>
        <v>55.97</v>
      </c>
      <c r="R149" s="17">
        <v>942584.125</v>
      </c>
      <c r="S149" s="18">
        <f t="shared" ref="S149:S163" si="96">R149-R148</f>
        <v>357.117</v>
      </c>
      <c r="T149" s="17">
        <v>55184.25</v>
      </c>
      <c r="U149" s="18">
        <f t="shared" ref="U149:U163" si="97">T149-T148</f>
        <v>6.1828</v>
      </c>
      <c r="V149" s="14">
        <f t="shared" si="87"/>
        <v>826.2754</v>
      </c>
    </row>
    <row r="150">
      <c r="A150" s="32" t="s">
        <v>93</v>
      </c>
      <c r="B150" s="17">
        <v>240981.088</v>
      </c>
      <c r="C150" s="18">
        <f t="shared" si="88"/>
        <v>92.828</v>
      </c>
      <c r="D150" s="17">
        <v>140788.208</v>
      </c>
      <c r="E150" s="18">
        <f t="shared" si="89"/>
        <v>33.948</v>
      </c>
      <c r="F150" s="17">
        <v>65189.944</v>
      </c>
      <c r="G150" s="18">
        <f t="shared" si="90"/>
        <v>10.684</v>
      </c>
      <c r="H150" s="17">
        <v>149340.08</v>
      </c>
      <c r="I150" s="18">
        <f t="shared" si="91"/>
        <v>53.82</v>
      </c>
      <c r="J150" s="17">
        <v>15659.3681</v>
      </c>
      <c r="K150" s="20">
        <f t="shared" si="92"/>
        <v>30.1081</v>
      </c>
      <c r="L150" s="17">
        <v>85977.8688</v>
      </c>
      <c r="M150" s="18">
        <f t="shared" si="93"/>
        <v>79.6088</v>
      </c>
      <c r="N150" s="17">
        <v>101819.552</v>
      </c>
      <c r="O150" s="18">
        <f t="shared" si="94"/>
        <v>30.292</v>
      </c>
      <c r="P150" s="17">
        <v>145490.48</v>
      </c>
      <c r="Q150" s="18">
        <f t="shared" si="95"/>
        <v>95.214</v>
      </c>
      <c r="R150" s="17">
        <v>942798.592</v>
      </c>
      <c r="S150" s="18">
        <f t="shared" si="96"/>
        <v>214.467</v>
      </c>
      <c r="T150" s="17">
        <v>55190.2015</v>
      </c>
      <c r="U150" s="18">
        <f t="shared" si="97"/>
        <v>5.9515</v>
      </c>
      <c r="V150" s="14">
        <f t="shared" si="87"/>
        <v>646.9214</v>
      </c>
    </row>
    <row r="151">
      <c r="A151" s="32" t="s">
        <v>94</v>
      </c>
      <c r="B151" s="17">
        <v>241152.816</v>
      </c>
      <c r="C151" s="18">
        <f t="shared" si="88"/>
        <v>171.728</v>
      </c>
      <c r="D151" s="17">
        <v>140830.736</v>
      </c>
      <c r="E151" s="18">
        <f t="shared" si="89"/>
        <v>42.528</v>
      </c>
      <c r="F151" s="17">
        <v>65199.2192</v>
      </c>
      <c r="G151" s="18">
        <f t="shared" si="90"/>
        <v>9.2752</v>
      </c>
      <c r="H151" s="17">
        <v>149392.4</v>
      </c>
      <c r="I151" s="18">
        <f t="shared" si="91"/>
        <v>52.32</v>
      </c>
      <c r="J151" s="17">
        <v>15689.0336</v>
      </c>
      <c r="K151" s="20">
        <f t="shared" si="92"/>
        <v>29.6655</v>
      </c>
      <c r="L151" s="17">
        <v>86025.496</v>
      </c>
      <c r="M151" s="18">
        <f t="shared" si="93"/>
        <v>47.6272</v>
      </c>
      <c r="N151" s="17">
        <v>101859.704</v>
      </c>
      <c r="O151" s="18">
        <f t="shared" si="94"/>
        <v>40.152</v>
      </c>
      <c r="P151" s="17">
        <v>145574.56</v>
      </c>
      <c r="Q151" s="18">
        <f t="shared" si="95"/>
        <v>84.08</v>
      </c>
      <c r="R151" s="17">
        <v>943097.536</v>
      </c>
      <c r="S151" s="18">
        <f t="shared" si="96"/>
        <v>298.944</v>
      </c>
      <c r="T151" s="17">
        <v>55196.0768</v>
      </c>
      <c r="U151" s="18">
        <f t="shared" si="97"/>
        <v>5.8753</v>
      </c>
      <c r="V151" s="14">
        <f t="shared" si="87"/>
        <v>782.1952</v>
      </c>
    </row>
    <row r="152">
      <c r="A152" s="32" t="s">
        <v>95</v>
      </c>
      <c r="B152" s="17">
        <v>241323.952</v>
      </c>
      <c r="C152" s="18">
        <f t="shared" si="88"/>
        <v>171.136</v>
      </c>
      <c r="D152" s="17">
        <v>140859.256</v>
      </c>
      <c r="E152" s="18">
        <f t="shared" si="89"/>
        <v>28.52</v>
      </c>
      <c r="F152" s="17">
        <v>65206.789</v>
      </c>
      <c r="G152" s="18">
        <f t="shared" si="90"/>
        <v>7.5698</v>
      </c>
      <c r="H152" s="17">
        <v>149443.328</v>
      </c>
      <c r="I152" s="18">
        <f t="shared" si="91"/>
        <v>50.928</v>
      </c>
      <c r="J152" s="17">
        <v>15715.7984</v>
      </c>
      <c r="K152" s="20">
        <f t="shared" si="92"/>
        <v>26.7648</v>
      </c>
      <c r="L152" s="17">
        <v>86131.659</v>
      </c>
      <c r="M152" s="18">
        <f t="shared" si="93"/>
        <v>106.163</v>
      </c>
      <c r="N152" s="17">
        <v>101893.896</v>
      </c>
      <c r="O152" s="18">
        <f t="shared" si="94"/>
        <v>34.192</v>
      </c>
      <c r="P152" s="17">
        <v>145653.104</v>
      </c>
      <c r="Q152" s="18">
        <f t="shared" si="95"/>
        <v>78.544</v>
      </c>
      <c r="R152" s="17">
        <v>943356.56</v>
      </c>
      <c r="S152" s="18">
        <f t="shared" si="96"/>
        <v>259.024</v>
      </c>
      <c r="T152" s="17">
        <v>55200.556</v>
      </c>
      <c r="U152" s="18">
        <f t="shared" si="97"/>
        <v>4.4792</v>
      </c>
      <c r="V152" s="14">
        <f t="shared" si="87"/>
        <v>767.3208</v>
      </c>
    </row>
    <row r="153">
      <c r="A153" s="32" t="s">
        <v>96</v>
      </c>
      <c r="B153" s="17">
        <v>241528.384</v>
      </c>
      <c r="C153" s="18">
        <f t="shared" si="88"/>
        <v>204.432</v>
      </c>
      <c r="D153" s="30">
        <v>140903.2</v>
      </c>
      <c r="E153" s="18">
        <f t="shared" si="89"/>
        <v>43.944</v>
      </c>
      <c r="F153" s="17">
        <v>65220.384</v>
      </c>
      <c r="G153" s="18">
        <f t="shared" si="90"/>
        <v>13.595</v>
      </c>
      <c r="H153" s="17">
        <v>149493.824</v>
      </c>
      <c r="I153" s="18">
        <f t="shared" si="91"/>
        <v>50.496</v>
      </c>
      <c r="J153" s="17">
        <v>15761.8528</v>
      </c>
      <c r="K153" s="20">
        <f t="shared" si="92"/>
        <v>46.0544</v>
      </c>
      <c r="L153" s="17">
        <v>86233.5104</v>
      </c>
      <c r="M153" s="18">
        <f t="shared" si="93"/>
        <v>101.8514</v>
      </c>
      <c r="N153" s="17">
        <v>101930.416</v>
      </c>
      <c r="O153" s="18">
        <f t="shared" si="94"/>
        <v>36.52</v>
      </c>
      <c r="P153" s="17">
        <v>145762.544</v>
      </c>
      <c r="Q153" s="18">
        <f t="shared" si="95"/>
        <v>109.44</v>
      </c>
      <c r="R153" s="17">
        <v>943821.312</v>
      </c>
      <c r="S153" s="18">
        <f t="shared" si="96"/>
        <v>464.752</v>
      </c>
      <c r="T153" s="17">
        <v>55208.808</v>
      </c>
      <c r="U153" s="18">
        <f t="shared" si="97"/>
        <v>8.252</v>
      </c>
      <c r="V153" s="14">
        <f t="shared" si="87"/>
        <v>1079.3368</v>
      </c>
    </row>
    <row r="154">
      <c r="A154" s="32" t="s">
        <v>97</v>
      </c>
      <c r="B154" s="17">
        <v>241703.984</v>
      </c>
      <c r="C154" s="18">
        <f t="shared" si="88"/>
        <v>175.6</v>
      </c>
      <c r="D154" s="17">
        <v>140939.872</v>
      </c>
      <c r="E154" s="19">
        <f t="shared" si="89"/>
        <v>36.672</v>
      </c>
      <c r="F154" s="17">
        <v>65230.3296</v>
      </c>
      <c r="G154" s="18">
        <f t="shared" si="90"/>
        <v>9.9456</v>
      </c>
      <c r="H154" s="17">
        <v>149530.064</v>
      </c>
      <c r="I154" s="30">
        <f t="shared" si="91"/>
        <v>36.24</v>
      </c>
      <c r="J154" s="17">
        <v>15803.9968</v>
      </c>
      <c r="K154" s="20">
        <f t="shared" si="92"/>
        <v>42.144</v>
      </c>
      <c r="L154" s="17">
        <v>86312.8576</v>
      </c>
      <c r="M154" s="30">
        <f t="shared" si="93"/>
        <v>79.3472</v>
      </c>
      <c r="N154" s="17">
        <v>101964.624</v>
      </c>
      <c r="O154" s="18">
        <f t="shared" si="94"/>
        <v>34.208</v>
      </c>
      <c r="P154" s="17">
        <v>145879.344</v>
      </c>
      <c r="Q154" s="18">
        <f t="shared" si="95"/>
        <v>116.8</v>
      </c>
      <c r="R154" s="17">
        <v>944352.192</v>
      </c>
      <c r="S154" s="30">
        <f t="shared" si="96"/>
        <v>530.88</v>
      </c>
      <c r="T154" s="17">
        <v>55215.8848</v>
      </c>
      <c r="U154" s="18">
        <f t="shared" si="97"/>
        <v>7.0768</v>
      </c>
      <c r="V154" s="14">
        <f t="shared" si="87"/>
        <v>1068.9136</v>
      </c>
    </row>
    <row r="155">
      <c r="A155" s="32" t="s">
        <v>98</v>
      </c>
      <c r="B155" s="17">
        <v>241885.728</v>
      </c>
      <c r="C155" s="18">
        <f t="shared" si="88"/>
        <v>181.744</v>
      </c>
      <c r="D155" s="17">
        <v>140988.016</v>
      </c>
      <c r="E155" s="18">
        <f t="shared" si="89"/>
        <v>48.144</v>
      </c>
      <c r="F155" s="17">
        <v>65240.944</v>
      </c>
      <c r="G155" s="18">
        <f t="shared" si="90"/>
        <v>10.6144</v>
      </c>
      <c r="H155" s="17">
        <v>149571.68</v>
      </c>
      <c r="I155" s="18">
        <f t="shared" si="91"/>
        <v>41.616</v>
      </c>
      <c r="J155" s="17">
        <v>15831.3424</v>
      </c>
      <c r="K155" s="20">
        <f t="shared" si="92"/>
        <v>27.3456</v>
      </c>
      <c r="L155" s="17">
        <v>86396.8832</v>
      </c>
      <c r="M155" s="18">
        <f t="shared" si="93"/>
        <v>84.0256</v>
      </c>
      <c r="N155" s="17">
        <v>101997.752</v>
      </c>
      <c r="O155" s="18">
        <f t="shared" si="94"/>
        <v>33.128</v>
      </c>
      <c r="P155" s="17">
        <v>146037.024</v>
      </c>
      <c r="Q155" s="18">
        <f t="shared" si="95"/>
        <v>157.68</v>
      </c>
      <c r="R155" s="17">
        <v>944752.156</v>
      </c>
      <c r="S155" s="18">
        <f t="shared" si="96"/>
        <v>399.964</v>
      </c>
      <c r="T155" s="17">
        <v>55223.3664</v>
      </c>
      <c r="U155" s="18">
        <f t="shared" si="97"/>
        <v>7.4816</v>
      </c>
      <c r="V155" s="14">
        <f t="shared" si="87"/>
        <v>991.7432</v>
      </c>
    </row>
    <row r="156">
      <c r="A156" s="32" t="s">
        <v>99</v>
      </c>
      <c r="B156" s="17">
        <v>242095.488</v>
      </c>
      <c r="C156" s="18">
        <f t="shared" si="88"/>
        <v>209.76</v>
      </c>
      <c r="D156" s="17">
        <v>141038.255</v>
      </c>
      <c r="E156" s="18">
        <f t="shared" si="89"/>
        <v>50.239</v>
      </c>
      <c r="F156" s="17">
        <v>65250.2336</v>
      </c>
      <c r="G156" s="18">
        <f t="shared" si="90"/>
        <v>9.2896</v>
      </c>
      <c r="H156" s="17">
        <v>149621.384</v>
      </c>
      <c r="I156" s="18">
        <f t="shared" si="91"/>
        <v>49.704</v>
      </c>
      <c r="J156" s="17">
        <v>15866.9504</v>
      </c>
      <c r="K156" s="20">
        <f t="shared" si="92"/>
        <v>35.608</v>
      </c>
      <c r="L156" s="17">
        <v>86509.2864</v>
      </c>
      <c r="M156" s="18">
        <f t="shared" si="93"/>
        <v>112.4032</v>
      </c>
      <c r="N156" s="17">
        <v>102036.128</v>
      </c>
      <c r="O156" s="18">
        <f t="shared" si="94"/>
        <v>38.376</v>
      </c>
      <c r="P156" s="17">
        <v>146183.488</v>
      </c>
      <c r="Q156" s="18">
        <f t="shared" si="95"/>
        <v>146.464</v>
      </c>
      <c r="R156" s="17">
        <v>945153.344</v>
      </c>
      <c r="S156" s="18">
        <f t="shared" si="96"/>
        <v>401.188</v>
      </c>
      <c r="T156" s="17">
        <v>55229.9584</v>
      </c>
      <c r="U156" s="18">
        <f t="shared" si="97"/>
        <v>6.592</v>
      </c>
      <c r="V156" s="14">
        <f t="shared" si="87"/>
        <v>1059.6238</v>
      </c>
    </row>
    <row r="157">
      <c r="A157" s="32" t="s">
        <v>100</v>
      </c>
      <c r="B157" s="17">
        <v>242232.416</v>
      </c>
      <c r="C157" s="18">
        <f t="shared" si="88"/>
        <v>136.928</v>
      </c>
      <c r="D157" s="17">
        <v>141068.848</v>
      </c>
      <c r="E157" s="18">
        <f t="shared" si="89"/>
        <v>30.593</v>
      </c>
      <c r="F157" s="17">
        <v>65258.216</v>
      </c>
      <c r="G157" s="18">
        <f>SUM(G148:G156)</f>
        <v>108.512</v>
      </c>
      <c r="H157" s="17">
        <v>149663.264</v>
      </c>
      <c r="I157" s="30">
        <f t="shared" si="91"/>
        <v>41.88</v>
      </c>
      <c r="J157" s="17">
        <v>15891.696</v>
      </c>
      <c r="K157" s="20">
        <f t="shared" si="92"/>
        <v>24.7456</v>
      </c>
      <c r="L157" s="17">
        <v>86566.8</v>
      </c>
      <c r="M157" s="18">
        <f t="shared" si="93"/>
        <v>57.5136</v>
      </c>
      <c r="N157" s="17">
        <v>102061.272</v>
      </c>
      <c r="O157" s="18">
        <f t="shared" si="94"/>
        <v>25.144</v>
      </c>
      <c r="P157" s="17">
        <v>146285.728</v>
      </c>
      <c r="Q157" s="18">
        <f t="shared" si="95"/>
        <v>102.24</v>
      </c>
      <c r="R157" s="17">
        <v>945436.992</v>
      </c>
      <c r="S157" s="18">
        <f t="shared" si="96"/>
        <v>283.648</v>
      </c>
      <c r="T157" s="17">
        <v>55234.9696</v>
      </c>
      <c r="U157" s="18">
        <f t="shared" si="97"/>
        <v>5.0112</v>
      </c>
      <c r="V157" s="14">
        <f t="shared" si="87"/>
        <v>816.2154</v>
      </c>
    </row>
    <row r="158">
      <c r="A158" s="32" t="s">
        <v>101</v>
      </c>
      <c r="B158" s="17">
        <v>242393.744</v>
      </c>
      <c r="C158" s="18">
        <f t="shared" si="88"/>
        <v>161.328</v>
      </c>
      <c r="D158" s="17">
        <v>141109.376</v>
      </c>
      <c r="E158" s="18">
        <f t="shared" si="89"/>
        <v>40.528</v>
      </c>
      <c r="F158" s="17">
        <v>65269.408</v>
      </c>
      <c r="G158" s="18">
        <f t="shared" ref="G158:G163" si="98">F158-F157</f>
        <v>11.192</v>
      </c>
      <c r="H158" s="17">
        <v>149716.176</v>
      </c>
      <c r="I158" s="18">
        <f t="shared" si="91"/>
        <v>52.912</v>
      </c>
      <c r="J158" s="17">
        <v>15927.3696</v>
      </c>
      <c r="K158" s="20">
        <f t="shared" si="92"/>
        <v>35.6736</v>
      </c>
      <c r="L158" s="17">
        <v>86641.728</v>
      </c>
      <c r="M158" s="18">
        <f t="shared" si="93"/>
        <v>74.928</v>
      </c>
      <c r="N158" s="17">
        <v>102061.272</v>
      </c>
      <c r="O158" s="18">
        <f t="shared" si="94"/>
        <v>0</v>
      </c>
      <c r="P158" s="17">
        <v>146393.744</v>
      </c>
      <c r="Q158" s="18">
        <f t="shared" si="95"/>
        <v>108.016</v>
      </c>
      <c r="R158" s="17">
        <v>945794.88</v>
      </c>
      <c r="S158" s="18">
        <f t="shared" si="96"/>
        <v>357.888</v>
      </c>
      <c r="T158" s="17">
        <v>55241.3568</v>
      </c>
      <c r="U158" s="18">
        <f t="shared" si="97"/>
        <v>6.3872</v>
      </c>
      <c r="V158" s="14">
        <f t="shared" si="87"/>
        <v>848.8528</v>
      </c>
    </row>
    <row r="159">
      <c r="A159" s="32" t="s">
        <v>102</v>
      </c>
      <c r="B159" s="17">
        <v>242533.392</v>
      </c>
      <c r="C159" s="18">
        <f t="shared" si="88"/>
        <v>139.648</v>
      </c>
      <c r="D159" s="17">
        <v>141154.704</v>
      </c>
      <c r="E159" s="18">
        <f t="shared" si="89"/>
        <v>45.328</v>
      </c>
      <c r="F159" s="17">
        <v>65280.544</v>
      </c>
      <c r="G159" s="18">
        <f t="shared" si="98"/>
        <v>11.136</v>
      </c>
      <c r="H159" s="17">
        <v>149803.904</v>
      </c>
      <c r="I159" s="18">
        <f t="shared" si="91"/>
        <v>87.728</v>
      </c>
      <c r="J159" s="17">
        <v>15969.4161</v>
      </c>
      <c r="K159" s="20">
        <f t="shared" si="92"/>
        <v>42.0465</v>
      </c>
      <c r="L159" s="17">
        <v>86712.9664</v>
      </c>
      <c r="M159" s="30">
        <f t="shared" si="93"/>
        <v>71.2384</v>
      </c>
      <c r="N159" s="17">
        <v>102163.496</v>
      </c>
      <c r="O159" s="18">
        <f t="shared" si="94"/>
        <v>102.224</v>
      </c>
      <c r="P159" s="17">
        <v>146483.136</v>
      </c>
      <c r="Q159" s="18">
        <f t="shared" si="95"/>
        <v>89.392</v>
      </c>
      <c r="R159" s="17">
        <v>946146.176</v>
      </c>
      <c r="S159" s="18">
        <f t="shared" si="96"/>
        <v>351.296</v>
      </c>
      <c r="T159" s="17">
        <v>55248.0448</v>
      </c>
      <c r="U159" s="18">
        <f t="shared" si="97"/>
        <v>6.688</v>
      </c>
      <c r="V159" s="14">
        <f t="shared" si="87"/>
        <v>946.7249</v>
      </c>
    </row>
    <row r="160">
      <c r="A160" s="32" t="s">
        <v>103</v>
      </c>
      <c r="B160" s="17">
        <v>242533.392</v>
      </c>
      <c r="C160" s="18">
        <f t="shared" si="88"/>
        <v>0</v>
      </c>
      <c r="D160" s="17">
        <v>141154.704</v>
      </c>
      <c r="E160" s="18">
        <f t="shared" si="89"/>
        <v>0</v>
      </c>
      <c r="F160" s="17">
        <v>65280.544</v>
      </c>
      <c r="G160" s="18">
        <f t="shared" si="98"/>
        <v>0</v>
      </c>
      <c r="H160" s="17">
        <v>149803.904</v>
      </c>
      <c r="I160" s="18">
        <f t="shared" si="91"/>
        <v>0</v>
      </c>
      <c r="J160" s="17">
        <v>15969.4161</v>
      </c>
      <c r="K160" s="20">
        <f t="shared" si="92"/>
        <v>0</v>
      </c>
      <c r="L160" s="17">
        <v>86712.9664</v>
      </c>
      <c r="M160" s="30">
        <f t="shared" si="93"/>
        <v>0</v>
      </c>
      <c r="N160" s="17">
        <v>102163.496</v>
      </c>
      <c r="O160" s="30">
        <f t="shared" si="94"/>
        <v>0</v>
      </c>
      <c r="P160" s="17">
        <v>146483.136</v>
      </c>
      <c r="Q160" s="18">
        <f t="shared" si="95"/>
        <v>0</v>
      </c>
      <c r="R160" s="17">
        <v>946146.176</v>
      </c>
      <c r="S160" s="18">
        <f t="shared" si="96"/>
        <v>0</v>
      </c>
      <c r="T160" s="17">
        <v>55248.0448</v>
      </c>
      <c r="U160" s="18">
        <f t="shared" si="97"/>
        <v>0</v>
      </c>
      <c r="V160" s="14">
        <f t="shared" si="87"/>
        <v>0</v>
      </c>
    </row>
    <row r="161">
      <c r="A161" s="32" t="s">
        <v>104</v>
      </c>
      <c r="B161" s="17">
        <v>242735.859</v>
      </c>
      <c r="C161" s="18">
        <f t="shared" si="88"/>
        <v>202.467</v>
      </c>
      <c r="D161" s="17">
        <v>141195.2</v>
      </c>
      <c r="E161" s="18">
        <f t="shared" si="89"/>
        <v>40.496</v>
      </c>
      <c r="F161" s="17">
        <v>65292.7808</v>
      </c>
      <c r="G161" s="18">
        <f t="shared" si="98"/>
        <v>12.2368</v>
      </c>
      <c r="H161" s="17">
        <v>149859.687</v>
      </c>
      <c r="I161" s="18">
        <f t="shared" si="91"/>
        <v>55.783</v>
      </c>
      <c r="J161" s="17">
        <v>16000.188</v>
      </c>
      <c r="K161" s="20">
        <f t="shared" si="92"/>
        <v>30.7719</v>
      </c>
      <c r="L161" s="17">
        <v>86773.6192</v>
      </c>
      <c r="M161" s="18">
        <f t="shared" si="93"/>
        <v>60.6528</v>
      </c>
      <c r="N161" s="17">
        <v>102200.658</v>
      </c>
      <c r="O161" s="18">
        <f t="shared" si="94"/>
        <v>37.162</v>
      </c>
      <c r="P161" s="17">
        <v>146557.776</v>
      </c>
      <c r="Q161" s="18">
        <f t="shared" si="95"/>
        <v>74.64</v>
      </c>
      <c r="R161" s="17">
        <v>946435.072</v>
      </c>
      <c r="S161" s="18">
        <f t="shared" si="96"/>
        <v>288.896</v>
      </c>
      <c r="T161" s="17">
        <v>55255.586</v>
      </c>
      <c r="U161" s="18">
        <f t="shared" si="97"/>
        <v>7.5412</v>
      </c>
      <c r="V161" s="14">
        <f t="shared" si="87"/>
        <v>810.6467</v>
      </c>
    </row>
    <row r="162">
      <c r="A162" s="32" t="s">
        <v>105</v>
      </c>
      <c r="B162" s="17">
        <v>242906.55</v>
      </c>
      <c r="C162" s="18">
        <f t="shared" si="88"/>
        <v>170.691</v>
      </c>
      <c r="D162" s="17">
        <v>141241.968</v>
      </c>
      <c r="E162" s="18">
        <f t="shared" si="89"/>
        <v>46.768</v>
      </c>
      <c r="F162" s="17">
        <v>65303.3472</v>
      </c>
      <c r="G162" s="18">
        <f t="shared" si="98"/>
        <v>10.5664</v>
      </c>
      <c r="H162" s="17">
        <v>149915.589</v>
      </c>
      <c r="I162" s="18">
        <f t="shared" si="91"/>
        <v>55.902</v>
      </c>
      <c r="J162" s="17">
        <v>16036.56</v>
      </c>
      <c r="K162" s="20">
        <f t="shared" si="92"/>
        <v>36.372</v>
      </c>
      <c r="L162" s="17">
        <v>86842.1</v>
      </c>
      <c r="M162" s="18">
        <f t="shared" si="93"/>
        <v>68.4808</v>
      </c>
      <c r="N162" s="17">
        <v>102238.25</v>
      </c>
      <c r="O162" s="18">
        <f t="shared" si="94"/>
        <v>37.592</v>
      </c>
      <c r="P162" s="17">
        <v>146633.55</v>
      </c>
      <c r="Q162" s="18">
        <f t="shared" si="95"/>
        <v>75.774</v>
      </c>
      <c r="R162" s="17">
        <v>946771.5</v>
      </c>
      <c r="S162" s="18">
        <f t="shared" si="96"/>
        <v>336.428</v>
      </c>
      <c r="T162" s="17">
        <v>55262.6</v>
      </c>
      <c r="U162" s="18">
        <f t="shared" si="97"/>
        <v>7.014</v>
      </c>
      <c r="V162" s="14">
        <f t="shared" si="87"/>
        <v>845.5882</v>
      </c>
    </row>
    <row r="163">
      <c r="A163" s="32" t="s">
        <v>106</v>
      </c>
      <c r="B163" s="17">
        <v>243127.808</v>
      </c>
      <c r="C163" s="18">
        <f t="shared" si="88"/>
        <v>221.258</v>
      </c>
      <c r="D163" s="17">
        <v>141321.392</v>
      </c>
      <c r="E163" s="18">
        <f t="shared" si="89"/>
        <v>79.424</v>
      </c>
      <c r="F163" s="17">
        <v>65314.3168</v>
      </c>
      <c r="G163" s="18">
        <f t="shared" si="98"/>
        <v>10.9696</v>
      </c>
      <c r="H163" s="17">
        <v>149962.736</v>
      </c>
      <c r="I163" s="18">
        <f t="shared" si="91"/>
        <v>47.147</v>
      </c>
      <c r="J163" s="17">
        <v>16071.3712</v>
      </c>
      <c r="K163" s="20">
        <f t="shared" si="92"/>
        <v>34.8112</v>
      </c>
      <c r="L163" s="17">
        <v>86928.0448</v>
      </c>
      <c r="M163" s="18">
        <f t="shared" si="93"/>
        <v>85.9448</v>
      </c>
      <c r="N163" s="17">
        <v>102276.168</v>
      </c>
      <c r="O163" s="18">
        <f t="shared" si="94"/>
        <v>37.918</v>
      </c>
      <c r="P163" s="17">
        <v>146801.04</v>
      </c>
      <c r="Q163" s="18">
        <f t="shared" si="95"/>
        <v>167.49</v>
      </c>
      <c r="R163" s="17">
        <v>947279.744</v>
      </c>
      <c r="S163" s="18">
        <f t="shared" si="96"/>
        <v>508.244</v>
      </c>
      <c r="T163" s="17">
        <v>55269.2672</v>
      </c>
      <c r="U163" s="18">
        <f t="shared" si="97"/>
        <v>6.6672</v>
      </c>
      <c r="V163" s="14">
        <f t="shared" si="87"/>
        <v>1199.8738</v>
      </c>
    </row>
    <row r="164">
      <c r="A164" s="32"/>
      <c r="B164" s="17"/>
      <c r="C164" s="18"/>
      <c r="D164" s="17"/>
      <c r="E164" s="18"/>
      <c r="F164" s="17"/>
      <c r="G164" s="18"/>
      <c r="H164" s="17"/>
      <c r="I164" s="18"/>
      <c r="J164" s="17"/>
      <c r="K164" s="20"/>
      <c r="L164" s="17"/>
      <c r="M164" s="18"/>
      <c r="N164" s="17"/>
      <c r="O164" s="18"/>
      <c r="P164" s="17"/>
      <c r="Q164" s="18"/>
      <c r="R164" s="17"/>
      <c r="S164" s="18"/>
      <c r="T164" s="17"/>
      <c r="U164" s="18"/>
      <c r="V164" s="14"/>
    </row>
    <row r="165">
      <c r="A165" s="29">
        <v>45666.0</v>
      </c>
      <c r="B165" s="17">
        <v>243275.072</v>
      </c>
      <c r="C165" s="18">
        <f>B165-B163</f>
        <v>147.264</v>
      </c>
      <c r="D165" s="17">
        <v>141351.216</v>
      </c>
      <c r="E165" s="18">
        <f>D165-D163</f>
        <v>29.824</v>
      </c>
      <c r="F165" s="17">
        <v>65319.9232</v>
      </c>
      <c r="G165" s="18">
        <f>F165-F163</f>
        <v>5.6064</v>
      </c>
      <c r="H165" s="17">
        <v>149993.968</v>
      </c>
      <c r="I165" s="18">
        <f>H165-H163</f>
        <v>31.232</v>
      </c>
      <c r="J165" s="17">
        <v>16097.9808</v>
      </c>
      <c r="K165" s="20">
        <f>J165-J163</f>
        <v>26.6096</v>
      </c>
      <c r="L165" s="17">
        <v>86982.7008</v>
      </c>
      <c r="M165" s="18">
        <f>L165-L163</f>
        <v>54.656</v>
      </c>
      <c r="N165" s="17">
        <v>102300.608</v>
      </c>
      <c r="O165" s="18">
        <f>N165-N163</f>
        <v>24.44</v>
      </c>
      <c r="P165" s="17">
        <v>146868.104</v>
      </c>
      <c r="Q165" s="18">
        <f>P165-P163</f>
        <v>67.064</v>
      </c>
      <c r="R165" s="17">
        <v>947516.16</v>
      </c>
      <c r="S165" s="18">
        <f>R165-R163</f>
        <v>236.416</v>
      </c>
      <c r="T165" s="17">
        <v>55274.3424</v>
      </c>
      <c r="U165" s="18">
        <f>T165-T163</f>
        <v>5.0752</v>
      </c>
      <c r="V165" s="14">
        <f t="shared" ref="V165:V181" si="99">U165+S165+Q165+O165+M165+K165+I165+G165+E165+C165</f>
        <v>628.1872</v>
      </c>
    </row>
    <row r="166">
      <c r="A166" s="29">
        <v>45697.0</v>
      </c>
      <c r="B166" s="17">
        <v>243405.456</v>
      </c>
      <c r="C166" s="18">
        <f t="shared" ref="C166:C181" si="100">B166-B165</f>
        <v>130.384</v>
      </c>
      <c r="D166" s="17">
        <v>141405.952</v>
      </c>
      <c r="E166" s="18">
        <f t="shared" ref="E166:E181" si="101">D166-D165</f>
        <v>54.736</v>
      </c>
      <c r="F166" s="17">
        <v>65328.7744</v>
      </c>
      <c r="G166" s="18">
        <f t="shared" ref="G166:G181" si="102">F166-F165</f>
        <v>8.8512</v>
      </c>
      <c r="H166" s="17">
        <v>150043.504</v>
      </c>
      <c r="I166" s="18">
        <f t="shared" ref="I166:I181" si="103">H166-H165</f>
        <v>49.536</v>
      </c>
      <c r="J166" s="17">
        <v>16127.8288</v>
      </c>
      <c r="K166" s="20">
        <f t="shared" ref="K166:K181" si="104">J166-J165</f>
        <v>29.848</v>
      </c>
      <c r="L166" s="17">
        <v>87033.5488</v>
      </c>
      <c r="M166" s="18">
        <f t="shared" ref="M166:M181" si="105">L166-L165</f>
        <v>50.848</v>
      </c>
      <c r="N166" s="17">
        <v>102334.424</v>
      </c>
      <c r="O166" s="18">
        <f t="shared" ref="O166:O181" si="106">N166-N165</f>
        <v>33.816</v>
      </c>
      <c r="P166" s="17">
        <v>146953.264</v>
      </c>
      <c r="Q166" s="18">
        <f t="shared" ref="Q166:Q181" si="107">P166-P165</f>
        <v>85.16</v>
      </c>
      <c r="R166" s="17">
        <v>947866.176</v>
      </c>
      <c r="S166" s="18">
        <f t="shared" ref="S166:S181" si="108">R166-R165</f>
        <v>350.016</v>
      </c>
      <c r="T166" s="17">
        <v>55279.136</v>
      </c>
      <c r="U166" s="18">
        <f t="shared" ref="U166:U181" si="109">T166-T165</f>
        <v>4.7936</v>
      </c>
      <c r="V166" s="14">
        <f t="shared" si="99"/>
        <v>797.9888</v>
      </c>
    </row>
    <row r="167">
      <c r="A167" s="29">
        <v>45725.0</v>
      </c>
      <c r="B167" s="17">
        <v>243549.744</v>
      </c>
      <c r="C167" s="18">
        <f t="shared" si="100"/>
        <v>144.288</v>
      </c>
      <c r="D167" s="17">
        <v>141438.384</v>
      </c>
      <c r="E167" s="18">
        <f t="shared" si="101"/>
        <v>32.432</v>
      </c>
      <c r="F167" s="17">
        <v>65334.2976</v>
      </c>
      <c r="G167" s="18">
        <f t="shared" si="102"/>
        <v>5.5232</v>
      </c>
      <c r="H167" s="17">
        <v>150093.264</v>
      </c>
      <c r="I167" s="18">
        <f t="shared" si="103"/>
        <v>49.76</v>
      </c>
      <c r="J167" s="17">
        <v>16150.488</v>
      </c>
      <c r="K167" s="20">
        <f t="shared" si="104"/>
        <v>22.6592</v>
      </c>
      <c r="L167" s="17">
        <v>87081.7088</v>
      </c>
      <c r="M167" s="18">
        <f t="shared" si="105"/>
        <v>48.16</v>
      </c>
      <c r="N167" s="17">
        <v>102369.664</v>
      </c>
      <c r="O167" s="18">
        <f t="shared" si="106"/>
        <v>35.24</v>
      </c>
      <c r="P167" s="17">
        <v>147019.872</v>
      </c>
      <c r="Q167" s="18">
        <f t="shared" si="107"/>
        <v>66.608</v>
      </c>
      <c r="R167" s="17">
        <v>948098.944</v>
      </c>
      <c r="S167" s="18">
        <f t="shared" si="108"/>
        <v>232.768</v>
      </c>
      <c r="T167" s="17">
        <v>55283.9232</v>
      </c>
      <c r="U167" s="18">
        <f t="shared" si="109"/>
        <v>4.7872</v>
      </c>
      <c r="V167" s="14">
        <f t="shared" si="99"/>
        <v>642.2256</v>
      </c>
    </row>
    <row r="168" ht="16.5" customHeight="1">
      <c r="A168" s="29">
        <v>45756.0</v>
      </c>
      <c r="B168" s="17">
        <v>243752.096</v>
      </c>
      <c r="C168" s="18">
        <f t="shared" si="100"/>
        <v>202.352</v>
      </c>
      <c r="D168" s="17">
        <v>141501.152</v>
      </c>
      <c r="E168" s="18">
        <f t="shared" si="101"/>
        <v>62.768</v>
      </c>
      <c r="F168" s="17">
        <v>65343.3216</v>
      </c>
      <c r="G168" s="18">
        <f t="shared" si="102"/>
        <v>9.024</v>
      </c>
      <c r="H168" s="17">
        <v>150139.728</v>
      </c>
      <c r="I168" s="18">
        <f t="shared" si="103"/>
        <v>46.464</v>
      </c>
      <c r="J168" s="17">
        <v>16186.0816</v>
      </c>
      <c r="K168" s="20">
        <f t="shared" si="104"/>
        <v>35.5936</v>
      </c>
      <c r="L168" s="17">
        <v>87125.5232</v>
      </c>
      <c r="M168" s="18">
        <f t="shared" si="105"/>
        <v>43.8144</v>
      </c>
      <c r="N168" s="17">
        <v>102407.688</v>
      </c>
      <c r="O168" s="18">
        <f t="shared" si="106"/>
        <v>38.024</v>
      </c>
      <c r="P168" s="17">
        <v>147068.576</v>
      </c>
      <c r="Q168" s="18">
        <f t="shared" si="107"/>
        <v>48.704</v>
      </c>
      <c r="R168" s="17">
        <v>948560.512</v>
      </c>
      <c r="S168" s="18">
        <f t="shared" si="108"/>
        <v>461.568</v>
      </c>
      <c r="T168" s="17">
        <v>55289.6128</v>
      </c>
      <c r="U168" s="18">
        <f t="shared" si="109"/>
        <v>5.6896</v>
      </c>
      <c r="V168" s="14">
        <f t="shared" si="99"/>
        <v>954.0016</v>
      </c>
    </row>
    <row r="169" ht="19.5" customHeight="1">
      <c r="A169" s="39">
        <v>45786.0</v>
      </c>
      <c r="B169" s="17">
        <v>243909.712</v>
      </c>
      <c r="C169" s="18">
        <f t="shared" si="100"/>
        <v>157.616</v>
      </c>
      <c r="D169" s="17">
        <v>141533.856</v>
      </c>
      <c r="E169" s="18">
        <f t="shared" si="101"/>
        <v>32.704</v>
      </c>
      <c r="F169" s="17">
        <v>65351.3024</v>
      </c>
      <c r="G169" s="18">
        <f t="shared" si="102"/>
        <v>7.9808</v>
      </c>
      <c r="H169" s="17">
        <v>150184.224</v>
      </c>
      <c r="I169" s="18">
        <f t="shared" si="103"/>
        <v>44.496</v>
      </c>
      <c r="J169" s="17">
        <v>16210.9728</v>
      </c>
      <c r="K169" s="20">
        <f t="shared" si="104"/>
        <v>24.8912</v>
      </c>
      <c r="L169" s="17">
        <v>87158.528</v>
      </c>
      <c r="M169" s="18">
        <f t="shared" si="105"/>
        <v>33.0048</v>
      </c>
      <c r="N169" s="17">
        <v>102444.864</v>
      </c>
      <c r="O169" s="18">
        <f t="shared" si="106"/>
        <v>37.176</v>
      </c>
      <c r="P169" s="17">
        <v>147108.736</v>
      </c>
      <c r="Q169" s="18">
        <f t="shared" si="107"/>
        <v>40.16</v>
      </c>
      <c r="R169" s="17">
        <v>948852.288</v>
      </c>
      <c r="S169" s="18">
        <f t="shared" si="108"/>
        <v>291.776</v>
      </c>
      <c r="T169" s="17">
        <v>55294.7392</v>
      </c>
      <c r="U169" s="18">
        <f t="shared" si="109"/>
        <v>5.1264</v>
      </c>
      <c r="V169" s="14">
        <f t="shared" si="99"/>
        <v>674.9312</v>
      </c>
    </row>
    <row r="170" ht="19.5" customHeight="1">
      <c r="A170" s="39">
        <v>45817.0</v>
      </c>
      <c r="B170" s="17">
        <v>244090.96</v>
      </c>
      <c r="C170" s="18">
        <f t="shared" si="100"/>
        <v>181.248</v>
      </c>
      <c r="D170" s="17">
        <v>141581.488</v>
      </c>
      <c r="E170" s="18">
        <f t="shared" si="101"/>
        <v>47.632</v>
      </c>
      <c r="F170" s="17">
        <v>65364.1152</v>
      </c>
      <c r="G170" s="18">
        <f t="shared" si="102"/>
        <v>12.8128</v>
      </c>
      <c r="H170" s="17">
        <v>150233.056</v>
      </c>
      <c r="I170" s="18">
        <f t="shared" si="103"/>
        <v>48.832</v>
      </c>
      <c r="J170" s="17">
        <v>16235.168</v>
      </c>
      <c r="K170" s="20">
        <f t="shared" si="104"/>
        <v>24.1952</v>
      </c>
      <c r="L170" s="17">
        <v>87219.5644</v>
      </c>
      <c r="M170" s="18">
        <f t="shared" si="105"/>
        <v>61.0364</v>
      </c>
      <c r="N170" s="17">
        <v>102485.832</v>
      </c>
      <c r="O170" s="18">
        <f t="shared" si="106"/>
        <v>40.968</v>
      </c>
      <c r="P170" s="17">
        <v>147172.848</v>
      </c>
      <c r="Q170" s="18">
        <f t="shared" si="107"/>
        <v>64.112</v>
      </c>
      <c r="R170" s="17">
        <v>949116.224</v>
      </c>
      <c r="S170" s="18">
        <f t="shared" si="108"/>
        <v>263.936</v>
      </c>
      <c r="T170" s="17">
        <v>55303.562</v>
      </c>
      <c r="U170" s="18">
        <f t="shared" si="109"/>
        <v>8.8228</v>
      </c>
      <c r="V170" s="14">
        <f t="shared" si="99"/>
        <v>753.5952</v>
      </c>
    </row>
    <row r="171" ht="19.5" customHeight="1">
      <c r="A171" s="39">
        <v>45847.0</v>
      </c>
      <c r="B171" s="17">
        <v>244280.25</v>
      </c>
      <c r="C171" s="18">
        <f t="shared" si="100"/>
        <v>189.29</v>
      </c>
      <c r="D171" s="17">
        <v>141615.266</v>
      </c>
      <c r="E171" s="18">
        <f t="shared" si="101"/>
        <v>33.778</v>
      </c>
      <c r="F171" s="17">
        <v>65371.26</v>
      </c>
      <c r="G171" s="18">
        <f t="shared" si="102"/>
        <v>7.1448</v>
      </c>
      <c r="H171" s="17">
        <v>150286.26</v>
      </c>
      <c r="I171" s="18">
        <f t="shared" si="103"/>
        <v>53.204</v>
      </c>
      <c r="J171" s="17">
        <v>16249.26</v>
      </c>
      <c r="K171" s="20">
        <f t="shared" si="104"/>
        <v>14.092</v>
      </c>
      <c r="L171" s="17">
        <v>87265.26</v>
      </c>
      <c r="M171" s="18">
        <f t="shared" si="105"/>
        <v>45.6956</v>
      </c>
      <c r="N171" s="17">
        <v>102520.56</v>
      </c>
      <c r="O171" s="18">
        <f t="shared" si="106"/>
        <v>34.728</v>
      </c>
      <c r="P171" s="17">
        <v>147285.26</v>
      </c>
      <c r="Q171" s="18">
        <f t="shared" si="107"/>
        <v>112.412</v>
      </c>
      <c r="R171" s="17">
        <v>949459.225</v>
      </c>
      <c r="S171" s="18">
        <f t="shared" si="108"/>
        <v>343.001</v>
      </c>
      <c r="T171" s="17">
        <v>55309.66</v>
      </c>
      <c r="U171" s="18">
        <f t="shared" si="109"/>
        <v>6.098</v>
      </c>
      <c r="V171" s="14">
        <f t="shared" si="99"/>
        <v>839.4434</v>
      </c>
    </row>
    <row r="172" ht="19.5" customHeight="1">
      <c r="A172" s="39">
        <v>45878.0</v>
      </c>
      <c r="B172" s="17">
        <v>244443.872</v>
      </c>
      <c r="C172" s="18">
        <f t="shared" si="100"/>
        <v>163.622</v>
      </c>
      <c r="D172" s="17">
        <v>141660.352</v>
      </c>
      <c r="E172" s="18">
        <f t="shared" si="101"/>
        <v>45.086</v>
      </c>
      <c r="F172" s="17">
        <v>65379.5136</v>
      </c>
      <c r="G172" s="18">
        <f t="shared" si="102"/>
        <v>8.2536</v>
      </c>
      <c r="H172" s="17">
        <v>150317.312</v>
      </c>
      <c r="I172" s="18">
        <f t="shared" si="103"/>
        <v>31.052</v>
      </c>
      <c r="J172" s="17">
        <v>16259.712</v>
      </c>
      <c r="K172" s="20">
        <f t="shared" si="104"/>
        <v>10.452</v>
      </c>
      <c r="L172" s="17">
        <v>87280.6272</v>
      </c>
      <c r="M172" s="18">
        <f t="shared" si="105"/>
        <v>15.3672</v>
      </c>
      <c r="N172" s="17">
        <v>102542.712</v>
      </c>
      <c r="O172" s="18">
        <f t="shared" si="106"/>
        <v>22.152</v>
      </c>
      <c r="P172" s="17">
        <v>147366.336</v>
      </c>
      <c r="Q172" s="18">
        <f t="shared" si="107"/>
        <v>81.076</v>
      </c>
      <c r="R172" s="17">
        <v>949725.376</v>
      </c>
      <c r="S172" s="18">
        <f t="shared" si="108"/>
        <v>266.151</v>
      </c>
      <c r="T172" s="17">
        <v>55317.312</v>
      </c>
      <c r="U172" s="18">
        <f t="shared" si="109"/>
        <v>7.652</v>
      </c>
      <c r="V172" s="14">
        <f t="shared" si="99"/>
        <v>650.8638</v>
      </c>
    </row>
    <row r="173">
      <c r="A173" s="39">
        <v>45909.0</v>
      </c>
      <c r="B173" s="17">
        <v>244607.824</v>
      </c>
      <c r="C173" s="18">
        <f t="shared" si="100"/>
        <v>163.952</v>
      </c>
      <c r="D173" s="17">
        <v>141728.565</v>
      </c>
      <c r="E173" s="18">
        <f t="shared" si="101"/>
        <v>68.213</v>
      </c>
      <c r="F173" s="17">
        <v>65398.756</v>
      </c>
      <c r="G173" s="18">
        <f t="shared" si="102"/>
        <v>19.2424</v>
      </c>
      <c r="H173" s="17">
        <v>150355.168</v>
      </c>
      <c r="I173" s="18">
        <f t="shared" si="103"/>
        <v>37.856</v>
      </c>
      <c r="J173" s="17">
        <v>16285.265</v>
      </c>
      <c r="K173" s="20">
        <f t="shared" si="104"/>
        <v>25.553</v>
      </c>
      <c r="L173" s="17">
        <v>87334.265</v>
      </c>
      <c r="M173" s="18">
        <f t="shared" si="105"/>
        <v>53.6378</v>
      </c>
      <c r="N173" s="17">
        <v>102577.295</v>
      </c>
      <c r="O173" s="18">
        <f t="shared" si="106"/>
        <v>34.583</v>
      </c>
      <c r="P173" s="17">
        <v>147448.466</v>
      </c>
      <c r="Q173" s="18">
        <f t="shared" si="107"/>
        <v>82.13</v>
      </c>
      <c r="R173" s="17">
        <v>950033.26</v>
      </c>
      <c r="S173" s="18">
        <f t="shared" si="108"/>
        <v>307.884</v>
      </c>
      <c r="T173" s="17">
        <v>55322.265</v>
      </c>
      <c r="U173" s="18">
        <f t="shared" si="109"/>
        <v>4.953</v>
      </c>
      <c r="V173" s="14">
        <f t="shared" si="99"/>
        <v>798.0042</v>
      </c>
    </row>
    <row r="174">
      <c r="A174" s="39">
        <v>45939.0</v>
      </c>
      <c r="B174" s="17">
        <v>244808.224</v>
      </c>
      <c r="C174" s="18">
        <f t="shared" si="100"/>
        <v>200.4</v>
      </c>
      <c r="D174" s="17">
        <v>141773.744</v>
      </c>
      <c r="E174" s="18">
        <f t="shared" si="101"/>
        <v>45.179</v>
      </c>
      <c r="F174" s="17">
        <v>65409.7344</v>
      </c>
      <c r="G174" s="18">
        <f t="shared" si="102"/>
        <v>10.9784</v>
      </c>
      <c r="H174" s="17">
        <v>150397.36</v>
      </c>
      <c r="I174" s="18">
        <f t="shared" si="103"/>
        <v>42.192</v>
      </c>
      <c r="J174" s="17">
        <v>16314.2436</v>
      </c>
      <c r="K174" s="20">
        <f t="shared" si="104"/>
        <v>28.9786</v>
      </c>
      <c r="L174" s="17">
        <v>87393.8176</v>
      </c>
      <c r="M174" s="18">
        <f t="shared" si="105"/>
        <v>59.5526</v>
      </c>
      <c r="N174" s="17">
        <v>102623.2</v>
      </c>
      <c r="O174" s="18">
        <f t="shared" si="106"/>
        <v>45.905</v>
      </c>
      <c r="P174" s="17">
        <v>147531.52</v>
      </c>
      <c r="Q174" s="18">
        <f t="shared" si="107"/>
        <v>83.054</v>
      </c>
      <c r="R174" s="17">
        <v>950461.184</v>
      </c>
      <c r="S174" s="18">
        <f t="shared" si="108"/>
        <v>427.924</v>
      </c>
      <c r="T174" s="17">
        <v>55334.5792</v>
      </c>
      <c r="U174" s="18">
        <f t="shared" si="109"/>
        <v>12.3142</v>
      </c>
      <c r="V174" s="14">
        <f t="shared" si="99"/>
        <v>956.4778</v>
      </c>
    </row>
    <row r="175">
      <c r="A175" s="39">
        <v>45970.0</v>
      </c>
      <c r="B175" s="17">
        <v>244981.786</v>
      </c>
      <c r="C175" s="18">
        <f t="shared" si="100"/>
        <v>173.562</v>
      </c>
      <c r="D175" s="17">
        <v>141818.266</v>
      </c>
      <c r="E175" s="18">
        <f t="shared" si="101"/>
        <v>44.522</v>
      </c>
      <c r="F175" s="17">
        <v>65422.26</v>
      </c>
      <c r="G175" s="18">
        <f t="shared" si="102"/>
        <v>12.5256</v>
      </c>
      <c r="H175" s="17">
        <v>150433.265</v>
      </c>
      <c r="I175" s="18">
        <f t="shared" si="103"/>
        <v>35.905</v>
      </c>
      <c r="J175" s="17">
        <v>16342.56</v>
      </c>
      <c r="K175" s="20">
        <f t="shared" si="104"/>
        <v>28.3164</v>
      </c>
      <c r="L175" s="17">
        <v>87448.2655</v>
      </c>
      <c r="M175" s="18">
        <f t="shared" si="105"/>
        <v>54.4479</v>
      </c>
      <c r="N175" s="17">
        <v>102660.872</v>
      </c>
      <c r="O175" s="18">
        <f t="shared" si="106"/>
        <v>37.672</v>
      </c>
      <c r="P175" s="17">
        <v>147601.15</v>
      </c>
      <c r="Q175" s="18">
        <f t="shared" si="107"/>
        <v>69.63</v>
      </c>
      <c r="R175" s="17">
        <v>950866.6</v>
      </c>
      <c r="S175" s="18">
        <f t="shared" si="108"/>
        <v>405.416</v>
      </c>
      <c r="T175" s="17">
        <v>55339.356</v>
      </c>
      <c r="U175" s="18">
        <f t="shared" si="109"/>
        <v>4.7768</v>
      </c>
      <c r="V175" s="14">
        <f t="shared" si="99"/>
        <v>866.7737</v>
      </c>
    </row>
    <row r="176">
      <c r="A176" s="39">
        <v>46000.0</v>
      </c>
      <c r="B176" s="17">
        <v>245187.6</v>
      </c>
      <c r="C176" s="18">
        <f t="shared" si="100"/>
        <v>205.814</v>
      </c>
      <c r="D176" s="17">
        <v>141868.448</v>
      </c>
      <c r="E176" s="18">
        <f t="shared" si="101"/>
        <v>50.182</v>
      </c>
      <c r="F176" s="17">
        <v>65433.76</v>
      </c>
      <c r="G176" s="18">
        <f t="shared" si="102"/>
        <v>11.5</v>
      </c>
      <c r="H176" s="17">
        <v>150476.688</v>
      </c>
      <c r="I176" s="18">
        <f t="shared" si="103"/>
        <v>43.423</v>
      </c>
      <c r="J176" s="17">
        <v>16377.6944</v>
      </c>
      <c r="K176" s="20">
        <f t="shared" si="104"/>
        <v>35.1344</v>
      </c>
      <c r="L176" s="17">
        <v>87511.648</v>
      </c>
      <c r="M176" s="18">
        <f t="shared" si="105"/>
        <v>63.3825</v>
      </c>
      <c r="N176" s="17">
        <v>102710.056</v>
      </c>
      <c r="O176" s="18">
        <f t="shared" si="106"/>
        <v>49.184</v>
      </c>
      <c r="P176" s="17">
        <v>147678.048</v>
      </c>
      <c r="Q176" s="18">
        <f t="shared" si="107"/>
        <v>76.898</v>
      </c>
      <c r="R176" s="17">
        <v>951470.656</v>
      </c>
      <c r="S176" s="18">
        <f t="shared" si="108"/>
        <v>604.056</v>
      </c>
      <c r="T176" s="17">
        <v>55345.88</v>
      </c>
      <c r="U176" s="18">
        <f t="shared" si="109"/>
        <v>6.524</v>
      </c>
      <c r="V176" s="14">
        <f t="shared" si="99"/>
        <v>1146.0979</v>
      </c>
    </row>
    <row r="177">
      <c r="A177" s="32" t="s">
        <v>107</v>
      </c>
      <c r="B177" s="17">
        <v>245365.76</v>
      </c>
      <c r="C177" s="30">
        <f t="shared" si="100"/>
        <v>178.16</v>
      </c>
      <c r="D177" s="17">
        <v>141910.752</v>
      </c>
      <c r="E177" s="18">
        <f t="shared" si="101"/>
        <v>42.304</v>
      </c>
      <c r="F177" s="17">
        <v>65444.7296</v>
      </c>
      <c r="G177" s="18">
        <f t="shared" si="102"/>
        <v>10.9696</v>
      </c>
      <c r="H177" s="17">
        <v>150510.272</v>
      </c>
      <c r="I177" s="18">
        <f t="shared" si="103"/>
        <v>33.584</v>
      </c>
      <c r="J177" s="17">
        <v>16407.744</v>
      </c>
      <c r="K177" s="20">
        <f t="shared" si="104"/>
        <v>30.0496</v>
      </c>
      <c r="L177" s="17">
        <v>87585.1712</v>
      </c>
      <c r="M177" s="18">
        <f t="shared" si="105"/>
        <v>73.5232</v>
      </c>
      <c r="N177" s="17">
        <v>102749.672</v>
      </c>
      <c r="O177" s="18">
        <f t="shared" si="106"/>
        <v>39.616</v>
      </c>
      <c r="P177" s="17">
        <v>147747.728</v>
      </c>
      <c r="Q177" s="18">
        <f t="shared" si="107"/>
        <v>69.68</v>
      </c>
      <c r="R177" s="17">
        <v>951919.744</v>
      </c>
      <c r="S177" s="18">
        <f t="shared" si="108"/>
        <v>449.088</v>
      </c>
      <c r="T177" s="17">
        <v>55352.5248</v>
      </c>
      <c r="U177" s="18">
        <f t="shared" si="109"/>
        <v>6.6448</v>
      </c>
      <c r="V177" s="14">
        <f t="shared" si="99"/>
        <v>933.6192</v>
      </c>
    </row>
    <row r="178">
      <c r="A178" s="32" t="s">
        <v>108</v>
      </c>
      <c r="B178" s="17">
        <v>245563.248</v>
      </c>
      <c r="C178" s="18">
        <f t="shared" si="100"/>
        <v>197.488</v>
      </c>
      <c r="D178" s="17">
        <v>141949.92</v>
      </c>
      <c r="E178" s="18">
        <f t="shared" si="101"/>
        <v>39.168</v>
      </c>
      <c r="F178" s="17">
        <v>65455.2256</v>
      </c>
      <c r="G178" s="18">
        <f t="shared" si="102"/>
        <v>10.496</v>
      </c>
      <c r="H178" s="17">
        <v>150558.832</v>
      </c>
      <c r="I178" s="18">
        <f t="shared" si="103"/>
        <v>48.56</v>
      </c>
      <c r="J178" s="17">
        <v>16447.7488</v>
      </c>
      <c r="K178" s="20">
        <f t="shared" si="104"/>
        <v>40.0048</v>
      </c>
      <c r="L178" s="17">
        <v>87652.6848</v>
      </c>
      <c r="M178" s="18">
        <f t="shared" si="105"/>
        <v>67.5136</v>
      </c>
      <c r="N178" s="17">
        <v>102793.048</v>
      </c>
      <c r="O178" s="18">
        <f t="shared" si="106"/>
        <v>43.376</v>
      </c>
      <c r="P178" s="17">
        <v>147825.872</v>
      </c>
      <c r="Q178" s="18">
        <f t="shared" si="107"/>
        <v>78.144</v>
      </c>
      <c r="R178" s="17">
        <v>952413.44</v>
      </c>
      <c r="S178" s="18">
        <f t="shared" si="108"/>
        <v>493.696</v>
      </c>
      <c r="T178" s="17">
        <v>55357.0624</v>
      </c>
      <c r="U178" s="18">
        <f t="shared" si="109"/>
        <v>4.5376</v>
      </c>
      <c r="V178" s="14">
        <f t="shared" si="99"/>
        <v>1022.984</v>
      </c>
    </row>
    <row r="179">
      <c r="A179" s="32" t="s">
        <v>109</v>
      </c>
      <c r="B179" s="17">
        <v>245711.408</v>
      </c>
      <c r="C179" s="18">
        <f t="shared" si="100"/>
        <v>148.16</v>
      </c>
      <c r="D179" s="17">
        <v>141980.784</v>
      </c>
      <c r="E179" s="18">
        <f t="shared" si="101"/>
        <v>30.864</v>
      </c>
      <c r="F179" s="17">
        <v>65465.0368</v>
      </c>
      <c r="G179" s="18">
        <f t="shared" si="102"/>
        <v>9.8112</v>
      </c>
      <c r="H179" s="17">
        <v>150618.288</v>
      </c>
      <c r="I179" s="18">
        <f t="shared" si="103"/>
        <v>59.456</v>
      </c>
      <c r="J179" s="17">
        <v>16481.336</v>
      </c>
      <c r="K179" s="20">
        <f t="shared" si="104"/>
        <v>33.5872</v>
      </c>
      <c r="L179" s="17">
        <v>87712.1728</v>
      </c>
      <c r="M179" s="18">
        <f t="shared" si="105"/>
        <v>59.488</v>
      </c>
      <c r="N179" s="17">
        <v>102823.704</v>
      </c>
      <c r="O179" s="18">
        <f t="shared" si="106"/>
        <v>30.656</v>
      </c>
      <c r="P179" s="17">
        <v>147872.272</v>
      </c>
      <c r="Q179" s="18">
        <f t="shared" si="107"/>
        <v>46.4</v>
      </c>
      <c r="R179" s="17">
        <v>952834.56</v>
      </c>
      <c r="S179" s="18">
        <f t="shared" si="108"/>
        <v>421.12</v>
      </c>
      <c r="T179" s="17">
        <v>55362.4768</v>
      </c>
      <c r="U179" s="18">
        <f t="shared" si="109"/>
        <v>5.4144</v>
      </c>
      <c r="V179" s="14">
        <f t="shared" si="99"/>
        <v>844.9568</v>
      </c>
    </row>
    <row r="180">
      <c r="A180" s="32" t="s">
        <v>110</v>
      </c>
      <c r="B180" s="17">
        <v>245822.368</v>
      </c>
      <c r="C180" s="18">
        <f t="shared" si="100"/>
        <v>110.96</v>
      </c>
      <c r="D180" s="17">
        <v>142020.144</v>
      </c>
      <c r="E180" s="18">
        <f t="shared" si="101"/>
        <v>39.36</v>
      </c>
      <c r="F180" s="17">
        <v>65477.0304</v>
      </c>
      <c r="G180" s="18">
        <f t="shared" si="102"/>
        <v>11.9936</v>
      </c>
      <c r="H180" s="17">
        <v>150672.56</v>
      </c>
      <c r="I180" s="18">
        <f t="shared" si="103"/>
        <v>54.272</v>
      </c>
      <c r="J180" s="17">
        <v>16517.5904</v>
      </c>
      <c r="K180" s="20">
        <f t="shared" si="104"/>
        <v>36.2544</v>
      </c>
      <c r="L180" s="17">
        <v>87765.7792</v>
      </c>
      <c r="M180" s="18">
        <f t="shared" si="105"/>
        <v>53.6064</v>
      </c>
      <c r="N180" s="17">
        <v>102861.336</v>
      </c>
      <c r="O180" s="18">
        <f t="shared" si="106"/>
        <v>37.632</v>
      </c>
      <c r="P180" s="17">
        <v>147986.912</v>
      </c>
      <c r="Q180" s="18">
        <f t="shared" si="107"/>
        <v>114.64</v>
      </c>
      <c r="R180" s="17">
        <v>953116.992</v>
      </c>
      <c r="S180" s="18">
        <f t="shared" si="108"/>
        <v>282.432</v>
      </c>
      <c r="T180" s="17">
        <v>55370.304</v>
      </c>
      <c r="U180" s="18">
        <f t="shared" si="109"/>
        <v>7.8272</v>
      </c>
      <c r="V180" s="14">
        <f t="shared" si="99"/>
        <v>748.9776</v>
      </c>
    </row>
    <row r="181">
      <c r="A181" s="32" t="s">
        <v>111</v>
      </c>
      <c r="B181" s="17">
        <v>245973.504</v>
      </c>
      <c r="C181" s="18">
        <f t="shared" si="100"/>
        <v>151.136</v>
      </c>
      <c r="D181" s="17">
        <v>142075.552</v>
      </c>
      <c r="E181" s="18">
        <f t="shared" si="101"/>
        <v>55.408</v>
      </c>
      <c r="F181" s="17">
        <v>65489.2416</v>
      </c>
      <c r="G181" s="18">
        <f t="shared" si="102"/>
        <v>12.2112</v>
      </c>
      <c r="H181" s="17">
        <v>150733.84</v>
      </c>
      <c r="I181" s="18">
        <f t="shared" si="103"/>
        <v>61.28</v>
      </c>
      <c r="J181" s="17">
        <v>16551.16</v>
      </c>
      <c r="K181" s="20">
        <f t="shared" si="104"/>
        <v>33.5696</v>
      </c>
      <c r="L181" s="17">
        <v>87821.792</v>
      </c>
      <c r="M181" s="18">
        <f t="shared" si="105"/>
        <v>56.0128</v>
      </c>
      <c r="N181" s="17">
        <v>102899.744</v>
      </c>
      <c r="O181" s="18">
        <f t="shared" si="106"/>
        <v>38.408</v>
      </c>
      <c r="P181" s="17">
        <v>148119.424</v>
      </c>
      <c r="Q181" s="18">
        <f t="shared" si="107"/>
        <v>132.512</v>
      </c>
      <c r="R181" s="17">
        <v>953514.944</v>
      </c>
      <c r="S181" s="18">
        <f t="shared" si="108"/>
        <v>397.952</v>
      </c>
      <c r="T181" s="17">
        <v>55378.6944</v>
      </c>
      <c r="U181" s="18">
        <f t="shared" si="109"/>
        <v>8.3904</v>
      </c>
      <c r="V181" s="14">
        <f t="shared" si="99"/>
        <v>946.88</v>
      </c>
    </row>
    <row r="182">
      <c r="A182" s="28"/>
      <c r="B182" s="19"/>
      <c r="C182" s="18"/>
      <c r="D182" s="19"/>
      <c r="E182" s="18"/>
      <c r="F182" s="19"/>
      <c r="G182" s="18"/>
      <c r="H182" s="19"/>
      <c r="I182" s="18"/>
      <c r="J182" s="19"/>
      <c r="K182" s="20"/>
      <c r="L182" s="19"/>
      <c r="M182" s="18"/>
      <c r="N182" s="19"/>
      <c r="O182" s="18"/>
      <c r="P182" s="19"/>
      <c r="Q182" s="18"/>
      <c r="R182" s="19"/>
      <c r="S182" s="18"/>
      <c r="T182" s="19"/>
      <c r="U182" s="18"/>
      <c r="V182" s="14"/>
    </row>
    <row r="183">
      <c r="A183" s="32" t="s">
        <v>112</v>
      </c>
      <c r="B183" s="17">
        <v>246380.387</v>
      </c>
      <c r="C183" s="18">
        <f>B183-B181</f>
        <v>406.883</v>
      </c>
      <c r="D183" s="17">
        <v>142192.88</v>
      </c>
      <c r="E183" s="18">
        <f>D183-D181</f>
        <v>117.328</v>
      </c>
      <c r="F183" s="17">
        <v>65517.8816</v>
      </c>
      <c r="G183" s="18">
        <f>F183-F181</f>
        <v>28.64</v>
      </c>
      <c r="H183" s="17">
        <v>150854.192</v>
      </c>
      <c r="I183" s="18">
        <f>H183-H181</f>
        <v>120.352</v>
      </c>
      <c r="J183" s="17">
        <v>16584.072</v>
      </c>
      <c r="K183" s="20">
        <f>J183-J181</f>
        <v>32.912</v>
      </c>
      <c r="L183" s="17">
        <v>87969.3312</v>
      </c>
      <c r="M183" s="18">
        <f>L183-L181</f>
        <v>147.5392</v>
      </c>
      <c r="N183" s="17">
        <v>102982.144</v>
      </c>
      <c r="O183" s="18">
        <f>N183-N181</f>
        <v>82.4</v>
      </c>
      <c r="P183" s="17">
        <v>148355.232</v>
      </c>
      <c r="Q183" s="18">
        <f>P183-P181</f>
        <v>235.808</v>
      </c>
      <c r="R183" s="17">
        <v>954457.472</v>
      </c>
      <c r="S183" s="18">
        <f>R183-R181</f>
        <v>942.528</v>
      </c>
      <c r="T183" s="17">
        <v>55392.1472</v>
      </c>
      <c r="U183" s="18">
        <f>T183-T181</f>
        <v>13.4528</v>
      </c>
      <c r="V183" s="14">
        <f t="shared" ref="V183:V195" si="110">U183+S183+Q183+O183+M183+K183+I183+G183+E183+C183</f>
        <v>2127.843</v>
      </c>
    </row>
    <row r="184">
      <c r="A184" s="32" t="s">
        <v>113</v>
      </c>
      <c r="B184" s="17">
        <v>246544.736</v>
      </c>
      <c r="C184" s="18">
        <f t="shared" ref="C184:C195" si="111">B184-B183</f>
        <v>164.349</v>
      </c>
      <c r="D184" s="17">
        <v>142237.936</v>
      </c>
      <c r="E184" s="18">
        <f t="shared" ref="E184:E195" si="112">D184-D183</f>
        <v>45.056</v>
      </c>
      <c r="F184" s="17">
        <v>65528.9088</v>
      </c>
      <c r="G184" s="18">
        <f t="shared" ref="G184:G195" si="113">F184-F183</f>
        <v>11.0272</v>
      </c>
      <c r="H184" s="17">
        <v>150896.984</v>
      </c>
      <c r="I184" s="18">
        <f t="shared" ref="I184:I195" si="114">H184-H183</f>
        <v>42.792</v>
      </c>
      <c r="J184" s="17">
        <v>16615.0368</v>
      </c>
      <c r="K184" s="20">
        <f t="shared" ref="K184:K195" si="115">J184-J183</f>
        <v>30.9648</v>
      </c>
      <c r="L184" s="17">
        <v>88031.1744</v>
      </c>
      <c r="M184" s="18">
        <f t="shared" ref="M184:M195" si="116">L184-L183</f>
        <v>61.8432</v>
      </c>
      <c r="N184" s="17">
        <v>103016.032</v>
      </c>
      <c r="O184" s="18">
        <f t="shared" ref="O184:O195" si="117">N184-N183</f>
        <v>33.888</v>
      </c>
      <c r="P184" s="17">
        <v>148469.264</v>
      </c>
      <c r="Q184" s="18">
        <f t="shared" ref="Q184:Q195" si="118">P184-P183</f>
        <v>114.032</v>
      </c>
      <c r="R184" s="17">
        <v>954919.744</v>
      </c>
      <c r="S184" s="18">
        <f t="shared" ref="S184:S195" si="119">R184-R183</f>
        <v>462.272</v>
      </c>
      <c r="T184" s="17">
        <v>55399.584</v>
      </c>
      <c r="U184" s="18">
        <f t="shared" ref="U184:U188" si="120">T184-T183</f>
        <v>7.4368</v>
      </c>
      <c r="V184" s="14">
        <f t="shared" si="110"/>
        <v>973.661</v>
      </c>
    </row>
    <row r="185">
      <c r="A185" s="32" t="s">
        <v>114</v>
      </c>
      <c r="B185" s="17">
        <v>246711.984</v>
      </c>
      <c r="C185" s="18">
        <f t="shared" si="111"/>
        <v>167.248</v>
      </c>
      <c r="D185" s="17">
        <v>142290.192</v>
      </c>
      <c r="E185" s="18">
        <f t="shared" si="112"/>
        <v>52.256</v>
      </c>
      <c r="F185" s="17">
        <v>65541.5808</v>
      </c>
      <c r="G185" s="18">
        <f t="shared" si="113"/>
        <v>12.672</v>
      </c>
      <c r="H185" s="17">
        <v>150950.816</v>
      </c>
      <c r="I185" s="18">
        <f t="shared" si="114"/>
        <v>53.832</v>
      </c>
      <c r="J185" s="17">
        <v>16646.1216</v>
      </c>
      <c r="K185" s="20">
        <f t="shared" si="115"/>
        <v>31.0848</v>
      </c>
      <c r="L185" s="17">
        <v>88101.8496</v>
      </c>
      <c r="M185" s="18">
        <f t="shared" si="116"/>
        <v>70.6752</v>
      </c>
      <c r="N185" s="17">
        <v>103058.736</v>
      </c>
      <c r="O185" s="18">
        <f t="shared" si="117"/>
        <v>42.704</v>
      </c>
      <c r="P185" s="17">
        <v>148586.0</v>
      </c>
      <c r="Q185" s="18">
        <f t="shared" si="118"/>
        <v>116.736</v>
      </c>
      <c r="R185" s="17">
        <v>955435.648</v>
      </c>
      <c r="S185" s="18">
        <f t="shared" si="119"/>
        <v>515.904</v>
      </c>
      <c r="T185" s="17">
        <v>55407.0464</v>
      </c>
      <c r="U185" s="18">
        <f t="shared" si="120"/>
        <v>7.4624</v>
      </c>
      <c r="V185" s="14">
        <f t="shared" si="110"/>
        <v>1070.5744</v>
      </c>
    </row>
    <row r="186">
      <c r="A186" s="32" t="s">
        <v>115</v>
      </c>
      <c r="B186" s="17">
        <v>246867.248</v>
      </c>
      <c r="C186" s="18">
        <f t="shared" si="111"/>
        <v>155.264</v>
      </c>
      <c r="D186" s="17">
        <v>142322.128</v>
      </c>
      <c r="E186" s="18">
        <f t="shared" si="112"/>
        <v>31.936</v>
      </c>
      <c r="F186" s="17">
        <v>65553.4528</v>
      </c>
      <c r="G186" s="18">
        <f t="shared" si="113"/>
        <v>11.872</v>
      </c>
      <c r="H186" s="17">
        <v>151002.496</v>
      </c>
      <c r="I186" s="18">
        <f t="shared" si="114"/>
        <v>51.68</v>
      </c>
      <c r="J186" s="17">
        <v>16675.568</v>
      </c>
      <c r="K186" s="20">
        <f t="shared" si="115"/>
        <v>29.4464</v>
      </c>
      <c r="L186" s="17">
        <v>88165.056</v>
      </c>
      <c r="M186" s="18">
        <f t="shared" si="116"/>
        <v>63.2064</v>
      </c>
      <c r="N186" s="17">
        <v>103084.688</v>
      </c>
      <c r="O186" s="18">
        <f t="shared" si="117"/>
        <v>25.952</v>
      </c>
      <c r="P186" s="17">
        <v>148725.392</v>
      </c>
      <c r="Q186" s="18">
        <f t="shared" si="118"/>
        <v>139.392</v>
      </c>
      <c r="R186" s="17">
        <v>955750.272</v>
      </c>
      <c r="S186" s="18">
        <f t="shared" si="119"/>
        <v>314.624</v>
      </c>
      <c r="T186" s="17">
        <v>55411.5968</v>
      </c>
      <c r="U186" s="18">
        <f t="shared" si="120"/>
        <v>4.5504</v>
      </c>
      <c r="V186" s="14">
        <f t="shared" si="110"/>
        <v>827.9232</v>
      </c>
    </row>
    <row r="187">
      <c r="A187" s="32" t="s">
        <v>116</v>
      </c>
      <c r="B187" s="17">
        <v>246987.776</v>
      </c>
      <c r="C187" s="18">
        <f t="shared" si="111"/>
        <v>120.528</v>
      </c>
      <c r="D187" s="17">
        <v>142350.992</v>
      </c>
      <c r="E187" s="18">
        <f t="shared" si="112"/>
        <v>28.864</v>
      </c>
      <c r="F187" s="17">
        <v>65565.312</v>
      </c>
      <c r="G187" s="18">
        <f t="shared" si="113"/>
        <v>11.8592</v>
      </c>
      <c r="H187" s="17">
        <v>151059.024</v>
      </c>
      <c r="I187" s="18">
        <f t="shared" si="114"/>
        <v>56.528</v>
      </c>
      <c r="J187" s="17">
        <v>16707.2016</v>
      </c>
      <c r="K187" s="20">
        <f t="shared" si="115"/>
        <v>31.6336</v>
      </c>
      <c r="L187" s="17">
        <v>88233.984</v>
      </c>
      <c r="M187" s="18">
        <f t="shared" si="116"/>
        <v>68.928</v>
      </c>
      <c r="N187" s="17">
        <v>103124.992</v>
      </c>
      <c r="O187" s="18">
        <f t="shared" si="117"/>
        <v>40.304</v>
      </c>
      <c r="P187" s="17">
        <v>148896.368</v>
      </c>
      <c r="Q187" s="18">
        <f t="shared" si="118"/>
        <v>170.976</v>
      </c>
      <c r="R187" s="17">
        <v>956024.448</v>
      </c>
      <c r="S187" s="18">
        <f t="shared" si="119"/>
        <v>274.176</v>
      </c>
      <c r="T187" s="17">
        <v>55417.4784</v>
      </c>
      <c r="U187" s="18">
        <f t="shared" si="120"/>
        <v>5.8816</v>
      </c>
      <c r="V187" s="14">
        <f t="shared" si="110"/>
        <v>809.6784</v>
      </c>
    </row>
    <row r="188">
      <c r="A188" s="32" t="s">
        <v>117</v>
      </c>
      <c r="B188" s="17">
        <v>247158.464</v>
      </c>
      <c r="C188" s="18">
        <f t="shared" si="111"/>
        <v>170.688</v>
      </c>
      <c r="D188" s="17">
        <v>142384.544</v>
      </c>
      <c r="E188" s="18">
        <f t="shared" si="112"/>
        <v>33.552</v>
      </c>
      <c r="F188" s="17">
        <v>65575.5136</v>
      </c>
      <c r="G188" s="18">
        <f t="shared" si="113"/>
        <v>10.2016</v>
      </c>
      <c r="H188" s="17">
        <v>151118.096</v>
      </c>
      <c r="I188" s="18">
        <f t="shared" si="114"/>
        <v>59.072</v>
      </c>
      <c r="J188" s="17">
        <v>16739.8208</v>
      </c>
      <c r="K188" s="20">
        <f t="shared" si="115"/>
        <v>32.6192</v>
      </c>
      <c r="L188" s="17">
        <v>88316.0576</v>
      </c>
      <c r="M188" s="18">
        <f t="shared" si="116"/>
        <v>82.0736</v>
      </c>
      <c r="N188" s="17">
        <v>103165.92</v>
      </c>
      <c r="O188" s="18">
        <f t="shared" si="117"/>
        <v>40.928</v>
      </c>
      <c r="P188" s="17">
        <v>149050.144</v>
      </c>
      <c r="Q188" s="18">
        <f t="shared" si="118"/>
        <v>153.776</v>
      </c>
      <c r="R188" s="17">
        <v>956380.096</v>
      </c>
      <c r="S188" s="18">
        <f t="shared" si="119"/>
        <v>355.648</v>
      </c>
      <c r="T188" s="17">
        <v>55424.6528</v>
      </c>
      <c r="U188" s="18">
        <f t="shared" si="120"/>
        <v>7.1744</v>
      </c>
      <c r="V188" s="14">
        <f t="shared" si="110"/>
        <v>945.7328</v>
      </c>
    </row>
    <row r="189">
      <c r="A189" s="32" t="s">
        <v>118</v>
      </c>
      <c r="B189" s="17">
        <v>247304.144</v>
      </c>
      <c r="C189" s="18">
        <f t="shared" si="111"/>
        <v>145.68</v>
      </c>
      <c r="D189" s="17">
        <v>142452.144</v>
      </c>
      <c r="E189" s="18">
        <f t="shared" si="112"/>
        <v>67.6</v>
      </c>
      <c r="F189" s="17">
        <v>65586.3744</v>
      </c>
      <c r="G189" s="18">
        <f t="shared" si="113"/>
        <v>10.8608</v>
      </c>
      <c r="H189" s="17">
        <v>151170.384</v>
      </c>
      <c r="I189" s="18">
        <f t="shared" si="114"/>
        <v>52.288</v>
      </c>
      <c r="J189" s="17">
        <v>16778.664</v>
      </c>
      <c r="K189" s="20">
        <f t="shared" si="115"/>
        <v>38.8432</v>
      </c>
      <c r="L189" s="17">
        <v>88383.1552</v>
      </c>
      <c r="M189" s="18">
        <f t="shared" si="116"/>
        <v>67.0976</v>
      </c>
      <c r="N189" s="17">
        <v>103198.904</v>
      </c>
      <c r="O189" s="18">
        <f t="shared" si="117"/>
        <v>32.984</v>
      </c>
      <c r="P189" s="17">
        <v>149183.264</v>
      </c>
      <c r="Q189" s="18">
        <f t="shared" si="118"/>
        <v>133.12</v>
      </c>
      <c r="R189" s="17">
        <v>956757.696</v>
      </c>
      <c r="S189" s="18">
        <f t="shared" si="119"/>
        <v>377.6</v>
      </c>
      <c r="T189" s="17">
        <v>55432.1024</v>
      </c>
      <c r="U189" s="18">
        <f>SUM(U183:U188)</f>
        <v>45.9584</v>
      </c>
      <c r="V189" s="14">
        <f t="shared" si="110"/>
        <v>972.032</v>
      </c>
    </row>
    <row r="190">
      <c r="A190" s="32" t="s">
        <v>119</v>
      </c>
      <c r="B190" s="17">
        <v>247478.624</v>
      </c>
      <c r="C190" s="18">
        <f t="shared" si="111"/>
        <v>174.48</v>
      </c>
      <c r="D190" s="17">
        <v>142504.32</v>
      </c>
      <c r="E190" s="18">
        <f t="shared" si="112"/>
        <v>52.176</v>
      </c>
      <c r="F190" s="17">
        <v>65599.1104</v>
      </c>
      <c r="G190" s="18">
        <f t="shared" si="113"/>
        <v>12.736</v>
      </c>
      <c r="H190" s="17">
        <v>151228.08</v>
      </c>
      <c r="I190" s="18">
        <f t="shared" si="114"/>
        <v>57.696</v>
      </c>
      <c r="J190" s="17">
        <v>16813.6496</v>
      </c>
      <c r="K190" s="20">
        <f t="shared" si="115"/>
        <v>34.9856</v>
      </c>
      <c r="L190" s="17">
        <v>88455.456</v>
      </c>
      <c r="M190" s="18">
        <f t="shared" si="116"/>
        <v>72.3008</v>
      </c>
      <c r="N190" s="17">
        <v>103235.624</v>
      </c>
      <c r="O190" s="18">
        <f t="shared" si="117"/>
        <v>36.72</v>
      </c>
      <c r="P190" s="17">
        <v>149322.32</v>
      </c>
      <c r="Q190" s="18">
        <f t="shared" si="118"/>
        <v>139.056</v>
      </c>
      <c r="R190" s="17">
        <v>957176.256</v>
      </c>
      <c r="S190" s="18">
        <f t="shared" si="119"/>
        <v>418.56</v>
      </c>
      <c r="T190" s="17">
        <v>55438.8544</v>
      </c>
      <c r="U190" s="18">
        <f t="shared" ref="U190:U195" si="121">T190-T189</f>
        <v>6.752</v>
      </c>
      <c r="V190" s="14">
        <f t="shared" si="110"/>
        <v>1005.4624</v>
      </c>
    </row>
    <row r="191" ht="12.0" customHeight="1">
      <c r="A191" s="32" t="s">
        <v>120</v>
      </c>
      <c r="B191" s="17">
        <v>247702.752</v>
      </c>
      <c r="C191" s="18">
        <f t="shared" si="111"/>
        <v>224.128</v>
      </c>
      <c r="D191" s="17">
        <v>142554.208</v>
      </c>
      <c r="E191" s="18">
        <f t="shared" si="112"/>
        <v>49.888</v>
      </c>
      <c r="F191" s="17">
        <v>65612.128</v>
      </c>
      <c r="G191" s="18">
        <f t="shared" si="113"/>
        <v>13.0176</v>
      </c>
      <c r="H191" s="17">
        <v>151291.968</v>
      </c>
      <c r="I191" s="18">
        <f t="shared" si="114"/>
        <v>63.888</v>
      </c>
      <c r="J191" s="17">
        <v>16846.232</v>
      </c>
      <c r="K191" s="20">
        <f t="shared" si="115"/>
        <v>32.5824</v>
      </c>
      <c r="L191" s="17">
        <v>88557.6896</v>
      </c>
      <c r="M191" s="18">
        <f t="shared" si="116"/>
        <v>102.2336</v>
      </c>
      <c r="N191" s="17">
        <v>103276.76</v>
      </c>
      <c r="O191" s="18">
        <f t="shared" si="117"/>
        <v>41.136</v>
      </c>
      <c r="P191" s="17">
        <v>149475.904</v>
      </c>
      <c r="Q191" s="18">
        <f t="shared" si="118"/>
        <v>153.584</v>
      </c>
      <c r="R191" s="17">
        <v>957552.96</v>
      </c>
      <c r="S191" s="18">
        <f t="shared" si="119"/>
        <v>376.704</v>
      </c>
      <c r="T191" s="17">
        <v>55446.5856</v>
      </c>
      <c r="U191" s="18">
        <f t="shared" si="121"/>
        <v>7.7312</v>
      </c>
      <c r="V191" s="14">
        <f t="shared" si="110"/>
        <v>1064.8928</v>
      </c>
    </row>
    <row r="192">
      <c r="A192" s="32" t="s">
        <v>121</v>
      </c>
      <c r="B192" s="17">
        <v>248046.832</v>
      </c>
      <c r="C192" s="18">
        <f t="shared" si="111"/>
        <v>344.08</v>
      </c>
      <c r="D192" s="17">
        <v>142641.472</v>
      </c>
      <c r="E192" s="18">
        <f t="shared" si="112"/>
        <v>87.264</v>
      </c>
      <c r="F192" s="17">
        <v>65628.896</v>
      </c>
      <c r="G192" s="18">
        <f t="shared" si="113"/>
        <v>16.768</v>
      </c>
      <c r="H192" s="17">
        <v>151359.04</v>
      </c>
      <c r="I192" s="18">
        <f t="shared" si="114"/>
        <v>67.072</v>
      </c>
      <c r="J192" s="17">
        <v>16891.032</v>
      </c>
      <c r="K192" s="20">
        <f t="shared" si="115"/>
        <v>44.8</v>
      </c>
      <c r="L192" s="17">
        <v>88652.2496</v>
      </c>
      <c r="M192" s="18">
        <f t="shared" si="116"/>
        <v>94.56</v>
      </c>
      <c r="N192" s="17">
        <v>103322.672</v>
      </c>
      <c r="O192" s="18">
        <f t="shared" si="117"/>
        <v>45.912</v>
      </c>
      <c r="P192" s="17">
        <v>149718.8</v>
      </c>
      <c r="Q192" s="18">
        <f t="shared" si="118"/>
        <v>242.896</v>
      </c>
      <c r="R192" s="17">
        <v>958049.856</v>
      </c>
      <c r="S192" s="18">
        <f t="shared" si="119"/>
        <v>496.896</v>
      </c>
      <c r="T192" s="17">
        <v>55456.0256</v>
      </c>
      <c r="U192" s="18">
        <f t="shared" si="121"/>
        <v>9.44</v>
      </c>
      <c r="V192" s="14">
        <f t="shared" si="110"/>
        <v>1449.688</v>
      </c>
    </row>
    <row r="193">
      <c r="A193" s="32" t="s">
        <v>122</v>
      </c>
      <c r="B193" s="17">
        <v>248153.376</v>
      </c>
      <c r="C193" s="18">
        <f t="shared" si="111"/>
        <v>106.544</v>
      </c>
      <c r="D193" s="17">
        <v>142668.384</v>
      </c>
      <c r="E193" s="18">
        <f t="shared" si="112"/>
        <v>26.912</v>
      </c>
      <c r="F193" s="17">
        <v>65640.768</v>
      </c>
      <c r="G193" s="18">
        <f t="shared" si="113"/>
        <v>11.872</v>
      </c>
      <c r="H193" s="17">
        <v>151399.264</v>
      </c>
      <c r="I193" s="18">
        <f t="shared" si="114"/>
        <v>40.224</v>
      </c>
      <c r="J193" s="17">
        <v>16910.9392</v>
      </c>
      <c r="K193" s="20">
        <f t="shared" si="115"/>
        <v>19.9072</v>
      </c>
      <c r="L193" s="17">
        <v>88677.536</v>
      </c>
      <c r="M193" s="18">
        <f t="shared" si="116"/>
        <v>25.2864</v>
      </c>
      <c r="N193" s="17">
        <v>103343.696</v>
      </c>
      <c r="O193" s="18">
        <f t="shared" si="117"/>
        <v>21.024</v>
      </c>
      <c r="P193" s="17">
        <v>149844.64</v>
      </c>
      <c r="Q193" s="18">
        <f t="shared" si="118"/>
        <v>125.84</v>
      </c>
      <c r="R193" s="17">
        <v>958197.184</v>
      </c>
      <c r="S193" s="18">
        <f t="shared" si="119"/>
        <v>147.328</v>
      </c>
      <c r="T193" s="17">
        <v>55460.2368</v>
      </c>
      <c r="U193" s="18">
        <f t="shared" si="121"/>
        <v>4.2112</v>
      </c>
      <c r="V193" s="14">
        <f t="shared" si="110"/>
        <v>529.1488</v>
      </c>
    </row>
    <row r="194">
      <c r="A194" s="32" t="s">
        <v>123</v>
      </c>
      <c r="B194" s="17">
        <v>248305.587</v>
      </c>
      <c r="C194" s="18">
        <f t="shared" si="111"/>
        <v>152.211</v>
      </c>
      <c r="D194" s="17">
        <v>142740.36</v>
      </c>
      <c r="E194" s="18">
        <f t="shared" si="112"/>
        <v>71.976</v>
      </c>
      <c r="F194" s="17">
        <v>65652.589</v>
      </c>
      <c r="G194" s="18">
        <f t="shared" si="113"/>
        <v>11.821</v>
      </c>
      <c r="H194" s="17">
        <v>151450.452</v>
      </c>
      <c r="I194" s="18">
        <f t="shared" si="114"/>
        <v>51.188</v>
      </c>
      <c r="J194" s="17">
        <v>16930.149</v>
      </c>
      <c r="K194" s="20">
        <f t="shared" si="115"/>
        <v>19.2098</v>
      </c>
      <c r="L194" s="17">
        <v>88750.54</v>
      </c>
      <c r="M194" s="18">
        <f t="shared" si="116"/>
        <v>73.004</v>
      </c>
      <c r="N194" s="17">
        <v>103385.697</v>
      </c>
      <c r="O194" s="18">
        <f t="shared" si="117"/>
        <v>42.001</v>
      </c>
      <c r="P194" s="17">
        <v>149990.697</v>
      </c>
      <c r="Q194" s="18">
        <f t="shared" si="118"/>
        <v>146.057</v>
      </c>
      <c r="R194" s="17">
        <v>958580.143</v>
      </c>
      <c r="S194" s="18">
        <f t="shared" si="119"/>
        <v>382.959</v>
      </c>
      <c r="T194" s="17">
        <v>55465.3214</v>
      </c>
      <c r="U194" s="18">
        <f t="shared" si="121"/>
        <v>5.0846</v>
      </c>
      <c r="V194" s="14">
        <f t="shared" si="110"/>
        <v>955.5114</v>
      </c>
    </row>
    <row r="195">
      <c r="A195" s="39">
        <v>45667.0</v>
      </c>
      <c r="B195" s="17">
        <v>248524.352</v>
      </c>
      <c r="C195" s="18">
        <f t="shared" si="111"/>
        <v>218.765</v>
      </c>
      <c r="D195" s="17">
        <v>142789.664</v>
      </c>
      <c r="E195" s="18">
        <f t="shared" si="112"/>
        <v>49.304</v>
      </c>
      <c r="F195" s="17">
        <v>65668.1408</v>
      </c>
      <c r="G195" s="18">
        <f t="shared" si="113"/>
        <v>15.5518</v>
      </c>
      <c r="H195" s="17">
        <v>151520.576</v>
      </c>
      <c r="I195" s="18">
        <f t="shared" si="114"/>
        <v>70.124</v>
      </c>
      <c r="J195" s="17">
        <v>16943.408</v>
      </c>
      <c r="K195" s="20">
        <f t="shared" si="115"/>
        <v>13.259</v>
      </c>
      <c r="L195" s="17">
        <v>88860.768</v>
      </c>
      <c r="M195" s="18">
        <f t="shared" si="116"/>
        <v>110.228</v>
      </c>
      <c r="N195" s="17">
        <v>103429.944</v>
      </c>
      <c r="O195" s="18">
        <f t="shared" si="117"/>
        <v>44.247</v>
      </c>
      <c r="P195" s="17">
        <v>150134.912</v>
      </c>
      <c r="Q195" s="18">
        <f t="shared" si="118"/>
        <v>144.215</v>
      </c>
      <c r="R195" s="17">
        <v>959100.032</v>
      </c>
      <c r="S195" s="18">
        <f t="shared" si="119"/>
        <v>519.889</v>
      </c>
      <c r="T195" s="17">
        <v>55476.5952</v>
      </c>
      <c r="U195" s="18">
        <f t="shared" si="121"/>
        <v>11.2738</v>
      </c>
      <c r="V195" s="14">
        <f t="shared" si="110"/>
        <v>1196.8566</v>
      </c>
    </row>
    <row r="196">
      <c r="A196" s="39">
        <v>45698.0</v>
      </c>
      <c r="B196" s="19"/>
      <c r="C196" s="18"/>
      <c r="D196" s="19"/>
      <c r="E196" s="18"/>
      <c r="F196" s="19"/>
      <c r="G196" s="18"/>
      <c r="H196" s="19"/>
      <c r="I196" s="18"/>
      <c r="J196" s="19"/>
      <c r="K196" s="20"/>
      <c r="L196" s="19"/>
      <c r="M196" s="18"/>
      <c r="N196" s="19"/>
      <c r="O196" s="18"/>
      <c r="P196" s="19"/>
      <c r="Q196" s="18"/>
      <c r="R196" s="19"/>
      <c r="S196" s="18"/>
      <c r="T196" s="19"/>
      <c r="U196" s="18"/>
      <c r="V196" s="14"/>
    </row>
    <row r="197">
      <c r="A197" s="39">
        <v>45726.0</v>
      </c>
      <c r="B197" s="17">
        <v>248680.682</v>
      </c>
      <c r="C197" s="18">
        <f>B197-B195</f>
        <v>156.33</v>
      </c>
      <c r="D197" s="17">
        <v>142840.554</v>
      </c>
      <c r="E197" s="18">
        <f>D197-D195</f>
        <v>50.89</v>
      </c>
      <c r="F197" s="17">
        <v>65690.5489</v>
      </c>
      <c r="G197" s="18">
        <f>F197-F195</f>
        <v>22.4081</v>
      </c>
      <c r="H197" s="17">
        <v>151600.528</v>
      </c>
      <c r="I197" s="18">
        <f>H197-H195</f>
        <v>79.952</v>
      </c>
      <c r="J197" s="17">
        <v>16990.588</v>
      </c>
      <c r="K197" s="20">
        <f>J197-J195</f>
        <v>47.18</v>
      </c>
      <c r="L197" s="17">
        <v>88900.569</v>
      </c>
      <c r="M197" s="18">
        <f>L197-L195</f>
        <v>39.801</v>
      </c>
      <c r="N197" s="17">
        <v>103500.257</v>
      </c>
      <c r="O197" s="18">
        <f>N197-N195</f>
        <v>70.313</v>
      </c>
      <c r="P197" s="17">
        <v>150302.654</v>
      </c>
      <c r="Q197" s="18">
        <f>P197-P195</f>
        <v>167.742</v>
      </c>
      <c r="R197" s="17">
        <v>959872.254</v>
      </c>
      <c r="S197" s="18">
        <f>R197-R195</f>
        <v>772.222</v>
      </c>
      <c r="T197" s="17">
        <v>55485.4864</v>
      </c>
      <c r="U197" s="18">
        <f>T197-T195</f>
        <v>8.8912</v>
      </c>
      <c r="V197" s="14">
        <f t="shared" ref="V197:V202" si="122">U197+S197+Q197+O197+M197+K197+I197+G197+E197+C197</f>
        <v>1415.7293</v>
      </c>
    </row>
    <row r="198">
      <c r="A198" s="39">
        <v>45757.0</v>
      </c>
      <c r="B198" s="17">
        <v>248911.424</v>
      </c>
      <c r="C198" s="18">
        <f t="shared" ref="C198:C202" si="123">B198-B197</f>
        <v>230.742</v>
      </c>
      <c r="D198" s="17">
        <v>142902.448</v>
      </c>
      <c r="E198" s="18">
        <f>D198-D197</f>
        <v>61.894</v>
      </c>
      <c r="F198" s="17">
        <v>65700.0768</v>
      </c>
      <c r="G198" s="18">
        <f>F198-F197</f>
        <v>9.5279</v>
      </c>
      <c r="H198" s="17">
        <v>151678.608</v>
      </c>
      <c r="I198" s="18">
        <f t="shared" ref="I198:I202" si="124">H198-H197</f>
        <v>78.08</v>
      </c>
      <c r="J198" s="17">
        <v>17019.2336</v>
      </c>
      <c r="K198" s="20">
        <f t="shared" ref="K198:K202" si="125">J198-J197</f>
        <v>28.6456</v>
      </c>
      <c r="L198" s="17">
        <v>89038.5472</v>
      </c>
      <c r="M198" s="18">
        <f t="shared" ref="M198:M202" si="126">L198-L197</f>
        <v>137.9782</v>
      </c>
      <c r="N198" s="17">
        <v>103534.04</v>
      </c>
      <c r="O198" s="18">
        <f t="shared" ref="O198:O202" si="127">N198-N197</f>
        <v>33.783</v>
      </c>
      <c r="P198" s="17">
        <v>150422.032</v>
      </c>
      <c r="Q198" s="18">
        <f t="shared" ref="Q198:Q202" si="128">P198-P197</f>
        <v>119.378</v>
      </c>
      <c r="R198" s="17">
        <v>960203.712</v>
      </c>
      <c r="S198" s="18">
        <f t="shared" ref="S198:S202" si="129">R198-R197</f>
        <v>331.458</v>
      </c>
      <c r="T198" s="17">
        <v>55489.4784</v>
      </c>
      <c r="U198" s="18">
        <f t="shared" ref="U198:U202" si="130">T198-T197</f>
        <v>3.992</v>
      </c>
      <c r="V198" s="14">
        <f t="shared" si="122"/>
        <v>1035.4787</v>
      </c>
    </row>
    <row r="199">
      <c r="A199" s="39">
        <v>45787.0</v>
      </c>
      <c r="B199" s="17">
        <v>249138.64</v>
      </c>
      <c r="C199" s="18">
        <f t="shared" si="123"/>
        <v>227.216</v>
      </c>
      <c r="D199" s="17">
        <v>142963.984</v>
      </c>
      <c r="E199" s="18">
        <f>D199-D197</f>
        <v>123.43</v>
      </c>
      <c r="F199" s="17">
        <v>65716.992</v>
      </c>
      <c r="G199" s="18">
        <f>F199-F197</f>
        <v>26.4431</v>
      </c>
      <c r="H199" s="17">
        <v>151733.056</v>
      </c>
      <c r="I199" s="18">
        <f t="shared" si="124"/>
        <v>54.448</v>
      </c>
      <c r="J199" s="17">
        <v>17050.3296</v>
      </c>
      <c r="K199" s="20">
        <f t="shared" si="125"/>
        <v>31.096</v>
      </c>
      <c r="L199" s="17">
        <v>89112.3648</v>
      </c>
      <c r="M199" s="18">
        <f t="shared" si="126"/>
        <v>73.8176</v>
      </c>
      <c r="N199" s="17">
        <v>103576.08</v>
      </c>
      <c r="O199" s="18">
        <f t="shared" si="127"/>
        <v>42.04</v>
      </c>
      <c r="P199" s="17">
        <v>150558.368</v>
      </c>
      <c r="Q199" s="18">
        <f t="shared" si="128"/>
        <v>136.336</v>
      </c>
      <c r="R199" s="17">
        <v>960743.616</v>
      </c>
      <c r="S199" s="18">
        <f t="shared" si="129"/>
        <v>539.904</v>
      </c>
      <c r="T199" s="17">
        <v>55497.7536</v>
      </c>
      <c r="U199" s="18">
        <f t="shared" si="130"/>
        <v>8.2752</v>
      </c>
      <c r="V199" s="14">
        <f t="shared" si="122"/>
        <v>1263.0059</v>
      </c>
    </row>
    <row r="200">
      <c r="A200" s="39">
        <v>45818.0</v>
      </c>
      <c r="B200" s="17">
        <v>249298.432</v>
      </c>
      <c r="C200" s="18">
        <f t="shared" si="123"/>
        <v>159.792</v>
      </c>
      <c r="D200" s="17">
        <v>143014.048</v>
      </c>
      <c r="E200" s="18">
        <f t="shared" ref="E200:E202" si="131">D200-D199</f>
        <v>50.064</v>
      </c>
      <c r="F200" s="17">
        <v>65732.1408</v>
      </c>
      <c r="G200" s="18">
        <f>F200-F199</f>
        <v>15.1488</v>
      </c>
      <c r="H200" s="17">
        <v>151781.248</v>
      </c>
      <c r="I200" s="18">
        <f t="shared" si="124"/>
        <v>48.192</v>
      </c>
      <c r="J200" s="17">
        <v>17079.432</v>
      </c>
      <c r="K200" s="20">
        <f t="shared" si="125"/>
        <v>29.1024</v>
      </c>
      <c r="L200" s="17">
        <v>89181.2736</v>
      </c>
      <c r="M200" s="18">
        <f t="shared" si="126"/>
        <v>68.9088</v>
      </c>
      <c r="N200" s="17">
        <v>103609.24</v>
      </c>
      <c r="O200" s="18">
        <f t="shared" si="127"/>
        <v>33.16</v>
      </c>
      <c r="P200" s="17">
        <v>150714.464</v>
      </c>
      <c r="Q200" s="18">
        <f t="shared" si="128"/>
        <v>156.096</v>
      </c>
      <c r="R200" s="17">
        <v>961077.376</v>
      </c>
      <c r="S200" s="18">
        <f t="shared" si="129"/>
        <v>333.76</v>
      </c>
      <c r="T200" s="17">
        <v>55503.9424</v>
      </c>
      <c r="U200" s="18">
        <f t="shared" si="130"/>
        <v>6.1888</v>
      </c>
      <c r="V200" s="14">
        <f t="shared" si="122"/>
        <v>900.4128</v>
      </c>
    </row>
    <row r="201">
      <c r="A201" s="39">
        <v>45848.0</v>
      </c>
      <c r="B201" s="17">
        <v>249493.904</v>
      </c>
      <c r="C201" s="18">
        <f t="shared" si="123"/>
        <v>195.472</v>
      </c>
      <c r="D201" s="17">
        <v>143070.16</v>
      </c>
      <c r="E201" s="18">
        <f t="shared" si="131"/>
        <v>56.112</v>
      </c>
      <c r="F201" s="17">
        <v>65747.7632</v>
      </c>
      <c r="G201" s="18">
        <f>F201-F199</f>
        <v>30.7712</v>
      </c>
      <c r="H201" s="17">
        <v>151830.896</v>
      </c>
      <c r="I201" s="18">
        <f t="shared" si="124"/>
        <v>49.648</v>
      </c>
      <c r="J201" s="17">
        <v>17112.8784</v>
      </c>
      <c r="K201" s="20">
        <f t="shared" si="125"/>
        <v>33.4464</v>
      </c>
      <c r="L201" s="17">
        <v>89249.984</v>
      </c>
      <c r="M201" s="18">
        <f t="shared" si="126"/>
        <v>68.7104</v>
      </c>
      <c r="N201" s="17">
        <v>103651.848</v>
      </c>
      <c r="O201" s="18">
        <f t="shared" si="127"/>
        <v>42.608</v>
      </c>
      <c r="P201" s="17">
        <v>150921.056</v>
      </c>
      <c r="Q201" s="18">
        <f t="shared" si="128"/>
        <v>206.592</v>
      </c>
      <c r="R201" s="17">
        <v>961526.976</v>
      </c>
      <c r="S201" s="18">
        <f t="shared" si="129"/>
        <v>449.6</v>
      </c>
      <c r="T201" s="17">
        <v>55511.136</v>
      </c>
      <c r="U201" s="18">
        <f t="shared" si="130"/>
        <v>7.1936</v>
      </c>
      <c r="V201" s="14">
        <f t="shared" si="122"/>
        <v>1140.1536</v>
      </c>
    </row>
    <row r="202">
      <c r="A202" s="39">
        <v>45879.0</v>
      </c>
      <c r="B202" s="17">
        <v>249697.456</v>
      </c>
      <c r="C202" s="18">
        <f t="shared" si="123"/>
        <v>203.552</v>
      </c>
      <c r="D202" s="17">
        <v>143123.04</v>
      </c>
      <c r="E202" s="18">
        <f t="shared" si="131"/>
        <v>52.88</v>
      </c>
      <c r="F202" s="17">
        <v>65762.2336</v>
      </c>
      <c r="G202" s="18">
        <f>F202-F201</f>
        <v>14.4704</v>
      </c>
      <c r="H202" s="17">
        <v>151880.768</v>
      </c>
      <c r="I202" s="18">
        <f t="shared" si="124"/>
        <v>49.872</v>
      </c>
      <c r="J202" s="17">
        <v>17148.6912</v>
      </c>
      <c r="K202" s="20">
        <f t="shared" si="125"/>
        <v>35.8128</v>
      </c>
      <c r="L202" s="17">
        <v>89343.6032</v>
      </c>
      <c r="M202" s="18">
        <f t="shared" si="126"/>
        <v>93.6192</v>
      </c>
      <c r="N202" s="17">
        <v>103695.928</v>
      </c>
      <c r="O202" s="18">
        <f t="shared" si="127"/>
        <v>44.08</v>
      </c>
      <c r="P202" s="17">
        <v>151053.472</v>
      </c>
      <c r="Q202" s="18">
        <f t="shared" si="128"/>
        <v>132.416</v>
      </c>
      <c r="R202" s="17">
        <v>962005.184</v>
      </c>
      <c r="S202" s="18">
        <f t="shared" si="129"/>
        <v>478.208</v>
      </c>
      <c r="T202" s="17">
        <v>55518.368</v>
      </c>
      <c r="U202" s="18">
        <f t="shared" si="130"/>
        <v>7.232</v>
      </c>
      <c r="V202" s="14">
        <f t="shared" si="122"/>
        <v>1112.1424</v>
      </c>
    </row>
    <row r="203">
      <c r="A203" s="28"/>
      <c r="B203" s="19"/>
      <c r="C203" s="18"/>
      <c r="D203" s="19"/>
      <c r="E203" s="18"/>
      <c r="F203" s="19"/>
      <c r="G203" s="18"/>
      <c r="H203" s="19"/>
      <c r="I203" s="18"/>
      <c r="J203" s="19"/>
      <c r="K203" s="20"/>
      <c r="L203" s="19"/>
      <c r="M203" s="18"/>
      <c r="N203" s="19"/>
      <c r="O203" s="18"/>
      <c r="P203" s="19"/>
      <c r="Q203" s="18"/>
      <c r="R203" s="19"/>
      <c r="S203" s="18"/>
      <c r="T203" s="19"/>
      <c r="U203" s="18"/>
      <c r="V203" s="14"/>
    </row>
    <row r="204">
      <c r="A204" s="39">
        <v>45940.0</v>
      </c>
      <c r="B204" s="17">
        <v>250144.608</v>
      </c>
      <c r="C204" s="18">
        <f>B204-B202</f>
        <v>447.152</v>
      </c>
      <c r="D204" s="17">
        <v>143242.832</v>
      </c>
      <c r="E204" s="18">
        <f>D204-D202</f>
        <v>119.792</v>
      </c>
      <c r="F204" s="17">
        <v>65795.8848</v>
      </c>
      <c r="G204" s="18">
        <f>F204-F202</f>
        <v>33.6512</v>
      </c>
      <c r="H204" s="17">
        <v>151977.184</v>
      </c>
      <c r="I204" s="18">
        <f>H204-H202</f>
        <v>96.416</v>
      </c>
      <c r="J204" s="17">
        <v>17200.6544</v>
      </c>
      <c r="K204" s="20">
        <f>J204-J202</f>
        <v>51.9632</v>
      </c>
      <c r="L204" s="17">
        <v>89521.0176</v>
      </c>
      <c r="M204" s="18">
        <f>L204-L202</f>
        <v>177.4144</v>
      </c>
      <c r="N204" s="17">
        <v>103778.44</v>
      </c>
      <c r="O204" s="18">
        <f>N204-N202</f>
        <v>82.512</v>
      </c>
      <c r="P204" s="17">
        <v>151266.24</v>
      </c>
      <c r="Q204" s="18">
        <f>P204-P202</f>
        <v>212.768</v>
      </c>
      <c r="R204" s="17">
        <v>962864.256</v>
      </c>
      <c r="S204" s="18">
        <f>R204-R202</f>
        <v>859.072</v>
      </c>
      <c r="T204" s="17">
        <v>55533.3568</v>
      </c>
      <c r="U204" s="18">
        <f>T204-T202</f>
        <v>14.9888</v>
      </c>
      <c r="V204" s="14">
        <f t="shared" ref="V204:V205" si="132">U204+S204+Q204+O204+M204+K204+I204+G204+E204+C204</f>
        <v>2095.7296</v>
      </c>
    </row>
    <row r="205">
      <c r="A205" s="39">
        <v>45971.0</v>
      </c>
      <c r="B205" s="17">
        <v>250338.128</v>
      </c>
      <c r="C205" s="18">
        <f t="shared" ref="C205:C207" si="133">B205-B204</f>
        <v>193.52</v>
      </c>
      <c r="D205" s="17">
        <v>143298.352</v>
      </c>
      <c r="E205" s="18">
        <f t="shared" ref="E205:E207" si="134">D205-D204</f>
        <v>55.52</v>
      </c>
      <c r="F205" s="17">
        <v>65812.0256</v>
      </c>
      <c r="G205" s="18">
        <f t="shared" ref="G205:G207" si="135">F205-F204</f>
        <v>16.1408</v>
      </c>
      <c r="H205" s="17">
        <v>152006.624</v>
      </c>
      <c r="I205" s="18">
        <f t="shared" ref="I205:I207" si="136">H205-H204</f>
        <v>29.44</v>
      </c>
      <c r="J205" s="17">
        <v>17227.6992</v>
      </c>
      <c r="K205" s="20">
        <f t="shared" ref="K205:K207" si="137">J205-J204</f>
        <v>27.0448</v>
      </c>
      <c r="L205" s="17">
        <v>89606.2336</v>
      </c>
      <c r="M205" s="18">
        <f>L205-L204</f>
        <v>85.216</v>
      </c>
      <c r="N205" s="17">
        <v>103822.648</v>
      </c>
      <c r="O205" s="18">
        <f>N205-N204</f>
        <v>44.208</v>
      </c>
      <c r="P205" s="17">
        <v>151349.792</v>
      </c>
      <c r="Q205" s="18">
        <f>P205-P204</f>
        <v>83.552</v>
      </c>
      <c r="R205" s="17">
        <v>963323.392</v>
      </c>
      <c r="S205" s="18">
        <f>R205-R204</f>
        <v>459.136</v>
      </c>
      <c r="T205" s="17">
        <v>55541.1304</v>
      </c>
      <c r="U205" s="18">
        <f>T205-T204</f>
        <v>7.7736</v>
      </c>
      <c r="V205" s="14">
        <f t="shared" si="132"/>
        <v>1001.5512</v>
      </c>
    </row>
    <row r="206">
      <c r="A206" s="39">
        <v>46001.0</v>
      </c>
      <c r="B206" s="17">
        <v>250528.112</v>
      </c>
      <c r="C206" s="18">
        <f t="shared" si="133"/>
        <v>189.984</v>
      </c>
      <c r="D206" s="17">
        <v>143361.712</v>
      </c>
      <c r="E206" s="18">
        <f t="shared" si="134"/>
        <v>63.36</v>
      </c>
      <c r="F206" s="17">
        <v>65827.1552</v>
      </c>
      <c r="G206" s="18">
        <f t="shared" si="135"/>
        <v>15.1296</v>
      </c>
      <c r="H206" s="17">
        <v>152048.112</v>
      </c>
      <c r="I206" s="18">
        <f t="shared" si="136"/>
        <v>41.488</v>
      </c>
      <c r="J206" s="17">
        <v>17260.3696</v>
      </c>
      <c r="K206" s="20">
        <f t="shared" si="137"/>
        <v>32.6704</v>
      </c>
      <c r="L206" s="19"/>
      <c r="M206" s="18"/>
      <c r="N206" s="19"/>
      <c r="O206" s="18"/>
      <c r="P206" s="19"/>
      <c r="Q206" s="18"/>
      <c r="R206" s="19"/>
      <c r="S206" s="18"/>
      <c r="T206" s="19"/>
      <c r="U206" s="18"/>
      <c r="V206" s="14"/>
    </row>
    <row r="207">
      <c r="A207" s="32" t="s">
        <v>124</v>
      </c>
      <c r="B207" s="17">
        <v>250698.0</v>
      </c>
      <c r="C207" s="18">
        <f t="shared" si="133"/>
        <v>169.888</v>
      </c>
      <c r="D207" s="17">
        <v>143405.328</v>
      </c>
      <c r="E207" s="18">
        <f t="shared" si="134"/>
        <v>43.616</v>
      </c>
      <c r="F207" s="17">
        <v>65841.7984</v>
      </c>
      <c r="G207" s="18">
        <f t="shared" si="135"/>
        <v>14.6432</v>
      </c>
      <c r="H207" s="17">
        <v>152102.064</v>
      </c>
      <c r="I207" s="18">
        <f t="shared" si="136"/>
        <v>53.952</v>
      </c>
      <c r="J207" s="17">
        <v>17287.4672</v>
      </c>
      <c r="K207" s="20">
        <f t="shared" si="137"/>
        <v>27.0976</v>
      </c>
      <c r="L207" s="17">
        <v>89779.0848</v>
      </c>
      <c r="M207" s="18"/>
      <c r="N207" s="17">
        <v>103886.936</v>
      </c>
      <c r="O207" s="18"/>
      <c r="P207" s="17">
        <v>151641.92</v>
      </c>
      <c r="Q207" s="18"/>
      <c r="R207" s="17">
        <v>964371.328</v>
      </c>
      <c r="S207" s="18"/>
      <c r="T207" s="17">
        <v>55557.7472</v>
      </c>
      <c r="U207" s="18"/>
      <c r="V207" s="14"/>
    </row>
    <row r="208">
      <c r="A208" s="32" t="s">
        <v>125</v>
      </c>
      <c r="B208" s="19"/>
      <c r="C208" s="18"/>
      <c r="D208" s="19"/>
      <c r="E208" s="18"/>
      <c r="F208" s="19"/>
      <c r="G208" s="18"/>
      <c r="H208" s="19"/>
      <c r="I208" s="18"/>
      <c r="J208" s="19"/>
      <c r="K208" s="20"/>
      <c r="L208" s="19"/>
      <c r="M208" s="18"/>
      <c r="N208" s="19"/>
      <c r="O208" s="18"/>
      <c r="P208" s="19"/>
      <c r="Q208" s="18"/>
      <c r="R208" s="19"/>
      <c r="S208" s="18"/>
      <c r="T208" s="19"/>
      <c r="U208" s="18"/>
      <c r="V208" s="14"/>
    </row>
    <row r="209">
      <c r="A209" s="32" t="s">
        <v>126</v>
      </c>
      <c r="B209" s="17">
        <v>251263.71</v>
      </c>
      <c r="C209" s="18">
        <f>B209-B207</f>
        <v>565.71</v>
      </c>
      <c r="D209" s="17">
        <v>143514.288</v>
      </c>
      <c r="E209" s="18">
        <f>D209-D207</f>
        <v>108.96</v>
      </c>
      <c r="F209" s="17">
        <v>65869.024</v>
      </c>
      <c r="G209" s="18">
        <f>F209-F207</f>
        <v>27.2256</v>
      </c>
      <c r="H209" s="17">
        <v>152205.28</v>
      </c>
      <c r="I209" s="18">
        <f>H209-H207</f>
        <v>103.216</v>
      </c>
      <c r="J209" s="19"/>
      <c r="K209" s="20"/>
      <c r="L209" s="17">
        <v>89913.2352</v>
      </c>
      <c r="M209" s="18">
        <f>L209-L207</f>
        <v>134.1504</v>
      </c>
      <c r="N209" s="17">
        <v>103972.952</v>
      </c>
      <c r="O209" s="18">
        <f>N209-N207</f>
        <v>86.016</v>
      </c>
      <c r="P209" s="17">
        <v>151874.256</v>
      </c>
      <c r="Q209" s="18">
        <f>P209-P207</f>
        <v>232.336</v>
      </c>
      <c r="R209" s="17">
        <v>965281.6</v>
      </c>
      <c r="S209" s="18">
        <f>R209-R207</f>
        <v>910.272</v>
      </c>
      <c r="T209" s="17">
        <v>55574.118</v>
      </c>
      <c r="U209" s="18">
        <f>T209-T207</f>
        <v>16.3708</v>
      </c>
      <c r="V209" s="14"/>
    </row>
    <row r="210">
      <c r="A210" s="32" t="s">
        <v>127</v>
      </c>
      <c r="B210" s="19"/>
      <c r="C210" s="18"/>
      <c r="D210" s="19"/>
      <c r="E210" s="18"/>
      <c r="F210" s="19"/>
      <c r="G210" s="18"/>
      <c r="H210" s="19"/>
      <c r="I210" s="18"/>
      <c r="J210" s="19"/>
      <c r="K210" s="20"/>
      <c r="L210" s="19"/>
      <c r="M210" s="18"/>
      <c r="N210" s="19"/>
      <c r="O210" s="18"/>
      <c r="P210" s="19"/>
      <c r="Q210" s="18"/>
      <c r="R210" s="19"/>
      <c r="S210" s="18"/>
      <c r="T210" s="19"/>
      <c r="U210" s="18"/>
      <c r="V210" s="14"/>
    </row>
    <row r="211">
      <c r="A211" s="32" t="s">
        <v>128</v>
      </c>
      <c r="B211" s="17">
        <v>251765.376</v>
      </c>
      <c r="C211" s="18"/>
      <c r="D211" s="17">
        <v>143636.96</v>
      </c>
      <c r="E211" s="30"/>
      <c r="F211" s="30">
        <v>65902.2784</v>
      </c>
      <c r="G211" s="18"/>
      <c r="H211" s="17">
        <v>152329.68</v>
      </c>
      <c r="I211" s="18"/>
      <c r="J211" s="17">
        <v>17318.7664</v>
      </c>
      <c r="K211" s="20"/>
      <c r="L211" s="17">
        <v>90119.2</v>
      </c>
      <c r="M211" s="18"/>
      <c r="N211" s="17">
        <v>104067.32</v>
      </c>
      <c r="O211" s="18"/>
      <c r="P211" s="17">
        <v>152110.032</v>
      </c>
      <c r="Q211" s="18"/>
      <c r="R211" s="17">
        <v>966433.28</v>
      </c>
      <c r="S211" s="18"/>
      <c r="T211" s="17">
        <v>55589.7024</v>
      </c>
      <c r="U211" s="18"/>
      <c r="V211" s="14"/>
    </row>
    <row r="212">
      <c r="A212" s="32" t="s">
        <v>129</v>
      </c>
      <c r="B212" s="17">
        <v>251969.504</v>
      </c>
      <c r="C212" s="18">
        <f t="shared" ref="C212:C214" si="138">B212-B211</f>
        <v>204.128</v>
      </c>
      <c r="D212" s="17">
        <v>143681.936</v>
      </c>
      <c r="E212" s="18">
        <f t="shared" ref="E212:E214" si="139">D212-D211</f>
        <v>44.976</v>
      </c>
      <c r="F212" s="17">
        <v>65915.8144</v>
      </c>
      <c r="G212" s="18">
        <f t="shared" ref="G212:G214" si="140">F212-F211</f>
        <v>13.536</v>
      </c>
      <c r="H212" s="17">
        <v>152385.024</v>
      </c>
      <c r="I212" s="18">
        <f t="shared" ref="I212:I214" si="141">H212-H211</f>
        <v>55.344</v>
      </c>
      <c r="J212" s="17">
        <v>17347.4752</v>
      </c>
      <c r="K212" s="20">
        <f t="shared" ref="K212:K214" si="142">J212-J211</f>
        <v>28.7088</v>
      </c>
      <c r="L212" s="17">
        <v>90259.6416</v>
      </c>
      <c r="M212" s="18">
        <f t="shared" ref="M212:M214" si="143">L212-L211</f>
        <v>140.4416</v>
      </c>
      <c r="N212" s="17">
        <v>104119.464</v>
      </c>
      <c r="O212" s="18">
        <f t="shared" ref="O212:O214" si="144">N212-N211</f>
        <v>52.144</v>
      </c>
      <c r="P212" s="17">
        <v>152173.696</v>
      </c>
      <c r="Q212" s="18">
        <f t="shared" ref="Q212:Q214" si="145">P212-P211</f>
        <v>63.664</v>
      </c>
      <c r="R212" s="17">
        <v>967145.984</v>
      </c>
      <c r="S212" s="18">
        <f t="shared" ref="S212:S214" si="146">R212-R211</f>
        <v>712.704</v>
      </c>
      <c r="T212" s="17">
        <v>55595.9552</v>
      </c>
      <c r="U212" s="18">
        <f t="shared" ref="U212:U214" si="147">T212-T211</f>
        <v>6.2528</v>
      </c>
      <c r="V212" s="14"/>
    </row>
    <row r="213">
      <c r="A213" s="32" t="s">
        <v>130</v>
      </c>
      <c r="B213" s="17">
        <v>252182.152</v>
      </c>
      <c r="C213" s="18">
        <f t="shared" si="138"/>
        <v>212.648</v>
      </c>
      <c r="D213" s="17">
        <v>143731.264</v>
      </c>
      <c r="E213" s="18">
        <f t="shared" si="139"/>
        <v>49.328</v>
      </c>
      <c r="F213" s="17">
        <v>65933.1008</v>
      </c>
      <c r="G213" s="18">
        <f t="shared" si="140"/>
        <v>17.2864</v>
      </c>
      <c r="H213" s="17">
        <v>152445.76</v>
      </c>
      <c r="I213" s="18">
        <f t="shared" si="141"/>
        <v>60.736</v>
      </c>
      <c r="J213" s="17">
        <v>17376.1344</v>
      </c>
      <c r="K213" s="20">
        <f t="shared" si="142"/>
        <v>28.6592</v>
      </c>
      <c r="L213" s="17">
        <v>90374.1184</v>
      </c>
      <c r="M213" s="18">
        <f t="shared" si="143"/>
        <v>114.4768</v>
      </c>
      <c r="N213" s="17">
        <v>104170.376</v>
      </c>
      <c r="O213" s="18">
        <f t="shared" si="144"/>
        <v>50.912</v>
      </c>
      <c r="P213" s="17">
        <v>152250.57</v>
      </c>
      <c r="Q213" s="18">
        <f t="shared" si="145"/>
        <v>76.874</v>
      </c>
      <c r="R213" s="17">
        <v>967682.88</v>
      </c>
      <c r="S213" s="18">
        <f t="shared" si="146"/>
        <v>536.896</v>
      </c>
      <c r="T213" s="17">
        <v>55602.1888</v>
      </c>
      <c r="U213" s="18">
        <f t="shared" si="147"/>
        <v>6.2336</v>
      </c>
      <c r="V213" s="14">
        <f t="shared" ref="V213:V214" si="148">U213+S213+Q213+O213+M213+K213+I213+G213+E213+C213</f>
        <v>1154.05</v>
      </c>
    </row>
    <row r="214">
      <c r="A214" s="32" t="s">
        <v>131</v>
      </c>
      <c r="B214" s="32">
        <v>252322.72</v>
      </c>
      <c r="C214" s="18">
        <f t="shared" si="138"/>
        <v>140.568</v>
      </c>
      <c r="D214" s="17">
        <v>143763.28</v>
      </c>
      <c r="E214" s="18">
        <f t="shared" si="139"/>
        <v>32.016</v>
      </c>
      <c r="F214" s="17">
        <v>65947.008</v>
      </c>
      <c r="G214" s="18">
        <f t="shared" si="140"/>
        <v>13.9072</v>
      </c>
      <c r="H214" s="17">
        <v>152499.68</v>
      </c>
      <c r="I214" s="18">
        <f t="shared" si="141"/>
        <v>53.92</v>
      </c>
      <c r="J214" s="17">
        <v>17398.68</v>
      </c>
      <c r="K214" s="20">
        <f t="shared" si="142"/>
        <v>22.5456</v>
      </c>
      <c r="L214" s="17">
        <v>90444.5568</v>
      </c>
      <c r="M214" s="18">
        <f t="shared" si="143"/>
        <v>70.4384</v>
      </c>
      <c r="N214" s="17">
        <v>104199.144</v>
      </c>
      <c r="O214" s="18">
        <f t="shared" si="144"/>
        <v>28.768</v>
      </c>
      <c r="P214" s="17">
        <v>152303.92</v>
      </c>
      <c r="Q214" s="18">
        <f t="shared" si="145"/>
        <v>53.35</v>
      </c>
      <c r="R214" s="17">
        <v>968074.944</v>
      </c>
      <c r="S214" s="18">
        <f t="shared" si="146"/>
        <v>392.064</v>
      </c>
      <c r="T214" s="17">
        <v>55606.0416</v>
      </c>
      <c r="U214" s="18">
        <f t="shared" si="147"/>
        <v>3.8528</v>
      </c>
      <c r="V214" s="14">
        <f t="shared" si="148"/>
        <v>811.43</v>
      </c>
    </row>
    <row r="215">
      <c r="A215" s="28"/>
      <c r="B215" s="19"/>
      <c r="C215" s="18"/>
      <c r="D215" s="17"/>
      <c r="E215" s="18"/>
      <c r="F215" s="19"/>
      <c r="G215" s="18"/>
      <c r="H215" s="19"/>
      <c r="I215" s="18"/>
      <c r="J215" s="19"/>
      <c r="K215" s="20"/>
      <c r="L215" s="19"/>
      <c r="M215" s="18"/>
      <c r="N215" s="19"/>
      <c r="O215" s="18"/>
      <c r="P215" s="19"/>
      <c r="Q215" s="18"/>
      <c r="R215" s="19"/>
      <c r="S215" s="18"/>
      <c r="T215" s="19"/>
      <c r="U215" s="18"/>
      <c r="V215" s="14"/>
    </row>
    <row r="216">
      <c r="A216" s="28"/>
      <c r="B216" s="19"/>
      <c r="C216" s="18"/>
      <c r="D216" s="19"/>
      <c r="E216" s="18"/>
      <c r="F216" s="19"/>
      <c r="G216" s="18"/>
      <c r="H216" s="19"/>
      <c r="I216" s="18"/>
      <c r="J216" s="19"/>
      <c r="K216" s="20"/>
      <c r="L216" s="19"/>
      <c r="M216" s="18"/>
      <c r="N216" s="19"/>
      <c r="O216" s="18"/>
      <c r="P216" s="19"/>
      <c r="Q216" s="18"/>
      <c r="R216" s="19"/>
      <c r="S216" s="18"/>
      <c r="T216" s="19"/>
      <c r="U216" s="18"/>
      <c r="V216" s="14"/>
    </row>
    <row r="217">
      <c r="A217" s="28"/>
      <c r="B217" s="19"/>
      <c r="C217" s="18"/>
      <c r="D217" s="19"/>
      <c r="E217" s="18"/>
      <c r="F217" s="19"/>
      <c r="G217" s="18"/>
      <c r="H217" s="19"/>
      <c r="I217" s="18"/>
      <c r="J217" s="19"/>
      <c r="K217" s="20"/>
      <c r="L217" s="19"/>
      <c r="M217" s="18"/>
      <c r="N217" s="19"/>
      <c r="O217" s="18"/>
      <c r="P217" s="19"/>
      <c r="Q217" s="18"/>
      <c r="R217" s="19"/>
      <c r="S217" s="18"/>
      <c r="T217" s="19"/>
      <c r="U217" s="18"/>
      <c r="V217" s="14"/>
    </row>
    <row r="218">
      <c r="A218" s="32" t="s">
        <v>132</v>
      </c>
      <c r="B218" s="17">
        <v>252440.672</v>
      </c>
      <c r="C218" s="18">
        <f>B218-B214</f>
        <v>117.952</v>
      </c>
      <c r="D218" s="17">
        <v>143937.536</v>
      </c>
      <c r="E218" s="18">
        <f>D218-D214</f>
        <v>174.256</v>
      </c>
      <c r="F218" s="17">
        <v>65969.984</v>
      </c>
      <c r="G218" s="18">
        <f>F218-F214</f>
        <v>22.976</v>
      </c>
      <c r="H218" s="17">
        <v>152692.752</v>
      </c>
      <c r="I218" s="18">
        <f>H218-H214</f>
        <v>193.072</v>
      </c>
      <c r="J218" s="17">
        <v>17423.7376</v>
      </c>
      <c r="K218" s="20">
        <f>J218-J214</f>
        <v>25.0576</v>
      </c>
      <c r="L218" s="17">
        <v>90566.464</v>
      </c>
      <c r="M218" s="18">
        <f>L218-L214</f>
        <v>121.9072</v>
      </c>
      <c r="N218" s="17">
        <v>104301.296</v>
      </c>
      <c r="O218" s="18">
        <f>N218-N214</f>
        <v>102.152</v>
      </c>
      <c r="P218" s="17">
        <v>152392.24</v>
      </c>
      <c r="Q218" s="18">
        <f>P218-P214</f>
        <v>88.32</v>
      </c>
      <c r="R218" s="17">
        <v>968677.376</v>
      </c>
      <c r="S218" s="18">
        <f>R218-R214</f>
        <v>602.432</v>
      </c>
      <c r="T218" s="17">
        <v>55610.3616</v>
      </c>
      <c r="U218" s="18">
        <f>T218-T214</f>
        <v>4.32</v>
      </c>
      <c r="V218" s="14">
        <f>U218+S218+Q218+O218+M218+K218+I218+G218+E218+C218</f>
        <v>1452.4448</v>
      </c>
    </row>
    <row r="219">
      <c r="A219" s="32" t="s">
        <v>133</v>
      </c>
      <c r="B219" s="17">
        <v>255398.656</v>
      </c>
      <c r="C219" s="18">
        <f t="shared" ref="C219:C224" si="149">B219-B218</f>
        <v>2957.984</v>
      </c>
      <c r="D219" s="17">
        <v>144844.656</v>
      </c>
      <c r="E219" s="18">
        <f t="shared" ref="E219:E224" si="150">D219-D218</f>
        <v>907.12</v>
      </c>
      <c r="F219" s="17">
        <v>66256.9152</v>
      </c>
      <c r="G219" s="18">
        <f t="shared" ref="G219:G224" si="151">F219-F218</f>
        <v>286.9312</v>
      </c>
      <c r="H219" s="17">
        <v>153775.632</v>
      </c>
      <c r="I219" s="18">
        <f t="shared" ref="I219:I224" si="152">H219-H218</f>
        <v>1082.88</v>
      </c>
      <c r="J219" s="17"/>
      <c r="K219" s="20"/>
      <c r="L219" s="19"/>
      <c r="M219" s="18"/>
      <c r="N219" s="19"/>
      <c r="O219" s="18"/>
      <c r="P219" s="19"/>
      <c r="Q219" s="18"/>
      <c r="R219" s="19"/>
      <c r="S219" s="18"/>
      <c r="T219" s="19"/>
      <c r="U219" s="18"/>
      <c r="V219" s="14"/>
    </row>
    <row r="220">
      <c r="A220" s="32" t="s">
        <v>134</v>
      </c>
      <c r="B220" s="17">
        <v>255542.848</v>
      </c>
      <c r="C220" s="18">
        <f t="shared" si="149"/>
        <v>144.192</v>
      </c>
      <c r="D220" s="17">
        <v>144899.008</v>
      </c>
      <c r="E220" s="18">
        <f t="shared" si="150"/>
        <v>54.352</v>
      </c>
      <c r="F220" s="17">
        <v>66268.4544</v>
      </c>
      <c r="G220" s="18">
        <f t="shared" si="151"/>
        <v>11.5392</v>
      </c>
      <c r="H220" s="17">
        <v>153816.144</v>
      </c>
      <c r="I220" s="18">
        <f t="shared" si="152"/>
        <v>40.512</v>
      </c>
      <c r="J220" s="19"/>
      <c r="K220" s="20"/>
      <c r="L220" s="17">
        <v>91890.016</v>
      </c>
      <c r="M220" s="18">
        <f>L220-L218</f>
        <v>1323.552</v>
      </c>
      <c r="N220" s="17">
        <v>105261.544</v>
      </c>
      <c r="O220" s="18">
        <f>N220-N218</f>
        <v>960.248</v>
      </c>
      <c r="P220" s="17">
        <v>153973.376</v>
      </c>
      <c r="Q220" s="18">
        <f>P220-P218</f>
        <v>1581.136</v>
      </c>
      <c r="R220" s="17">
        <v>977042.56</v>
      </c>
      <c r="S220" s="18">
        <f>R220-R218</f>
        <v>8365.184</v>
      </c>
      <c r="T220" s="17">
        <v>55740.7872</v>
      </c>
      <c r="U220" s="18">
        <f>T220-T218</f>
        <v>130.4256</v>
      </c>
      <c r="V220" s="14"/>
    </row>
    <row r="221">
      <c r="A221" s="32" t="s">
        <v>135</v>
      </c>
      <c r="B221" s="17">
        <v>255566.808</v>
      </c>
      <c r="C221" s="18">
        <f t="shared" si="149"/>
        <v>23.96</v>
      </c>
      <c r="D221" s="17">
        <v>144922.8</v>
      </c>
      <c r="E221" s="18">
        <f t="shared" si="150"/>
        <v>23.792</v>
      </c>
      <c r="F221" s="17">
        <v>66276.1344</v>
      </c>
      <c r="G221" s="18">
        <f t="shared" si="151"/>
        <v>7.68</v>
      </c>
      <c r="H221" s="17">
        <v>153852.288</v>
      </c>
      <c r="I221" s="18">
        <f t="shared" si="152"/>
        <v>36.144</v>
      </c>
      <c r="J221" s="19"/>
      <c r="K221" s="20"/>
      <c r="L221" s="17">
        <v>91917.4464</v>
      </c>
      <c r="M221" s="18">
        <f t="shared" ref="M221:M224" si="153">L221-L220</f>
        <v>27.4304</v>
      </c>
      <c r="N221" s="17">
        <v>105275.88</v>
      </c>
      <c r="O221" s="18">
        <f t="shared" ref="O221:O224" si="154">N221-N220</f>
        <v>14.336</v>
      </c>
      <c r="P221" s="17">
        <v>154074.16</v>
      </c>
      <c r="Q221" s="18">
        <f t="shared" ref="Q221:Q224" si="155">P221-P220</f>
        <v>100.784</v>
      </c>
      <c r="R221" s="17">
        <v>977199.104</v>
      </c>
      <c r="S221" s="18">
        <f t="shared" ref="S221:S224" si="156">R221-R220</f>
        <v>156.544</v>
      </c>
      <c r="T221" s="17">
        <v>55743.9936</v>
      </c>
      <c r="U221" s="18">
        <f t="shared" ref="U221:U224" si="157">T221-T220</f>
        <v>3.2064</v>
      </c>
      <c r="V221" s="14"/>
    </row>
    <row r="222">
      <c r="A222" s="32" t="s">
        <v>136</v>
      </c>
      <c r="B222" s="17"/>
      <c r="C222" s="18">
        <f t="shared" si="149"/>
        <v>-255566.808</v>
      </c>
      <c r="D222" s="17">
        <v>144956.24</v>
      </c>
      <c r="E222" s="18">
        <f t="shared" si="150"/>
        <v>33.44</v>
      </c>
      <c r="F222" s="17">
        <v>66289.4848</v>
      </c>
      <c r="G222" s="18">
        <f t="shared" si="151"/>
        <v>13.3504</v>
      </c>
      <c r="H222" s="17">
        <v>153903.632</v>
      </c>
      <c r="I222" s="18">
        <f t="shared" si="152"/>
        <v>51.344</v>
      </c>
      <c r="J222" s="19"/>
      <c r="K222" s="20"/>
      <c r="L222" s="17">
        <v>91973.312</v>
      </c>
      <c r="M222" s="18">
        <f t="shared" si="153"/>
        <v>55.8656</v>
      </c>
      <c r="N222" s="17">
        <v>105316.928</v>
      </c>
      <c r="O222" s="18">
        <f t="shared" si="154"/>
        <v>41.048</v>
      </c>
      <c r="P222" s="17">
        <v>154122.048</v>
      </c>
      <c r="Q222" s="18">
        <f t="shared" si="155"/>
        <v>47.888</v>
      </c>
      <c r="R222" s="17">
        <v>977509.376</v>
      </c>
      <c r="S222" s="18">
        <f t="shared" si="156"/>
        <v>310.272</v>
      </c>
      <c r="T222" s="17">
        <v>55749.44</v>
      </c>
      <c r="U222" s="18">
        <f t="shared" si="157"/>
        <v>5.4464</v>
      </c>
      <c r="V222" s="14"/>
    </row>
    <row r="223">
      <c r="A223" s="32" t="s">
        <v>137</v>
      </c>
      <c r="B223" s="17">
        <v>256008.224</v>
      </c>
      <c r="C223" s="18">
        <f t="shared" si="149"/>
        <v>256008.224</v>
      </c>
      <c r="D223" s="17">
        <v>145013.456</v>
      </c>
      <c r="E223" s="18">
        <f t="shared" si="150"/>
        <v>57.216</v>
      </c>
      <c r="F223" s="17">
        <v>66301.216</v>
      </c>
      <c r="G223" s="18">
        <f t="shared" si="151"/>
        <v>11.7312</v>
      </c>
      <c r="H223" s="17">
        <v>153948.096</v>
      </c>
      <c r="I223" s="18">
        <f t="shared" si="152"/>
        <v>44.464</v>
      </c>
      <c r="J223" s="19"/>
      <c r="K223" s="20"/>
      <c r="L223" s="17">
        <v>92081.7024</v>
      </c>
      <c r="M223" s="18">
        <f t="shared" si="153"/>
        <v>108.3904</v>
      </c>
      <c r="N223" s="17">
        <v>105359.256</v>
      </c>
      <c r="O223" s="18">
        <f t="shared" si="154"/>
        <v>42.328</v>
      </c>
      <c r="P223" s="17">
        <v>154180.624</v>
      </c>
      <c r="Q223" s="18">
        <f t="shared" si="155"/>
        <v>58.576</v>
      </c>
      <c r="R223" s="17">
        <v>977732.224</v>
      </c>
      <c r="S223" s="18">
        <f t="shared" si="156"/>
        <v>222.848</v>
      </c>
      <c r="T223" s="17">
        <v>55755.424</v>
      </c>
      <c r="U223" s="18">
        <f t="shared" si="157"/>
        <v>5.984</v>
      </c>
      <c r="V223" s="14"/>
    </row>
    <row r="224">
      <c r="A224" s="32" t="s">
        <v>138</v>
      </c>
      <c r="B224" s="17">
        <v>256172.896</v>
      </c>
      <c r="C224" s="18">
        <f t="shared" si="149"/>
        <v>164.672</v>
      </c>
      <c r="D224" s="17">
        <v>145054.846</v>
      </c>
      <c r="E224" s="18">
        <f t="shared" si="150"/>
        <v>41.39</v>
      </c>
      <c r="F224" s="17">
        <v>66312.1152</v>
      </c>
      <c r="G224" s="18">
        <f t="shared" si="151"/>
        <v>10.8992</v>
      </c>
      <c r="H224" s="17">
        <v>153993.552</v>
      </c>
      <c r="I224" s="18">
        <f t="shared" si="152"/>
        <v>45.456</v>
      </c>
      <c r="J224" s="19"/>
      <c r="K224" s="20"/>
      <c r="L224" s="17">
        <v>92140.2112</v>
      </c>
      <c r="M224" s="18">
        <f t="shared" si="153"/>
        <v>58.5088</v>
      </c>
      <c r="N224" s="17">
        <v>105402.232</v>
      </c>
      <c r="O224" s="18">
        <f t="shared" si="154"/>
        <v>42.976</v>
      </c>
      <c r="P224" s="17">
        <v>154381.632</v>
      </c>
      <c r="Q224" s="18">
        <f t="shared" si="155"/>
        <v>201.008</v>
      </c>
      <c r="R224" s="17">
        <v>977954.112</v>
      </c>
      <c r="S224" s="18">
        <f t="shared" si="156"/>
        <v>221.888</v>
      </c>
      <c r="T224" s="17">
        <v>55760.928</v>
      </c>
      <c r="U224" s="18">
        <f t="shared" si="157"/>
        <v>5.504</v>
      </c>
      <c r="V224" s="14"/>
    </row>
    <row r="225">
      <c r="A225" s="32" t="s">
        <v>139</v>
      </c>
      <c r="B225" s="19"/>
      <c r="C225" s="18"/>
      <c r="D225" s="19"/>
      <c r="E225" s="18"/>
      <c r="F225" s="19"/>
      <c r="G225" s="18"/>
      <c r="H225" s="19"/>
      <c r="I225" s="18"/>
      <c r="J225" s="19"/>
      <c r="K225" s="20"/>
      <c r="L225" s="19"/>
      <c r="M225" s="18"/>
      <c r="N225" s="19"/>
      <c r="O225" s="18"/>
      <c r="P225" s="17"/>
      <c r="Q225" s="18"/>
      <c r="R225" s="19"/>
      <c r="S225" s="18"/>
      <c r="T225" s="19"/>
      <c r="U225" s="18"/>
      <c r="V225" s="14"/>
    </row>
    <row r="226">
      <c r="A226" s="32" t="s">
        <v>140</v>
      </c>
      <c r="B226" s="17">
        <v>256595.856</v>
      </c>
      <c r="C226" s="18">
        <f>B226-B224</f>
        <v>422.96</v>
      </c>
      <c r="D226" s="17">
        <v>145151.248</v>
      </c>
      <c r="E226" s="18">
        <f>D226-D224</f>
        <v>96.402</v>
      </c>
      <c r="F226" s="17">
        <v>66330.1504</v>
      </c>
      <c r="G226" s="18">
        <f>F226-F224</f>
        <v>18.0352</v>
      </c>
      <c r="H226" s="17">
        <v>154088.656</v>
      </c>
      <c r="I226" s="18">
        <f>H226-H224</f>
        <v>95.104</v>
      </c>
      <c r="J226" s="19"/>
      <c r="K226" s="20"/>
      <c r="L226" s="17">
        <v>92262.1888</v>
      </c>
      <c r="M226" s="18">
        <f>L226-L224</f>
        <v>121.9776</v>
      </c>
      <c r="N226" s="17">
        <v>105492.864</v>
      </c>
      <c r="O226" s="18">
        <f>N226-N224</f>
        <v>90.632</v>
      </c>
      <c r="P226" s="17">
        <v>154706.112</v>
      </c>
      <c r="Q226" s="18">
        <f>P226-P224</f>
        <v>324.48</v>
      </c>
      <c r="R226" s="17">
        <v>978550.784</v>
      </c>
      <c r="S226" s="18">
        <f>R226-R224</f>
        <v>596.672</v>
      </c>
      <c r="T226" s="17">
        <v>55770.5664</v>
      </c>
      <c r="U226" s="18">
        <f>T226-T224</f>
        <v>9.6384</v>
      </c>
      <c r="V226" s="14"/>
    </row>
    <row r="227">
      <c r="A227" s="32" t="s">
        <v>141</v>
      </c>
      <c r="B227" s="17">
        <v>256753.408</v>
      </c>
      <c r="C227" s="18">
        <f t="shared" ref="C227:C234" si="158">B227-B226</f>
        <v>157.552</v>
      </c>
      <c r="D227" s="17">
        <v>145190.144</v>
      </c>
      <c r="E227" s="18">
        <f t="shared" ref="E227:E234" si="159">D227-D226</f>
        <v>38.896</v>
      </c>
      <c r="F227" s="17">
        <v>66339.5328</v>
      </c>
      <c r="G227" s="18">
        <f t="shared" ref="G227:G234" si="160">F227-F226</f>
        <v>9.3824</v>
      </c>
      <c r="H227" s="17">
        <v>154140.352</v>
      </c>
      <c r="I227" s="18">
        <f t="shared" ref="I227:I234" si="161">H227-H226</f>
        <v>51.696</v>
      </c>
      <c r="J227" s="19"/>
      <c r="K227" s="20"/>
      <c r="L227" s="17">
        <v>92323.616</v>
      </c>
      <c r="M227" s="18">
        <f t="shared" ref="M227:M234" si="162">L227-L226</f>
        <v>61.4272</v>
      </c>
      <c r="N227" s="17">
        <v>105535.064</v>
      </c>
      <c r="O227" s="18">
        <f t="shared" ref="O227:O234" si="163">N227-N226</f>
        <v>42.2</v>
      </c>
      <c r="P227" s="17">
        <v>154886.08</v>
      </c>
      <c r="Q227" s="18">
        <f t="shared" ref="Q227:Q234" si="164">P227-P226</f>
        <v>179.968</v>
      </c>
      <c r="R227" s="17">
        <v>978586.816</v>
      </c>
      <c r="S227" s="18">
        <f t="shared" ref="S227:S234" si="165">R227-R226</f>
        <v>36.032</v>
      </c>
      <c r="T227" s="17">
        <v>55774.7968</v>
      </c>
      <c r="U227" s="18">
        <f t="shared" ref="U227:U234" si="166">T227-T226</f>
        <v>4.2304</v>
      </c>
      <c r="V227" s="14"/>
    </row>
    <row r="228">
      <c r="A228" s="32" t="s">
        <v>142</v>
      </c>
      <c r="B228" s="17">
        <v>256800.304</v>
      </c>
      <c r="C228" s="18">
        <f t="shared" si="158"/>
        <v>46.896</v>
      </c>
      <c r="D228" s="17">
        <v>145192.624</v>
      </c>
      <c r="E228" s="18">
        <f t="shared" si="159"/>
        <v>2.48</v>
      </c>
      <c r="F228" s="17">
        <v>66345.4144</v>
      </c>
      <c r="G228" s="18">
        <f t="shared" si="160"/>
        <v>5.8816</v>
      </c>
      <c r="H228" s="17">
        <v>154200.0</v>
      </c>
      <c r="I228" s="18">
        <f t="shared" si="161"/>
        <v>59.648</v>
      </c>
      <c r="J228" s="19"/>
      <c r="K228" s="20"/>
      <c r="L228" s="17">
        <v>92378.912</v>
      </c>
      <c r="M228" s="18">
        <f t="shared" si="162"/>
        <v>55.296</v>
      </c>
      <c r="N228" s="17">
        <v>105556.384</v>
      </c>
      <c r="O228" s="18">
        <f t="shared" si="163"/>
        <v>21.32</v>
      </c>
      <c r="P228" s="17">
        <v>155072.48</v>
      </c>
      <c r="Q228" s="18">
        <f t="shared" si="164"/>
        <v>186.4</v>
      </c>
      <c r="R228" s="17">
        <v>978951.808</v>
      </c>
      <c r="S228" s="18">
        <f t="shared" si="165"/>
        <v>364.992</v>
      </c>
      <c r="T228" s="17">
        <v>55777.6704</v>
      </c>
      <c r="U228" s="18">
        <f t="shared" si="166"/>
        <v>2.8736</v>
      </c>
      <c r="V228" s="14"/>
    </row>
    <row r="229">
      <c r="A229" s="32" t="s">
        <v>143</v>
      </c>
      <c r="B229" s="17">
        <v>257011.408</v>
      </c>
      <c r="C229" s="18">
        <f t="shared" si="158"/>
        <v>211.104</v>
      </c>
      <c r="D229" s="17">
        <v>145230.976</v>
      </c>
      <c r="E229" s="18">
        <f t="shared" si="159"/>
        <v>38.352</v>
      </c>
      <c r="F229" s="17">
        <v>66354.4768</v>
      </c>
      <c r="G229" s="18">
        <f t="shared" si="160"/>
        <v>9.0624</v>
      </c>
      <c r="H229" s="17">
        <v>154219.12</v>
      </c>
      <c r="I229" s="18">
        <f t="shared" si="161"/>
        <v>19.12</v>
      </c>
      <c r="J229" s="19"/>
      <c r="K229" s="20"/>
      <c r="L229" s="17">
        <v>92461.728</v>
      </c>
      <c r="M229" s="18">
        <f t="shared" si="162"/>
        <v>82.816</v>
      </c>
      <c r="N229" s="17">
        <v>105612.088</v>
      </c>
      <c r="O229" s="18">
        <f t="shared" si="163"/>
        <v>55.704</v>
      </c>
      <c r="P229" s="17">
        <v>155163.04</v>
      </c>
      <c r="Q229" s="18">
        <f t="shared" si="164"/>
        <v>90.56</v>
      </c>
      <c r="R229" s="17">
        <v>979391.488</v>
      </c>
      <c r="S229" s="18">
        <f t="shared" si="165"/>
        <v>439.68</v>
      </c>
      <c r="T229" s="17">
        <v>55783.1936</v>
      </c>
      <c r="U229" s="18">
        <f t="shared" si="166"/>
        <v>5.5232</v>
      </c>
      <c r="V229" s="14"/>
    </row>
    <row r="230">
      <c r="A230" s="32" t="s">
        <v>144</v>
      </c>
      <c r="B230" s="17">
        <v>257181.232</v>
      </c>
      <c r="C230" s="18">
        <f t="shared" si="158"/>
        <v>169.824</v>
      </c>
      <c r="D230" s="17">
        <v>145279.728</v>
      </c>
      <c r="E230" s="18">
        <f t="shared" si="159"/>
        <v>48.752</v>
      </c>
      <c r="F230" s="17">
        <v>66363.5008</v>
      </c>
      <c r="G230" s="18">
        <f t="shared" si="160"/>
        <v>9.024</v>
      </c>
      <c r="H230" s="17">
        <v>154273.104</v>
      </c>
      <c r="I230" s="18">
        <f t="shared" si="161"/>
        <v>53.984</v>
      </c>
      <c r="J230" s="19"/>
      <c r="K230" s="20"/>
      <c r="L230" s="17">
        <v>92533.1264</v>
      </c>
      <c r="M230" s="18">
        <f t="shared" si="162"/>
        <v>71.3984</v>
      </c>
      <c r="N230" s="17">
        <v>105659.016</v>
      </c>
      <c r="O230" s="18">
        <f t="shared" si="163"/>
        <v>46.928</v>
      </c>
      <c r="P230" s="17">
        <v>155336.08</v>
      </c>
      <c r="Q230" s="18">
        <f t="shared" si="164"/>
        <v>173.04</v>
      </c>
      <c r="R230" s="17">
        <v>979849.536</v>
      </c>
      <c r="S230" s="18">
        <f t="shared" si="165"/>
        <v>458.048</v>
      </c>
      <c r="T230" s="17">
        <v>55788.3264</v>
      </c>
      <c r="U230" s="18">
        <f t="shared" si="166"/>
        <v>5.1328</v>
      </c>
      <c r="V230" s="14"/>
    </row>
    <row r="231">
      <c r="A231" s="32" t="s">
        <v>145</v>
      </c>
      <c r="B231" s="17">
        <v>257340.384</v>
      </c>
      <c r="C231" s="18">
        <f t="shared" si="158"/>
        <v>159.152</v>
      </c>
      <c r="D231" s="17">
        <v>145328.416</v>
      </c>
      <c r="E231" s="18">
        <f t="shared" si="159"/>
        <v>48.688</v>
      </c>
      <c r="F231" s="17">
        <v>66372.5632</v>
      </c>
      <c r="G231" s="18">
        <f t="shared" si="160"/>
        <v>9.0624</v>
      </c>
      <c r="H231" s="17">
        <v>154319.392</v>
      </c>
      <c r="I231" s="18">
        <f t="shared" si="161"/>
        <v>46.288</v>
      </c>
      <c r="J231" s="19"/>
      <c r="K231" s="20"/>
      <c r="L231" s="17">
        <v>92605.0496</v>
      </c>
      <c r="M231" s="18">
        <f t="shared" si="162"/>
        <v>71.9232</v>
      </c>
      <c r="N231" s="17">
        <v>105713.12</v>
      </c>
      <c r="O231" s="18">
        <f t="shared" si="163"/>
        <v>54.104</v>
      </c>
      <c r="P231" s="17">
        <v>155464.736</v>
      </c>
      <c r="Q231" s="18">
        <f t="shared" si="164"/>
        <v>128.656</v>
      </c>
      <c r="R231" s="17">
        <v>980280.384</v>
      </c>
      <c r="S231" s="18">
        <f t="shared" si="165"/>
        <v>430.848</v>
      </c>
      <c r="T231" s="17">
        <v>55792.96</v>
      </c>
      <c r="U231" s="18">
        <f t="shared" si="166"/>
        <v>4.6336</v>
      </c>
      <c r="V231" s="14"/>
    </row>
    <row r="232">
      <c r="A232" s="32" t="s">
        <v>146</v>
      </c>
      <c r="B232" s="17">
        <v>257489.712</v>
      </c>
      <c r="C232" s="18">
        <f t="shared" si="158"/>
        <v>149.328</v>
      </c>
      <c r="D232" s="17">
        <v>145373.376</v>
      </c>
      <c r="E232" s="18">
        <f t="shared" si="159"/>
        <v>44.96</v>
      </c>
      <c r="F232" s="17">
        <v>66382.8992</v>
      </c>
      <c r="G232" s="18">
        <f t="shared" si="160"/>
        <v>10.336</v>
      </c>
      <c r="H232" s="17">
        <v>154362.448</v>
      </c>
      <c r="I232" s="18">
        <f t="shared" si="161"/>
        <v>43.056</v>
      </c>
      <c r="J232" s="19"/>
      <c r="K232" s="20"/>
      <c r="L232" s="17">
        <v>92680.3968</v>
      </c>
      <c r="M232" s="18">
        <f t="shared" si="162"/>
        <v>75.3472</v>
      </c>
      <c r="N232" s="17">
        <v>105766.352</v>
      </c>
      <c r="O232" s="18">
        <f t="shared" si="163"/>
        <v>53.232</v>
      </c>
      <c r="P232" s="17">
        <v>155634.336</v>
      </c>
      <c r="Q232" s="18">
        <f t="shared" si="164"/>
        <v>169.6</v>
      </c>
      <c r="R232" s="17">
        <v>980571.904</v>
      </c>
      <c r="S232" s="18">
        <f t="shared" si="165"/>
        <v>291.52</v>
      </c>
      <c r="T232" s="17">
        <v>55798.272</v>
      </c>
      <c r="U232" s="18">
        <f t="shared" si="166"/>
        <v>5.312</v>
      </c>
      <c r="V232" s="14"/>
    </row>
    <row r="233">
      <c r="A233" s="32" t="s">
        <v>147</v>
      </c>
      <c r="B233" s="17">
        <v>257669.408</v>
      </c>
      <c r="C233" s="18">
        <f t="shared" si="158"/>
        <v>179.696</v>
      </c>
      <c r="D233" s="17">
        <v>145425.136</v>
      </c>
      <c r="E233" s="18">
        <f t="shared" si="159"/>
        <v>51.76</v>
      </c>
      <c r="F233" s="17">
        <v>66397.7088</v>
      </c>
      <c r="G233" s="18">
        <f t="shared" si="160"/>
        <v>14.8096</v>
      </c>
      <c r="H233" s="17">
        <v>154425.152</v>
      </c>
      <c r="I233" s="18">
        <f t="shared" si="161"/>
        <v>62.704</v>
      </c>
      <c r="J233" s="19"/>
      <c r="K233" s="20"/>
      <c r="L233" s="17">
        <v>92789.7408</v>
      </c>
      <c r="M233" s="18">
        <f t="shared" si="162"/>
        <v>109.344</v>
      </c>
      <c r="N233" s="17">
        <v>105824.96</v>
      </c>
      <c r="O233" s="18">
        <f t="shared" si="163"/>
        <v>58.608</v>
      </c>
      <c r="P233" s="17">
        <v>155782.112</v>
      </c>
      <c r="Q233" s="18">
        <f t="shared" si="164"/>
        <v>147.776</v>
      </c>
      <c r="R233" s="17">
        <v>980972.096</v>
      </c>
      <c r="S233" s="18">
        <f t="shared" si="165"/>
        <v>400.192</v>
      </c>
      <c r="T233" s="17">
        <v>55805.5616</v>
      </c>
      <c r="U233" s="18">
        <f t="shared" si="166"/>
        <v>7.2896</v>
      </c>
      <c r="V233" s="14"/>
    </row>
    <row r="234">
      <c r="A234" s="32" t="s">
        <v>148</v>
      </c>
      <c r="B234" s="17">
        <v>257750.944</v>
      </c>
      <c r="C234" s="18">
        <f t="shared" si="158"/>
        <v>81.536</v>
      </c>
      <c r="D234" s="17">
        <v>145453.152</v>
      </c>
      <c r="E234" s="18">
        <f t="shared" si="159"/>
        <v>28.016</v>
      </c>
      <c r="F234" s="17">
        <v>66406.7328</v>
      </c>
      <c r="G234" s="18">
        <f t="shared" si="160"/>
        <v>9.024</v>
      </c>
      <c r="H234" s="17">
        <v>154469.52</v>
      </c>
      <c r="I234" s="18">
        <f t="shared" si="161"/>
        <v>44.368</v>
      </c>
      <c r="J234" s="19"/>
      <c r="K234" s="20"/>
      <c r="L234" s="17">
        <v>92848.6848</v>
      </c>
      <c r="M234" s="18">
        <f t="shared" si="162"/>
        <v>58.944</v>
      </c>
      <c r="N234" s="17">
        <v>105863.936</v>
      </c>
      <c r="O234" s="18">
        <f t="shared" si="163"/>
        <v>38.976</v>
      </c>
      <c r="P234" s="17">
        <v>155920.464</v>
      </c>
      <c r="Q234" s="18">
        <f t="shared" si="164"/>
        <v>138.352</v>
      </c>
      <c r="R234" s="17">
        <v>981301.12</v>
      </c>
      <c r="S234" s="18">
        <f t="shared" si="165"/>
        <v>329.024</v>
      </c>
      <c r="T234" s="17">
        <v>55809.6575</v>
      </c>
      <c r="U234" s="18">
        <f t="shared" si="166"/>
        <v>4.0959</v>
      </c>
      <c r="V234" s="14"/>
    </row>
    <row r="235">
      <c r="A235" s="39">
        <v>45669.0</v>
      </c>
      <c r="B235" s="19"/>
      <c r="C235" s="18"/>
      <c r="D235" s="19"/>
      <c r="E235" s="18"/>
      <c r="F235" s="19"/>
      <c r="G235" s="18"/>
      <c r="H235" s="19"/>
      <c r="I235" s="18"/>
      <c r="J235" s="19"/>
      <c r="K235" s="20"/>
      <c r="L235" s="19"/>
      <c r="M235" s="18"/>
      <c r="N235" s="19"/>
      <c r="O235" s="18"/>
      <c r="P235" s="19"/>
      <c r="Q235" s="18"/>
      <c r="R235" s="19"/>
      <c r="S235" s="18"/>
      <c r="T235" s="19"/>
      <c r="U235" s="18"/>
      <c r="V235" s="14"/>
    </row>
    <row r="236">
      <c r="A236" s="39">
        <v>45700.0</v>
      </c>
      <c r="B236" s="19"/>
      <c r="C236" s="18">
        <f t="shared" ref="C236:C237" si="167">B236-B235</f>
        <v>0</v>
      </c>
      <c r="D236" s="19"/>
      <c r="E236" s="18"/>
      <c r="F236" s="19"/>
      <c r="G236" s="18"/>
      <c r="H236" s="19"/>
      <c r="I236" s="18"/>
      <c r="J236" s="19"/>
      <c r="K236" s="20"/>
      <c r="L236" s="19"/>
      <c r="M236" s="18"/>
      <c r="N236" s="19"/>
      <c r="O236" s="18"/>
      <c r="P236" s="19"/>
      <c r="Q236" s="18"/>
      <c r="R236" s="19"/>
      <c r="S236" s="18"/>
      <c r="T236" s="19"/>
      <c r="U236" s="18"/>
      <c r="V236" s="14"/>
    </row>
    <row r="237">
      <c r="A237" s="39">
        <v>45728.0</v>
      </c>
      <c r="B237" s="19"/>
      <c r="C237" s="18">
        <f t="shared" si="167"/>
        <v>0</v>
      </c>
      <c r="D237" s="19"/>
      <c r="E237" s="18"/>
      <c r="F237" s="19"/>
      <c r="G237" s="18"/>
      <c r="H237" s="19"/>
      <c r="I237" s="18"/>
      <c r="J237" s="19"/>
      <c r="K237" s="20"/>
      <c r="L237" s="19"/>
      <c r="M237" s="18"/>
      <c r="N237" s="19"/>
      <c r="O237" s="18"/>
      <c r="P237" s="19"/>
      <c r="Q237" s="18"/>
      <c r="R237" s="19"/>
      <c r="S237" s="18"/>
      <c r="T237" s="19"/>
      <c r="U237" s="18"/>
      <c r="V237" s="14"/>
    </row>
    <row r="238">
      <c r="A238" s="39">
        <v>45759.0</v>
      </c>
      <c r="B238" s="19"/>
      <c r="C238" s="18"/>
      <c r="D238" s="19"/>
      <c r="E238" s="18"/>
      <c r="F238" s="19"/>
      <c r="G238" s="18"/>
      <c r="H238" s="19"/>
      <c r="I238" s="18"/>
      <c r="J238" s="19"/>
      <c r="K238" s="20"/>
      <c r="L238" s="19"/>
      <c r="M238" s="18"/>
      <c r="N238" s="19"/>
      <c r="O238" s="18"/>
      <c r="P238" s="19"/>
      <c r="Q238" s="18"/>
      <c r="R238" s="19"/>
      <c r="S238" s="18"/>
      <c r="T238" s="19"/>
      <c r="U238" s="18"/>
      <c r="V238" s="14"/>
    </row>
    <row r="239">
      <c r="A239" s="39" t="s">
        <v>149</v>
      </c>
      <c r="B239" s="17">
        <v>258185.696</v>
      </c>
      <c r="C239" s="18">
        <f>B239-B234</f>
        <v>434.752</v>
      </c>
      <c r="D239" s="17">
        <v>145674.688</v>
      </c>
      <c r="E239" s="18">
        <f>D239-D234</f>
        <v>221.536</v>
      </c>
      <c r="F239" s="17">
        <v>66464.3328</v>
      </c>
      <c r="G239" s="18">
        <f>F239-F234</f>
        <v>57.6</v>
      </c>
      <c r="H239" s="17">
        <v>154705.424</v>
      </c>
      <c r="I239" s="18">
        <f>H239-H234</f>
        <v>235.904</v>
      </c>
      <c r="J239" s="19"/>
      <c r="K239" s="20"/>
      <c r="L239" s="17">
        <v>93195.0144</v>
      </c>
      <c r="M239" s="18">
        <f>L239-L234</f>
        <v>346.3296</v>
      </c>
      <c r="N239" s="17">
        <v>106082.68</v>
      </c>
      <c r="O239" s="18">
        <f>N239-N234</f>
        <v>218.744</v>
      </c>
      <c r="P239" s="17">
        <v>156430.88</v>
      </c>
      <c r="Q239" s="18">
        <f>P239-P234</f>
        <v>510.416</v>
      </c>
      <c r="R239" s="17">
        <v>982430.336</v>
      </c>
      <c r="S239" s="18">
        <f>R239-R234</f>
        <v>1129.216</v>
      </c>
      <c r="T239" s="17">
        <f>T240</f>
        <v>55837.4784</v>
      </c>
      <c r="U239" s="18">
        <f>T239-T234</f>
        <v>27.8209</v>
      </c>
      <c r="V239" s="14"/>
    </row>
    <row r="240">
      <c r="A240" s="39">
        <v>45820.0</v>
      </c>
      <c r="B240" s="17">
        <v>258287.232</v>
      </c>
      <c r="C240" s="18">
        <f t="shared" ref="C240:C265" si="168">B240-B239</f>
        <v>101.536</v>
      </c>
      <c r="D240" s="17">
        <v>145710.352</v>
      </c>
      <c r="E240" s="18">
        <f t="shared" ref="E240:E265" si="169">D240-D239</f>
        <v>35.664</v>
      </c>
      <c r="F240" s="17">
        <v>66474.3936</v>
      </c>
      <c r="G240" s="18">
        <f t="shared" ref="G240:G265" si="170">F240-F239</f>
        <v>10.0608</v>
      </c>
      <c r="H240" s="17">
        <v>154765.04</v>
      </c>
      <c r="I240" s="18">
        <f t="shared" ref="I240:I265" si="171">H240-H239</f>
        <v>59.616</v>
      </c>
      <c r="J240" s="19"/>
      <c r="K240" s="20"/>
      <c r="L240" s="17">
        <v>93253.1904</v>
      </c>
      <c r="M240" s="18">
        <f t="shared" ref="M240:M265" si="172">L240-L239</f>
        <v>58.176</v>
      </c>
      <c r="N240" s="17">
        <v>106137.816</v>
      </c>
      <c r="O240" s="18">
        <f t="shared" ref="O240:O265" si="173">N240-N239</f>
        <v>55.136</v>
      </c>
      <c r="P240" s="17">
        <v>156570.978</v>
      </c>
      <c r="Q240" s="18">
        <f t="shared" ref="Q240:Q248" si="174">P240-P239</f>
        <v>140.098</v>
      </c>
      <c r="R240" s="17">
        <v>982713.28</v>
      </c>
      <c r="S240" s="18">
        <f t="shared" ref="S240:S265" si="175">R240-R239</f>
        <v>282.944</v>
      </c>
      <c r="T240" s="17">
        <v>55837.4784</v>
      </c>
      <c r="U240" s="18">
        <f t="shared" ref="U240:U265" si="176">T240-T239</f>
        <v>0</v>
      </c>
      <c r="V240" s="14"/>
    </row>
    <row r="241">
      <c r="A241" s="39">
        <v>45850.0</v>
      </c>
      <c r="B241" s="17">
        <v>258418.4</v>
      </c>
      <c r="C241" s="18">
        <f t="shared" si="168"/>
        <v>131.168</v>
      </c>
      <c r="D241" s="17">
        <v>145751.52</v>
      </c>
      <c r="E241" s="18">
        <f t="shared" si="169"/>
        <v>41.168</v>
      </c>
      <c r="F241" s="17">
        <v>66484.4864</v>
      </c>
      <c r="G241" s="18">
        <f t="shared" si="170"/>
        <v>10.0928</v>
      </c>
      <c r="H241" s="17">
        <v>154816.464</v>
      </c>
      <c r="I241" s="18">
        <f t="shared" si="171"/>
        <v>51.424</v>
      </c>
      <c r="J241" s="19"/>
      <c r="K241" s="20"/>
      <c r="L241" s="17">
        <v>93340.032</v>
      </c>
      <c r="M241" s="18">
        <f t="shared" si="172"/>
        <v>86.8416</v>
      </c>
      <c r="N241" s="17">
        <v>106190.776</v>
      </c>
      <c r="O241" s="18">
        <f t="shared" si="173"/>
        <v>52.96</v>
      </c>
      <c r="P241" s="17">
        <v>156692.976</v>
      </c>
      <c r="Q241" s="18">
        <f t="shared" si="174"/>
        <v>121.998</v>
      </c>
      <c r="R241" s="17">
        <v>983037.568</v>
      </c>
      <c r="S241" s="18">
        <f t="shared" si="175"/>
        <v>324.288</v>
      </c>
      <c r="T241" s="17">
        <v>55843.552</v>
      </c>
      <c r="U241" s="18">
        <f t="shared" si="176"/>
        <v>6.0736</v>
      </c>
      <c r="V241" s="14"/>
    </row>
    <row r="242">
      <c r="A242" s="39">
        <v>45881.0</v>
      </c>
      <c r="B242" s="17">
        <v>258488.384</v>
      </c>
      <c r="C242" s="18">
        <f t="shared" si="168"/>
        <v>69.984</v>
      </c>
      <c r="D242" s="17">
        <v>145815.744</v>
      </c>
      <c r="E242" s="18">
        <f t="shared" si="169"/>
        <v>64.224</v>
      </c>
      <c r="F242" s="17">
        <v>66493.4848</v>
      </c>
      <c r="G242" s="18">
        <f t="shared" si="170"/>
        <v>8.9984</v>
      </c>
      <c r="H242" s="17">
        <v>154869.984</v>
      </c>
      <c r="I242" s="18">
        <f t="shared" si="171"/>
        <v>53.52</v>
      </c>
      <c r="J242" s="19"/>
      <c r="K242" s="20"/>
      <c r="L242" s="17">
        <v>93392.4736</v>
      </c>
      <c r="M242" s="18">
        <f t="shared" si="172"/>
        <v>52.4416</v>
      </c>
      <c r="N242" s="17">
        <v>106217.056</v>
      </c>
      <c r="O242" s="18">
        <f t="shared" si="173"/>
        <v>26.28</v>
      </c>
      <c r="P242" s="17">
        <v>156916.992</v>
      </c>
      <c r="Q242" s="18">
        <f t="shared" si="174"/>
        <v>224.016</v>
      </c>
      <c r="R242" s="17">
        <v>983237.184</v>
      </c>
      <c r="S242" s="18">
        <f t="shared" si="175"/>
        <v>199.616</v>
      </c>
      <c r="T242" s="17">
        <v>55849.1456</v>
      </c>
      <c r="U242" s="18">
        <f t="shared" si="176"/>
        <v>5.5936</v>
      </c>
      <c r="V242" s="14"/>
    </row>
    <row r="243">
      <c r="A243" s="39">
        <v>45912.0</v>
      </c>
      <c r="B243" s="17">
        <v>258583.744</v>
      </c>
      <c r="C243" s="18">
        <f t="shared" si="168"/>
        <v>95.36</v>
      </c>
      <c r="D243" s="17">
        <v>145857.824</v>
      </c>
      <c r="E243" s="18">
        <f t="shared" si="169"/>
        <v>42.08</v>
      </c>
      <c r="F243" s="17">
        <v>66503.1424</v>
      </c>
      <c r="G243" s="18">
        <f t="shared" si="170"/>
        <v>9.6576</v>
      </c>
      <c r="H243" s="17">
        <v>154914.592</v>
      </c>
      <c r="I243" s="18">
        <f t="shared" si="171"/>
        <v>44.608</v>
      </c>
      <c r="J243" s="19"/>
      <c r="K243" s="20"/>
      <c r="L243" s="17">
        <v>93455.4048</v>
      </c>
      <c r="M243" s="18">
        <f t="shared" si="172"/>
        <v>62.9312</v>
      </c>
      <c r="N243" s="17">
        <v>106274.032</v>
      </c>
      <c r="O243" s="18">
        <f t="shared" si="173"/>
        <v>56.976</v>
      </c>
      <c r="P243" s="17">
        <v>157074.56</v>
      </c>
      <c r="Q243" s="18">
        <f t="shared" si="174"/>
        <v>157.568</v>
      </c>
      <c r="R243" s="17">
        <v>983531.393</v>
      </c>
      <c r="S243" s="18">
        <f t="shared" si="175"/>
        <v>294.209</v>
      </c>
      <c r="T243" s="17">
        <v>55854.9696</v>
      </c>
      <c r="U243" s="18">
        <f t="shared" si="176"/>
        <v>5.824</v>
      </c>
      <c r="V243" s="14"/>
    </row>
    <row r="244">
      <c r="A244" s="39">
        <v>45942.0</v>
      </c>
      <c r="B244" s="17">
        <v>258707.504</v>
      </c>
      <c r="C244" s="18">
        <f t="shared" si="168"/>
        <v>123.76</v>
      </c>
      <c r="D244" s="17">
        <v>145925.36</v>
      </c>
      <c r="E244" s="18">
        <f t="shared" si="169"/>
        <v>67.536</v>
      </c>
      <c r="F244" s="17">
        <v>66512.6784</v>
      </c>
      <c r="G244" s="18">
        <f t="shared" si="170"/>
        <v>9.536</v>
      </c>
      <c r="H244" s="17">
        <v>154966.08</v>
      </c>
      <c r="I244" s="18">
        <f t="shared" si="171"/>
        <v>51.488</v>
      </c>
      <c r="J244" s="19"/>
      <c r="K244" s="20"/>
      <c r="L244" s="17">
        <v>93507.5712</v>
      </c>
      <c r="M244" s="18">
        <f t="shared" si="172"/>
        <v>52.1664</v>
      </c>
      <c r="N244" s="17">
        <v>106332.696</v>
      </c>
      <c r="O244" s="18">
        <f t="shared" si="173"/>
        <v>58.664</v>
      </c>
      <c r="P244" s="17">
        <v>157174.48</v>
      </c>
      <c r="Q244" s="18">
        <f t="shared" si="174"/>
        <v>99.92</v>
      </c>
      <c r="R244" s="17">
        <v>983792.768</v>
      </c>
      <c r="S244" s="18">
        <f t="shared" si="175"/>
        <v>261.375</v>
      </c>
      <c r="T244" s="17">
        <v>55859.7184</v>
      </c>
      <c r="U244" s="18">
        <f t="shared" si="176"/>
        <v>4.7488</v>
      </c>
      <c r="V244" s="14"/>
    </row>
    <row r="245">
      <c r="A245" s="39">
        <v>45973.0</v>
      </c>
      <c r="B245" s="17">
        <v>258893.328</v>
      </c>
      <c r="C245" s="18">
        <f t="shared" si="168"/>
        <v>185.824</v>
      </c>
      <c r="D245" s="17">
        <v>145972.192</v>
      </c>
      <c r="E245" s="18">
        <f t="shared" si="169"/>
        <v>46.832</v>
      </c>
      <c r="F245" s="17">
        <v>66520.9216</v>
      </c>
      <c r="G245" s="18">
        <f t="shared" si="170"/>
        <v>8.2432</v>
      </c>
      <c r="H245" s="17">
        <v>155010.56</v>
      </c>
      <c r="I245" s="18">
        <f t="shared" si="171"/>
        <v>44.48</v>
      </c>
      <c r="J245" s="19"/>
      <c r="K245" s="20"/>
      <c r="L245" s="17">
        <v>93570.7526</v>
      </c>
      <c r="M245" s="18">
        <f t="shared" si="172"/>
        <v>63.1814</v>
      </c>
      <c r="N245" s="17">
        <v>106390.76</v>
      </c>
      <c r="O245" s="18">
        <f t="shared" si="173"/>
        <v>58.064</v>
      </c>
      <c r="P245" s="17">
        <v>157297.552</v>
      </c>
      <c r="Q245" s="18">
        <f t="shared" si="174"/>
        <v>123.072</v>
      </c>
      <c r="R245" s="17">
        <v>984088.064</v>
      </c>
      <c r="S245" s="18">
        <f t="shared" si="175"/>
        <v>295.296</v>
      </c>
      <c r="T245" s="17">
        <v>55864.1536</v>
      </c>
      <c r="U245" s="18">
        <f t="shared" si="176"/>
        <v>4.4352</v>
      </c>
      <c r="V245" s="14"/>
    </row>
    <row r="246">
      <c r="A246" s="39">
        <v>46003.0</v>
      </c>
      <c r="B246" s="17">
        <v>259089.725</v>
      </c>
      <c r="C246" s="18">
        <f t="shared" si="168"/>
        <v>196.397</v>
      </c>
      <c r="D246" s="17">
        <v>146012.256</v>
      </c>
      <c r="E246" s="18">
        <f t="shared" si="169"/>
        <v>40.064</v>
      </c>
      <c r="F246" s="17">
        <v>66527.3984</v>
      </c>
      <c r="G246" s="18">
        <f t="shared" si="170"/>
        <v>6.4768</v>
      </c>
      <c r="H246" s="17">
        <v>155071.04</v>
      </c>
      <c r="I246" s="18">
        <f t="shared" si="171"/>
        <v>60.48</v>
      </c>
      <c r="J246" s="19"/>
      <c r="K246" s="20"/>
      <c r="L246" s="17">
        <v>93631.0144</v>
      </c>
      <c r="M246" s="18">
        <f t="shared" si="172"/>
        <v>60.2618</v>
      </c>
      <c r="N246" s="17">
        <v>106444.392</v>
      </c>
      <c r="O246" s="18">
        <f t="shared" si="173"/>
        <v>53.632</v>
      </c>
      <c r="P246" s="17">
        <v>157416.144</v>
      </c>
      <c r="Q246" s="18">
        <f t="shared" si="174"/>
        <v>118.592</v>
      </c>
      <c r="R246" s="17">
        <v>984337.728</v>
      </c>
      <c r="S246" s="18">
        <f t="shared" si="175"/>
        <v>249.664</v>
      </c>
      <c r="T246" s="17">
        <v>55870.0608</v>
      </c>
      <c r="U246" s="18">
        <f t="shared" si="176"/>
        <v>5.9072</v>
      </c>
      <c r="V246" s="14"/>
    </row>
    <row r="247">
      <c r="A247" s="32" t="s">
        <v>150</v>
      </c>
      <c r="B247" s="17">
        <v>259362.928</v>
      </c>
      <c r="C247" s="18">
        <f t="shared" si="168"/>
        <v>273.203</v>
      </c>
      <c r="D247" s="17">
        <v>146047.152</v>
      </c>
      <c r="E247" s="18">
        <f t="shared" si="169"/>
        <v>34.896</v>
      </c>
      <c r="F247" s="17">
        <v>66536.032</v>
      </c>
      <c r="G247" s="18">
        <f t="shared" si="170"/>
        <v>8.6336</v>
      </c>
      <c r="H247" s="17">
        <v>155117.296</v>
      </c>
      <c r="I247" s="18">
        <f t="shared" si="171"/>
        <v>46.256</v>
      </c>
      <c r="J247" s="19"/>
      <c r="K247" s="20"/>
      <c r="L247" s="17">
        <v>93697.7408</v>
      </c>
      <c r="M247" s="18">
        <f t="shared" si="172"/>
        <v>66.7264</v>
      </c>
      <c r="N247" s="17">
        <v>106493.928</v>
      </c>
      <c r="O247" s="18">
        <f t="shared" si="173"/>
        <v>49.536</v>
      </c>
      <c r="P247" s="17">
        <v>157638.432</v>
      </c>
      <c r="Q247" s="18">
        <f t="shared" si="174"/>
        <v>222.288</v>
      </c>
      <c r="R247" s="17">
        <v>984529.856</v>
      </c>
      <c r="S247" s="18">
        <f t="shared" si="175"/>
        <v>192.128</v>
      </c>
      <c r="T247" s="17">
        <v>55876.2944</v>
      </c>
      <c r="U247" s="18">
        <f t="shared" si="176"/>
        <v>6.2336</v>
      </c>
      <c r="V247" s="14"/>
    </row>
    <row r="248">
      <c r="A248" s="32" t="s">
        <v>151</v>
      </c>
      <c r="B248" s="17">
        <v>259540.72</v>
      </c>
      <c r="C248" s="18">
        <f t="shared" si="168"/>
        <v>177.792</v>
      </c>
      <c r="D248" s="17">
        <v>146115.312</v>
      </c>
      <c r="E248" s="18">
        <f t="shared" si="169"/>
        <v>68.16</v>
      </c>
      <c r="F248" s="17">
        <v>66544.4672</v>
      </c>
      <c r="G248" s="18">
        <f t="shared" si="170"/>
        <v>8.4352</v>
      </c>
      <c r="H248" s="17">
        <v>155170.467</v>
      </c>
      <c r="I248" s="18">
        <f t="shared" si="171"/>
        <v>53.171</v>
      </c>
      <c r="J248" s="19"/>
      <c r="K248" s="20"/>
      <c r="L248" s="17">
        <v>93764.6464</v>
      </c>
      <c r="M248" s="18">
        <f t="shared" si="172"/>
        <v>66.9056</v>
      </c>
      <c r="N248" s="17">
        <v>106542.384</v>
      </c>
      <c r="O248" s="18">
        <f t="shared" si="173"/>
        <v>48.456</v>
      </c>
      <c r="P248" s="17">
        <v>157857.92</v>
      </c>
      <c r="Q248" s="18">
        <f t="shared" si="174"/>
        <v>219.488</v>
      </c>
      <c r="R248" s="17">
        <v>984748.02</v>
      </c>
      <c r="S248" s="18">
        <f t="shared" si="175"/>
        <v>218.164</v>
      </c>
      <c r="T248" s="17">
        <v>55881.5812</v>
      </c>
      <c r="U248" s="18">
        <f t="shared" si="176"/>
        <v>5.2868</v>
      </c>
      <c r="V248" s="14"/>
    </row>
    <row r="249">
      <c r="A249" s="32" t="s">
        <v>152</v>
      </c>
      <c r="B249" s="17">
        <v>259660.785</v>
      </c>
      <c r="C249" s="18">
        <f t="shared" si="168"/>
        <v>120.065</v>
      </c>
      <c r="D249" s="17">
        <v>146154.048</v>
      </c>
      <c r="E249" s="18">
        <f t="shared" si="169"/>
        <v>38.736</v>
      </c>
      <c r="F249" s="17">
        <v>66557.7952</v>
      </c>
      <c r="G249" s="18">
        <f t="shared" si="170"/>
        <v>13.328</v>
      </c>
      <c r="H249" s="17">
        <v>155210.288</v>
      </c>
      <c r="I249" s="18">
        <f t="shared" si="171"/>
        <v>39.821</v>
      </c>
      <c r="J249" s="19"/>
      <c r="K249" s="20"/>
      <c r="L249" s="17">
        <v>93795.7632</v>
      </c>
      <c r="M249" s="18">
        <f t="shared" si="172"/>
        <v>31.1168</v>
      </c>
      <c r="N249" s="17">
        <v>106571.904</v>
      </c>
      <c r="O249" s="18">
        <f t="shared" si="173"/>
        <v>29.52</v>
      </c>
      <c r="P249" s="17">
        <v>158857.36</v>
      </c>
      <c r="Q249" s="18"/>
      <c r="R249" s="17">
        <v>984987.216</v>
      </c>
      <c r="S249" s="18">
        <f t="shared" si="175"/>
        <v>239.196</v>
      </c>
      <c r="T249" s="17">
        <v>55885.9392</v>
      </c>
      <c r="U249" s="18">
        <f t="shared" si="176"/>
        <v>4.358</v>
      </c>
      <c r="V249" s="14"/>
    </row>
    <row r="250">
      <c r="A250" s="32" t="s">
        <v>153</v>
      </c>
      <c r="B250" s="17">
        <v>259794.704</v>
      </c>
      <c r="C250" s="18">
        <f t="shared" si="168"/>
        <v>133.919</v>
      </c>
      <c r="D250" s="17">
        <v>146194.48</v>
      </c>
      <c r="E250" s="18">
        <f t="shared" si="169"/>
        <v>40.432</v>
      </c>
      <c r="F250" s="17">
        <v>66559.0848</v>
      </c>
      <c r="G250" s="18">
        <f t="shared" si="170"/>
        <v>1.2896</v>
      </c>
      <c r="H250" s="17">
        <v>155257.904</v>
      </c>
      <c r="I250" s="18">
        <f t="shared" si="171"/>
        <v>47.616</v>
      </c>
      <c r="J250" s="19"/>
      <c r="K250" s="20"/>
      <c r="L250" s="17">
        <v>93843.8272</v>
      </c>
      <c r="M250" s="18">
        <f t="shared" si="172"/>
        <v>48.064</v>
      </c>
      <c r="N250" s="17">
        <v>106612.472</v>
      </c>
      <c r="O250" s="18">
        <f t="shared" si="173"/>
        <v>40.568</v>
      </c>
      <c r="P250" s="17">
        <v>158186.592</v>
      </c>
      <c r="Q250" s="18"/>
      <c r="R250" s="17">
        <v>985082.432</v>
      </c>
      <c r="S250" s="18">
        <f t="shared" si="175"/>
        <v>95.216</v>
      </c>
      <c r="T250" s="17">
        <v>55891.1616</v>
      </c>
      <c r="U250" s="18">
        <f t="shared" si="176"/>
        <v>5.2224</v>
      </c>
      <c r="V250" s="14"/>
    </row>
    <row r="251">
      <c r="A251" s="32" t="s">
        <v>154</v>
      </c>
      <c r="B251" s="17">
        <v>259967.136</v>
      </c>
      <c r="C251" s="18">
        <f t="shared" si="168"/>
        <v>172.432</v>
      </c>
      <c r="D251" s="17">
        <v>146233.568</v>
      </c>
      <c r="E251" s="18">
        <f t="shared" si="169"/>
        <v>39.088</v>
      </c>
      <c r="F251" s="17">
        <v>66572.8832</v>
      </c>
      <c r="G251" s="18">
        <f t="shared" si="170"/>
        <v>13.7984</v>
      </c>
      <c r="H251" s="17">
        <v>155311.184</v>
      </c>
      <c r="I251" s="18">
        <f t="shared" si="171"/>
        <v>53.28</v>
      </c>
      <c r="J251" s="19"/>
      <c r="K251" s="20"/>
      <c r="L251" s="17">
        <v>93898.6496</v>
      </c>
      <c r="M251" s="18">
        <f t="shared" si="172"/>
        <v>54.8224</v>
      </c>
      <c r="N251" s="17">
        <v>106657.288</v>
      </c>
      <c r="O251" s="18">
        <f t="shared" si="173"/>
        <v>44.816</v>
      </c>
      <c r="P251" s="17">
        <v>158491.296</v>
      </c>
      <c r="Q251" s="18">
        <f t="shared" ref="Q251:Q252" si="177">P251-P250</f>
        <v>304.704</v>
      </c>
      <c r="R251" s="17">
        <v>985288.512</v>
      </c>
      <c r="S251" s="18">
        <f t="shared" si="175"/>
        <v>206.08</v>
      </c>
      <c r="T251" s="17">
        <v>55896.1985</v>
      </c>
      <c r="U251" s="18">
        <f t="shared" si="176"/>
        <v>5.0369</v>
      </c>
      <c r="V251" s="14"/>
    </row>
    <row r="252">
      <c r="A252" s="32" t="s">
        <v>155</v>
      </c>
      <c r="B252" s="17">
        <v>260162.784</v>
      </c>
      <c r="C252" s="18">
        <f t="shared" si="168"/>
        <v>195.648</v>
      </c>
      <c r="D252" s="17">
        <v>146281.952</v>
      </c>
      <c r="E252" s="18">
        <f t="shared" si="169"/>
        <v>48.384</v>
      </c>
      <c r="F252" s="17">
        <v>66583.264</v>
      </c>
      <c r="G252" s="18">
        <f t="shared" si="170"/>
        <v>10.3808</v>
      </c>
      <c r="H252" s="17">
        <v>155360.112</v>
      </c>
      <c r="I252" s="18">
        <f t="shared" si="171"/>
        <v>48.928</v>
      </c>
      <c r="J252" s="19"/>
      <c r="K252" s="20"/>
      <c r="L252" s="17">
        <v>93946.0224</v>
      </c>
      <c r="M252" s="18">
        <f t="shared" si="172"/>
        <v>47.3728</v>
      </c>
      <c r="N252" s="17">
        <v>106706.184</v>
      </c>
      <c r="O252" s="18">
        <f t="shared" si="173"/>
        <v>48.896</v>
      </c>
      <c r="P252" s="17">
        <v>158665.856</v>
      </c>
      <c r="Q252" s="18">
        <f t="shared" si="177"/>
        <v>174.56</v>
      </c>
      <c r="R252" s="17">
        <v>985540.864</v>
      </c>
      <c r="S252" s="18">
        <f t="shared" si="175"/>
        <v>252.352</v>
      </c>
      <c r="T252" s="17">
        <v>55902.624</v>
      </c>
      <c r="U252" s="18">
        <f t="shared" si="176"/>
        <v>6.4255</v>
      </c>
      <c r="V252" s="14"/>
    </row>
    <row r="253">
      <c r="A253" s="32" t="s">
        <v>156</v>
      </c>
      <c r="B253" s="17">
        <v>260301.808</v>
      </c>
      <c r="C253" s="18">
        <f t="shared" si="168"/>
        <v>139.024</v>
      </c>
      <c r="D253" s="17">
        <v>146323.056</v>
      </c>
      <c r="E253" s="18">
        <f t="shared" si="169"/>
        <v>41.104</v>
      </c>
      <c r="F253" s="17">
        <v>66593.408</v>
      </c>
      <c r="G253" s="18">
        <f t="shared" si="170"/>
        <v>10.144</v>
      </c>
      <c r="H253" s="17">
        <v>155407.328</v>
      </c>
      <c r="I253" s="18">
        <f t="shared" si="171"/>
        <v>47.216</v>
      </c>
      <c r="J253" s="19"/>
      <c r="K253" s="20"/>
      <c r="L253" s="17">
        <v>94006.1568</v>
      </c>
      <c r="M253" s="18">
        <f t="shared" si="172"/>
        <v>60.1344</v>
      </c>
      <c r="N253" s="17">
        <v>106750.528</v>
      </c>
      <c r="O253" s="18">
        <f t="shared" si="173"/>
        <v>44.344</v>
      </c>
      <c r="P253" s="17">
        <v>158738.864</v>
      </c>
      <c r="Q253" s="18"/>
      <c r="R253" s="17">
        <v>985774.208</v>
      </c>
      <c r="S253" s="18">
        <f t="shared" si="175"/>
        <v>233.344</v>
      </c>
      <c r="T253" s="17">
        <v>55907.3536</v>
      </c>
      <c r="U253" s="18">
        <f t="shared" si="176"/>
        <v>4.7296</v>
      </c>
      <c r="V253" s="14"/>
    </row>
    <row r="254">
      <c r="A254" s="32" t="s">
        <v>157</v>
      </c>
      <c r="B254" s="17">
        <v>260481.808</v>
      </c>
      <c r="C254" s="18">
        <f t="shared" si="168"/>
        <v>180</v>
      </c>
      <c r="D254" s="17">
        <v>146358.544</v>
      </c>
      <c r="E254" s="18">
        <f t="shared" si="169"/>
        <v>35.488</v>
      </c>
      <c r="F254" s="17">
        <v>66601.8885</v>
      </c>
      <c r="G254" s="18">
        <f t="shared" si="170"/>
        <v>8.4805</v>
      </c>
      <c r="H254" s="17">
        <v>155451.36</v>
      </c>
      <c r="I254" s="18">
        <f t="shared" si="171"/>
        <v>44.032</v>
      </c>
      <c r="J254" s="19"/>
      <c r="K254" s="20"/>
      <c r="L254" s="17">
        <v>94049.2608</v>
      </c>
      <c r="M254" s="18">
        <f t="shared" si="172"/>
        <v>43.104</v>
      </c>
      <c r="N254" s="17">
        <v>106798.32</v>
      </c>
      <c r="O254" s="18">
        <f t="shared" si="173"/>
        <v>47.792</v>
      </c>
      <c r="P254" s="17">
        <v>158899.232</v>
      </c>
      <c r="Q254" s="18">
        <f t="shared" ref="Q254:Q265" si="178">P254-P253</f>
        <v>160.368</v>
      </c>
      <c r="R254" s="17">
        <v>986000.064</v>
      </c>
      <c r="S254" s="18">
        <f t="shared" si="175"/>
        <v>225.856</v>
      </c>
      <c r="T254" s="17">
        <v>55912.7744</v>
      </c>
      <c r="U254" s="18">
        <f t="shared" si="176"/>
        <v>5.4208</v>
      </c>
      <c r="V254" s="14"/>
    </row>
    <row r="255">
      <c r="A255" s="32" t="s">
        <v>158</v>
      </c>
      <c r="B255" s="17">
        <v>260670.592</v>
      </c>
      <c r="C255" s="18">
        <f t="shared" si="168"/>
        <v>188.784</v>
      </c>
      <c r="D255" s="17">
        <v>146397.008</v>
      </c>
      <c r="E255" s="18">
        <f t="shared" si="169"/>
        <v>38.464</v>
      </c>
      <c r="F255" s="17">
        <v>66616.8128</v>
      </c>
      <c r="G255" s="18">
        <f t="shared" si="170"/>
        <v>14.9243</v>
      </c>
      <c r="H255" s="17">
        <v>155498.928</v>
      </c>
      <c r="I255" s="18">
        <f t="shared" si="171"/>
        <v>47.568</v>
      </c>
      <c r="J255" s="19"/>
      <c r="K255" s="20"/>
      <c r="L255" s="17">
        <v>94100.1408</v>
      </c>
      <c r="M255" s="18">
        <f t="shared" si="172"/>
        <v>50.88</v>
      </c>
      <c r="N255" s="17">
        <v>106838.28</v>
      </c>
      <c r="O255" s="18">
        <f t="shared" si="173"/>
        <v>39.96</v>
      </c>
      <c r="P255" s="17">
        <v>159014.576</v>
      </c>
      <c r="Q255" s="18">
        <f t="shared" si="178"/>
        <v>115.344</v>
      </c>
      <c r="R255" s="17">
        <v>986210.24</v>
      </c>
      <c r="S255" s="18">
        <f t="shared" si="175"/>
        <v>210.176</v>
      </c>
      <c r="T255" s="17">
        <v>55918.1312</v>
      </c>
      <c r="U255" s="18">
        <f t="shared" si="176"/>
        <v>5.3568</v>
      </c>
      <c r="V255" s="14"/>
    </row>
    <row r="256">
      <c r="A256" s="32" t="s">
        <v>159</v>
      </c>
      <c r="B256" s="17">
        <v>260809.28</v>
      </c>
      <c r="C256" s="18">
        <f t="shared" si="168"/>
        <v>138.688</v>
      </c>
      <c r="D256" s="17">
        <v>146425.184</v>
      </c>
      <c r="E256" s="18">
        <f t="shared" si="169"/>
        <v>28.176</v>
      </c>
      <c r="F256" s="17">
        <v>66622.7136</v>
      </c>
      <c r="G256" s="18">
        <f t="shared" si="170"/>
        <v>5.9008</v>
      </c>
      <c r="H256" s="17">
        <v>155539.008</v>
      </c>
      <c r="I256" s="18">
        <f t="shared" si="171"/>
        <v>40.08</v>
      </c>
      <c r="J256" s="19"/>
      <c r="K256" s="20"/>
      <c r="L256" s="17">
        <v>94135.0784</v>
      </c>
      <c r="M256" s="18">
        <f t="shared" si="172"/>
        <v>34.9376</v>
      </c>
      <c r="N256" s="17">
        <v>106858.0</v>
      </c>
      <c r="O256" s="18">
        <f t="shared" si="173"/>
        <v>19.72</v>
      </c>
      <c r="P256" s="17">
        <v>159114.336</v>
      </c>
      <c r="Q256" s="41">
        <f t="shared" si="178"/>
        <v>99.76</v>
      </c>
      <c r="R256" s="17">
        <v>986359.104</v>
      </c>
      <c r="S256" s="18">
        <f t="shared" si="175"/>
        <v>148.864</v>
      </c>
      <c r="T256" s="17">
        <v>55920.842</v>
      </c>
      <c r="U256" s="18">
        <f t="shared" si="176"/>
        <v>2.7108</v>
      </c>
      <c r="V256" s="14"/>
    </row>
    <row r="257">
      <c r="A257" s="32" t="s">
        <v>160</v>
      </c>
      <c r="B257" s="17">
        <v>260971.808</v>
      </c>
      <c r="C257" s="18">
        <f t="shared" si="168"/>
        <v>162.528</v>
      </c>
      <c r="D257" s="17">
        <v>146465.808</v>
      </c>
      <c r="E257" s="18">
        <f t="shared" si="169"/>
        <v>40.624</v>
      </c>
      <c r="F257" s="17">
        <v>66628.7424</v>
      </c>
      <c r="G257" s="18">
        <f t="shared" si="170"/>
        <v>6.0288</v>
      </c>
      <c r="H257" s="17">
        <v>155589.376</v>
      </c>
      <c r="I257" s="18">
        <f t="shared" si="171"/>
        <v>50.368</v>
      </c>
      <c r="J257" s="19"/>
      <c r="K257" s="20"/>
      <c r="L257" s="17">
        <v>94171.9296</v>
      </c>
      <c r="M257" s="18">
        <f t="shared" si="172"/>
        <v>36.8512</v>
      </c>
      <c r="N257" s="17">
        <v>106911.504</v>
      </c>
      <c r="O257" s="18">
        <f t="shared" si="173"/>
        <v>53.504</v>
      </c>
      <c r="P257" s="17">
        <v>159241.44</v>
      </c>
      <c r="Q257" s="18">
        <f t="shared" si="178"/>
        <v>127.104</v>
      </c>
      <c r="R257" s="17">
        <v>986582.272</v>
      </c>
      <c r="S257" s="18">
        <f t="shared" si="175"/>
        <v>223.168</v>
      </c>
      <c r="T257" s="17">
        <v>55926.0672</v>
      </c>
      <c r="U257" s="18">
        <f t="shared" si="176"/>
        <v>5.2252</v>
      </c>
      <c r="V257" s="14"/>
    </row>
    <row r="258">
      <c r="A258" s="32" t="s">
        <v>161</v>
      </c>
      <c r="B258" s="17">
        <v>261152.64</v>
      </c>
      <c r="C258" s="18">
        <f t="shared" si="168"/>
        <v>180.832</v>
      </c>
      <c r="D258" s="17">
        <v>146502.364</v>
      </c>
      <c r="E258" s="18">
        <f t="shared" si="169"/>
        <v>36.556</v>
      </c>
      <c r="F258" s="17">
        <v>66636.0064</v>
      </c>
      <c r="G258" s="18">
        <f t="shared" si="170"/>
        <v>7.264</v>
      </c>
      <c r="H258" s="17">
        <v>155643.472</v>
      </c>
      <c r="I258" s="18">
        <f t="shared" si="171"/>
        <v>54.096</v>
      </c>
      <c r="J258" s="19"/>
      <c r="K258" s="20"/>
      <c r="L258" s="17">
        <v>94260.9088</v>
      </c>
      <c r="M258" s="18">
        <f t="shared" si="172"/>
        <v>88.9792</v>
      </c>
      <c r="N258" s="17">
        <v>106961.512</v>
      </c>
      <c r="O258" s="18">
        <f t="shared" si="173"/>
        <v>50.008</v>
      </c>
      <c r="P258" s="17">
        <v>159433.558</v>
      </c>
      <c r="Q258" s="18">
        <f t="shared" si="178"/>
        <v>192.118</v>
      </c>
      <c r="R258" s="17">
        <v>986854.464</v>
      </c>
      <c r="S258" s="18">
        <f t="shared" si="175"/>
        <v>272.192</v>
      </c>
      <c r="T258" s="17">
        <v>55931.3536</v>
      </c>
      <c r="U258" s="18">
        <f t="shared" si="176"/>
        <v>5.2864</v>
      </c>
      <c r="V258" s="14"/>
    </row>
    <row r="259">
      <c r="A259" s="32" t="s">
        <v>162</v>
      </c>
      <c r="B259" s="17">
        <v>261322.56</v>
      </c>
      <c r="C259" s="18">
        <f t="shared" si="168"/>
        <v>169.92</v>
      </c>
      <c r="D259" s="17">
        <v>146542.416</v>
      </c>
      <c r="E259" s="18">
        <f t="shared" si="169"/>
        <v>40.052</v>
      </c>
      <c r="F259" s="17">
        <v>66644.816</v>
      </c>
      <c r="G259" s="18">
        <f t="shared" si="170"/>
        <v>8.8096</v>
      </c>
      <c r="H259" s="17">
        <v>155696.992</v>
      </c>
      <c r="I259" s="18">
        <f t="shared" si="171"/>
        <v>53.52</v>
      </c>
      <c r="J259" s="19"/>
      <c r="K259" s="20"/>
      <c r="L259" s="17">
        <v>94325.248</v>
      </c>
      <c r="M259" s="18">
        <f t="shared" si="172"/>
        <v>64.3392</v>
      </c>
      <c r="N259" s="17">
        <v>107018.152</v>
      </c>
      <c r="O259" s="18">
        <f t="shared" si="173"/>
        <v>56.64</v>
      </c>
      <c r="P259" s="17">
        <v>159570.816</v>
      </c>
      <c r="Q259" s="18">
        <f t="shared" si="178"/>
        <v>137.258</v>
      </c>
      <c r="R259" s="17">
        <v>987098.176</v>
      </c>
      <c r="S259" s="18">
        <f t="shared" si="175"/>
        <v>243.712</v>
      </c>
      <c r="T259" s="17">
        <v>55937.0368</v>
      </c>
      <c r="U259" s="18">
        <f t="shared" si="176"/>
        <v>5.6832</v>
      </c>
      <c r="V259" s="14"/>
    </row>
    <row r="260">
      <c r="A260" s="32" t="s">
        <v>163</v>
      </c>
      <c r="B260" s="17">
        <v>261527.712</v>
      </c>
      <c r="C260" s="18">
        <f t="shared" si="168"/>
        <v>205.152</v>
      </c>
      <c r="D260" s="17">
        <v>146586.672</v>
      </c>
      <c r="E260" s="18">
        <f t="shared" si="169"/>
        <v>44.256</v>
      </c>
      <c r="F260" s="17">
        <v>66653.9328</v>
      </c>
      <c r="G260" s="18">
        <f t="shared" si="170"/>
        <v>9.1168</v>
      </c>
      <c r="H260" s="17">
        <v>155751.6</v>
      </c>
      <c r="I260" s="18">
        <f t="shared" si="171"/>
        <v>54.608</v>
      </c>
      <c r="J260" s="19"/>
      <c r="K260" s="20"/>
      <c r="L260" s="17">
        <v>94372.7296</v>
      </c>
      <c r="M260" s="18">
        <f t="shared" si="172"/>
        <v>47.4816</v>
      </c>
      <c r="N260" s="17">
        <v>107072.72</v>
      </c>
      <c r="O260" s="18">
        <f t="shared" si="173"/>
        <v>54.568</v>
      </c>
      <c r="P260" s="17">
        <v>159767.68</v>
      </c>
      <c r="Q260" s="18">
        <f t="shared" si="178"/>
        <v>196.864</v>
      </c>
      <c r="R260" s="17">
        <v>987349.888</v>
      </c>
      <c r="S260" s="18">
        <f t="shared" si="175"/>
        <v>251.712</v>
      </c>
      <c r="T260" s="17">
        <v>55942.4384</v>
      </c>
      <c r="U260" s="18">
        <f t="shared" si="176"/>
        <v>5.4016</v>
      </c>
      <c r="V260" s="14"/>
    </row>
    <row r="261">
      <c r="A261" s="32" t="s">
        <v>164</v>
      </c>
      <c r="B261" s="17">
        <v>261698.576</v>
      </c>
      <c r="C261" s="18">
        <f t="shared" si="168"/>
        <v>170.864</v>
      </c>
      <c r="D261" s="17">
        <v>146622.832</v>
      </c>
      <c r="E261" s="18">
        <f t="shared" si="169"/>
        <v>36.16</v>
      </c>
      <c r="F261" s="17">
        <v>66661.376</v>
      </c>
      <c r="G261" s="18">
        <f t="shared" si="170"/>
        <v>7.4432</v>
      </c>
      <c r="H261" s="17">
        <v>155805.696</v>
      </c>
      <c r="I261" s="18">
        <f t="shared" si="171"/>
        <v>54.096</v>
      </c>
      <c r="J261" s="19"/>
      <c r="K261" s="20"/>
      <c r="L261" s="17">
        <v>94403.648</v>
      </c>
      <c r="M261" s="18">
        <f t="shared" si="172"/>
        <v>30.9184</v>
      </c>
      <c r="N261" s="17">
        <v>107123.352</v>
      </c>
      <c r="O261" s="18">
        <f t="shared" si="173"/>
        <v>50.632</v>
      </c>
      <c r="P261" s="17">
        <v>159948.592</v>
      </c>
      <c r="Q261" s="18">
        <f t="shared" si="178"/>
        <v>180.912</v>
      </c>
      <c r="R261" s="17">
        <v>987584.128</v>
      </c>
      <c r="S261" s="18">
        <f t="shared" si="175"/>
        <v>234.24</v>
      </c>
      <c r="T261" s="17">
        <v>55948.096</v>
      </c>
      <c r="U261" s="18">
        <f t="shared" si="176"/>
        <v>5.6576</v>
      </c>
      <c r="V261" s="14"/>
    </row>
    <row r="262">
      <c r="A262" s="32" t="s">
        <v>165</v>
      </c>
      <c r="B262" s="17">
        <v>261779.488</v>
      </c>
      <c r="C262" s="18">
        <f t="shared" si="168"/>
        <v>80.912</v>
      </c>
      <c r="D262" s="17">
        <v>146660.624</v>
      </c>
      <c r="E262" s="18">
        <f t="shared" si="169"/>
        <v>37.792</v>
      </c>
      <c r="F262" s="17">
        <v>66670.096</v>
      </c>
      <c r="G262" s="18">
        <f t="shared" si="170"/>
        <v>8.72</v>
      </c>
      <c r="H262" s="17">
        <v>155854.112</v>
      </c>
      <c r="I262" s="18">
        <f t="shared" si="171"/>
        <v>48.416</v>
      </c>
      <c r="J262" s="19"/>
      <c r="K262" s="20"/>
      <c r="L262" s="17">
        <v>94424.5056</v>
      </c>
      <c r="M262" s="18">
        <f t="shared" si="172"/>
        <v>20.8576</v>
      </c>
      <c r="N262" s="17">
        <v>107173.424</v>
      </c>
      <c r="O262" s="18">
        <f t="shared" si="173"/>
        <v>50.072</v>
      </c>
      <c r="P262" s="17">
        <v>160150.608</v>
      </c>
      <c r="Q262" s="18">
        <f t="shared" si="178"/>
        <v>202.016</v>
      </c>
      <c r="R262" s="17">
        <v>987793.6</v>
      </c>
      <c r="S262" s="18">
        <f t="shared" si="175"/>
        <v>209.472</v>
      </c>
      <c r="T262" s="17">
        <v>55953.9325</v>
      </c>
      <c r="U262" s="18">
        <f t="shared" si="176"/>
        <v>5.8365</v>
      </c>
      <c r="V262" s="14"/>
    </row>
    <row r="263">
      <c r="A263" s="32" t="s">
        <v>166</v>
      </c>
      <c r="B263" s="17">
        <v>261842.704</v>
      </c>
      <c r="C263" s="18">
        <f t="shared" si="168"/>
        <v>63.216</v>
      </c>
      <c r="D263" s="17">
        <v>146689.68</v>
      </c>
      <c r="E263" s="18">
        <f t="shared" si="169"/>
        <v>29.056</v>
      </c>
      <c r="F263" s="17">
        <v>66678.3936</v>
      </c>
      <c r="G263" s="18">
        <f t="shared" si="170"/>
        <v>8.2976</v>
      </c>
      <c r="H263" s="17">
        <v>155905.392</v>
      </c>
      <c r="I263" s="18">
        <f t="shared" si="171"/>
        <v>51.28</v>
      </c>
      <c r="J263" s="19"/>
      <c r="K263" s="20"/>
      <c r="L263" s="17">
        <v>94449.1584</v>
      </c>
      <c r="M263" s="18">
        <f t="shared" si="172"/>
        <v>24.6528</v>
      </c>
      <c r="N263" s="17">
        <v>107203.736</v>
      </c>
      <c r="O263" s="18">
        <f t="shared" si="173"/>
        <v>30.312</v>
      </c>
      <c r="P263" s="17">
        <v>160301.488</v>
      </c>
      <c r="Q263" s="18">
        <f t="shared" si="178"/>
        <v>150.88</v>
      </c>
      <c r="R263" s="17">
        <v>987910.464</v>
      </c>
      <c r="S263" s="18">
        <f t="shared" si="175"/>
        <v>116.864</v>
      </c>
      <c r="T263" s="17">
        <v>55957.9008</v>
      </c>
      <c r="U263" s="18">
        <f t="shared" si="176"/>
        <v>3.9683</v>
      </c>
      <c r="V263" s="14"/>
    </row>
    <row r="264">
      <c r="A264" s="32" t="s">
        <v>167</v>
      </c>
      <c r="B264" s="17">
        <v>261953.616</v>
      </c>
      <c r="C264" s="18">
        <f t="shared" si="168"/>
        <v>110.912</v>
      </c>
      <c r="D264" s="17">
        <v>146726.256</v>
      </c>
      <c r="E264" s="18">
        <f t="shared" si="169"/>
        <v>36.576</v>
      </c>
      <c r="F264" s="17">
        <v>66687.5776</v>
      </c>
      <c r="G264" s="18">
        <f t="shared" si="170"/>
        <v>9.184</v>
      </c>
      <c r="H264" s="17">
        <v>155955.635</v>
      </c>
      <c r="I264" s="18">
        <f t="shared" si="171"/>
        <v>50.243</v>
      </c>
      <c r="J264" s="19"/>
      <c r="K264" s="20"/>
      <c r="L264" s="17">
        <v>94495.6416</v>
      </c>
      <c r="M264" s="18">
        <f t="shared" si="172"/>
        <v>46.4832</v>
      </c>
      <c r="N264" s="17">
        <v>107256.12</v>
      </c>
      <c r="O264" s="18">
        <f t="shared" si="173"/>
        <v>52.384</v>
      </c>
      <c r="P264" s="17">
        <v>160513.344</v>
      </c>
      <c r="Q264" s="18">
        <f t="shared" si="178"/>
        <v>211.856</v>
      </c>
      <c r="R264" s="17">
        <v>988135.232</v>
      </c>
      <c r="S264" s="18">
        <f t="shared" si="175"/>
        <v>224.768</v>
      </c>
      <c r="T264" s="17">
        <v>55964.7744</v>
      </c>
      <c r="U264" s="18">
        <f t="shared" si="176"/>
        <v>6.8736</v>
      </c>
      <c r="V264" s="14"/>
    </row>
    <row r="265">
      <c r="A265" s="32" t="s">
        <v>168</v>
      </c>
      <c r="B265" s="17">
        <v>262030.688</v>
      </c>
      <c r="C265" s="18">
        <f t="shared" si="168"/>
        <v>77.072</v>
      </c>
      <c r="D265" s="17">
        <v>146764.528</v>
      </c>
      <c r="E265" s="18">
        <f t="shared" si="169"/>
        <v>38.272</v>
      </c>
      <c r="F265" s="17">
        <v>66699.68</v>
      </c>
      <c r="G265" s="18">
        <f t="shared" si="170"/>
        <v>12.1024</v>
      </c>
      <c r="H265" s="17">
        <v>156019.76</v>
      </c>
      <c r="I265" s="18">
        <f t="shared" si="171"/>
        <v>64.125</v>
      </c>
      <c r="J265" s="19"/>
      <c r="K265" s="20"/>
      <c r="L265" s="17">
        <v>94534.4448</v>
      </c>
      <c r="M265" s="18">
        <f t="shared" si="172"/>
        <v>38.8032</v>
      </c>
      <c r="N265" s="17">
        <v>107308.688</v>
      </c>
      <c r="O265" s="18">
        <f t="shared" si="173"/>
        <v>52.568</v>
      </c>
      <c r="P265" s="17">
        <v>160632.416</v>
      </c>
      <c r="Q265" s="18">
        <f t="shared" si="178"/>
        <v>119.072</v>
      </c>
      <c r="R265" s="17">
        <v>988341.568</v>
      </c>
      <c r="S265" s="18">
        <f t="shared" si="175"/>
        <v>206.336</v>
      </c>
      <c r="T265" s="17">
        <v>55970.8288</v>
      </c>
      <c r="U265" s="18">
        <f t="shared" si="176"/>
        <v>6.0544</v>
      </c>
      <c r="V265" s="14"/>
    </row>
    <row r="266">
      <c r="A266" s="39"/>
      <c r="B266" s="19"/>
      <c r="C266" s="18"/>
      <c r="D266" s="19"/>
      <c r="E266" s="18"/>
      <c r="F266" s="19"/>
      <c r="G266" s="18"/>
      <c r="H266" s="19"/>
      <c r="I266" s="18"/>
      <c r="J266" s="19"/>
      <c r="K266" s="20"/>
      <c r="L266" s="19"/>
      <c r="M266" s="18"/>
      <c r="N266" s="19"/>
      <c r="O266" s="18"/>
      <c r="P266" s="19"/>
      <c r="Q266" s="18"/>
      <c r="R266" s="19"/>
      <c r="S266" s="18"/>
      <c r="T266" s="19"/>
      <c r="U266" s="18"/>
      <c r="V266" s="14"/>
    </row>
    <row r="267">
      <c r="A267" s="39"/>
      <c r="B267" s="19"/>
      <c r="C267" s="18"/>
      <c r="D267" s="19"/>
      <c r="E267" s="18"/>
      <c r="F267" s="19"/>
      <c r="G267" s="18"/>
      <c r="H267" s="19"/>
      <c r="I267" s="18"/>
      <c r="J267" s="19"/>
      <c r="K267" s="20"/>
      <c r="L267" s="19"/>
      <c r="M267" s="18"/>
      <c r="N267" s="19"/>
      <c r="O267" s="18"/>
      <c r="P267" s="19"/>
      <c r="Q267" s="18"/>
      <c r="R267" s="19"/>
      <c r="S267" s="18"/>
      <c r="T267" s="19"/>
      <c r="U267" s="18"/>
      <c r="V267" s="14"/>
    </row>
    <row r="268">
      <c r="A268" s="39"/>
      <c r="B268" s="19"/>
      <c r="C268" s="18"/>
      <c r="D268" s="19"/>
      <c r="E268" s="18"/>
      <c r="F268" s="19"/>
      <c r="G268" s="18"/>
      <c r="H268" s="19"/>
      <c r="I268" s="18"/>
      <c r="J268" s="19"/>
      <c r="K268" s="20"/>
      <c r="L268" s="19"/>
      <c r="M268" s="18"/>
      <c r="N268" s="19"/>
      <c r="O268" s="18"/>
      <c r="P268" s="19"/>
      <c r="Q268" s="18"/>
      <c r="R268" s="19"/>
      <c r="S268" s="18"/>
      <c r="T268" s="19"/>
      <c r="U268" s="18"/>
      <c r="V268" s="14"/>
    </row>
    <row r="269">
      <c r="A269" s="39">
        <v>46023.0</v>
      </c>
      <c r="B269" s="17">
        <v>262111.84</v>
      </c>
      <c r="C269" s="18">
        <f>B269-B265</f>
        <v>81.152</v>
      </c>
      <c r="D269" s="17">
        <v>146801.184</v>
      </c>
      <c r="E269" s="18">
        <f>D269-D265</f>
        <v>36.656</v>
      </c>
      <c r="F269" s="17">
        <v>66710.2656</v>
      </c>
      <c r="G269" s="18">
        <f>F269-F265</f>
        <v>10.5856</v>
      </c>
      <c r="H269" s="17">
        <v>156078.8</v>
      </c>
      <c r="I269" s="18">
        <f>H269-H265</f>
        <v>59.04</v>
      </c>
      <c r="J269" s="19"/>
      <c r="K269" s="20"/>
      <c r="L269" s="17">
        <v>94570.688</v>
      </c>
      <c r="M269" s="18">
        <f>L269-L265</f>
        <v>36.2432</v>
      </c>
      <c r="N269" s="17">
        <v>107360.472</v>
      </c>
      <c r="O269" s="18">
        <f>N269-N265</f>
        <v>51.784</v>
      </c>
      <c r="P269" s="17">
        <v>160856.144</v>
      </c>
      <c r="Q269" s="18"/>
      <c r="R269" s="17">
        <v>988559.616</v>
      </c>
      <c r="S269" s="18"/>
      <c r="T269" s="17">
        <v>55978.0992</v>
      </c>
      <c r="U269" s="18"/>
      <c r="V269" s="14"/>
    </row>
    <row r="270">
      <c r="A270" s="39">
        <v>46054.0</v>
      </c>
      <c r="B270" s="17">
        <v>262184.368</v>
      </c>
      <c r="C270" s="18">
        <f t="shared" ref="C270:C273" si="179">B270-B269</f>
        <v>72.528</v>
      </c>
      <c r="D270" s="17">
        <v>146827.584</v>
      </c>
      <c r="E270" s="18">
        <f t="shared" ref="E270:E273" si="180">D270-D269</f>
        <v>26.4</v>
      </c>
      <c r="F270" s="17">
        <v>66717.4592</v>
      </c>
      <c r="G270" s="18">
        <f t="shared" ref="G270:G273" si="181">F270-F269</f>
        <v>7.1936</v>
      </c>
      <c r="H270" s="17">
        <v>156117.392</v>
      </c>
      <c r="I270" s="18">
        <f t="shared" ref="I270:I273" si="182">H270-H269</f>
        <v>38.592</v>
      </c>
      <c r="J270" s="19"/>
      <c r="K270" s="20"/>
      <c r="L270" s="17">
        <v>94587.296</v>
      </c>
      <c r="M270" s="18">
        <f t="shared" ref="M270:M273" si="183">L270-L269</f>
        <v>16.608</v>
      </c>
      <c r="N270" s="17">
        <v>107385.552</v>
      </c>
      <c r="O270" s="18">
        <f t="shared" ref="O270:O273" si="184">N270-N269</f>
        <v>25.08</v>
      </c>
      <c r="P270" s="17">
        <v>161089.36</v>
      </c>
      <c r="Q270" s="18">
        <f t="shared" ref="Q270:Q273" si="185">P270-P269</f>
        <v>233.216</v>
      </c>
      <c r="R270" s="17">
        <v>988689.344</v>
      </c>
      <c r="S270" s="18">
        <f t="shared" ref="S270:S273" si="186">R270-R269</f>
        <v>129.728</v>
      </c>
      <c r="T270" s="17">
        <v>55981.1585</v>
      </c>
      <c r="U270" s="18"/>
      <c r="V270" s="14"/>
    </row>
    <row r="271">
      <c r="A271" s="39">
        <v>46082.0</v>
      </c>
      <c r="B271" s="17">
        <v>262295.152</v>
      </c>
      <c r="C271" s="18">
        <f t="shared" si="179"/>
        <v>110.784</v>
      </c>
      <c r="D271" s="17">
        <v>146872.432</v>
      </c>
      <c r="E271" s="18">
        <f t="shared" si="180"/>
        <v>44.848</v>
      </c>
      <c r="F271" s="17">
        <v>66728.0576</v>
      </c>
      <c r="G271" s="18">
        <f t="shared" si="181"/>
        <v>10.5984</v>
      </c>
      <c r="H271" s="17">
        <v>156173.457</v>
      </c>
      <c r="I271" s="18">
        <f t="shared" si="182"/>
        <v>56.065</v>
      </c>
      <c r="J271" s="19"/>
      <c r="K271" s="20"/>
      <c r="L271" s="17">
        <v>94635.7504</v>
      </c>
      <c r="M271" s="18">
        <f t="shared" si="183"/>
        <v>48.4544</v>
      </c>
      <c r="N271" s="17">
        <v>107435.592</v>
      </c>
      <c r="O271" s="18">
        <f t="shared" si="184"/>
        <v>50.04</v>
      </c>
      <c r="P271" s="17">
        <v>161325.824</v>
      </c>
      <c r="Q271" s="18">
        <f t="shared" si="185"/>
        <v>236.464</v>
      </c>
      <c r="R271" s="17">
        <v>988947.84</v>
      </c>
      <c r="S271" s="18">
        <f t="shared" si="186"/>
        <v>258.496</v>
      </c>
      <c r="T271" s="17">
        <v>55986.2272</v>
      </c>
      <c r="U271" s="18"/>
      <c r="V271" s="14"/>
    </row>
    <row r="272">
      <c r="A272" s="39">
        <v>46113.0</v>
      </c>
      <c r="B272" s="17">
        <v>262381.312</v>
      </c>
      <c r="C272" s="18">
        <f t="shared" si="179"/>
        <v>86.16</v>
      </c>
      <c r="D272" s="17">
        <v>146914.8</v>
      </c>
      <c r="E272" s="18">
        <f t="shared" si="180"/>
        <v>42.368</v>
      </c>
      <c r="F272" s="17">
        <v>66739.3152</v>
      </c>
      <c r="G272" s="18">
        <f t="shared" si="181"/>
        <v>11.2576</v>
      </c>
      <c r="H272" s="17">
        <v>156231.776</v>
      </c>
      <c r="I272" s="18">
        <f t="shared" si="182"/>
        <v>58.319</v>
      </c>
      <c r="J272" s="19"/>
      <c r="K272" s="20"/>
      <c r="L272" s="17">
        <v>94686.5408</v>
      </c>
      <c r="M272" s="18">
        <f t="shared" si="183"/>
        <v>50.7904</v>
      </c>
      <c r="N272" s="17">
        <v>107483.208</v>
      </c>
      <c r="O272" s="18">
        <f t="shared" si="184"/>
        <v>47.616</v>
      </c>
      <c r="P272" s="17">
        <v>161541.824</v>
      </c>
      <c r="Q272" s="18">
        <f t="shared" si="185"/>
        <v>216</v>
      </c>
      <c r="R272" s="17">
        <v>989197.12</v>
      </c>
      <c r="S272" s="18">
        <f t="shared" si="186"/>
        <v>249.28</v>
      </c>
      <c r="T272" s="17">
        <v>55990.7328</v>
      </c>
      <c r="U272" s="18"/>
      <c r="V272" s="14"/>
    </row>
    <row r="273">
      <c r="A273" s="39">
        <v>46143.0</v>
      </c>
      <c r="B273" s="17">
        <v>262479.904</v>
      </c>
      <c r="C273" s="18">
        <f t="shared" si="179"/>
        <v>98.592</v>
      </c>
      <c r="D273" s="17">
        <v>146937.488</v>
      </c>
      <c r="E273" s="18">
        <f t="shared" si="180"/>
        <v>22.688</v>
      </c>
      <c r="F273" s="17">
        <v>66747.1488</v>
      </c>
      <c r="G273" s="18">
        <f t="shared" si="181"/>
        <v>7.8336</v>
      </c>
      <c r="H273" s="17">
        <v>156278.528</v>
      </c>
      <c r="I273" s="18">
        <f t="shared" si="182"/>
        <v>46.752</v>
      </c>
      <c r="J273" s="19"/>
      <c r="K273" s="20"/>
      <c r="L273" s="17">
        <v>94722.5344</v>
      </c>
      <c r="M273" s="18">
        <f t="shared" si="183"/>
        <v>35.9936</v>
      </c>
      <c r="N273" s="17">
        <v>107500.672</v>
      </c>
      <c r="O273" s="18">
        <f t="shared" si="184"/>
        <v>17.464</v>
      </c>
      <c r="P273" s="17">
        <v>161715.328</v>
      </c>
      <c r="Q273" s="18">
        <f t="shared" si="185"/>
        <v>173.504</v>
      </c>
      <c r="R273" s="17">
        <v>989452.416</v>
      </c>
      <c r="S273" s="18">
        <f t="shared" si="186"/>
        <v>255.296</v>
      </c>
      <c r="T273" s="17">
        <v>55994.6432</v>
      </c>
      <c r="U273" s="18"/>
      <c r="V273" s="14"/>
    </row>
    <row r="274">
      <c r="A274" s="39">
        <v>46174.0</v>
      </c>
      <c r="B274" s="19"/>
      <c r="C274" s="18"/>
      <c r="D274" s="19"/>
      <c r="E274" s="18"/>
      <c r="F274" s="19"/>
      <c r="G274" s="18"/>
      <c r="H274" s="17"/>
      <c r="I274" s="18"/>
      <c r="J274" s="19"/>
      <c r="K274" s="20"/>
      <c r="L274" s="19"/>
      <c r="M274" s="18"/>
      <c r="N274" s="17"/>
      <c r="O274" s="18"/>
      <c r="P274" s="19"/>
      <c r="Q274" s="18"/>
      <c r="R274" s="19"/>
      <c r="S274" s="18"/>
      <c r="T274" s="19"/>
      <c r="U274" s="18"/>
      <c r="V274" s="14"/>
    </row>
    <row r="275">
      <c r="A275" s="39">
        <v>46204.0</v>
      </c>
      <c r="B275" s="17">
        <v>262709.056</v>
      </c>
      <c r="C275" s="18">
        <f>B275-B273</f>
        <v>229.152</v>
      </c>
      <c r="D275" s="17">
        <v>147015.824</v>
      </c>
      <c r="E275" s="18">
        <f>D275-D273</f>
        <v>78.336</v>
      </c>
      <c r="F275" s="17">
        <v>66764.4288</v>
      </c>
      <c r="G275" s="18">
        <f>F275-F273</f>
        <v>17.28</v>
      </c>
      <c r="H275" s="17">
        <v>156390.0</v>
      </c>
      <c r="I275" s="18">
        <f>H275-H273</f>
        <v>111.472</v>
      </c>
      <c r="J275" s="19"/>
      <c r="K275" s="20"/>
      <c r="L275" s="17">
        <v>94788.3728</v>
      </c>
      <c r="M275" s="18">
        <f>L275-L273</f>
        <v>65.8384</v>
      </c>
      <c r="N275" s="17">
        <v>107597.712</v>
      </c>
      <c r="O275" s="18">
        <f>N275-N273</f>
        <v>97.04</v>
      </c>
      <c r="P275" s="17">
        <v>162141.728</v>
      </c>
      <c r="Q275" s="18">
        <f>P275-P273</f>
        <v>426.4</v>
      </c>
      <c r="R275" s="17">
        <v>990080.32</v>
      </c>
      <c r="S275" s="18">
        <f>R275-R273</f>
        <v>627.904</v>
      </c>
      <c r="T275" s="17">
        <v>56086.416</v>
      </c>
      <c r="U275" s="18"/>
      <c r="V275" s="14"/>
    </row>
    <row r="276">
      <c r="A276" s="39">
        <v>46235.0</v>
      </c>
      <c r="B276" s="17">
        <v>262942.88</v>
      </c>
      <c r="C276" s="18">
        <f t="shared" ref="C276:C293" si="187">B276-B275</f>
        <v>233.824</v>
      </c>
      <c r="D276" s="17">
        <v>147057.904</v>
      </c>
      <c r="E276" s="18">
        <f t="shared" ref="E276:E293" si="188">D276-D275</f>
        <v>42.08</v>
      </c>
      <c r="F276" s="17">
        <v>66771.1808</v>
      </c>
      <c r="G276" s="18">
        <f t="shared" ref="G276:G293" si="189">F276-F275</f>
        <v>6.752</v>
      </c>
      <c r="H276" s="17">
        <v>156445.408</v>
      </c>
      <c r="I276" s="18">
        <f t="shared" ref="I276:I293" si="190">H276-H275</f>
        <v>55.408</v>
      </c>
      <c r="J276" s="19"/>
      <c r="K276" s="20"/>
      <c r="L276" s="17">
        <v>94867.3728</v>
      </c>
      <c r="M276" s="18">
        <f t="shared" ref="M276:M281" si="191">L276-L275</f>
        <v>79</v>
      </c>
      <c r="N276" s="17">
        <v>107650.016</v>
      </c>
      <c r="O276" s="18">
        <f t="shared" ref="O276:O293" si="192">N276-N275</f>
        <v>52.304</v>
      </c>
      <c r="P276" s="17">
        <v>162405.264</v>
      </c>
      <c r="Q276" s="18">
        <f t="shared" ref="Q276:Q294" si="193">P276-P275</f>
        <v>263.536</v>
      </c>
      <c r="R276" s="17">
        <v>990411.712</v>
      </c>
      <c r="S276" s="18">
        <f t="shared" ref="S276:S294" si="194">R276-R275</f>
        <v>331.392</v>
      </c>
      <c r="T276" s="17">
        <v>56012.704</v>
      </c>
      <c r="U276" s="18"/>
      <c r="V276" s="14"/>
    </row>
    <row r="277">
      <c r="A277" s="39">
        <v>46266.0</v>
      </c>
      <c r="B277" s="17">
        <v>263159.712</v>
      </c>
      <c r="C277" s="18">
        <f t="shared" si="187"/>
        <v>216.832</v>
      </c>
      <c r="D277" s="17">
        <v>147090.144</v>
      </c>
      <c r="E277" s="18">
        <f t="shared" si="188"/>
        <v>32.24</v>
      </c>
      <c r="F277" s="17">
        <v>66780.8384</v>
      </c>
      <c r="G277" s="18">
        <f t="shared" si="189"/>
        <v>9.6576</v>
      </c>
      <c r="H277" s="17">
        <v>156495.96</v>
      </c>
      <c r="I277" s="18">
        <f t="shared" si="190"/>
        <v>50.552</v>
      </c>
      <c r="J277" s="19"/>
      <c r="K277" s="20"/>
      <c r="L277" s="17">
        <v>94914.0928</v>
      </c>
      <c r="M277" s="18">
        <f t="shared" si="191"/>
        <v>46.72</v>
      </c>
      <c r="N277" s="17">
        <v>107697.784</v>
      </c>
      <c r="O277" s="18">
        <f t="shared" si="192"/>
        <v>47.768</v>
      </c>
      <c r="P277" s="17">
        <v>162639.84</v>
      </c>
      <c r="Q277" s="18">
        <f t="shared" si="193"/>
        <v>234.576</v>
      </c>
      <c r="R277" s="17">
        <v>990687.04</v>
      </c>
      <c r="S277" s="18">
        <f t="shared" si="194"/>
        <v>275.328</v>
      </c>
      <c r="T277" s="17">
        <v>56018.7264</v>
      </c>
      <c r="U277" s="18"/>
      <c r="V277" s="14"/>
    </row>
    <row r="278">
      <c r="A278" s="39">
        <v>46296.0</v>
      </c>
      <c r="B278" s="17">
        <v>263389.776</v>
      </c>
      <c r="C278" s="18">
        <f t="shared" si="187"/>
        <v>230.064</v>
      </c>
      <c r="D278" s="17">
        <v>147124.24</v>
      </c>
      <c r="E278" s="18">
        <f t="shared" si="188"/>
        <v>34.096</v>
      </c>
      <c r="F278" s="17">
        <v>66797.28</v>
      </c>
      <c r="G278" s="18">
        <f t="shared" si="189"/>
        <v>16.4416</v>
      </c>
      <c r="H278" s="17">
        <v>156551.296</v>
      </c>
      <c r="I278" s="18">
        <f t="shared" si="190"/>
        <v>55.336</v>
      </c>
      <c r="J278" s="19"/>
      <c r="K278" s="20"/>
      <c r="L278" s="17">
        <v>94962.3488</v>
      </c>
      <c r="M278" s="18">
        <f t="shared" si="191"/>
        <v>48.256</v>
      </c>
      <c r="N278" s="17">
        <v>107748.274</v>
      </c>
      <c r="O278" s="18">
        <f t="shared" si="192"/>
        <v>50.49</v>
      </c>
      <c r="P278" s="17">
        <v>162754.528</v>
      </c>
      <c r="Q278" s="18">
        <f t="shared" si="193"/>
        <v>114.688</v>
      </c>
      <c r="R278" s="17">
        <v>990995.776</v>
      </c>
      <c r="S278" s="18">
        <f t="shared" si="194"/>
        <v>308.736</v>
      </c>
      <c r="T278" s="17">
        <v>56024.704</v>
      </c>
      <c r="U278" s="18"/>
      <c r="V278" s="14"/>
    </row>
    <row r="279">
      <c r="A279" s="39">
        <v>46327.0</v>
      </c>
      <c r="B279" s="17">
        <v>263730.224</v>
      </c>
      <c r="C279" s="18">
        <f t="shared" si="187"/>
        <v>340.448</v>
      </c>
      <c r="D279" s="17">
        <v>147184.88</v>
      </c>
      <c r="E279" s="18">
        <f t="shared" si="188"/>
        <v>60.64</v>
      </c>
      <c r="F279" s="17">
        <v>66814.3104</v>
      </c>
      <c r="G279" s="18">
        <f t="shared" si="189"/>
        <v>17.0304</v>
      </c>
      <c r="H279" s="17">
        <v>156614.992</v>
      </c>
      <c r="I279" s="18">
        <f t="shared" si="190"/>
        <v>63.696</v>
      </c>
      <c r="J279" s="19"/>
      <c r="K279" s="20"/>
      <c r="L279" s="17">
        <v>95006.368</v>
      </c>
      <c r="M279" s="18">
        <f t="shared" si="191"/>
        <v>44.0192</v>
      </c>
      <c r="N279" s="17">
        <v>107799.248</v>
      </c>
      <c r="O279" s="18">
        <f t="shared" si="192"/>
        <v>50.974</v>
      </c>
      <c r="P279" s="17">
        <v>162964.128</v>
      </c>
      <c r="Q279" s="18">
        <f t="shared" si="193"/>
        <v>209.6</v>
      </c>
      <c r="R279" s="17">
        <v>991322.304</v>
      </c>
      <c r="S279" s="18">
        <f t="shared" si="194"/>
        <v>326.528</v>
      </c>
      <c r="T279" s="17">
        <v>56032.1472</v>
      </c>
      <c r="U279" s="18"/>
      <c r="V279" s="14"/>
    </row>
    <row r="280">
      <c r="A280" s="39">
        <v>46357.0</v>
      </c>
      <c r="B280" s="17">
        <v>263902.16</v>
      </c>
      <c r="C280" s="18">
        <f t="shared" si="187"/>
        <v>171.936</v>
      </c>
      <c r="D280" s="17">
        <v>147213.776</v>
      </c>
      <c r="E280" s="18">
        <f t="shared" si="188"/>
        <v>28.896</v>
      </c>
      <c r="F280" s="17">
        <v>66824.6272</v>
      </c>
      <c r="G280" s="18">
        <f t="shared" si="189"/>
        <v>10.3168</v>
      </c>
      <c r="H280" s="17">
        <v>156664.992</v>
      </c>
      <c r="I280" s="18">
        <f t="shared" si="190"/>
        <v>50</v>
      </c>
      <c r="J280" s="19"/>
      <c r="K280" s="20"/>
      <c r="L280" s="17">
        <v>95030.24</v>
      </c>
      <c r="M280" s="18">
        <f t="shared" si="191"/>
        <v>23.872</v>
      </c>
      <c r="N280" s="17">
        <v>107817.136</v>
      </c>
      <c r="O280" s="18">
        <f t="shared" si="192"/>
        <v>17.888</v>
      </c>
      <c r="P280" s="17">
        <v>163101.824</v>
      </c>
      <c r="Q280" s="18">
        <f t="shared" si="193"/>
        <v>137.696</v>
      </c>
      <c r="R280" s="17">
        <v>991475.52</v>
      </c>
      <c r="S280" s="18">
        <f t="shared" si="194"/>
        <v>153.216</v>
      </c>
      <c r="T280" s="17">
        <v>56034.5984</v>
      </c>
      <c r="U280" s="18"/>
      <c r="V280" s="14"/>
    </row>
    <row r="281">
      <c r="A281" s="32" t="s">
        <v>169</v>
      </c>
      <c r="B281" s="17">
        <v>264117.568</v>
      </c>
      <c r="C281" s="18">
        <f t="shared" si="187"/>
        <v>215.408</v>
      </c>
      <c r="D281" s="17">
        <v>147259.12</v>
      </c>
      <c r="E281" s="18">
        <f t="shared" si="188"/>
        <v>45.344</v>
      </c>
      <c r="F281" s="17">
        <v>66839.456</v>
      </c>
      <c r="G281" s="18">
        <f t="shared" si="189"/>
        <v>14.8288</v>
      </c>
      <c r="H281" s="17">
        <v>156716.832</v>
      </c>
      <c r="I281" s="18">
        <f t="shared" si="190"/>
        <v>51.84</v>
      </c>
      <c r="J281" s="17">
        <v>18447.3452</v>
      </c>
      <c r="K281" s="20"/>
      <c r="L281" s="17">
        <v>95703.1872</v>
      </c>
      <c r="M281" s="18">
        <f t="shared" si="191"/>
        <v>672.9472</v>
      </c>
      <c r="N281" s="17">
        <v>107872.723</v>
      </c>
      <c r="O281" s="18">
        <f t="shared" si="192"/>
        <v>55.587</v>
      </c>
      <c r="P281" s="17">
        <v>163352.416</v>
      </c>
      <c r="Q281" s="18">
        <f t="shared" si="193"/>
        <v>250.592</v>
      </c>
      <c r="R281" s="17">
        <v>991746.688</v>
      </c>
      <c r="S281" s="18">
        <f t="shared" si="194"/>
        <v>271.168</v>
      </c>
      <c r="T281" s="17">
        <v>56040.896</v>
      </c>
      <c r="U281" s="18"/>
      <c r="V281" s="14"/>
    </row>
    <row r="282">
      <c r="A282" s="32" t="s">
        <v>170</v>
      </c>
      <c r="B282" s="17">
        <v>264259.872</v>
      </c>
      <c r="C282" s="18">
        <f t="shared" si="187"/>
        <v>142.304</v>
      </c>
      <c r="D282" s="17">
        <v>147293.936</v>
      </c>
      <c r="E282" s="18">
        <f t="shared" si="188"/>
        <v>34.816</v>
      </c>
      <c r="F282" s="17">
        <v>66854.72</v>
      </c>
      <c r="G282" s="18">
        <f t="shared" si="189"/>
        <v>15.264</v>
      </c>
      <c r="H282" s="17">
        <v>156776.256</v>
      </c>
      <c r="I282" s="18">
        <f t="shared" si="190"/>
        <v>59.424</v>
      </c>
      <c r="J282" s="17">
        <v>18480.4304</v>
      </c>
      <c r="K282" s="20">
        <f t="shared" ref="K282:K285" si="195">J282-J281</f>
        <v>33.0852</v>
      </c>
      <c r="L282" s="17">
        <v>95146.4512</v>
      </c>
      <c r="M282" s="18">
        <f>L282-L280</f>
        <v>116.2112</v>
      </c>
      <c r="N282" s="17">
        <v>107927.36</v>
      </c>
      <c r="O282" s="18">
        <f t="shared" si="192"/>
        <v>54.637</v>
      </c>
      <c r="P282" s="17">
        <v>163595.968</v>
      </c>
      <c r="Q282" s="18">
        <f t="shared" si="193"/>
        <v>243.552</v>
      </c>
      <c r="R282" s="17">
        <v>992122.688</v>
      </c>
      <c r="S282" s="18">
        <f t="shared" si="194"/>
        <v>376</v>
      </c>
      <c r="T282" s="17">
        <v>56045.9136</v>
      </c>
      <c r="U282" s="18"/>
      <c r="V282" s="14"/>
    </row>
    <row r="283">
      <c r="A283" s="32" t="s">
        <v>171</v>
      </c>
      <c r="B283" s="17">
        <v>264429.623</v>
      </c>
      <c r="C283" s="18">
        <f t="shared" si="187"/>
        <v>169.751</v>
      </c>
      <c r="D283" s="17">
        <v>147345.28</v>
      </c>
      <c r="E283" s="18">
        <f t="shared" si="188"/>
        <v>51.344</v>
      </c>
      <c r="F283" s="17">
        <v>66866.104</v>
      </c>
      <c r="G283" s="18">
        <f t="shared" si="189"/>
        <v>11.384</v>
      </c>
      <c r="H283" s="17">
        <v>156836.176</v>
      </c>
      <c r="I283" s="18">
        <f t="shared" si="190"/>
        <v>59.92</v>
      </c>
      <c r="J283" s="17">
        <v>18511.6384</v>
      </c>
      <c r="K283" s="20">
        <f t="shared" si="195"/>
        <v>31.208</v>
      </c>
      <c r="L283" s="17">
        <v>95203.5712</v>
      </c>
      <c r="M283" s="18">
        <f>L283-L282</f>
        <v>57.12</v>
      </c>
      <c r="N283" s="17">
        <v>107981.344</v>
      </c>
      <c r="O283" s="18">
        <f t="shared" si="192"/>
        <v>53.984</v>
      </c>
      <c r="P283" s="17">
        <v>163864.592</v>
      </c>
      <c r="Q283" s="18">
        <f t="shared" si="193"/>
        <v>268.624</v>
      </c>
      <c r="R283" s="17">
        <v>992345.82</v>
      </c>
      <c r="S283" s="18">
        <f t="shared" si="194"/>
        <v>223.132</v>
      </c>
      <c r="T283" s="17">
        <v>56051.8976</v>
      </c>
      <c r="U283" s="18"/>
      <c r="V283" s="14"/>
    </row>
    <row r="284">
      <c r="A284" s="32" t="s">
        <v>172</v>
      </c>
      <c r="B284" s="17">
        <v>264489.68</v>
      </c>
      <c r="C284" s="18">
        <f t="shared" si="187"/>
        <v>60.057</v>
      </c>
      <c r="D284" s="17">
        <v>147364.912</v>
      </c>
      <c r="E284" s="18">
        <f t="shared" si="188"/>
        <v>19.632</v>
      </c>
      <c r="F284" s="17">
        <v>66876.8832</v>
      </c>
      <c r="G284" s="18">
        <f t="shared" si="189"/>
        <v>10.7792</v>
      </c>
      <c r="H284" s="17">
        <v>156877.344</v>
      </c>
      <c r="I284" s="18">
        <f t="shared" si="190"/>
        <v>41.168</v>
      </c>
      <c r="J284" s="17">
        <v>18532.9008</v>
      </c>
      <c r="K284" s="20">
        <f t="shared" si="195"/>
        <v>21.2624</v>
      </c>
      <c r="L284" s="17">
        <v>95246.1184</v>
      </c>
      <c r="M284" s="18">
        <f>L284-L282</f>
        <v>99.6672</v>
      </c>
      <c r="N284" s="17">
        <v>108014.856</v>
      </c>
      <c r="O284" s="18">
        <f t="shared" si="192"/>
        <v>33.512</v>
      </c>
      <c r="P284" s="17">
        <v>164069.008</v>
      </c>
      <c r="Q284" s="18">
        <f t="shared" si="193"/>
        <v>204.416</v>
      </c>
      <c r="R284" s="17">
        <v>992575.421</v>
      </c>
      <c r="S284" s="18">
        <f t="shared" si="194"/>
        <v>229.601</v>
      </c>
      <c r="T284" s="17">
        <v>56055.0848</v>
      </c>
      <c r="U284" s="18"/>
      <c r="V284" s="14"/>
    </row>
    <row r="285">
      <c r="A285" s="32" t="s">
        <v>173</v>
      </c>
      <c r="B285" s="17">
        <v>264651.12</v>
      </c>
      <c r="C285" s="18">
        <f t="shared" si="187"/>
        <v>161.44</v>
      </c>
      <c r="D285" s="17">
        <v>147407.2</v>
      </c>
      <c r="E285" s="18">
        <f t="shared" si="188"/>
        <v>42.288</v>
      </c>
      <c r="F285" s="17">
        <v>66889.2416</v>
      </c>
      <c r="G285" s="18">
        <f t="shared" si="189"/>
        <v>12.3584</v>
      </c>
      <c r="H285" s="17">
        <v>156929.312</v>
      </c>
      <c r="I285" s="18">
        <f t="shared" si="190"/>
        <v>51.968</v>
      </c>
      <c r="J285" s="17">
        <v>18862.9216</v>
      </c>
      <c r="K285" s="20">
        <f t="shared" si="195"/>
        <v>330.0208</v>
      </c>
      <c r="L285" s="17">
        <v>95305.1008</v>
      </c>
      <c r="M285" s="18">
        <f>L285-L284</f>
        <v>58.9824</v>
      </c>
      <c r="N285" s="17">
        <v>108071.976</v>
      </c>
      <c r="O285" s="18">
        <f t="shared" si="192"/>
        <v>57.12</v>
      </c>
      <c r="P285" s="17">
        <v>164325.488</v>
      </c>
      <c r="Q285" s="18">
        <f t="shared" si="193"/>
        <v>256.48</v>
      </c>
      <c r="R285" s="17">
        <v>992911.104</v>
      </c>
      <c r="S285" s="18">
        <f t="shared" si="194"/>
        <v>335.683</v>
      </c>
      <c r="T285" s="17">
        <v>56060.4416</v>
      </c>
      <c r="U285" s="18"/>
      <c r="V285" s="14"/>
    </row>
    <row r="286">
      <c r="A286" s="32" t="s">
        <v>174</v>
      </c>
      <c r="B286" s="17">
        <v>264828.224</v>
      </c>
      <c r="C286" s="18">
        <f t="shared" si="187"/>
        <v>177.104</v>
      </c>
      <c r="D286" s="17">
        <v>147444.88</v>
      </c>
      <c r="E286" s="18">
        <f t="shared" si="188"/>
        <v>37.68</v>
      </c>
      <c r="F286" s="17">
        <v>66904.1024</v>
      </c>
      <c r="G286" s="18">
        <f t="shared" si="189"/>
        <v>14.8608</v>
      </c>
      <c r="H286" s="17">
        <v>156985.695</v>
      </c>
      <c r="I286" s="18">
        <f t="shared" si="190"/>
        <v>56.383</v>
      </c>
      <c r="J286" s="17">
        <v>18591.2624</v>
      </c>
      <c r="K286" s="20"/>
      <c r="L286" s="17">
        <v>95354.1276</v>
      </c>
      <c r="M286" s="18">
        <f>L286-L284</f>
        <v>108.0092</v>
      </c>
      <c r="N286" s="17">
        <v>108124.576</v>
      </c>
      <c r="O286" s="18">
        <f t="shared" si="192"/>
        <v>52.6</v>
      </c>
      <c r="P286" s="17">
        <v>164533.84</v>
      </c>
      <c r="Q286" s="18">
        <f t="shared" si="193"/>
        <v>208.352</v>
      </c>
      <c r="R286" s="17">
        <v>993182.016</v>
      </c>
      <c r="S286" s="18">
        <f t="shared" si="194"/>
        <v>270.912</v>
      </c>
      <c r="T286" s="17">
        <v>56065.6768</v>
      </c>
      <c r="U286" s="18"/>
      <c r="V286" s="14"/>
    </row>
    <row r="287">
      <c r="A287" s="32" t="s">
        <v>175</v>
      </c>
      <c r="B287" s="17">
        <v>264921.632</v>
      </c>
      <c r="C287" s="18">
        <f t="shared" si="187"/>
        <v>93.408</v>
      </c>
      <c r="D287" s="17">
        <v>147471.68</v>
      </c>
      <c r="E287" s="18">
        <f t="shared" si="188"/>
        <v>26.8</v>
      </c>
      <c r="F287" s="17">
        <v>66916.9088</v>
      </c>
      <c r="G287" s="18">
        <f t="shared" si="189"/>
        <v>12.8064</v>
      </c>
      <c r="H287" s="17">
        <v>157028.544</v>
      </c>
      <c r="I287" s="18">
        <f t="shared" si="190"/>
        <v>42.849</v>
      </c>
      <c r="J287" s="17">
        <v>18619.1296</v>
      </c>
      <c r="K287" s="20"/>
      <c r="L287" s="17">
        <v>95392.7878</v>
      </c>
      <c r="M287" s="18">
        <f>L287-L286</f>
        <v>38.6602</v>
      </c>
      <c r="N287" s="17">
        <v>108149.576</v>
      </c>
      <c r="O287" s="18">
        <f t="shared" si="192"/>
        <v>25</v>
      </c>
      <c r="P287" s="17">
        <v>164758.848</v>
      </c>
      <c r="Q287" s="18">
        <f t="shared" si="193"/>
        <v>225.008</v>
      </c>
      <c r="R287" s="17">
        <v>993367.872</v>
      </c>
      <c r="S287" s="18">
        <f t="shared" si="194"/>
        <v>185.856</v>
      </c>
      <c r="T287" s="19"/>
      <c r="U287" s="18"/>
      <c r="V287" s="14"/>
    </row>
    <row r="288">
      <c r="A288" s="32" t="s">
        <v>176</v>
      </c>
      <c r="B288" s="17">
        <v>265038.064</v>
      </c>
      <c r="C288" s="18">
        <f t="shared" si="187"/>
        <v>116.432</v>
      </c>
      <c r="D288" s="17">
        <v>147503.744</v>
      </c>
      <c r="E288" s="18">
        <f t="shared" si="188"/>
        <v>32.064</v>
      </c>
      <c r="F288" s="17">
        <v>66932.704</v>
      </c>
      <c r="G288" s="18">
        <f t="shared" si="189"/>
        <v>15.7952</v>
      </c>
      <c r="H288" s="17">
        <v>157068.864</v>
      </c>
      <c r="I288" s="18">
        <f t="shared" si="190"/>
        <v>40.32</v>
      </c>
      <c r="J288" s="17">
        <v>18642.1056</v>
      </c>
      <c r="K288" s="20">
        <f t="shared" ref="K288:K294" si="196">J288-J287</f>
        <v>22.976</v>
      </c>
      <c r="L288" s="17">
        <v>95446.4</v>
      </c>
      <c r="M288" s="18">
        <f>L288-L286</f>
        <v>92.2724</v>
      </c>
      <c r="N288" s="17">
        <v>108193.872</v>
      </c>
      <c r="O288" s="18">
        <f t="shared" si="192"/>
        <v>44.296</v>
      </c>
      <c r="P288" s="17">
        <v>164897.824</v>
      </c>
      <c r="Q288" s="18">
        <f t="shared" si="193"/>
        <v>138.976</v>
      </c>
      <c r="R288" s="17">
        <v>993626.944</v>
      </c>
      <c r="S288" s="18">
        <f t="shared" si="194"/>
        <v>259.072</v>
      </c>
      <c r="T288" s="17">
        <v>56073.8496</v>
      </c>
      <c r="U288" s="18"/>
      <c r="V288" s="14"/>
    </row>
    <row r="289">
      <c r="A289" s="32" t="s">
        <v>177</v>
      </c>
      <c r="B289" s="17">
        <v>265112.848</v>
      </c>
      <c r="C289" s="18">
        <f t="shared" si="187"/>
        <v>74.784</v>
      </c>
      <c r="D289" s="17">
        <v>147541.25</v>
      </c>
      <c r="E289" s="18">
        <f t="shared" si="188"/>
        <v>37.506</v>
      </c>
      <c r="F289" s="17">
        <v>66950.4192</v>
      </c>
      <c r="G289" s="18">
        <f t="shared" si="189"/>
        <v>17.7152</v>
      </c>
      <c r="H289" s="17">
        <v>157114.592</v>
      </c>
      <c r="I289" s="18">
        <f t="shared" si="190"/>
        <v>45.728</v>
      </c>
      <c r="J289" s="17">
        <v>18668.5744</v>
      </c>
      <c r="K289" s="20">
        <f t="shared" si="196"/>
        <v>26.4688</v>
      </c>
      <c r="L289" s="17">
        <v>95486.4384</v>
      </c>
      <c r="M289" s="18">
        <f>L289-L288</f>
        <v>40.0384</v>
      </c>
      <c r="N289" s="17">
        <v>108243.816</v>
      </c>
      <c r="O289" s="18">
        <f t="shared" si="192"/>
        <v>49.944</v>
      </c>
      <c r="P289" s="17">
        <v>165056.32</v>
      </c>
      <c r="Q289" s="18">
        <f t="shared" si="193"/>
        <v>158.496</v>
      </c>
      <c r="R289" s="17">
        <v>993853.952</v>
      </c>
      <c r="S289" s="18">
        <f t="shared" si="194"/>
        <v>227.008</v>
      </c>
      <c r="T289" s="17">
        <v>56079.104</v>
      </c>
      <c r="U289" s="18"/>
      <c r="V289" s="14"/>
    </row>
    <row r="290">
      <c r="A290" s="32" t="s">
        <v>178</v>
      </c>
      <c r="B290" s="17">
        <v>265266.464</v>
      </c>
      <c r="C290" s="18">
        <f t="shared" si="187"/>
        <v>153.616</v>
      </c>
      <c r="D290" s="17">
        <v>147575.728</v>
      </c>
      <c r="E290" s="18">
        <f t="shared" si="188"/>
        <v>34.478</v>
      </c>
      <c r="F290" s="17">
        <v>66964.9792</v>
      </c>
      <c r="G290" s="18">
        <f t="shared" si="189"/>
        <v>14.56</v>
      </c>
      <c r="H290" s="17">
        <v>157159.246</v>
      </c>
      <c r="I290" s="18">
        <f t="shared" si="190"/>
        <v>44.654</v>
      </c>
      <c r="J290" s="17">
        <v>18701.4624</v>
      </c>
      <c r="K290" s="20">
        <f t="shared" si="196"/>
        <v>32.888</v>
      </c>
      <c r="L290" s="17">
        <v>95528.2944</v>
      </c>
      <c r="M290" s="18">
        <f>L290-L288</f>
        <v>81.8944</v>
      </c>
      <c r="N290" s="17">
        <v>108296.304</v>
      </c>
      <c r="O290" s="18">
        <f t="shared" si="192"/>
        <v>52.488</v>
      </c>
      <c r="P290" s="17">
        <v>165315.102</v>
      </c>
      <c r="Q290" s="18">
        <f t="shared" si="193"/>
        <v>258.782</v>
      </c>
      <c r="R290" s="17">
        <v>994131.52</v>
      </c>
      <c r="S290" s="18">
        <f t="shared" si="194"/>
        <v>277.568</v>
      </c>
      <c r="T290" s="17">
        <v>56085.2608</v>
      </c>
      <c r="U290" s="18"/>
      <c r="V290" s="14"/>
    </row>
    <row r="291">
      <c r="A291" s="32" t="s">
        <v>179</v>
      </c>
      <c r="B291" s="17">
        <v>265404.88</v>
      </c>
      <c r="C291" s="18">
        <f t="shared" si="187"/>
        <v>138.416</v>
      </c>
      <c r="D291" s="17">
        <v>147609.008</v>
      </c>
      <c r="E291" s="18">
        <f t="shared" si="188"/>
        <v>33.28</v>
      </c>
      <c r="F291" s="17">
        <v>66982.0544</v>
      </c>
      <c r="G291" s="18">
        <f t="shared" si="189"/>
        <v>17.0752</v>
      </c>
      <c r="H291" s="17">
        <v>157207.952</v>
      </c>
      <c r="I291" s="18">
        <f t="shared" si="190"/>
        <v>48.706</v>
      </c>
      <c r="J291" s="17">
        <v>18732.1616</v>
      </c>
      <c r="K291" s="20">
        <f t="shared" si="196"/>
        <v>30.6992</v>
      </c>
      <c r="L291" s="17">
        <v>95581.2352</v>
      </c>
      <c r="M291" s="18">
        <f>L291-L290</f>
        <v>52.9408</v>
      </c>
      <c r="N291" s="17">
        <v>108339.76</v>
      </c>
      <c r="O291" s="18">
        <f t="shared" si="192"/>
        <v>43.456</v>
      </c>
      <c r="P291" s="17">
        <v>165632.64</v>
      </c>
      <c r="Q291" s="18">
        <f t="shared" si="193"/>
        <v>317.538</v>
      </c>
      <c r="R291" s="17">
        <v>994420.416</v>
      </c>
      <c r="S291" s="18">
        <f t="shared" si="194"/>
        <v>288.896</v>
      </c>
      <c r="T291" s="17">
        <v>56090.8544</v>
      </c>
      <c r="U291" s="18"/>
      <c r="V291" s="14"/>
    </row>
    <row r="292">
      <c r="A292" s="32" t="s">
        <v>180</v>
      </c>
      <c r="B292" s="17">
        <v>265524.784</v>
      </c>
      <c r="C292" s="18">
        <f t="shared" si="187"/>
        <v>119.904</v>
      </c>
      <c r="D292" s="17">
        <v>147667.728</v>
      </c>
      <c r="E292" s="18">
        <f t="shared" si="188"/>
        <v>58.72</v>
      </c>
      <c r="F292" s="17">
        <v>66997.76</v>
      </c>
      <c r="G292" s="18">
        <f t="shared" si="189"/>
        <v>15.7056</v>
      </c>
      <c r="H292" s="17">
        <v>157258.352</v>
      </c>
      <c r="I292" s="18">
        <f t="shared" si="190"/>
        <v>50.4</v>
      </c>
      <c r="J292" s="17">
        <v>18765.696</v>
      </c>
      <c r="K292" s="20">
        <f t="shared" si="196"/>
        <v>33.5344</v>
      </c>
      <c r="L292" s="17">
        <v>95615.3856</v>
      </c>
      <c r="M292" s="18">
        <f>L292-L290</f>
        <v>87.0912</v>
      </c>
      <c r="N292" s="17">
        <v>108387.44</v>
      </c>
      <c r="O292" s="18">
        <f t="shared" si="192"/>
        <v>47.68</v>
      </c>
      <c r="P292" s="17">
        <v>165905.6</v>
      </c>
      <c r="Q292" s="18">
        <f t="shared" si="193"/>
        <v>272.96</v>
      </c>
      <c r="R292" s="17">
        <v>994696.232</v>
      </c>
      <c r="S292" s="18">
        <f t="shared" si="194"/>
        <v>275.816</v>
      </c>
      <c r="T292" s="17">
        <v>56095.8016</v>
      </c>
      <c r="U292" s="18"/>
      <c r="V292" s="14"/>
    </row>
    <row r="293">
      <c r="A293" s="32" t="s">
        <v>181</v>
      </c>
      <c r="B293" s="17">
        <v>265614.784</v>
      </c>
      <c r="C293" s="18">
        <f t="shared" si="187"/>
        <v>90</v>
      </c>
      <c r="D293" s="17">
        <v>147704.336</v>
      </c>
      <c r="E293" s="18">
        <f t="shared" si="188"/>
        <v>36.608</v>
      </c>
      <c r="F293" s="17">
        <v>67011.4944</v>
      </c>
      <c r="G293" s="18">
        <f t="shared" si="189"/>
        <v>13.7344</v>
      </c>
      <c r="H293" s="17">
        <v>157371.792</v>
      </c>
      <c r="I293" s="18">
        <f t="shared" si="190"/>
        <v>113.44</v>
      </c>
      <c r="J293" s="17">
        <v>18795.387</v>
      </c>
      <c r="K293" s="20">
        <f t="shared" si="196"/>
        <v>29.691</v>
      </c>
      <c r="L293" s="17">
        <v>95660.1792</v>
      </c>
      <c r="M293" s="18">
        <f>L293-L292</f>
        <v>44.7936</v>
      </c>
      <c r="N293" s="17">
        <v>108429.488</v>
      </c>
      <c r="O293" s="18">
        <f t="shared" si="192"/>
        <v>42.048</v>
      </c>
      <c r="P293" s="17">
        <v>166188.16</v>
      </c>
      <c r="Q293" s="18">
        <f t="shared" si="193"/>
        <v>282.56</v>
      </c>
      <c r="R293" s="17">
        <v>994933.056</v>
      </c>
      <c r="S293" s="18">
        <f t="shared" si="194"/>
        <v>236.824</v>
      </c>
      <c r="T293" s="19"/>
      <c r="U293" s="18"/>
      <c r="V293" s="14"/>
    </row>
    <row r="294">
      <c r="A294" s="32" t="s">
        <v>182</v>
      </c>
      <c r="B294" s="19"/>
      <c r="C294" s="18"/>
      <c r="D294" s="17"/>
      <c r="E294" s="18"/>
      <c r="F294" s="19"/>
      <c r="G294" s="18"/>
      <c r="H294" s="19"/>
      <c r="I294" s="18"/>
      <c r="J294" s="17">
        <v>18830.28</v>
      </c>
      <c r="K294" s="20">
        <f t="shared" si="196"/>
        <v>34.893</v>
      </c>
      <c r="L294" s="17">
        <v>95739.648</v>
      </c>
      <c r="M294" s="18">
        <f>L294-L292</f>
        <v>124.2624</v>
      </c>
      <c r="N294" s="17"/>
      <c r="O294" s="18"/>
      <c r="P294" s="17">
        <v>166404.672</v>
      </c>
      <c r="Q294" s="18">
        <f t="shared" si="193"/>
        <v>216.512</v>
      </c>
      <c r="R294" s="17">
        <v>995254.528</v>
      </c>
      <c r="S294" s="18">
        <f t="shared" si="194"/>
        <v>321.472</v>
      </c>
      <c r="T294" s="17">
        <v>56102.3168</v>
      </c>
      <c r="U294" s="18"/>
      <c r="V294" s="14"/>
    </row>
    <row r="295">
      <c r="A295" s="32" t="s">
        <v>183</v>
      </c>
      <c r="B295" s="17">
        <v>265680.992</v>
      </c>
      <c r="C295" s="18">
        <f>B295-B293</f>
        <v>66.208</v>
      </c>
      <c r="D295" s="17">
        <v>147733.088</v>
      </c>
      <c r="E295" s="18">
        <f>D295-D293</f>
        <v>28.752</v>
      </c>
      <c r="F295" s="17">
        <v>67031.8912</v>
      </c>
      <c r="G295" s="18">
        <f>F295-F293</f>
        <v>20.3968</v>
      </c>
      <c r="H295" s="17">
        <v>157393.072</v>
      </c>
      <c r="I295" s="18">
        <f>H295-H293</f>
        <v>21.28</v>
      </c>
      <c r="J295" s="19"/>
      <c r="K295" s="20"/>
      <c r="L295" s="17">
        <v>95739.648</v>
      </c>
      <c r="M295" s="18">
        <f>L295-L294</f>
        <v>0</v>
      </c>
      <c r="N295" s="17">
        <v>108468.64</v>
      </c>
      <c r="O295" s="18">
        <f>N295-N293</f>
        <v>39.152</v>
      </c>
      <c r="P295" s="19"/>
      <c r="Q295" s="18"/>
      <c r="R295" s="19"/>
      <c r="S295" s="18"/>
      <c r="T295" s="17">
        <v>56105.7024</v>
      </c>
      <c r="U295" s="18"/>
      <c r="V295" s="14"/>
    </row>
    <row r="296">
      <c r="A296" s="32" t="s">
        <v>184</v>
      </c>
      <c r="B296" s="19"/>
      <c r="C296" s="18"/>
      <c r="D296" s="19"/>
      <c r="E296" s="18"/>
      <c r="F296" s="19"/>
      <c r="G296" s="18"/>
      <c r="H296" s="19"/>
      <c r="I296" s="18"/>
      <c r="J296" s="19"/>
      <c r="K296" s="20"/>
      <c r="L296" s="17">
        <v>95848.8192</v>
      </c>
      <c r="M296" s="18">
        <f>L296-L294</f>
        <v>109.1712</v>
      </c>
      <c r="N296" s="17">
        <v>108562.032</v>
      </c>
      <c r="O296" s="18">
        <f>N296-N295</f>
        <v>93.392</v>
      </c>
      <c r="P296" s="19"/>
      <c r="Q296" s="18"/>
      <c r="R296" s="19"/>
      <c r="S296" s="18"/>
      <c r="T296" s="19"/>
      <c r="U296" s="18"/>
      <c r="V296" s="14"/>
    </row>
    <row r="297">
      <c r="A297" s="32" t="s">
        <v>185</v>
      </c>
      <c r="B297" s="17">
        <v>265931.184</v>
      </c>
      <c r="C297" s="18">
        <f>B297-B295</f>
        <v>250.192</v>
      </c>
      <c r="D297" s="17">
        <v>147810.624</v>
      </c>
      <c r="E297" s="18">
        <f>D297-D295</f>
        <v>77.536</v>
      </c>
      <c r="F297" s="17">
        <v>67060.082</v>
      </c>
      <c r="G297" s="18">
        <f>F297-F295</f>
        <v>28.1908</v>
      </c>
      <c r="H297" s="17">
        <v>157460.096</v>
      </c>
      <c r="I297" s="18">
        <f>H297-H295</f>
        <v>67.024</v>
      </c>
      <c r="J297" s="17">
        <v>18859.0912</v>
      </c>
      <c r="K297" s="20">
        <f>J297-J294</f>
        <v>28.8112</v>
      </c>
      <c r="L297" s="17">
        <v>95893.9008</v>
      </c>
      <c r="M297" s="18">
        <f>L297-L296</f>
        <v>45.0816</v>
      </c>
      <c r="N297" s="17">
        <v>108612.128</v>
      </c>
      <c r="O297" s="18">
        <f>N297-N295</f>
        <v>143.488</v>
      </c>
      <c r="P297" s="17">
        <v>166792.912</v>
      </c>
      <c r="Q297" s="18">
        <f>P297-P294</f>
        <v>388.24</v>
      </c>
      <c r="R297" s="17">
        <v>995762.24</v>
      </c>
      <c r="S297" s="18">
        <f>R297-R294</f>
        <v>507.712</v>
      </c>
      <c r="T297" s="17">
        <v>56117.6192</v>
      </c>
      <c r="U297" s="18"/>
      <c r="V297" s="14"/>
    </row>
    <row r="298">
      <c r="A298" s="32" t="s">
        <v>186</v>
      </c>
      <c r="B298" s="17">
        <v>266085.744</v>
      </c>
      <c r="C298" s="18">
        <f t="shared" ref="C298:C304" si="197">B298-B297</f>
        <v>154.56</v>
      </c>
      <c r="D298" s="17">
        <v>147855.632</v>
      </c>
      <c r="E298" s="18">
        <f t="shared" ref="E298:E301" si="198">D298-D297</f>
        <v>45.008</v>
      </c>
      <c r="F298" s="17">
        <v>67076.6016</v>
      </c>
      <c r="G298" s="18">
        <f t="shared" ref="G298:G304" si="199">F298-F297</f>
        <v>16.5196</v>
      </c>
      <c r="H298" s="17">
        <v>157502.206</v>
      </c>
      <c r="I298" s="18">
        <f t="shared" ref="I298:I304" si="200">H298-H297</f>
        <v>42.11</v>
      </c>
      <c r="J298" s="17">
        <v>18875.416</v>
      </c>
      <c r="K298" s="20">
        <f t="shared" ref="K298:K303" si="201">J298-J297</f>
        <v>16.3248</v>
      </c>
      <c r="L298" s="17">
        <v>95942.8288</v>
      </c>
      <c r="M298" s="18">
        <f>L298-L296</f>
        <v>94.0096</v>
      </c>
      <c r="N298" s="17">
        <v>108667.84</v>
      </c>
      <c r="O298" s="18">
        <f>N298-N297</f>
        <v>55.712</v>
      </c>
      <c r="P298" s="17">
        <v>167069.088</v>
      </c>
      <c r="Q298" s="18">
        <f t="shared" ref="Q298:Q304" si="202">P298-P297</f>
        <v>276.176</v>
      </c>
      <c r="R298" s="17">
        <v>996110.592</v>
      </c>
      <c r="S298" s="18">
        <f t="shared" ref="S298:S304" si="203">R298-R297</f>
        <v>348.352</v>
      </c>
      <c r="T298" s="17">
        <v>56123.232</v>
      </c>
      <c r="U298" s="18"/>
      <c r="V298" s="14"/>
    </row>
    <row r="299">
      <c r="A299" s="32" t="s">
        <v>187</v>
      </c>
      <c r="B299" s="17">
        <v>266266.192</v>
      </c>
      <c r="C299" s="18">
        <f t="shared" si="197"/>
        <v>180.448</v>
      </c>
      <c r="D299" s="17">
        <v>147908.688</v>
      </c>
      <c r="E299" s="18">
        <f t="shared" si="198"/>
        <v>53.056</v>
      </c>
      <c r="F299" s="17">
        <v>67094.5984</v>
      </c>
      <c r="G299" s="18">
        <f t="shared" si="199"/>
        <v>17.9968</v>
      </c>
      <c r="H299" s="17">
        <v>157541.984</v>
      </c>
      <c r="I299" s="18">
        <f t="shared" si="200"/>
        <v>39.778</v>
      </c>
      <c r="J299" s="17">
        <v>18912.4672</v>
      </c>
      <c r="K299" s="20">
        <f t="shared" si="201"/>
        <v>37.0512</v>
      </c>
      <c r="L299" s="17">
        <v>96004.704</v>
      </c>
      <c r="M299" s="18">
        <f>L299-L298</f>
        <v>61.8752</v>
      </c>
      <c r="N299" s="17">
        <v>108723.928</v>
      </c>
      <c r="O299" s="18">
        <f>N299-N297</f>
        <v>111.8</v>
      </c>
      <c r="P299" s="17">
        <v>167359.68</v>
      </c>
      <c r="Q299" s="18">
        <f t="shared" si="202"/>
        <v>290.592</v>
      </c>
      <c r="R299" s="17">
        <v>996469.696</v>
      </c>
      <c r="S299" s="18">
        <f t="shared" si="203"/>
        <v>359.104</v>
      </c>
      <c r="T299" s="17">
        <v>56127.9616</v>
      </c>
      <c r="U299" s="18"/>
      <c r="V299" s="14"/>
    </row>
    <row r="300">
      <c r="A300" s="39">
        <v>46024.0</v>
      </c>
      <c r="B300" s="17">
        <v>266386.464</v>
      </c>
      <c r="C300" s="18">
        <f t="shared" si="197"/>
        <v>120.272</v>
      </c>
      <c r="D300" s="17">
        <v>147959.808</v>
      </c>
      <c r="E300" s="18">
        <f t="shared" si="198"/>
        <v>51.12</v>
      </c>
      <c r="F300" s="17">
        <v>67112.4672</v>
      </c>
      <c r="G300" s="18">
        <f t="shared" si="199"/>
        <v>17.8688</v>
      </c>
      <c r="H300" s="17">
        <v>157588.8</v>
      </c>
      <c r="I300" s="18">
        <f t="shared" si="200"/>
        <v>46.816</v>
      </c>
      <c r="J300" s="17">
        <v>18918.68</v>
      </c>
      <c r="K300" s="20">
        <f t="shared" si="201"/>
        <v>6.2128</v>
      </c>
      <c r="L300" s="17">
        <v>96028.64</v>
      </c>
      <c r="M300" s="18">
        <f>L300-L298</f>
        <v>85.8112</v>
      </c>
      <c r="N300" s="17">
        <v>108739.152</v>
      </c>
      <c r="O300" s="18">
        <f>N300-N299</f>
        <v>15.224</v>
      </c>
      <c r="P300" s="17">
        <v>167508.176</v>
      </c>
      <c r="Q300" s="18">
        <f t="shared" si="202"/>
        <v>148.496</v>
      </c>
      <c r="R300" s="17">
        <v>996843.52</v>
      </c>
      <c r="S300" s="18">
        <f t="shared" si="203"/>
        <v>373.824</v>
      </c>
      <c r="T300" s="17">
        <v>56132.32</v>
      </c>
      <c r="U300" s="18"/>
      <c r="V300" s="14"/>
    </row>
    <row r="301">
      <c r="A301" s="39">
        <v>46055.0</v>
      </c>
      <c r="B301" s="17">
        <v>266398.496</v>
      </c>
      <c r="C301" s="18">
        <f t="shared" si="197"/>
        <v>12.032</v>
      </c>
      <c r="D301" s="17">
        <v>147960.56</v>
      </c>
      <c r="E301" s="18">
        <f t="shared" si="198"/>
        <v>0.752</v>
      </c>
      <c r="F301" s="17">
        <v>67117.1264</v>
      </c>
      <c r="G301" s="18">
        <f t="shared" si="199"/>
        <v>4.6592</v>
      </c>
      <c r="H301" s="17">
        <v>157618.752</v>
      </c>
      <c r="I301" s="18">
        <f t="shared" si="200"/>
        <v>29.952</v>
      </c>
      <c r="J301" s="17">
        <v>18947.6928</v>
      </c>
      <c r="K301" s="20">
        <f t="shared" si="201"/>
        <v>29.0128</v>
      </c>
      <c r="L301" s="17">
        <v>96096.5312</v>
      </c>
      <c r="M301" s="18">
        <f>L301-L300</f>
        <v>67.8912</v>
      </c>
      <c r="N301" s="19"/>
      <c r="O301" s="18"/>
      <c r="P301" s="17">
        <v>167577.104</v>
      </c>
      <c r="Q301" s="18">
        <f t="shared" si="202"/>
        <v>68.928</v>
      </c>
      <c r="R301" s="17">
        <v>996866.432</v>
      </c>
      <c r="S301" s="18">
        <f t="shared" si="203"/>
        <v>22.912</v>
      </c>
      <c r="T301" s="17">
        <v>56134.2144</v>
      </c>
      <c r="U301" s="18"/>
      <c r="V301" s="14"/>
    </row>
    <row r="302">
      <c r="A302" s="39">
        <v>46083.0</v>
      </c>
      <c r="B302" s="17">
        <v>266507.44</v>
      </c>
      <c r="C302" s="18">
        <f t="shared" si="197"/>
        <v>108.944</v>
      </c>
      <c r="D302" s="17">
        <v>147800.408</v>
      </c>
      <c r="E302" s="18"/>
      <c r="F302" s="17">
        <v>67135.0848</v>
      </c>
      <c r="G302" s="18">
        <f t="shared" si="199"/>
        <v>17.9584</v>
      </c>
      <c r="H302" s="17">
        <v>157668.784</v>
      </c>
      <c r="I302" s="18">
        <f t="shared" si="200"/>
        <v>50.032</v>
      </c>
      <c r="J302" s="17">
        <v>18977.736</v>
      </c>
      <c r="K302" s="20">
        <f t="shared" si="201"/>
        <v>30.0432</v>
      </c>
      <c r="L302" s="17">
        <v>96167.2512</v>
      </c>
      <c r="M302" s="18">
        <f>L302-L300</f>
        <v>138.6112</v>
      </c>
      <c r="N302" s="17">
        <v>108850.544</v>
      </c>
      <c r="O302" s="18">
        <f>N302-N300</f>
        <v>111.392</v>
      </c>
      <c r="P302" s="17">
        <v>167880.896</v>
      </c>
      <c r="Q302" s="18">
        <f t="shared" si="202"/>
        <v>303.792</v>
      </c>
      <c r="R302" s="17">
        <v>997287.04</v>
      </c>
      <c r="S302" s="18">
        <f t="shared" si="203"/>
        <v>420.608</v>
      </c>
      <c r="T302" s="17">
        <v>56140.64</v>
      </c>
      <c r="U302" s="18"/>
      <c r="V302" s="14"/>
    </row>
    <row r="303">
      <c r="A303" s="39">
        <v>46144.0</v>
      </c>
      <c r="B303" s="17">
        <v>266681.472</v>
      </c>
      <c r="C303" s="18">
        <f t="shared" si="197"/>
        <v>174.032</v>
      </c>
      <c r="D303" s="17"/>
      <c r="E303" s="18"/>
      <c r="F303" s="17">
        <v>67172.5376</v>
      </c>
      <c r="G303" s="18">
        <f t="shared" si="199"/>
        <v>37.4528</v>
      </c>
      <c r="H303" s="17">
        <v>157778.352</v>
      </c>
      <c r="I303" s="18">
        <f t="shared" si="200"/>
        <v>109.568</v>
      </c>
      <c r="J303" s="17">
        <v>19036.8476</v>
      </c>
      <c r="K303" s="20">
        <f t="shared" si="201"/>
        <v>59.1116</v>
      </c>
      <c r="L303" s="17">
        <v>96307.1808</v>
      </c>
      <c r="M303" s="18">
        <f>L303-L302</f>
        <v>139.9296</v>
      </c>
      <c r="N303" s="17">
        <v>108962.992</v>
      </c>
      <c r="O303" s="18">
        <f>N303-N302</f>
        <v>112.448</v>
      </c>
      <c r="P303" s="17">
        <v>168429.808</v>
      </c>
      <c r="Q303" s="18">
        <f t="shared" si="202"/>
        <v>548.912</v>
      </c>
      <c r="R303" s="17">
        <v>997866.816</v>
      </c>
      <c r="S303" s="18">
        <f t="shared" si="203"/>
        <v>579.776</v>
      </c>
      <c r="T303" s="17">
        <v>56150.8416</v>
      </c>
      <c r="U303" s="18"/>
      <c r="V303" s="14"/>
    </row>
    <row r="304">
      <c r="A304" s="39">
        <v>46175.0</v>
      </c>
      <c r="B304" s="17">
        <v>266770.432</v>
      </c>
      <c r="C304" s="18">
        <f t="shared" si="197"/>
        <v>88.96</v>
      </c>
      <c r="D304" s="17">
        <v>148146.688</v>
      </c>
      <c r="E304" s="18">
        <f>D304-D302</f>
        <v>346.28</v>
      </c>
      <c r="F304" s="17">
        <v>67191.3344</v>
      </c>
      <c r="G304" s="18">
        <f t="shared" si="199"/>
        <v>18.7968</v>
      </c>
      <c r="H304" s="17">
        <v>157826.336</v>
      </c>
      <c r="I304" s="18">
        <f t="shared" si="200"/>
        <v>47.984</v>
      </c>
      <c r="J304" s="19"/>
      <c r="K304" s="20"/>
      <c r="L304" s="19"/>
      <c r="M304" s="18"/>
      <c r="N304" s="19"/>
      <c r="O304" s="18"/>
      <c r="P304" s="17">
        <v>168726.384</v>
      </c>
      <c r="Q304" s="18">
        <f t="shared" si="202"/>
        <v>296.576</v>
      </c>
      <c r="R304" s="17">
        <v>998187.904</v>
      </c>
      <c r="S304" s="18">
        <f t="shared" si="203"/>
        <v>321.088</v>
      </c>
      <c r="T304" s="17">
        <v>56156.4672</v>
      </c>
      <c r="U304" s="18"/>
      <c r="V304" s="14"/>
    </row>
    <row r="305">
      <c r="A305" s="39">
        <v>46205.0</v>
      </c>
      <c r="B305" s="19"/>
      <c r="C305" s="18"/>
      <c r="D305" s="19"/>
      <c r="E305" s="18"/>
      <c r="F305" s="19"/>
      <c r="G305" s="18"/>
      <c r="H305" s="19"/>
      <c r="I305" s="18"/>
      <c r="J305" s="17">
        <v>19094.144</v>
      </c>
      <c r="K305" s="20">
        <f>J305-J303</f>
        <v>57.2964</v>
      </c>
      <c r="L305" s="17">
        <v>96420.8064</v>
      </c>
      <c r="M305" s="18">
        <f>L305-L303</f>
        <v>113.6256</v>
      </c>
      <c r="N305" s="17">
        <v>109070.392</v>
      </c>
      <c r="O305" s="18">
        <f>N305-N303</f>
        <v>107.4</v>
      </c>
      <c r="P305" s="19"/>
      <c r="Q305" s="18"/>
      <c r="R305" s="19"/>
      <c r="S305" s="18"/>
      <c r="T305" s="19"/>
      <c r="U305" s="18"/>
      <c r="V305" s="14"/>
    </row>
    <row r="306">
      <c r="A306" s="39">
        <v>46236.0</v>
      </c>
      <c r="B306" s="17">
        <v>266946.528</v>
      </c>
      <c r="C306" s="18">
        <f>B306-B304</f>
        <v>176.096</v>
      </c>
      <c r="D306" s="17">
        <v>148254.528</v>
      </c>
      <c r="E306" s="18">
        <f>D306-D304</f>
        <v>107.84</v>
      </c>
      <c r="F306" s="17">
        <v>67220.32</v>
      </c>
      <c r="G306" s="18">
        <f>F306-F304</f>
        <v>28.9856</v>
      </c>
      <c r="H306" s="17">
        <v>157928.016</v>
      </c>
      <c r="I306" s="18">
        <f>H306-H304</f>
        <v>101.68</v>
      </c>
      <c r="J306" s="17">
        <v>19154.4048</v>
      </c>
      <c r="K306" s="20">
        <f t="shared" ref="K306:K308" si="204">J306-J305</f>
        <v>60.2608</v>
      </c>
      <c r="L306" s="17">
        <v>96470.0928</v>
      </c>
      <c r="M306" s="18">
        <f>L306-L305</f>
        <v>49.2864</v>
      </c>
      <c r="N306" s="17">
        <v>109093.992</v>
      </c>
      <c r="O306" s="18">
        <f t="shared" ref="O306:O308" si="205">N306-N305</f>
        <v>23.6</v>
      </c>
      <c r="P306" s="17">
        <v>168897.968</v>
      </c>
      <c r="Q306" s="18">
        <f>P306-P304</f>
        <v>171.584</v>
      </c>
      <c r="R306" s="17">
        <v>998811.778</v>
      </c>
      <c r="S306" s="18">
        <f>R306-R304</f>
        <v>623.874</v>
      </c>
      <c r="T306" s="17">
        <v>56165.0368</v>
      </c>
      <c r="U306" s="18"/>
      <c r="V306" s="14"/>
    </row>
    <row r="307">
      <c r="A307" s="39">
        <v>46267.0</v>
      </c>
      <c r="B307" s="17">
        <v>267027.472</v>
      </c>
      <c r="C307" s="18">
        <f t="shared" ref="C307:C309" si="206">B307-B306</f>
        <v>80.944</v>
      </c>
      <c r="D307" s="17">
        <v>148284.112</v>
      </c>
      <c r="E307" s="18">
        <f t="shared" ref="E307:E309" si="207">D307-D306</f>
        <v>29.584</v>
      </c>
      <c r="F307" s="17">
        <v>67233.056</v>
      </c>
      <c r="G307" s="18">
        <f t="shared" ref="G307:G309" si="208">F307-F306</f>
        <v>12.736</v>
      </c>
      <c r="H307" s="17">
        <v>157963.84</v>
      </c>
      <c r="I307" s="18">
        <f t="shared" ref="I307:I309" si="209">H307-H306</f>
        <v>35.824</v>
      </c>
      <c r="J307" s="17">
        <v>19154.4048</v>
      </c>
      <c r="K307" s="20">
        <f t="shared" si="204"/>
        <v>0</v>
      </c>
      <c r="L307" s="17">
        <v>96520.1088</v>
      </c>
      <c r="M307" s="18">
        <f>L307-L305</f>
        <v>99.3024</v>
      </c>
      <c r="N307" s="17">
        <v>109147.408</v>
      </c>
      <c r="O307" s="18">
        <f t="shared" si="205"/>
        <v>53.416</v>
      </c>
      <c r="P307" s="17">
        <v>169008.048</v>
      </c>
      <c r="Q307" s="18">
        <f t="shared" ref="Q307:Q309" si="210">P307-P306</f>
        <v>110.08</v>
      </c>
      <c r="R307" s="17">
        <v>999004.288</v>
      </c>
      <c r="S307" s="18">
        <f t="shared" ref="S307:S309" si="211">R307-R306</f>
        <v>192.51</v>
      </c>
      <c r="T307" s="17">
        <v>56169.3632</v>
      </c>
      <c r="U307" s="18"/>
      <c r="V307" s="14"/>
    </row>
    <row r="308">
      <c r="A308" s="39">
        <v>46297.0</v>
      </c>
      <c r="B308" s="17">
        <v>267176.256</v>
      </c>
      <c r="C308" s="18">
        <f t="shared" si="206"/>
        <v>148.784</v>
      </c>
      <c r="D308" s="17">
        <v>148331.148</v>
      </c>
      <c r="E308" s="18">
        <f t="shared" si="207"/>
        <v>47.036</v>
      </c>
      <c r="F308" s="17">
        <v>67252.9216</v>
      </c>
      <c r="G308" s="18">
        <f t="shared" si="208"/>
        <v>19.8656</v>
      </c>
      <c r="H308" s="17">
        <v>158009.952</v>
      </c>
      <c r="I308" s="18">
        <f t="shared" si="209"/>
        <v>46.112</v>
      </c>
      <c r="J308" s="17">
        <v>19277.824</v>
      </c>
      <c r="K308" s="20">
        <f t="shared" si="204"/>
        <v>123.4192</v>
      </c>
      <c r="L308" s="17">
        <v>96576.6656</v>
      </c>
      <c r="M308" s="18">
        <f>L308-L307</f>
        <v>56.5568</v>
      </c>
      <c r="N308" s="17">
        <v>109194.16</v>
      </c>
      <c r="O308" s="18">
        <f t="shared" si="205"/>
        <v>46.752</v>
      </c>
      <c r="P308" s="17">
        <v>169309.136</v>
      </c>
      <c r="Q308" s="18">
        <f t="shared" si="210"/>
        <v>301.088</v>
      </c>
      <c r="R308" s="17">
        <v>999277.824</v>
      </c>
      <c r="S308" s="18">
        <f t="shared" si="211"/>
        <v>273.536</v>
      </c>
      <c r="T308" s="17">
        <v>56174.7008</v>
      </c>
      <c r="U308" s="18"/>
      <c r="V308" s="14"/>
    </row>
    <row r="309">
      <c r="A309" s="39">
        <v>46328.0</v>
      </c>
      <c r="B309" s="17">
        <v>267315.216</v>
      </c>
      <c r="C309" s="18">
        <f t="shared" si="206"/>
        <v>138.96</v>
      </c>
      <c r="D309" s="17">
        <v>148365.28</v>
      </c>
      <c r="E309" s="18">
        <f t="shared" si="207"/>
        <v>34.132</v>
      </c>
      <c r="F309" s="17">
        <v>67269.5616</v>
      </c>
      <c r="G309" s="18">
        <f t="shared" si="208"/>
        <v>16.64</v>
      </c>
      <c r="H309" s="17">
        <v>158053.504</v>
      </c>
      <c r="I309" s="18">
        <f t="shared" si="209"/>
        <v>43.552</v>
      </c>
      <c r="J309" s="17">
        <v>999566.208</v>
      </c>
      <c r="K309" s="20"/>
      <c r="L309" s="19"/>
      <c r="M309" s="18"/>
      <c r="N309" s="19"/>
      <c r="O309" s="18"/>
      <c r="P309" s="17">
        <v>169570.768</v>
      </c>
      <c r="Q309" s="18">
        <f t="shared" si="210"/>
        <v>261.632</v>
      </c>
      <c r="R309" s="17">
        <v>999566.208</v>
      </c>
      <c r="S309" s="18">
        <f t="shared" si="211"/>
        <v>288.384</v>
      </c>
      <c r="T309" s="17">
        <v>56179.6672</v>
      </c>
      <c r="U309" s="18"/>
      <c r="V309" s="14"/>
    </row>
    <row r="310">
      <c r="A310" s="39">
        <v>46358.0</v>
      </c>
      <c r="B310" s="19"/>
      <c r="C310" s="18"/>
      <c r="D310" s="19"/>
      <c r="E310" s="18"/>
      <c r="F310" s="19"/>
      <c r="G310" s="18"/>
      <c r="H310" s="19"/>
      <c r="I310" s="18"/>
      <c r="J310" s="19"/>
      <c r="K310" s="20"/>
      <c r="L310" s="17"/>
      <c r="M310" s="18"/>
      <c r="N310" s="19"/>
      <c r="O310" s="18"/>
      <c r="P310" s="19"/>
      <c r="Q310" s="18"/>
      <c r="R310" s="19"/>
      <c r="S310" s="18"/>
      <c r="T310" s="19"/>
      <c r="U310" s="18"/>
      <c r="V310" s="14"/>
    </row>
    <row r="311">
      <c r="A311" s="32" t="s">
        <v>188</v>
      </c>
      <c r="B311" s="17">
        <v>267562.848</v>
      </c>
      <c r="C311" s="30">
        <v>247.632</v>
      </c>
      <c r="D311" s="17">
        <v>148470.368</v>
      </c>
      <c r="E311" s="18">
        <f>D311-D309</f>
        <v>105.088</v>
      </c>
      <c r="F311" s="17">
        <v>67307.2512</v>
      </c>
      <c r="G311" s="18">
        <f>F311-F309</f>
        <v>37.6896</v>
      </c>
      <c r="H311" s="17">
        <v>158152.928</v>
      </c>
      <c r="I311" s="18">
        <f>H311-H309</f>
        <v>99.424</v>
      </c>
      <c r="J311" s="17">
        <v>1000286.32</v>
      </c>
      <c r="K311" s="20"/>
      <c r="L311" s="17">
        <v>96740.3648</v>
      </c>
      <c r="M311" s="18">
        <f>L311-L308</f>
        <v>163.6992</v>
      </c>
      <c r="N311" s="17">
        <v>109305.208</v>
      </c>
      <c r="O311" s="18">
        <f>N311-N308</f>
        <v>111.048</v>
      </c>
      <c r="P311" s="17">
        <v>170085.728</v>
      </c>
      <c r="Q311" s="18">
        <f>P311-P309</f>
        <v>514.96</v>
      </c>
      <c r="R311" s="17"/>
      <c r="S311" s="18"/>
      <c r="T311" s="17">
        <v>56190.1376</v>
      </c>
      <c r="U311" s="18"/>
      <c r="V311" s="14"/>
    </row>
    <row r="312">
      <c r="A312" s="32" t="s">
        <v>189</v>
      </c>
      <c r="B312" s="19"/>
      <c r="C312" s="18"/>
      <c r="D312" s="19"/>
      <c r="E312" s="18"/>
      <c r="F312" s="19"/>
      <c r="G312" s="18"/>
      <c r="H312" s="19"/>
      <c r="I312" s="18"/>
      <c r="J312" s="19"/>
      <c r="K312" s="20"/>
      <c r="L312" s="19"/>
      <c r="M312" s="18"/>
      <c r="N312" s="19"/>
      <c r="O312" s="18"/>
      <c r="P312" s="19"/>
      <c r="Q312" s="18"/>
      <c r="R312" s="19"/>
      <c r="S312" s="18"/>
      <c r="T312" s="19"/>
      <c r="U312" s="18"/>
      <c r="V312" s="14"/>
    </row>
    <row r="313">
      <c r="A313" s="32" t="s">
        <v>190</v>
      </c>
      <c r="B313" s="17">
        <v>267828.224</v>
      </c>
      <c r="C313" s="18">
        <f>B313-B311</f>
        <v>265.376</v>
      </c>
      <c r="D313" s="17">
        <v>148569.68</v>
      </c>
      <c r="E313" s="18">
        <f>D313-D311</f>
        <v>99.312</v>
      </c>
      <c r="F313" s="17">
        <v>67344.8256</v>
      </c>
      <c r="G313" s="18">
        <f>F313-F311</f>
        <v>37.5744</v>
      </c>
      <c r="H313" s="17">
        <v>158250.72</v>
      </c>
      <c r="I313" s="18">
        <f>H313-H311</f>
        <v>97.792</v>
      </c>
      <c r="J313" s="17">
        <v>19320.2464</v>
      </c>
      <c r="K313" s="20"/>
      <c r="L313" s="17">
        <v>96883.7312</v>
      </c>
      <c r="M313" s="18">
        <f>L313-L311</f>
        <v>143.3664</v>
      </c>
      <c r="N313" s="17">
        <v>109409.148</v>
      </c>
      <c r="O313" s="18">
        <f>N313-N311</f>
        <v>103.94</v>
      </c>
      <c r="P313" s="17">
        <v>170195.664</v>
      </c>
      <c r="Q313" s="18">
        <f>P313-P311</f>
        <v>109.936</v>
      </c>
      <c r="R313" s="17">
        <v>1001059.72</v>
      </c>
      <c r="S313" s="18"/>
      <c r="T313" s="17">
        <v>56200.1024</v>
      </c>
      <c r="U313" s="18"/>
      <c r="V313" s="14"/>
    </row>
    <row r="314">
      <c r="A314" s="32" t="s">
        <v>191</v>
      </c>
      <c r="B314" s="17">
        <v>267896.784</v>
      </c>
      <c r="C314" s="18">
        <f t="shared" ref="C314:C315" si="212">B314-B313</f>
        <v>68.56</v>
      </c>
      <c r="D314" s="17">
        <v>148600.72</v>
      </c>
      <c r="E314" s="18">
        <f t="shared" ref="E314:E315" si="213">D314-D313</f>
        <v>31.04</v>
      </c>
      <c r="F314" s="17">
        <v>67357.3312</v>
      </c>
      <c r="G314" s="18">
        <f t="shared" ref="G314:G315" si="214">F314-F313</f>
        <v>12.5056</v>
      </c>
      <c r="H314" s="17">
        <v>158297.648</v>
      </c>
      <c r="I314" s="18">
        <f>H314-H313</f>
        <v>46.928</v>
      </c>
      <c r="J314" s="17">
        <v>19350.1504</v>
      </c>
      <c r="K314" s="20"/>
      <c r="L314" s="17">
        <v>96945.3184</v>
      </c>
      <c r="M314" s="18">
        <f>L314-L313</f>
        <v>61.5872</v>
      </c>
      <c r="N314" s="17">
        <v>109435.72</v>
      </c>
      <c r="O314" s="18">
        <f t="shared" ref="O314:O315" si="215">N314-N313</f>
        <v>26.572</v>
      </c>
      <c r="P314" s="17">
        <v>170825.584</v>
      </c>
      <c r="Q314" s="18">
        <f t="shared" ref="Q314:Q315" si="216">P314-P313</f>
        <v>629.92</v>
      </c>
      <c r="R314" s="17">
        <v>1001291.04</v>
      </c>
      <c r="S314" s="18">
        <f t="shared" ref="S314:S315" si="217">R314-R313</f>
        <v>231.32</v>
      </c>
      <c r="T314" s="17">
        <v>56203.1872</v>
      </c>
      <c r="U314" s="18"/>
      <c r="V314" s="14"/>
    </row>
    <row r="315">
      <c r="A315" s="32" t="s">
        <v>192</v>
      </c>
      <c r="B315" s="17">
        <v>267983.744</v>
      </c>
      <c r="C315" s="18">
        <f t="shared" si="212"/>
        <v>86.96</v>
      </c>
      <c r="D315" s="17">
        <v>148655.584</v>
      </c>
      <c r="E315" s="18">
        <f t="shared" si="213"/>
        <v>54.864</v>
      </c>
      <c r="F315" s="17">
        <v>67379.2192</v>
      </c>
      <c r="G315" s="18">
        <f t="shared" si="214"/>
        <v>21.888</v>
      </c>
      <c r="H315" s="17">
        <v>158345.8</v>
      </c>
      <c r="I315" s="18">
        <f>H315-H313</f>
        <v>95.08</v>
      </c>
      <c r="J315" s="17">
        <v>19379.384</v>
      </c>
      <c r="K315" s="20"/>
      <c r="L315" s="17">
        <v>96998.6816</v>
      </c>
      <c r="M315" s="18">
        <f>L315-L313</f>
        <v>114.9504</v>
      </c>
      <c r="N315" s="17">
        <v>109492.672</v>
      </c>
      <c r="O315" s="18">
        <f t="shared" si="215"/>
        <v>56.952</v>
      </c>
      <c r="P315" s="17">
        <v>171072.224</v>
      </c>
      <c r="Q315" s="18">
        <f t="shared" si="216"/>
        <v>246.64</v>
      </c>
      <c r="R315" s="17">
        <v>1001635.84</v>
      </c>
      <c r="S315" s="18">
        <f t="shared" si="217"/>
        <v>344.8</v>
      </c>
      <c r="T315" s="17">
        <v>56208.064</v>
      </c>
      <c r="U315" s="18"/>
      <c r="V315" s="14"/>
    </row>
    <row r="316">
      <c r="A316" s="32" t="s">
        <v>193</v>
      </c>
      <c r="B316" s="19"/>
      <c r="C316" s="18"/>
      <c r="D316" s="19"/>
      <c r="E316" s="18"/>
      <c r="F316" s="19"/>
      <c r="G316" s="18"/>
      <c r="H316" s="19"/>
      <c r="I316" s="18"/>
      <c r="J316" s="19"/>
      <c r="K316" s="20"/>
      <c r="L316" s="19"/>
      <c r="M316" s="18"/>
      <c r="N316" s="19"/>
      <c r="O316" s="18"/>
      <c r="P316" s="19"/>
      <c r="Q316" s="18"/>
      <c r="R316" s="19"/>
      <c r="S316" s="18"/>
      <c r="T316" s="19"/>
      <c r="U316" s="18"/>
      <c r="V316" s="14"/>
    </row>
    <row r="317">
      <c r="A317" s="32" t="s">
        <v>194</v>
      </c>
      <c r="B317" s="17">
        <v>268275.936</v>
      </c>
      <c r="C317" s="18">
        <f>B317-B315</f>
        <v>292.192</v>
      </c>
      <c r="D317" s="17">
        <v>148763.616</v>
      </c>
      <c r="E317" s="18">
        <f>D317-D315</f>
        <v>108.032</v>
      </c>
      <c r="F317" s="17">
        <v>67414.912</v>
      </c>
      <c r="G317" s="18">
        <f>F317-F315</f>
        <v>35.6928</v>
      </c>
      <c r="H317" s="17">
        <v>158449.296</v>
      </c>
      <c r="I317" s="18">
        <f>H317-H315</f>
        <v>103.496</v>
      </c>
      <c r="J317" s="17">
        <v>19404.6704</v>
      </c>
      <c r="K317" s="20"/>
      <c r="L317" s="17">
        <v>97104.6016</v>
      </c>
      <c r="M317" s="18">
        <f>L317-L315</f>
        <v>105.92</v>
      </c>
      <c r="N317" s="17">
        <v>109600.952</v>
      </c>
      <c r="O317" s="18">
        <f>N317-N315</f>
        <v>108.28</v>
      </c>
      <c r="P317" s="17">
        <v>171422.56</v>
      </c>
      <c r="Q317" s="18">
        <f>P317-P315</f>
        <v>350.336</v>
      </c>
      <c r="R317" s="17">
        <v>1002306.96</v>
      </c>
      <c r="S317" s="18">
        <f>R317-R315</f>
        <v>671.12</v>
      </c>
      <c r="T317" s="17">
        <v>56216.4928</v>
      </c>
      <c r="U317" s="18"/>
      <c r="V317" s="14"/>
    </row>
    <row r="318">
      <c r="A318" s="32" t="s">
        <v>195</v>
      </c>
      <c r="B318" s="17">
        <v>268419.904</v>
      </c>
      <c r="C318" s="18">
        <f t="shared" ref="C318:C325" si="218">B318-B317</f>
        <v>143.968</v>
      </c>
      <c r="D318" s="17">
        <v>148804.224</v>
      </c>
      <c r="E318" s="18">
        <f t="shared" ref="E318:E325" si="219">D318-D317</f>
        <v>40.608</v>
      </c>
      <c r="F318" s="17">
        <v>67435.9936</v>
      </c>
      <c r="G318" s="18">
        <f t="shared" ref="G318:G325" si="220">F318-F317</f>
        <v>21.0816</v>
      </c>
      <c r="H318" s="17">
        <v>158509.168</v>
      </c>
      <c r="I318" s="18">
        <f>H318-H317</f>
        <v>59.872</v>
      </c>
      <c r="J318" s="17">
        <v>19435.4144</v>
      </c>
      <c r="K318" s="20"/>
      <c r="L318" s="17">
        <v>97164.0064</v>
      </c>
      <c r="M318" s="18">
        <f>L318-L317</f>
        <v>59.4048</v>
      </c>
      <c r="N318" s="17">
        <v>109648.72</v>
      </c>
      <c r="O318" s="18">
        <f>N318-N317</f>
        <v>47.768</v>
      </c>
      <c r="P318" s="17">
        <v>171604.032</v>
      </c>
      <c r="Q318" s="18">
        <f t="shared" ref="Q318:Q325" si="221">P318-P317</f>
        <v>181.472</v>
      </c>
      <c r="R318" s="17" t="s">
        <v>196</v>
      </c>
      <c r="S318" s="18"/>
      <c r="T318" s="17">
        <v>56222.4578</v>
      </c>
      <c r="U318" s="18"/>
      <c r="V318" s="14"/>
    </row>
    <row r="319">
      <c r="A319" s="32" t="s">
        <v>197</v>
      </c>
      <c r="B319" s="17">
        <v>268588.96</v>
      </c>
      <c r="C319" s="18">
        <f t="shared" si="218"/>
        <v>169.056</v>
      </c>
      <c r="D319" s="17">
        <v>148872.736</v>
      </c>
      <c r="E319" s="18">
        <f t="shared" si="219"/>
        <v>68.512</v>
      </c>
      <c r="F319" s="17">
        <v>67458.6944</v>
      </c>
      <c r="G319" s="18">
        <f t="shared" si="220"/>
        <v>22.7008</v>
      </c>
      <c r="H319" s="17">
        <v>158565.552</v>
      </c>
      <c r="I319" s="18">
        <f>H319-H317</f>
        <v>116.256</v>
      </c>
      <c r="J319" s="17">
        <v>19463.3616</v>
      </c>
      <c r="K319" s="20"/>
      <c r="L319" s="17">
        <v>97218.0288</v>
      </c>
      <c r="M319" s="18">
        <f>L319-L317</f>
        <v>113.4272</v>
      </c>
      <c r="N319" s="17">
        <v>109705.885</v>
      </c>
      <c r="O319" s="18">
        <f>N319-N317</f>
        <v>104.933</v>
      </c>
      <c r="P319" s="17">
        <v>171775.056</v>
      </c>
      <c r="Q319" s="18">
        <f t="shared" si="221"/>
        <v>171.024</v>
      </c>
      <c r="R319" s="17">
        <v>1002963.52</v>
      </c>
      <c r="S319" s="18">
        <f>R319-R317</f>
        <v>656.56</v>
      </c>
      <c r="T319" s="17">
        <v>56228.8192</v>
      </c>
      <c r="U319" s="18"/>
      <c r="V319" s="14"/>
    </row>
    <row r="320">
      <c r="A320" s="32" t="s">
        <v>198</v>
      </c>
      <c r="B320" s="17">
        <v>268730.72</v>
      </c>
      <c r="C320" s="18">
        <f t="shared" si="218"/>
        <v>141.76</v>
      </c>
      <c r="D320" s="17">
        <v>148937.568</v>
      </c>
      <c r="E320" s="18">
        <f t="shared" si="219"/>
        <v>64.832</v>
      </c>
      <c r="F320" s="17">
        <v>67476.9536</v>
      </c>
      <c r="G320" s="18">
        <f t="shared" si="220"/>
        <v>18.2592</v>
      </c>
      <c r="H320" s="17">
        <v>158615.648</v>
      </c>
      <c r="I320" s="18">
        <f>H320-H319</f>
        <v>50.096</v>
      </c>
      <c r="J320" s="17">
        <v>19492.4544</v>
      </c>
      <c r="K320" s="20"/>
      <c r="L320" s="17">
        <v>97277.312</v>
      </c>
      <c r="M320" s="18">
        <f>L320-L319</f>
        <v>59.2832</v>
      </c>
      <c r="N320" s="17">
        <v>109752.76</v>
      </c>
      <c r="O320" s="18">
        <f>N320-N319</f>
        <v>46.875</v>
      </c>
      <c r="P320" s="17">
        <v>171837.072</v>
      </c>
      <c r="Q320" s="18">
        <f t="shared" si="221"/>
        <v>62.016</v>
      </c>
      <c r="R320" s="17">
        <v>1003361.92</v>
      </c>
      <c r="S320" s="18">
        <f t="shared" ref="S320:S325" si="222">R320-R319</f>
        <v>398.4</v>
      </c>
      <c r="T320" s="17">
        <v>56234.752</v>
      </c>
      <c r="U320" s="18"/>
      <c r="V320" s="14"/>
    </row>
    <row r="321">
      <c r="A321" s="32" t="s">
        <v>199</v>
      </c>
      <c r="B321" s="17">
        <v>268780.768</v>
      </c>
      <c r="C321" s="18">
        <f t="shared" si="218"/>
        <v>50.048</v>
      </c>
      <c r="D321" s="17">
        <v>148969.456</v>
      </c>
      <c r="E321" s="18">
        <f t="shared" si="219"/>
        <v>31.888</v>
      </c>
      <c r="F321" s="17">
        <v>67485.7984</v>
      </c>
      <c r="G321" s="18">
        <f t="shared" si="220"/>
        <v>8.8448</v>
      </c>
      <c r="H321" s="17">
        <v>158663.728</v>
      </c>
      <c r="I321" s="18">
        <f>H321-H319</f>
        <v>98.176</v>
      </c>
      <c r="J321" s="17">
        <v>19515.9168</v>
      </c>
      <c r="K321" s="20"/>
      <c r="L321" s="17">
        <v>97318.9056</v>
      </c>
      <c r="M321" s="18">
        <f>L321-L319</f>
        <v>100.8768</v>
      </c>
      <c r="N321" s="17">
        <v>109781.356</v>
      </c>
      <c r="O321" s="18">
        <f>N321-N319</f>
        <v>75.471</v>
      </c>
      <c r="P321" s="17">
        <v>171877.68</v>
      </c>
      <c r="Q321" s="18">
        <f t="shared" si="221"/>
        <v>40.608</v>
      </c>
      <c r="R321" s="17">
        <v>1003634.641</v>
      </c>
      <c r="S321" s="18">
        <f t="shared" si="222"/>
        <v>272.721</v>
      </c>
      <c r="T321" s="17">
        <v>56238.112</v>
      </c>
      <c r="U321" s="18"/>
      <c r="V321" s="14"/>
    </row>
    <row r="322">
      <c r="A322" s="32" t="s">
        <v>200</v>
      </c>
      <c r="B322" s="17">
        <v>268935.872</v>
      </c>
      <c r="C322" s="18">
        <f t="shared" si="218"/>
        <v>155.104</v>
      </c>
      <c r="D322" s="17">
        <v>149029.232</v>
      </c>
      <c r="E322" s="18">
        <f t="shared" si="219"/>
        <v>59.776</v>
      </c>
      <c r="F322" s="17">
        <v>67504.5376</v>
      </c>
      <c r="G322" s="18">
        <f t="shared" si="220"/>
        <v>18.7392</v>
      </c>
      <c r="H322" s="17">
        <v>158719.392</v>
      </c>
      <c r="I322" s="18">
        <f>H322-H321</f>
        <v>55.664</v>
      </c>
      <c r="J322" s="17">
        <v>19545.9328</v>
      </c>
      <c r="K322" s="20"/>
      <c r="L322" s="17">
        <v>97365.0752</v>
      </c>
      <c r="M322" s="18">
        <f>L322-L321</f>
        <v>46.1696</v>
      </c>
      <c r="N322" s="17">
        <v>109830.096</v>
      </c>
      <c r="O322" s="18">
        <f t="shared" ref="O322:O325" si="223">N322-N321</f>
        <v>48.74</v>
      </c>
      <c r="P322" s="17">
        <v>171978.48</v>
      </c>
      <c r="Q322" s="18">
        <f t="shared" si="221"/>
        <v>100.8</v>
      </c>
      <c r="R322" s="17">
        <v>1004005.28</v>
      </c>
      <c r="S322" s="18">
        <f t="shared" si="222"/>
        <v>370.639</v>
      </c>
      <c r="T322" s="17">
        <v>56243.6544</v>
      </c>
      <c r="U322" s="18"/>
      <c r="V322" s="14"/>
    </row>
    <row r="323">
      <c r="A323" s="32" t="s">
        <v>201</v>
      </c>
      <c r="B323" s="17">
        <v>269096.32</v>
      </c>
      <c r="C323" s="18">
        <f t="shared" si="218"/>
        <v>160.448</v>
      </c>
      <c r="D323" s="17">
        <v>149083.36</v>
      </c>
      <c r="E323" s="18">
        <f t="shared" si="219"/>
        <v>54.128</v>
      </c>
      <c r="F323" s="17">
        <v>67524.4544</v>
      </c>
      <c r="G323" s="18">
        <f t="shared" si="220"/>
        <v>19.9168</v>
      </c>
      <c r="H323" s="17">
        <v>158766.64</v>
      </c>
      <c r="I323" s="18">
        <f>H323-H321</f>
        <v>102.912</v>
      </c>
      <c r="J323" s="17">
        <v>19579.115</v>
      </c>
      <c r="K323" s="20"/>
      <c r="L323" s="17">
        <v>97430.1568</v>
      </c>
      <c r="M323" s="18">
        <f>L323-L321</f>
        <v>111.2512</v>
      </c>
      <c r="N323" s="17">
        <v>109883.656</v>
      </c>
      <c r="O323" s="18">
        <f t="shared" si="223"/>
        <v>53.56</v>
      </c>
      <c r="P323" s="17">
        <v>172102.384</v>
      </c>
      <c r="Q323" s="18">
        <f t="shared" si="221"/>
        <v>123.904</v>
      </c>
      <c r="R323" s="17">
        <v>1004390.56</v>
      </c>
      <c r="S323" s="18">
        <f t="shared" si="222"/>
        <v>385.28</v>
      </c>
      <c r="T323" s="17">
        <v>56248.9856</v>
      </c>
      <c r="U323" s="18"/>
      <c r="V323" s="14"/>
    </row>
    <row r="324">
      <c r="A324" s="32" t="s">
        <v>202</v>
      </c>
      <c r="B324" s="17">
        <v>269290.24</v>
      </c>
      <c r="C324" s="18">
        <f t="shared" si="218"/>
        <v>193.92</v>
      </c>
      <c r="D324" s="17">
        <v>149145.776</v>
      </c>
      <c r="E324" s="18">
        <f t="shared" si="219"/>
        <v>62.416</v>
      </c>
      <c r="F324" s="17">
        <v>67547.3536</v>
      </c>
      <c r="G324" s="18">
        <f t="shared" si="220"/>
        <v>22.8992</v>
      </c>
      <c r="H324" s="17">
        <v>158814.912</v>
      </c>
      <c r="I324" s="18">
        <f>H324-H323</f>
        <v>48.272</v>
      </c>
      <c r="J324" s="17">
        <v>19610.8516</v>
      </c>
      <c r="K324" s="20"/>
      <c r="L324" s="17">
        <v>97502.1502</v>
      </c>
      <c r="M324" s="18">
        <f>L324-L323</f>
        <v>71.9934</v>
      </c>
      <c r="N324" s="17">
        <v>109942.024</v>
      </c>
      <c r="O324" s="18">
        <f t="shared" si="223"/>
        <v>58.368</v>
      </c>
      <c r="P324" s="17">
        <v>172252.56</v>
      </c>
      <c r="Q324" s="18">
        <f t="shared" si="221"/>
        <v>150.176</v>
      </c>
      <c r="R324" s="17">
        <v>1004827.2</v>
      </c>
      <c r="S324" s="18">
        <f t="shared" si="222"/>
        <v>436.64</v>
      </c>
      <c r="T324" s="17">
        <v>56254.5728</v>
      </c>
      <c r="U324" s="18"/>
      <c r="V324" s="14"/>
    </row>
    <row r="325">
      <c r="A325" s="32" t="s">
        <v>203</v>
      </c>
      <c r="B325" s="17">
        <v>269470.304</v>
      </c>
      <c r="C325" s="18">
        <f t="shared" si="218"/>
        <v>180.064</v>
      </c>
      <c r="D325" s="17">
        <v>149208.592</v>
      </c>
      <c r="E325" s="18">
        <f t="shared" si="219"/>
        <v>62.816</v>
      </c>
      <c r="F325" s="17">
        <v>67567.328</v>
      </c>
      <c r="G325" s="18">
        <f t="shared" si="220"/>
        <v>19.9744</v>
      </c>
      <c r="H325" s="17">
        <v>158870.144</v>
      </c>
      <c r="I325" s="18">
        <f>H325-H323</f>
        <v>103.504</v>
      </c>
      <c r="J325" s="17">
        <v>19641.8524</v>
      </c>
      <c r="K325" s="20"/>
      <c r="L325" s="17">
        <v>97582.1568</v>
      </c>
      <c r="M325" s="18">
        <f>L325-L323</f>
        <v>152</v>
      </c>
      <c r="N325" s="17">
        <v>109996.136</v>
      </c>
      <c r="O325" s="18">
        <f t="shared" si="223"/>
        <v>54.112</v>
      </c>
      <c r="P325" s="17">
        <v>172316.112</v>
      </c>
      <c r="Q325" s="18">
        <f t="shared" si="221"/>
        <v>63.552</v>
      </c>
      <c r="R325" s="17">
        <v>1005182.48</v>
      </c>
      <c r="S325" s="18">
        <f t="shared" si="222"/>
        <v>355.28</v>
      </c>
      <c r="T325" s="17">
        <v>56260.5568</v>
      </c>
      <c r="U325" s="18"/>
      <c r="V325" s="14"/>
    </row>
    <row r="326">
      <c r="A326" s="32" t="s">
        <v>204</v>
      </c>
      <c r="B326" s="19"/>
      <c r="C326" s="18"/>
      <c r="D326" s="19"/>
      <c r="E326" s="18"/>
      <c r="F326" s="19"/>
      <c r="G326" s="18"/>
      <c r="H326" s="19"/>
      <c r="I326" s="18"/>
      <c r="J326" s="19"/>
      <c r="K326" s="20"/>
      <c r="L326" s="19"/>
      <c r="M326" s="18"/>
      <c r="N326" s="19"/>
      <c r="O326" s="18"/>
      <c r="P326" s="19"/>
      <c r="Q326" s="18"/>
      <c r="R326" s="19"/>
      <c r="S326" s="18"/>
      <c r="T326" s="19"/>
      <c r="U326" s="18"/>
      <c r="V326" s="14"/>
    </row>
    <row r="327">
      <c r="A327" s="39">
        <v>46025.0</v>
      </c>
      <c r="B327" s="17">
        <v>269853.184</v>
      </c>
      <c r="C327" s="18">
        <f>B327-B325</f>
        <v>382.88</v>
      </c>
      <c r="D327" s="17">
        <v>149314.64</v>
      </c>
      <c r="E327" s="18">
        <f>D327-D325</f>
        <v>106.048</v>
      </c>
      <c r="F327" s="17">
        <v>67610.912</v>
      </c>
      <c r="G327" s="18">
        <f>F327-F325</f>
        <v>43.584</v>
      </c>
      <c r="H327" s="17">
        <v>158951.232</v>
      </c>
      <c r="I327" s="18">
        <f>H327-H325</f>
        <v>81.088</v>
      </c>
      <c r="J327" s="17">
        <v>19673.56</v>
      </c>
      <c r="K327" s="20"/>
      <c r="L327" s="17">
        <v>97696.8445</v>
      </c>
      <c r="M327" s="18">
        <f>L327-L325</f>
        <v>114.6877</v>
      </c>
      <c r="N327" s="17">
        <v>110110.112</v>
      </c>
      <c r="O327" s="18">
        <f>N327-N325</f>
        <v>113.976</v>
      </c>
      <c r="P327" s="17">
        <v>172501.408</v>
      </c>
      <c r="Q327" s="18">
        <f>P327-P325</f>
        <v>185.296</v>
      </c>
      <c r="R327" s="17">
        <v>1005798.64</v>
      </c>
      <c r="S327" s="18">
        <f>R327-R325</f>
        <v>616.16</v>
      </c>
      <c r="T327" s="17">
        <v>56270.1634</v>
      </c>
      <c r="U327" s="18"/>
      <c r="V327" s="14"/>
    </row>
    <row r="328">
      <c r="A328" s="39">
        <v>46056.0</v>
      </c>
      <c r="B328" s="17">
        <v>269926.208</v>
      </c>
      <c r="C328" s="18">
        <f>B328-B327</f>
        <v>73.024</v>
      </c>
      <c r="D328" s="17">
        <v>149361.008</v>
      </c>
      <c r="E328" s="18">
        <f>D328-D327</f>
        <v>46.368</v>
      </c>
      <c r="F328" s="17">
        <v>67622.56</v>
      </c>
      <c r="G328" s="18">
        <f>F328-F327</f>
        <v>11.648</v>
      </c>
      <c r="H328" s="17">
        <v>158992.528</v>
      </c>
      <c r="I328" s="18">
        <f>H328-H327</f>
        <v>41.296</v>
      </c>
      <c r="J328" s="17">
        <v>19683.7556</v>
      </c>
      <c r="K328" s="20"/>
      <c r="L328" s="17">
        <v>97735.68</v>
      </c>
      <c r="M328" s="18">
        <f>L328-L327</f>
        <v>38.8355</v>
      </c>
      <c r="N328" s="17">
        <v>110128.072</v>
      </c>
      <c r="O328" s="18">
        <f>N328-N327</f>
        <v>17.96</v>
      </c>
      <c r="P328" s="17">
        <v>172581.76</v>
      </c>
      <c r="Q328" s="18">
        <f>P328-P327</f>
        <v>80.352</v>
      </c>
      <c r="R328" s="17">
        <v>1005911.28</v>
      </c>
      <c r="S328" s="18">
        <f>R328-R327</f>
        <v>112.64</v>
      </c>
      <c r="T328" s="17">
        <v>56274.2784</v>
      </c>
      <c r="U328" s="18"/>
      <c r="V328" s="14"/>
    </row>
    <row r="329">
      <c r="A329" s="39">
        <v>46084.0</v>
      </c>
      <c r="B329" s="19"/>
      <c r="C329" s="18"/>
      <c r="D329" s="19"/>
      <c r="E329" s="18"/>
      <c r="F329" s="19"/>
      <c r="G329" s="18"/>
      <c r="H329" s="19"/>
      <c r="I329" s="18"/>
      <c r="J329" s="19"/>
      <c r="K329" s="20"/>
      <c r="L329" s="19"/>
      <c r="M329" s="18"/>
      <c r="N329" s="19"/>
      <c r="O329" s="18"/>
      <c r="P329" s="19"/>
      <c r="Q329" s="18"/>
      <c r="R329" s="19"/>
      <c r="S329" s="18"/>
      <c r="T329" s="19"/>
      <c r="U329" s="18"/>
      <c r="V329" s="14"/>
    </row>
    <row r="330">
      <c r="A330" s="39">
        <v>46115.0</v>
      </c>
      <c r="B330" s="17">
        <v>270113.088</v>
      </c>
      <c r="C330" s="42">
        <f>B330-B328</f>
        <v>186.88</v>
      </c>
      <c r="D330" s="17">
        <v>149423.136</v>
      </c>
      <c r="E330" s="20">
        <f>D330-D328</f>
        <v>62.128</v>
      </c>
      <c r="F330" s="17">
        <v>67643.9168</v>
      </c>
      <c r="G330" s="20">
        <f>F330-F328</f>
        <v>21.3568</v>
      </c>
      <c r="H330" s="17">
        <v>159060.704</v>
      </c>
      <c r="I330" s="20">
        <f>H330-H328</f>
        <v>68.176</v>
      </c>
      <c r="J330" s="17">
        <v>19712.2736</v>
      </c>
      <c r="K330" s="20"/>
      <c r="L330" s="17">
        <v>97841.3564</v>
      </c>
      <c r="M330" s="20">
        <f>L330-L328</f>
        <v>105.6764</v>
      </c>
      <c r="N330" s="17">
        <v>110193.528</v>
      </c>
      <c r="O330" s="20">
        <f>N330-N328</f>
        <v>65.456</v>
      </c>
      <c r="P330" s="17">
        <v>172654.56</v>
      </c>
      <c r="Q330" s="20">
        <f>P330-P328</f>
        <v>72.8</v>
      </c>
      <c r="R330" s="17">
        <v>1006285.44</v>
      </c>
      <c r="T330" s="17">
        <v>56281.2096</v>
      </c>
      <c r="U330" s="18"/>
      <c r="V330" s="14"/>
    </row>
    <row r="331">
      <c r="A331" s="39">
        <v>46145.0</v>
      </c>
      <c r="B331" s="17">
        <v>270361.44</v>
      </c>
      <c r="C331" s="42">
        <f t="shared" ref="C331:C334" si="224">B331-B330</f>
        <v>248.352</v>
      </c>
      <c r="D331" s="17">
        <v>149497.632</v>
      </c>
      <c r="E331" s="20">
        <f t="shared" ref="E331:E334" si="225">D331-D330</f>
        <v>74.496</v>
      </c>
      <c r="F331" s="17">
        <v>67657.8624</v>
      </c>
      <c r="G331" s="20">
        <f t="shared" ref="G331:G334" si="226">F331-F330</f>
        <v>13.9456</v>
      </c>
      <c r="H331" s="17">
        <v>159110.784</v>
      </c>
      <c r="I331" s="20">
        <f t="shared" ref="I331:I334" si="227">H331-H330</f>
        <v>50.08</v>
      </c>
      <c r="J331" s="17">
        <v>19746.6016</v>
      </c>
      <c r="K331" s="20"/>
      <c r="L331" s="17">
        <v>97906.88</v>
      </c>
      <c r="M331" s="20">
        <f>L331-L330</f>
        <v>65.5236</v>
      </c>
      <c r="N331" s="17">
        <v>110254.184</v>
      </c>
      <c r="O331" s="20">
        <f t="shared" ref="O331:O334" si="228">N331-N330</f>
        <v>60.656</v>
      </c>
      <c r="P331" s="17">
        <v>172765.504</v>
      </c>
      <c r="Q331" s="20">
        <f t="shared" ref="Q331:Q334" si="229">P331-P330</f>
        <v>110.944</v>
      </c>
      <c r="R331" s="17">
        <v>1006743.84</v>
      </c>
      <c r="T331" s="17">
        <v>56287.4304</v>
      </c>
      <c r="U331" s="18"/>
      <c r="V331" s="14"/>
    </row>
    <row r="332">
      <c r="A332" s="39">
        <v>46176.0</v>
      </c>
      <c r="B332" s="17">
        <v>270456.512</v>
      </c>
      <c r="C332" s="42">
        <f t="shared" si="224"/>
        <v>95.072</v>
      </c>
      <c r="D332" s="17">
        <v>149557.312</v>
      </c>
      <c r="E332" s="20">
        <f t="shared" si="225"/>
        <v>59.68</v>
      </c>
      <c r="F332" s="17">
        <v>67671.648</v>
      </c>
      <c r="G332" s="20">
        <f t="shared" si="226"/>
        <v>13.7856</v>
      </c>
      <c r="H332" s="17">
        <v>159165.376</v>
      </c>
      <c r="I332" s="20">
        <f t="shared" si="227"/>
        <v>54.592</v>
      </c>
      <c r="J332" s="17">
        <v>19780.0</v>
      </c>
      <c r="K332" s="20"/>
      <c r="L332" s="17">
        <v>97976.64</v>
      </c>
      <c r="M332" s="20">
        <f>L332-L330</f>
        <v>135.2836</v>
      </c>
      <c r="N332" s="17">
        <v>110317.512</v>
      </c>
      <c r="O332" s="20">
        <f t="shared" si="228"/>
        <v>63.328</v>
      </c>
      <c r="P332" s="17">
        <v>172887.392</v>
      </c>
      <c r="Q332" s="20">
        <f t="shared" si="229"/>
        <v>121.888</v>
      </c>
      <c r="R332" s="17">
        <v>1007206.88</v>
      </c>
      <c r="T332" s="17">
        <v>56292.9472</v>
      </c>
      <c r="U332" s="18"/>
      <c r="V332" s="14"/>
    </row>
    <row r="333">
      <c r="A333" s="39">
        <v>46206.0</v>
      </c>
      <c r="B333" s="17">
        <v>270611.36</v>
      </c>
      <c r="C333" s="42">
        <f t="shared" si="224"/>
        <v>154.848</v>
      </c>
      <c r="D333" s="17">
        <v>149606.176</v>
      </c>
      <c r="E333" s="20">
        <f t="shared" si="225"/>
        <v>48.864</v>
      </c>
      <c r="F333" s="17">
        <v>67689.2672</v>
      </c>
      <c r="G333" s="20">
        <f t="shared" si="226"/>
        <v>17.6192</v>
      </c>
      <c r="H333" s="17">
        <v>159215.952</v>
      </c>
      <c r="I333" s="20">
        <f t="shared" si="227"/>
        <v>50.576</v>
      </c>
      <c r="J333" s="17">
        <v>19808.7936</v>
      </c>
      <c r="K333" s="20"/>
      <c r="L333" s="17">
        <v>98038.7264</v>
      </c>
      <c r="M333" s="20">
        <f>L333-L332</f>
        <v>62.0864</v>
      </c>
      <c r="N333" s="17">
        <v>110373.16</v>
      </c>
      <c r="O333" s="20">
        <f t="shared" si="228"/>
        <v>55.648</v>
      </c>
      <c r="P333" s="17">
        <v>173009.136</v>
      </c>
      <c r="Q333" s="20">
        <f t="shared" si="229"/>
        <v>121.744</v>
      </c>
      <c r="R333" s="17">
        <v>1007661.04</v>
      </c>
      <c r="T333" s="17">
        <v>56298.3424</v>
      </c>
      <c r="U333" s="18"/>
      <c r="V333" s="14"/>
    </row>
    <row r="334">
      <c r="A334" s="39">
        <v>46237.0</v>
      </c>
      <c r="B334" s="17">
        <v>270782.496</v>
      </c>
      <c r="C334" s="42">
        <f t="shared" si="224"/>
        <v>171.136</v>
      </c>
      <c r="D334" s="17">
        <v>149657.696</v>
      </c>
      <c r="E334" s="20">
        <f t="shared" si="225"/>
        <v>51.52</v>
      </c>
      <c r="F334" s="17">
        <v>67709.9072</v>
      </c>
      <c r="G334" s="20">
        <f t="shared" si="226"/>
        <v>20.64</v>
      </c>
      <c r="H334" s="17">
        <v>159264.096</v>
      </c>
      <c r="I334" s="20">
        <f t="shared" si="227"/>
        <v>48.144</v>
      </c>
      <c r="J334" s="17">
        <v>19842.5585</v>
      </c>
      <c r="K334" s="20"/>
      <c r="L334" s="17">
        <v>98102.8224</v>
      </c>
      <c r="M334" s="20">
        <f>L334-L332</f>
        <v>126.1824</v>
      </c>
      <c r="N334" s="17">
        <v>110429.144</v>
      </c>
      <c r="O334" s="20">
        <f t="shared" si="228"/>
        <v>55.984</v>
      </c>
      <c r="P334" s="17">
        <v>173084.304</v>
      </c>
      <c r="Q334" s="20">
        <f t="shared" si="229"/>
        <v>75.168</v>
      </c>
      <c r="R334" s="17">
        <v>1008124.16</v>
      </c>
      <c r="T334" s="17">
        <v>56304.4416</v>
      </c>
      <c r="U334" s="18"/>
      <c r="V334" s="14"/>
    </row>
    <row r="335">
      <c r="A335" s="39">
        <v>46268.0</v>
      </c>
      <c r="B335" s="19"/>
      <c r="C335" s="42"/>
      <c r="D335" s="19"/>
      <c r="E335" s="20"/>
      <c r="F335" s="19"/>
      <c r="G335" s="20"/>
      <c r="H335" s="19"/>
      <c r="I335" s="20"/>
      <c r="J335" s="19"/>
      <c r="K335" s="20"/>
      <c r="L335" s="19"/>
      <c r="M335" s="20"/>
      <c r="N335" s="19"/>
      <c r="O335" s="20"/>
      <c r="P335" s="19"/>
      <c r="Q335" s="20"/>
      <c r="R335" s="19"/>
      <c r="T335" s="19"/>
      <c r="U335" s="18"/>
      <c r="V335" s="14"/>
    </row>
    <row r="336">
      <c r="A336" s="39">
        <v>46298.0</v>
      </c>
      <c r="B336" s="17">
        <v>271008.384</v>
      </c>
      <c r="C336" s="42">
        <f>B336-B334</f>
        <v>225.888</v>
      </c>
      <c r="D336" s="17">
        <v>149779.728</v>
      </c>
      <c r="E336" s="20">
        <f>D336-D334</f>
        <v>122.032</v>
      </c>
      <c r="F336" s="17">
        <v>67750.3232</v>
      </c>
      <c r="G336" s="20">
        <f>F336-F334</f>
        <v>40.416</v>
      </c>
      <c r="H336" s="17">
        <v>159357.344</v>
      </c>
      <c r="I336" s="20">
        <f>H336-H334</f>
        <v>93.248</v>
      </c>
      <c r="J336" s="17">
        <v>19886.6736</v>
      </c>
      <c r="K336" s="20"/>
      <c r="L336" s="17">
        <v>98210.592</v>
      </c>
      <c r="M336" s="20">
        <f>L336-L334</f>
        <v>107.7696</v>
      </c>
      <c r="N336" s="17">
        <v>110508.48</v>
      </c>
      <c r="O336" s="20">
        <f>N336-N334</f>
        <v>79.336</v>
      </c>
      <c r="P336" s="17">
        <v>173270.4</v>
      </c>
      <c r="Q336" s="20">
        <f>P336-P333</f>
        <v>261.264</v>
      </c>
      <c r="R336" s="20">
        <f>R330-R328</f>
        <v>374.16</v>
      </c>
      <c r="T336" s="17">
        <v>56312.9792</v>
      </c>
      <c r="U336" s="18"/>
      <c r="V336" s="14"/>
    </row>
    <row r="337">
      <c r="A337" s="39">
        <v>46329.0</v>
      </c>
      <c r="B337" s="17">
        <v>271170.4</v>
      </c>
      <c r="C337" s="42">
        <f t="shared" ref="C337:C340" si="230">B337-B336</f>
        <v>162.016</v>
      </c>
      <c r="D337" s="17">
        <v>149856.368</v>
      </c>
      <c r="E337" s="20">
        <f t="shared" ref="E337:E340" si="231">D337-D336</f>
        <v>76.64</v>
      </c>
      <c r="F337" s="17">
        <v>67767.912</v>
      </c>
      <c r="G337" s="20">
        <f t="shared" ref="G337:G340" si="232">F337-F336</f>
        <v>17.5888</v>
      </c>
      <c r="H337" s="17">
        <v>159411.344</v>
      </c>
      <c r="I337" s="20">
        <f>H337-H336</f>
        <v>54</v>
      </c>
      <c r="J337" s="17">
        <v>19916.4016</v>
      </c>
      <c r="K337" s="20"/>
      <c r="L337" s="17">
        <v>98290.5408</v>
      </c>
      <c r="M337" s="20">
        <f>L337-L336</f>
        <v>79.9488</v>
      </c>
      <c r="N337" s="17">
        <v>110569.616</v>
      </c>
      <c r="O337" s="20">
        <f t="shared" ref="O337:O340" si="233">N337-N336</f>
        <v>61.136</v>
      </c>
      <c r="P337" s="17">
        <v>173388.064</v>
      </c>
      <c r="Q337" s="20">
        <f t="shared" ref="Q337:Q340" si="234">P337-P336</f>
        <v>117.664</v>
      </c>
      <c r="R337" s="17">
        <v>1009327.76</v>
      </c>
      <c r="T337" s="17">
        <v>56318.6432</v>
      </c>
      <c r="U337" s="18"/>
      <c r="V337" s="14"/>
    </row>
    <row r="338">
      <c r="A338" s="39">
        <v>46359.0</v>
      </c>
      <c r="B338" s="17">
        <v>271233.208</v>
      </c>
      <c r="C338" s="42">
        <f t="shared" si="230"/>
        <v>62.808</v>
      </c>
      <c r="D338" s="17">
        <v>149927.552</v>
      </c>
      <c r="E338" s="20">
        <f t="shared" si="231"/>
        <v>71.184</v>
      </c>
      <c r="F338" s="17">
        <v>67786.6496</v>
      </c>
      <c r="G338" s="20">
        <f t="shared" si="232"/>
        <v>18.7376</v>
      </c>
      <c r="H338" s="17">
        <v>159473.488</v>
      </c>
      <c r="I338" s="20">
        <f>H338-H336</f>
        <v>116.144</v>
      </c>
      <c r="J338" s="17">
        <v>19950.5248</v>
      </c>
      <c r="K338" s="20"/>
      <c r="L338" s="17">
        <v>98371.4432</v>
      </c>
      <c r="M338" s="20">
        <f>L338-L336</f>
        <v>160.8512</v>
      </c>
      <c r="N338" s="17">
        <v>110628.008</v>
      </c>
      <c r="O338" s="20">
        <f t="shared" si="233"/>
        <v>58.392</v>
      </c>
      <c r="P338" s="17">
        <v>173485.04</v>
      </c>
      <c r="Q338" s="20">
        <f t="shared" si="234"/>
        <v>96.976</v>
      </c>
      <c r="R338" s="17">
        <v>1009822.64</v>
      </c>
      <c r="S338" s="20">
        <f t="shared" ref="S338:S341" si="235">R331-R330</f>
        <v>458.4</v>
      </c>
      <c r="T338" s="17">
        <v>56324.7232</v>
      </c>
      <c r="U338" s="18"/>
      <c r="V338" s="14"/>
    </row>
    <row r="339">
      <c r="A339" s="32" t="s">
        <v>205</v>
      </c>
      <c r="B339" s="17">
        <v>271486.432</v>
      </c>
      <c r="C339" s="42">
        <f t="shared" si="230"/>
        <v>253.224</v>
      </c>
      <c r="D339" s="17">
        <v>149981.6</v>
      </c>
      <c r="E339" s="20">
        <f t="shared" si="231"/>
        <v>54.048</v>
      </c>
      <c r="F339" s="17">
        <v>67806.864</v>
      </c>
      <c r="G339" s="20">
        <f t="shared" si="232"/>
        <v>20.2144</v>
      </c>
      <c r="H339" s="17">
        <v>159533.856</v>
      </c>
      <c r="I339" s="20">
        <f>H339-H338</f>
        <v>60.368</v>
      </c>
      <c r="J339" s="19"/>
      <c r="K339" s="20"/>
      <c r="L339" s="17">
        <v>98447.2128</v>
      </c>
      <c r="M339" s="20">
        <f>L339-L338</f>
        <v>75.7696</v>
      </c>
      <c r="N339" s="17">
        <v>110688.08</v>
      </c>
      <c r="O339" s="20">
        <f t="shared" si="233"/>
        <v>60.072</v>
      </c>
      <c r="P339" s="17">
        <v>173546.6</v>
      </c>
      <c r="Q339" s="20">
        <f t="shared" si="234"/>
        <v>61.56</v>
      </c>
      <c r="R339" s="17">
        <v>1010403.36</v>
      </c>
      <c r="S339" s="20">
        <f t="shared" si="235"/>
        <v>463.04</v>
      </c>
      <c r="T339" s="17">
        <v>56329.7794</v>
      </c>
      <c r="U339" s="18"/>
      <c r="V339" s="14"/>
    </row>
    <row r="340">
      <c r="A340" s="32" t="s">
        <v>206</v>
      </c>
      <c r="B340" s="17">
        <v>271594.208</v>
      </c>
      <c r="C340" s="42">
        <f t="shared" si="230"/>
        <v>107.776</v>
      </c>
      <c r="D340" s="17">
        <v>150049.08</v>
      </c>
      <c r="E340" s="20">
        <f t="shared" si="231"/>
        <v>67.48</v>
      </c>
      <c r="F340" s="17">
        <v>67825.4464</v>
      </c>
      <c r="G340" s="20">
        <f t="shared" si="232"/>
        <v>18.5824</v>
      </c>
      <c r="H340" s="17">
        <v>159595.808</v>
      </c>
      <c r="I340" s="20">
        <f>H340-H338</f>
        <v>122.32</v>
      </c>
      <c r="J340" s="17">
        <v>20004.7696</v>
      </c>
      <c r="K340" s="20"/>
      <c r="L340" s="17">
        <v>98515.0208</v>
      </c>
      <c r="M340" s="20">
        <f>L340-L338</f>
        <v>143.5776</v>
      </c>
      <c r="N340" s="17">
        <v>110743.64</v>
      </c>
      <c r="O340" s="20">
        <f t="shared" si="233"/>
        <v>55.56</v>
      </c>
      <c r="P340" s="17">
        <v>173637.632</v>
      </c>
      <c r="Q340" s="20">
        <f t="shared" si="234"/>
        <v>91.032</v>
      </c>
      <c r="R340" s="17">
        <v>1010954.16</v>
      </c>
      <c r="S340" s="20">
        <f t="shared" si="235"/>
        <v>454.16</v>
      </c>
      <c r="T340" s="17">
        <v>56336.4224</v>
      </c>
      <c r="U340" s="18"/>
      <c r="V340" s="14"/>
    </row>
    <row r="341">
      <c r="A341" s="32" t="s">
        <v>207</v>
      </c>
      <c r="B341" s="19"/>
      <c r="C341" s="42"/>
      <c r="D341" s="19"/>
      <c r="E341" s="20"/>
      <c r="F341" s="19"/>
      <c r="G341" s="20"/>
      <c r="H341" s="19"/>
      <c r="I341" s="20"/>
      <c r="J341" s="19"/>
      <c r="K341" s="20"/>
      <c r="L341" s="19"/>
      <c r="M341" s="20"/>
      <c r="N341" s="19"/>
      <c r="O341" s="20"/>
      <c r="P341" s="19"/>
      <c r="Q341" s="20"/>
      <c r="R341" s="19"/>
      <c r="S341" s="20">
        <f t="shared" si="235"/>
        <v>463.12</v>
      </c>
      <c r="T341" s="19"/>
      <c r="U341" s="18"/>
      <c r="V341" s="14"/>
    </row>
    <row r="342">
      <c r="A342" s="32" t="s">
        <v>208</v>
      </c>
      <c r="B342" s="17">
        <v>271688.899</v>
      </c>
      <c r="C342" s="42">
        <f>B342-B340</f>
        <v>94.691</v>
      </c>
      <c r="D342" s="17">
        <v>150235.936</v>
      </c>
      <c r="E342" s="20">
        <f>D342-D340</f>
        <v>186.856</v>
      </c>
      <c r="F342" s="17">
        <v>67863.6864</v>
      </c>
      <c r="G342" s="20">
        <f>F342-F340</f>
        <v>38.24</v>
      </c>
      <c r="H342" s="17">
        <v>159720.813</v>
      </c>
      <c r="I342" s="20">
        <f>H342-H340</f>
        <v>125.005</v>
      </c>
      <c r="J342" s="19"/>
      <c r="K342" s="20"/>
      <c r="L342" s="17">
        <v>98614.9136</v>
      </c>
      <c r="M342" s="20">
        <f>L342-L340</f>
        <v>99.8928</v>
      </c>
      <c r="N342" s="17">
        <v>110825.395</v>
      </c>
      <c r="O342" s="20">
        <f>N342-N340</f>
        <v>81.755</v>
      </c>
      <c r="P342" s="17">
        <v>173760.72</v>
      </c>
      <c r="Q342" s="20">
        <f>P342-P340</f>
        <v>123.088</v>
      </c>
      <c r="R342" s="17">
        <v>1011756.96</v>
      </c>
      <c r="S342" s="20"/>
      <c r="T342" s="17">
        <v>56346.624</v>
      </c>
      <c r="U342" s="18"/>
      <c r="V342" s="14"/>
    </row>
    <row r="343">
      <c r="A343" s="32" t="s">
        <v>209</v>
      </c>
      <c r="B343" s="17">
        <v>272010.4</v>
      </c>
      <c r="C343" s="42">
        <f t="shared" ref="C343:C348" si="236">B343-B342</f>
        <v>321.501</v>
      </c>
      <c r="D343" s="17">
        <v>150298.864</v>
      </c>
      <c r="E343" s="20">
        <f t="shared" ref="E343:E348" si="237">D343-D342</f>
        <v>62.928</v>
      </c>
      <c r="F343" s="17">
        <v>67883.702</v>
      </c>
      <c r="G343" s="20">
        <f t="shared" ref="G343:G348" si="238">F343-F342</f>
        <v>20.0156</v>
      </c>
      <c r="H343" s="17">
        <v>159776.384</v>
      </c>
      <c r="I343" s="20">
        <f t="shared" ref="I343:I348" si="239">H343-H342</f>
        <v>55.571</v>
      </c>
      <c r="J343" s="17">
        <v>20041.7952</v>
      </c>
      <c r="K343" s="20"/>
      <c r="L343" s="17">
        <v>98716.2886</v>
      </c>
      <c r="M343" s="20">
        <f>L343-L342</f>
        <v>101.375</v>
      </c>
      <c r="N343" s="19"/>
      <c r="O343" s="20"/>
      <c r="P343" s="17">
        <v>173830.384</v>
      </c>
      <c r="Q343" s="20">
        <f>P342</f>
        <v>173760.72</v>
      </c>
      <c r="R343" s="17">
        <v>1012207.04</v>
      </c>
      <c r="S343" s="20" t="str">
        <f>#REF!-R334</f>
        <v>#REF!</v>
      </c>
      <c r="T343" s="17">
        <v>56351.7084</v>
      </c>
      <c r="U343" s="18"/>
      <c r="V343" s="14"/>
    </row>
    <row r="344">
      <c r="A344" s="32" t="s">
        <v>210</v>
      </c>
      <c r="B344" s="17">
        <v>272173.792</v>
      </c>
      <c r="C344" s="42">
        <f t="shared" si="236"/>
        <v>163.392</v>
      </c>
      <c r="D344" s="17">
        <v>150355.28</v>
      </c>
      <c r="E344" s="20">
        <f t="shared" si="237"/>
        <v>56.416</v>
      </c>
      <c r="F344" s="17">
        <v>67900.8896</v>
      </c>
      <c r="G344" s="20">
        <f t="shared" si="238"/>
        <v>17.1876</v>
      </c>
      <c r="H344" s="17">
        <v>159845.072</v>
      </c>
      <c r="I344" s="20">
        <f t="shared" si="239"/>
        <v>68.688</v>
      </c>
      <c r="J344" s="17">
        <v>20074.7856</v>
      </c>
      <c r="K344" s="20"/>
      <c r="L344" s="17">
        <v>98772.96</v>
      </c>
      <c r="M344" s="20">
        <f>L344-L342</f>
        <v>158.0464</v>
      </c>
      <c r="N344" s="17">
        <v>110949.368</v>
      </c>
      <c r="O344" s="20">
        <f>N344-N342</f>
        <v>123.973</v>
      </c>
      <c r="P344" s="17">
        <v>173885.856</v>
      </c>
      <c r="Q344" s="20">
        <f t="shared" ref="Q344:Q348" si="240">P344-P343</f>
        <v>55.472</v>
      </c>
      <c r="R344" s="17">
        <v>1012681.28</v>
      </c>
      <c r="S344" s="20" t="str">
        <f>R337-#REF!</f>
        <v>#REF!</v>
      </c>
      <c r="T344" s="17">
        <v>56368.0608</v>
      </c>
      <c r="U344" s="18"/>
      <c r="V344" s="14"/>
    </row>
    <row r="345">
      <c r="A345" s="32" t="s">
        <v>211</v>
      </c>
      <c r="B345" s="17">
        <v>272344.544</v>
      </c>
      <c r="C345" s="42">
        <f t="shared" si="236"/>
        <v>170.752</v>
      </c>
      <c r="D345" s="17">
        <v>150418.4</v>
      </c>
      <c r="E345" s="20">
        <f t="shared" si="237"/>
        <v>63.12</v>
      </c>
      <c r="F345" s="17">
        <v>67916.4016</v>
      </c>
      <c r="G345" s="20">
        <f t="shared" si="238"/>
        <v>15.512</v>
      </c>
      <c r="H345" s="17">
        <v>159909.168</v>
      </c>
      <c r="I345" s="20">
        <f t="shared" si="239"/>
        <v>64.096</v>
      </c>
      <c r="J345" s="17">
        <v>20108.3328</v>
      </c>
      <c r="K345" s="20"/>
      <c r="L345" s="17">
        <v>98855.2258</v>
      </c>
      <c r="M345" s="20">
        <f>L345-L344</f>
        <v>82.2658</v>
      </c>
      <c r="N345" s="17">
        <v>111002.28</v>
      </c>
      <c r="O345" s="20">
        <f t="shared" ref="O345:O348" si="241">N345-N344</f>
        <v>52.912</v>
      </c>
      <c r="P345" s="17">
        <v>173978.368</v>
      </c>
      <c r="Q345" s="20">
        <f t="shared" si="240"/>
        <v>92.512</v>
      </c>
      <c r="R345" s="17">
        <v>1013162.24</v>
      </c>
      <c r="S345" s="20">
        <f t="shared" ref="S345:S347" si="242">R338-R337</f>
        <v>494.88</v>
      </c>
      <c r="T345" s="17">
        <v>56363.456</v>
      </c>
      <c r="U345" s="18"/>
      <c r="V345" s="14"/>
    </row>
    <row r="346">
      <c r="A346" s="32" t="s">
        <v>212</v>
      </c>
      <c r="B346" s="17">
        <v>272464.448</v>
      </c>
      <c r="C346" s="42">
        <f t="shared" si="236"/>
        <v>119.904</v>
      </c>
      <c r="D346" s="17">
        <v>150451.088</v>
      </c>
      <c r="E346" s="20">
        <f t="shared" si="237"/>
        <v>32.688</v>
      </c>
      <c r="F346" s="17">
        <v>67929.696</v>
      </c>
      <c r="G346" s="20">
        <f t="shared" si="238"/>
        <v>13.2944</v>
      </c>
      <c r="H346" s="17">
        <v>159962.784</v>
      </c>
      <c r="I346" s="20">
        <f t="shared" si="239"/>
        <v>53.616</v>
      </c>
      <c r="J346" s="17">
        <v>20129.5696</v>
      </c>
      <c r="K346" s="20"/>
      <c r="L346" s="17">
        <v>98904.8576</v>
      </c>
      <c r="M346" s="20">
        <f>L346-L344</f>
        <v>131.8976</v>
      </c>
      <c r="N346" s="17">
        <v>111039.432</v>
      </c>
      <c r="O346" s="20">
        <f t="shared" si="241"/>
        <v>37.152</v>
      </c>
      <c r="P346" s="17">
        <v>174028.048</v>
      </c>
      <c r="Q346" s="20">
        <f t="shared" si="240"/>
        <v>49.68</v>
      </c>
      <c r="R346" s="17">
        <v>1013459.52</v>
      </c>
      <c r="S346" s="20">
        <f t="shared" si="242"/>
        <v>580.72</v>
      </c>
      <c r="T346" s="17">
        <v>56367.6288</v>
      </c>
      <c r="U346" s="18"/>
      <c r="V346" s="14"/>
    </row>
    <row r="347">
      <c r="A347" s="32" t="s">
        <v>213</v>
      </c>
      <c r="B347" s="17">
        <v>272641.312</v>
      </c>
      <c r="C347" s="42">
        <f t="shared" si="236"/>
        <v>176.864</v>
      </c>
      <c r="D347" s="17">
        <v>150502.432</v>
      </c>
      <c r="E347" s="20">
        <f t="shared" si="237"/>
        <v>51.344</v>
      </c>
      <c r="F347" s="17">
        <v>67946.5792</v>
      </c>
      <c r="G347" s="20">
        <f t="shared" si="238"/>
        <v>16.8832</v>
      </c>
      <c r="H347" s="17">
        <v>160020.912</v>
      </c>
      <c r="I347" s="20">
        <f t="shared" si="239"/>
        <v>58.128</v>
      </c>
      <c r="J347" s="17">
        <v>20159.928</v>
      </c>
      <c r="K347" s="20"/>
      <c r="L347" s="17">
        <v>98991.8496</v>
      </c>
      <c r="M347" s="20">
        <f>L347-L346</f>
        <v>86.992</v>
      </c>
      <c r="N347" s="17">
        <v>111088.232</v>
      </c>
      <c r="O347" s="20">
        <f t="shared" si="241"/>
        <v>48.8</v>
      </c>
      <c r="P347" s="17">
        <v>174102.176</v>
      </c>
      <c r="Q347" s="18">
        <f t="shared" si="240"/>
        <v>74.128</v>
      </c>
      <c r="R347" s="17">
        <v>1013879.52</v>
      </c>
      <c r="S347" s="20">
        <f t="shared" si="242"/>
        <v>550.8</v>
      </c>
      <c r="T347" s="17">
        <v>56372.768</v>
      </c>
      <c r="U347" s="18"/>
      <c r="V347" s="14"/>
    </row>
    <row r="348">
      <c r="A348" s="32" t="s">
        <v>214</v>
      </c>
      <c r="B348" s="17">
        <v>272782.784</v>
      </c>
      <c r="C348" s="42">
        <f t="shared" si="236"/>
        <v>141.472</v>
      </c>
      <c r="D348" s="17">
        <v>150561.296</v>
      </c>
      <c r="E348" s="20">
        <f t="shared" si="237"/>
        <v>58.864</v>
      </c>
      <c r="F348" s="17">
        <v>67962.6496</v>
      </c>
      <c r="G348" s="20">
        <f t="shared" si="238"/>
        <v>16.0704</v>
      </c>
      <c r="H348" s="17">
        <v>160088.544</v>
      </c>
      <c r="I348" s="20">
        <f t="shared" si="239"/>
        <v>67.632</v>
      </c>
      <c r="J348" s="17">
        <v>20191.436</v>
      </c>
      <c r="K348" s="18"/>
      <c r="L348" s="17">
        <v>99041.0688</v>
      </c>
      <c r="M348" s="18">
        <f>L348-L346</f>
        <v>136.2112</v>
      </c>
      <c r="N348" s="17">
        <v>111141.944</v>
      </c>
      <c r="O348" s="20">
        <f t="shared" si="241"/>
        <v>53.712</v>
      </c>
      <c r="P348" s="17">
        <v>174178.768</v>
      </c>
      <c r="Q348" s="18">
        <f t="shared" si="240"/>
        <v>76.592</v>
      </c>
      <c r="R348" s="17">
        <v>1014228.64</v>
      </c>
      <c r="S348" s="20"/>
      <c r="T348" s="17">
        <v>56378.2592</v>
      </c>
      <c r="U348" s="18"/>
      <c r="V348" s="14"/>
    </row>
    <row r="349">
      <c r="A349" s="32" t="s">
        <v>215</v>
      </c>
      <c r="B349" s="17">
        <v>272883.232</v>
      </c>
      <c r="C349" s="18"/>
      <c r="D349" s="17">
        <v>150604.704</v>
      </c>
      <c r="E349" s="18"/>
      <c r="F349" s="17">
        <v>67975.7824</v>
      </c>
      <c r="G349" s="18"/>
      <c r="H349" s="17">
        <v>160140.416</v>
      </c>
      <c r="I349" s="18"/>
      <c r="J349" s="17">
        <v>20218.3648</v>
      </c>
      <c r="K349" s="18"/>
      <c r="L349" s="17">
        <v>99088.224</v>
      </c>
      <c r="M349" s="18"/>
      <c r="N349" s="17">
        <v>111161.016</v>
      </c>
      <c r="O349" s="18"/>
      <c r="P349" s="17">
        <v>174310.8912</v>
      </c>
      <c r="Q349" s="18"/>
      <c r="R349" s="17">
        <v>1014490.16</v>
      </c>
      <c r="S349" s="20"/>
      <c r="T349" s="17">
        <v>56383.2256</v>
      </c>
      <c r="U349" s="18"/>
      <c r="V349" s="14"/>
    </row>
    <row r="350">
      <c r="A350" s="32" t="s">
        <v>216</v>
      </c>
      <c r="B350" s="19"/>
      <c r="C350" s="18"/>
      <c r="D350" s="19"/>
      <c r="E350" s="18"/>
      <c r="F350" s="19"/>
      <c r="G350" s="18"/>
      <c r="H350" s="19"/>
      <c r="I350" s="18"/>
      <c r="J350" s="19"/>
      <c r="K350" s="18"/>
      <c r="L350" s="19"/>
      <c r="M350" s="18"/>
      <c r="N350" s="19"/>
      <c r="O350" s="18"/>
      <c r="P350" s="19"/>
      <c r="Q350" s="18"/>
      <c r="R350" s="19"/>
      <c r="S350" s="20"/>
      <c r="T350" s="19"/>
      <c r="U350" s="18"/>
      <c r="V350" s="14"/>
    </row>
    <row r="351">
      <c r="A351" s="32" t="s">
        <v>217</v>
      </c>
      <c r="B351" s="17">
        <v>273175.105</v>
      </c>
      <c r="C351" s="18">
        <f>B351-B349</f>
        <v>291.873</v>
      </c>
      <c r="D351" s="17">
        <v>150707.216</v>
      </c>
      <c r="E351" s="18">
        <f>D351-D349</f>
        <v>102.512</v>
      </c>
      <c r="F351" s="17">
        <v>68019.2256</v>
      </c>
      <c r="G351" s="18">
        <f>F351-F349</f>
        <v>43.4432</v>
      </c>
      <c r="H351" s="17">
        <v>160275.014</v>
      </c>
      <c r="I351" s="18">
        <f>H351-H349</f>
        <v>134.598</v>
      </c>
      <c r="J351" s="17">
        <v>20279.9296</v>
      </c>
      <c r="K351" s="18">
        <f>J351-J349</f>
        <v>61.5648</v>
      </c>
      <c r="L351" s="17">
        <v>99225.1584</v>
      </c>
      <c r="M351" s="18">
        <f>L351-L349</f>
        <v>136.9344</v>
      </c>
      <c r="N351" s="17">
        <v>111281.232</v>
      </c>
      <c r="O351" s="18">
        <f>N351-N349</f>
        <v>120.216</v>
      </c>
      <c r="P351" s="17">
        <v>174565.168</v>
      </c>
      <c r="Q351" s="18">
        <f>P351-P349</f>
        <v>254.2768</v>
      </c>
      <c r="R351" s="17">
        <v>1015440.72</v>
      </c>
      <c r="S351" s="20">
        <f>R351-R349</f>
        <v>950.56</v>
      </c>
      <c r="T351" s="17">
        <v>56393.6768</v>
      </c>
      <c r="U351" s="18">
        <f>T351-T349</f>
        <v>10.4512</v>
      </c>
      <c r="V351" s="14"/>
    </row>
    <row r="352">
      <c r="A352" s="32" t="s">
        <v>218</v>
      </c>
      <c r="B352" s="17">
        <v>273303.0</v>
      </c>
      <c r="C352" s="18">
        <f t="shared" ref="C352:C353" si="243">B352-B351</f>
        <v>127.895</v>
      </c>
      <c r="D352" s="17">
        <v>150780.048</v>
      </c>
      <c r="E352" s="18">
        <f t="shared" ref="E352:E353" si="244">D352-D351</f>
        <v>72.832</v>
      </c>
      <c r="F352" s="17">
        <v>68036.566</v>
      </c>
      <c r="G352" s="18">
        <f t="shared" ref="G352:G353" si="245">F352-F351</f>
        <v>17.3404</v>
      </c>
      <c r="H352" s="17">
        <v>160334.4</v>
      </c>
      <c r="I352" s="18">
        <f t="shared" ref="I352:I353" si="246">H352-H351</f>
        <v>59.386</v>
      </c>
      <c r="J352" s="17">
        <v>20315.168</v>
      </c>
      <c r="K352" s="18">
        <f t="shared" ref="K352:K353" si="247">J352-J351</f>
        <v>35.2384</v>
      </c>
      <c r="L352" s="17">
        <v>99304.8064</v>
      </c>
      <c r="M352" s="18">
        <f t="shared" ref="M352:M353" si="248">L352-L351</f>
        <v>79.648</v>
      </c>
      <c r="N352" s="17">
        <v>111361.598</v>
      </c>
      <c r="O352" s="18">
        <f t="shared" ref="O352:O353" si="249">N352-N351</f>
        <v>80.366</v>
      </c>
      <c r="P352" s="17">
        <v>174698.8</v>
      </c>
      <c r="Q352" s="18">
        <f t="shared" ref="Q352:Q353" si="250">P352-P351</f>
        <v>133.632</v>
      </c>
      <c r="R352" s="17">
        <v>1016020.96</v>
      </c>
      <c r="S352" s="20">
        <f t="shared" ref="S352:S353" si="251">R352-R351</f>
        <v>580.24</v>
      </c>
      <c r="T352" s="17">
        <v>56400.1536</v>
      </c>
      <c r="U352" s="18">
        <f t="shared" ref="U352:U353" si="252">T352-T351</f>
        <v>6.4768</v>
      </c>
      <c r="V352" s="14"/>
    </row>
    <row r="353">
      <c r="A353" s="32" t="s">
        <v>219</v>
      </c>
      <c r="B353" s="17">
        <v>273399.68</v>
      </c>
      <c r="C353" s="18">
        <f t="shared" si="243"/>
        <v>96.68</v>
      </c>
      <c r="D353" s="17">
        <v>150867.04</v>
      </c>
      <c r="E353" s="18">
        <f t="shared" si="244"/>
        <v>86.992</v>
      </c>
      <c r="F353" s="17">
        <v>68054.3808</v>
      </c>
      <c r="G353" s="18">
        <f t="shared" si="245"/>
        <v>17.8148</v>
      </c>
      <c r="H353" s="17">
        <v>160400.352</v>
      </c>
      <c r="I353" s="18">
        <f t="shared" si="246"/>
        <v>65.952</v>
      </c>
      <c r="J353" s="17">
        <v>20351.2416</v>
      </c>
      <c r="K353" s="18">
        <f t="shared" si="247"/>
        <v>36.0736</v>
      </c>
      <c r="L353" s="17">
        <v>99391.6416</v>
      </c>
      <c r="M353" s="18">
        <f t="shared" si="248"/>
        <v>86.8352</v>
      </c>
      <c r="N353" s="17">
        <v>111397.048</v>
      </c>
      <c r="O353" s="18">
        <f t="shared" si="249"/>
        <v>35.45</v>
      </c>
      <c r="P353" s="17">
        <v>174780.784</v>
      </c>
      <c r="Q353" s="18">
        <f t="shared" si="250"/>
        <v>81.984</v>
      </c>
      <c r="R353" s="17">
        <v>1016651.68</v>
      </c>
      <c r="S353" s="20">
        <f t="shared" si="251"/>
        <v>630.72</v>
      </c>
      <c r="T353" s="17">
        <v>56406.8992</v>
      </c>
      <c r="U353" s="18">
        <f t="shared" si="252"/>
        <v>6.7456</v>
      </c>
      <c r="V353" s="14"/>
    </row>
    <row r="354">
      <c r="A354" s="32" t="s">
        <v>220</v>
      </c>
      <c r="B354" s="19"/>
      <c r="C354" s="18"/>
      <c r="D354" s="19"/>
      <c r="E354" s="18"/>
      <c r="F354" s="19"/>
      <c r="G354" s="18"/>
      <c r="H354" s="19"/>
      <c r="I354" s="18"/>
      <c r="J354" s="19"/>
      <c r="K354" s="18"/>
      <c r="L354" s="19"/>
      <c r="M354" s="18"/>
      <c r="N354" s="19"/>
      <c r="O354" s="18"/>
      <c r="P354" s="19"/>
      <c r="Q354" s="18"/>
      <c r="R354" s="19"/>
      <c r="S354" s="20"/>
      <c r="T354" s="19"/>
      <c r="U354" s="18"/>
      <c r="V354" s="14"/>
    </row>
    <row r="355">
      <c r="A355" s="32" t="s">
        <v>221</v>
      </c>
      <c r="B355" s="19"/>
      <c r="C355" s="18"/>
      <c r="D355" s="19"/>
      <c r="E355" s="18"/>
      <c r="F355" s="19"/>
      <c r="G355" s="18"/>
      <c r="H355" s="19"/>
      <c r="I355" s="18"/>
      <c r="J355" s="19"/>
      <c r="K355" s="18"/>
      <c r="L355" s="19"/>
      <c r="M355" s="18"/>
      <c r="N355" s="19"/>
      <c r="O355" s="18"/>
      <c r="P355" s="19"/>
      <c r="Q355" s="18"/>
      <c r="R355" s="19"/>
      <c r="S355" s="18"/>
      <c r="T355" s="19"/>
      <c r="U355" s="18"/>
      <c r="V355" s="14"/>
    </row>
    <row r="356">
      <c r="A356" s="32" t="s">
        <v>222</v>
      </c>
      <c r="B356" s="19"/>
      <c r="C356" s="18"/>
      <c r="D356" s="19"/>
      <c r="E356" s="18"/>
      <c r="F356" s="19"/>
      <c r="G356" s="18"/>
      <c r="H356" s="19"/>
      <c r="I356" s="18"/>
      <c r="J356" s="19"/>
      <c r="K356" s="18"/>
      <c r="L356" s="19"/>
      <c r="M356" s="18"/>
      <c r="N356" s="19"/>
      <c r="O356" s="18"/>
      <c r="P356" s="19"/>
      <c r="Q356" s="18"/>
      <c r="R356" s="19"/>
      <c r="S356" s="18"/>
      <c r="T356" s="19"/>
      <c r="U356" s="18"/>
      <c r="V356" s="14"/>
    </row>
    <row r="357">
      <c r="A357" s="28"/>
      <c r="B357" s="19"/>
      <c r="C357" s="18"/>
      <c r="D357" s="19"/>
      <c r="E357" s="18"/>
      <c r="F357" s="19"/>
      <c r="G357" s="18"/>
      <c r="H357" s="19"/>
      <c r="I357" s="18"/>
      <c r="J357" s="19"/>
      <c r="K357" s="18"/>
      <c r="L357" s="19"/>
      <c r="M357" s="18"/>
      <c r="N357" s="19"/>
      <c r="O357" s="18"/>
      <c r="P357" s="19"/>
      <c r="Q357" s="18"/>
      <c r="R357" s="19"/>
      <c r="S357" s="18"/>
      <c r="T357" s="19"/>
      <c r="U357" s="18"/>
      <c r="V357" s="14"/>
    </row>
    <row r="358">
      <c r="A358" s="28"/>
      <c r="B358" s="19"/>
      <c r="C358" s="18"/>
      <c r="D358" s="19"/>
      <c r="E358" s="18"/>
      <c r="F358" s="19"/>
      <c r="G358" s="18"/>
      <c r="H358" s="19"/>
      <c r="I358" s="18"/>
      <c r="J358" s="19"/>
      <c r="K358" s="18"/>
      <c r="L358" s="19"/>
      <c r="M358" s="18"/>
      <c r="N358" s="19"/>
      <c r="O358" s="18"/>
      <c r="P358" s="19"/>
      <c r="Q358" s="18"/>
      <c r="R358" s="19"/>
      <c r="S358" s="18"/>
      <c r="T358" s="19"/>
      <c r="U358" s="18"/>
      <c r="V358" s="14"/>
    </row>
    <row r="359">
      <c r="A359" s="28"/>
      <c r="B359" s="19"/>
      <c r="C359" s="18"/>
      <c r="D359" s="19"/>
      <c r="E359" s="18"/>
      <c r="F359" s="19"/>
      <c r="G359" s="18"/>
      <c r="H359" s="19"/>
      <c r="I359" s="18"/>
      <c r="J359" s="19"/>
      <c r="K359" s="18"/>
      <c r="L359" s="19"/>
      <c r="M359" s="18"/>
      <c r="N359" s="19"/>
      <c r="O359" s="18"/>
      <c r="P359" s="19"/>
      <c r="Q359" s="18"/>
      <c r="R359" s="19"/>
      <c r="S359" s="18"/>
      <c r="T359" s="19"/>
      <c r="U359" s="18"/>
      <c r="V359" s="14"/>
    </row>
    <row r="360">
      <c r="A360" s="28"/>
      <c r="B360" s="19"/>
      <c r="C360" s="18"/>
      <c r="D360" s="19"/>
      <c r="E360" s="18"/>
      <c r="F360" s="19"/>
      <c r="G360" s="18"/>
      <c r="H360" s="19"/>
      <c r="I360" s="18"/>
      <c r="J360" s="19"/>
      <c r="K360" s="18"/>
      <c r="L360" s="19"/>
      <c r="M360" s="18"/>
      <c r="N360" s="19"/>
      <c r="O360" s="18"/>
      <c r="P360" s="19"/>
      <c r="Q360" s="18"/>
      <c r="R360" s="19"/>
      <c r="S360" s="18"/>
      <c r="T360" s="19"/>
      <c r="U360" s="18"/>
      <c r="V360" s="14"/>
    </row>
    <row r="361">
      <c r="A361" s="28"/>
      <c r="B361" s="19"/>
      <c r="C361" s="18"/>
      <c r="D361" s="19"/>
      <c r="E361" s="18"/>
      <c r="F361" s="19"/>
      <c r="G361" s="18"/>
      <c r="H361" s="19"/>
      <c r="I361" s="18"/>
      <c r="J361" s="19"/>
      <c r="K361" s="18"/>
      <c r="L361" s="19"/>
      <c r="M361" s="18"/>
      <c r="N361" s="19"/>
      <c r="O361" s="18"/>
      <c r="P361" s="19"/>
      <c r="Q361" s="18"/>
      <c r="R361" s="19"/>
      <c r="S361" s="18"/>
      <c r="T361" s="19"/>
      <c r="U361" s="18"/>
      <c r="V361" s="14"/>
    </row>
    <row r="362">
      <c r="A362" s="28"/>
      <c r="B362" s="19"/>
      <c r="C362" s="18"/>
      <c r="D362" s="19"/>
      <c r="E362" s="18"/>
      <c r="F362" s="19"/>
      <c r="G362" s="18"/>
      <c r="H362" s="19"/>
      <c r="I362" s="18"/>
      <c r="J362" s="19"/>
      <c r="K362" s="18"/>
      <c r="L362" s="19"/>
      <c r="M362" s="18"/>
      <c r="N362" s="19"/>
      <c r="O362" s="18"/>
      <c r="P362" s="19"/>
      <c r="Q362" s="18"/>
      <c r="R362" s="19"/>
      <c r="S362" s="18"/>
      <c r="T362" s="19"/>
      <c r="U362" s="18"/>
      <c r="V362" s="14"/>
    </row>
    <row r="363">
      <c r="A363" s="28"/>
      <c r="B363" s="19"/>
      <c r="C363" s="18"/>
      <c r="D363" s="19"/>
      <c r="E363" s="18"/>
      <c r="F363" s="19"/>
      <c r="G363" s="18"/>
      <c r="H363" s="19"/>
      <c r="I363" s="18"/>
      <c r="J363" s="19"/>
      <c r="K363" s="18"/>
      <c r="L363" s="19"/>
      <c r="M363" s="18"/>
      <c r="N363" s="19"/>
      <c r="O363" s="18"/>
      <c r="P363" s="19"/>
      <c r="Q363" s="18"/>
      <c r="R363" s="19"/>
      <c r="S363" s="18"/>
      <c r="T363" s="19"/>
      <c r="U363" s="18"/>
      <c r="V363" s="14"/>
    </row>
    <row r="364">
      <c r="A364" s="28"/>
      <c r="B364" s="19"/>
      <c r="C364" s="18"/>
      <c r="D364" s="19"/>
      <c r="E364" s="18"/>
      <c r="F364" s="19"/>
      <c r="G364" s="18"/>
      <c r="H364" s="19"/>
      <c r="I364" s="18"/>
      <c r="J364" s="19"/>
      <c r="K364" s="18"/>
      <c r="L364" s="19"/>
      <c r="M364" s="18"/>
      <c r="N364" s="19"/>
      <c r="O364" s="18"/>
      <c r="P364" s="19"/>
      <c r="Q364" s="18"/>
      <c r="R364" s="19"/>
      <c r="S364" s="18"/>
      <c r="T364" s="19"/>
      <c r="U364" s="18"/>
      <c r="V364" s="14"/>
    </row>
    <row r="365">
      <c r="A365" s="28"/>
      <c r="B365" s="19"/>
      <c r="C365" s="18"/>
      <c r="D365" s="19"/>
      <c r="E365" s="18"/>
      <c r="F365" s="19"/>
      <c r="G365" s="18"/>
      <c r="H365" s="19"/>
      <c r="I365" s="18"/>
      <c r="J365" s="19"/>
      <c r="K365" s="18"/>
      <c r="L365" s="19"/>
      <c r="M365" s="18"/>
      <c r="N365" s="19"/>
      <c r="O365" s="18"/>
      <c r="P365" s="19"/>
      <c r="Q365" s="18"/>
      <c r="R365" s="19"/>
      <c r="S365" s="18"/>
      <c r="T365" s="19"/>
      <c r="U365" s="18"/>
      <c r="V365" s="14"/>
    </row>
    <row r="366">
      <c r="A366" s="28"/>
      <c r="B366" s="19"/>
      <c r="C366" s="18"/>
      <c r="D366" s="19"/>
      <c r="E366" s="18"/>
      <c r="F366" s="19"/>
      <c r="G366" s="18"/>
      <c r="H366" s="19"/>
      <c r="I366" s="18"/>
      <c r="J366" s="19"/>
      <c r="K366" s="18"/>
      <c r="L366" s="19"/>
      <c r="M366" s="18"/>
      <c r="N366" s="19"/>
      <c r="O366" s="18"/>
      <c r="P366" s="19"/>
      <c r="Q366" s="18"/>
      <c r="R366" s="19"/>
      <c r="S366" s="18"/>
      <c r="T366" s="19"/>
      <c r="U366" s="18"/>
      <c r="V366" s="14"/>
    </row>
    <row r="367">
      <c r="A367" s="28"/>
      <c r="B367" s="19"/>
      <c r="C367" s="18"/>
      <c r="D367" s="19"/>
      <c r="E367" s="18"/>
      <c r="F367" s="19"/>
      <c r="G367" s="18"/>
      <c r="H367" s="19"/>
      <c r="I367" s="18"/>
      <c r="J367" s="19"/>
      <c r="K367" s="18"/>
      <c r="L367" s="19"/>
      <c r="M367" s="18"/>
      <c r="N367" s="19"/>
      <c r="O367" s="18"/>
      <c r="P367" s="19"/>
      <c r="Q367" s="18"/>
      <c r="R367" s="19"/>
      <c r="S367" s="18"/>
      <c r="T367" s="19"/>
      <c r="U367" s="18"/>
      <c r="V367" s="14"/>
    </row>
    <row r="368">
      <c r="A368" s="28"/>
      <c r="B368" s="19"/>
      <c r="C368" s="18"/>
      <c r="D368" s="19"/>
      <c r="E368" s="18"/>
      <c r="F368" s="19"/>
      <c r="G368" s="18"/>
      <c r="H368" s="19"/>
      <c r="I368" s="18"/>
      <c r="J368" s="19"/>
      <c r="K368" s="18"/>
      <c r="L368" s="19"/>
      <c r="M368" s="18"/>
      <c r="N368" s="19"/>
      <c r="O368" s="18"/>
      <c r="P368" s="19"/>
      <c r="Q368" s="18"/>
      <c r="R368" s="19"/>
      <c r="S368" s="18"/>
      <c r="T368" s="19"/>
      <c r="U368" s="18"/>
      <c r="V368" s="14"/>
    </row>
    <row r="369">
      <c r="A369" s="28"/>
      <c r="B369" s="19"/>
      <c r="C369" s="18"/>
      <c r="D369" s="19"/>
      <c r="E369" s="18"/>
      <c r="F369" s="19"/>
      <c r="G369" s="18"/>
      <c r="H369" s="19"/>
      <c r="I369" s="18"/>
      <c r="J369" s="19"/>
      <c r="K369" s="18"/>
      <c r="L369" s="19"/>
      <c r="M369" s="18"/>
      <c r="N369" s="19"/>
      <c r="O369" s="18"/>
      <c r="P369" s="19"/>
      <c r="Q369" s="18"/>
      <c r="R369" s="19"/>
      <c r="S369" s="18"/>
      <c r="T369" s="19"/>
      <c r="U369" s="18"/>
      <c r="V369" s="14"/>
    </row>
    <row r="370">
      <c r="A370" s="28"/>
      <c r="B370" s="19"/>
      <c r="C370" s="18"/>
      <c r="D370" s="19"/>
      <c r="E370" s="18"/>
      <c r="F370" s="19"/>
      <c r="G370" s="18"/>
      <c r="H370" s="19"/>
      <c r="I370" s="18"/>
      <c r="J370" s="19"/>
      <c r="K370" s="18"/>
      <c r="L370" s="19"/>
      <c r="M370" s="18"/>
      <c r="N370" s="19"/>
      <c r="O370" s="18"/>
      <c r="P370" s="19"/>
      <c r="Q370" s="18"/>
      <c r="R370" s="19"/>
      <c r="S370" s="18"/>
      <c r="T370" s="19"/>
      <c r="U370" s="18"/>
      <c r="V370" s="14"/>
    </row>
    <row r="371">
      <c r="A371" s="28"/>
      <c r="B371" s="19"/>
      <c r="C371" s="18"/>
      <c r="D371" s="19"/>
      <c r="E371" s="18"/>
      <c r="F371" s="19"/>
      <c r="G371" s="18"/>
      <c r="H371" s="19"/>
      <c r="I371" s="18"/>
      <c r="J371" s="19"/>
      <c r="K371" s="18"/>
      <c r="L371" s="19"/>
      <c r="M371" s="18"/>
      <c r="N371" s="19"/>
      <c r="O371" s="18"/>
      <c r="P371" s="19"/>
      <c r="Q371" s="18"/>
      <c r="R371" s="19"/>
      <c r="S371" s="18"/>
      <c r="T371" s="19"/>
      <c r="U371" s="18"/>
      <c r="V371" s="14"/>
    </row>
    <row r="372">
      <c r="A372" s="28"/>
      <c r="B372" s="19"/>
      <c r="C372" s="18"/>
      <c r="D372" s="19"/>
      <c r="E372" s="18"/>
      <c r="F372" s="19"/>
      <c r="G372" s="18"/>
      <c r="H372" s="19"/>
      <c r="I372" s="18"/>
      <c r="J372" s="19"/>
      <c r="K372" s="18"/>
      <c r="L372" s="19"/>
      <c r="M372" s="18"/>
      <c r="N372" s="19"/>
      <c r="O372" s="18"/>
      <c r="P372" s="19"/>
      <c r="Q372" s="18"/>
      <c r="R372" s="19"/>
      <c r="S372" s="18"/>
      <c r="T372" s="19"/>
      <c r="U372" s="18"/>
      <c r="V372" s="14"/>
    </row>
    <row r="373">
      <c r="A373" s="28"/>
      <c r="B373" s="19"/>
      <c r="C373" s="18"/>
      <c r="D373" s="19"/>
      <c r="E373" s="18"/>
      <c r="F373" s="19"/>
      <c r="G373" s="18"/>
      <c r="H373" s="19"/>
      <c r="I373" s="18"/>
      <c r="J373" s="19"/>
      <c r="K373" s="18"/>
      <c r="L373" s="19"/>
      <c r="M373" s="18"/>
      <c r="N373" s="19"/>
      <c r="O373" s="18"/>
      <c r="P373" s="19"/>
      <c r="Q373" s="18"/>
      <c r="R373" s="19"/>
      <c r="S373" s="18"/>
      <c r="T373" s="19"/>
      <c r="U373" s="18"/>
      <c r="V373" s="14"/>
    </row>
    <row r="374">
      <c r="A374" s="28"/>
      <c r="B374" s="19"/>
      <c r="C374" s="18"/>
      <c r="D374" s="19"/>
      <c r="E374" s="18"/>
      <c r="F374" s="19"/>
      <c r="G374" s="18"/>
      <c r="H374" s="19"/>
      <c r="I374" s="18"/>
      <c r="J374" s="19"/>
      <c r="K374" s="18"/>
      <c r="L374" s="19"/>
      <c r="M374" s="18"/>
      <c r="N374" s="19"/>
      <c r="O374" s="18"/>
      <c r="P374" s="19"/>
      <c r="Q374" s="18"/>
      <c r="R374" s="19"/>
      <c r="S374" s="18"/>
      <c r="T374" s="19"/>
      <c r="U374" s="18"/>
      <c r="V374" s="14"/>
    </row>
    <row r="375">
      <c r="A375" s="28"/>
      <c r="B375" s="19"/>
      <c r="C375" s="18"/>
      <c r="D375" s="19"/>
      <c r="E375" s="18"/>
      <c r="F375" s="19"/>
      <c r="G375" s="18"/>
      <c r="H375" s="19"/>
      <c r="I375" s="18"/>
      <c r="J375" s="19"/>
      <c r="K375" s="18"/>
      <c r="L375" s="19"/>
      <c r="M375" s="18"/>
      <c r="N375" s="19"/>
      <c r="O375" s="18"/>
      <c r="P375" s="19"/>
      <c r="Q375" s="18"/>
      <c r="R375" s="19"/>
      <c r="S375" s="18"/>
      <c r="T375" s="19"/>
      <c r="U375" s="18"/>
      <c r="V375" s="14"/>
    </row>
    <row r="376">
      <c r="A376" s="28"/>
      <c r="B376" s="19"/>
      <c r="C376" s="18"/>
      <c r="D376" s="19"/>
      <c r="E376" s="18"/>
      <c r="F376" s="19"/>
      <c r="G376" s="18"/>
      <c r="H376" s="19"/>
      <c r="I376" s="18"/>
      <c r="J376" s="19"/>
      <c r="K376" s="18"/>
      <c r="L376" s="19"/>
      <c r="M376" s="18"/>
      <c r="N376" s="19"/>
      <c r="O376" s="18"/>
      <c r="P376" s="19"/>
      <c r="Q376" s="18"/>
      <c r="R376" s="19"/>
      <c r="S376" s="18"/>
      <c r="T376" s="19"/>
      <c r="U376" s="18"/>
      <c r="V376" s="14"/>
    </row>
    <row r="377">
      <c r="A377" s="28"/>
      <c r="B377" s="19"/>
      <c r="C377" s="18"/>
      <c r="D377" s="19"/>
      <c r="E377" s="18"/>
      <c r="F377" s="19"/>
      <c r="G377" s="18"/>
      <c r="H377" s="19"/>
      <c r="I377" s="18"/>
      <c r="J377" s="19"/>
      <c r="K377" s="18"/>
      <c r="L377" s="19"/>
      <c r="M377" s="18"/>
      <c r="N377" s="19"/>
      <c r="O377" s="18"/>
      <c r="P377" s="19"/>
      <c r="Q377" s="18"/>
      <c r="R377" s="19"/>
      <c r="S377" s="18"/>
      <c r="T377" s="19"/>
      <c r="U377" s="18"/>
      <c r="V377" s="14"/>
    </row>
    <row r="378">
      <c r="A378" s="28"/>
      <c r="B378" s="19"/>
      <c r="C378" s="18"/>
      <c r="D378" s="19"/>
      <c r="E378" s="18"/>
      <c r="F378" s="19"/>
      <c r="G378" s="18"/>
      <c r="H378" s="19"/>
      <c r="I378" s="18"/>
      <c r="J378" s="19"/>
      <c r="K378" s="18"/>
      <c r="L378" s="19"/>
      <c r="M378" s="18"/>
      <c r="N378" s="19"/>
      <c r="O378" s="18"/>
      <c r="P378" s="19"/>
      <c r="Q378" s="18"/>
      <c r="R378" s="19"/>
      <c r="S378" s="18"/>
      <c r="T378" s="19"/>
      <c r="U378" s="18"/>
      <c r="V378" s="14"/>
    </row>
    <row r="379">
      <c r="A379" s="28"/>
      <c r="B379" s="19"/>
      <c r="C379" s="18"/>
      <c r="D379" s="19"/>
      <c r="E379" s="18"/>
      <c r="F379" s="19"/>
      <c r="G379" s="18"/>
      <c r="H379" s="19"/>
      <c r="I379" s="18"/>
      <c r="J379" s="19"/>
      <c r="K379" s="18"/>
      <c r="L379" s="19"/>
      <c r="M379" s="18"/>
      <c r="N379" s="19"/>
      <c r="O379" s="18"/>
      <c r="P379" s="19"/>
      <c r="Q379" s="18"/>
      <c r="R379" s="19"/>
      <c r="S379" s="18"/>
      <c r="T379" s="19"/>
      <c r="U379" s="18"/>
      <c r="V379" s="14"/>
    </row>
    <row r="380">
      <c r="A380" s="28"/>
      <c r="B380" s="19"/>
      <c r="C380" s="18"/>
      <c r="D380" s="19"/>
      <c r="E380" s="18"/>
      <c r="F380" s="19"/>
      <c r="G380" s="18"/>
      <c r="H380" s="19"/>
      <c r="I380" s="18"/>
      <c r="J380" s="19"/>
      <c r="K380" s="18"/>
      <c r="L380" s="19"/>
      <c r="M380" s="18"/>
      <c r="N380" s="19"/>
      <c r="O380" s="18"/>
      <c r="P380" s="19"/>
      <c r="Q380" s="18"/>
      <c r="R380" s="19"/>
      <c r="S380" s="18"/>
      <c r="T380" s="19"/>
      <c r="U380" s="18"/>
      <c r="V380" s="14"/>
    </row>
    <row r="381">
      <c r="A381" s="28"/>
      <c r="B381" s="19"/>
      <c r="C381" s="18"/>
      <c r="D381" s="19"/>
      <c r="E381" s="18"/>
      <c r="F381" s="19"/>
      <c r="G381" s="18"/>
      <c r="H381" s="19"/>
      <c r="I381" s="18"/>
      <c r="J381" s="19"/>
      <c r="K381" s="18"/>
      <c r="L381" s="19"/>
      <c r="M381" s="18"/>
      <c r="N381" s="19"/>
      <c r="O381" s="18"/>
      <c r="P381" s="19"/>
      <c r="Q381" s="18"/>
      <c r="R381" s="19"/>
      <c r="S381" s="18"/>
      <c r="T381" s="19"/>
      <c r="U381" s="18"/>
      <c r="V381" s="14"/>
    </row>
    <row r="382">
      <c r="A382" s="28"/>
      <c r="B382" s="19"/>
      <c r="C382" s="18"/>
      <c r="D382" s="19"/>
      <c r="E382" s="18"/>
      <c r="F382" s="19"/>
      <c r="G382" s="18"/>
      <c r="H382" s="19"/>
      <c r="I382" s="18"/>
      <c r="J382" s="19"/>
      <c r="K382" s="18"/>
      <c r="L382" s="19"/>
      <c r="M382" s="18"/>
      <c r="N382" s="19"/>
      <c r="O382" s="18"/>
      <c r="P382" s="19"/>
      <c r="Q382" s="18"/>
      <c r="R382" s="19"/>
      <c r="S382" s="18"/>
      <c r="T382" s="19"/>
      <c r="U382" s="18"/>
      <c r="V382" s="14"/>
    </row>
    <row r="383">
      <c r="A383" s="28"/>
      <c r="B383" s="19"/>
      <c r="C383" s="18"/>
      <c r="D383" s="19"/>
      <c r="E383" s="18"/>
      <c r="F383" s="19"/>
      <c r="G383" s="18"/>
      <c r="H383" s="19"/>
      <c r="I383" s="18"/>
      <c r="J383" s="19"/>
      <c r="K383" s="18"/>
      <c r="L383" s="19"/>
      <c r="M383" s="18"/>
      <c r="N383" s="19"/>
      <c r="O383" s="18"/>
      <c r="P383" s="19"/>
      <c r="Q383" s="18"/>
      <c r="R383" s="19"/>
      <c r="S383" s="18"/>
      <c r="T383" s="19"/>
      <c r="U383" s="18"/>
      <c r="V383" s="14"/>
    </row>
    <row r="384">
      <c r="A384" s="28"/>
      <c r="B384" s="19"/>
      <c r="C384" s="18"/>
      <c r="D384" s="19"/>
      <c r="E384" s="18"/>
      <c r="F384" s="19"/>
      <c r="G384" s="18"/>
      <c r="H384" s="19"/>
      <c r="I384" s="18"/>
      <c r="J384" s="19"/>
      <c r="K384" s="18"/>
      <c r="L384" s="19"/>
      <c r="M384" s="18"/>
      <c r="N384" s="19"/>
      <c r="O384" s="18"/>
      <c r="P384" s="19"/>
      <c r="Q384" s="18"/>
      <c r="R384" s="19"/>
      <c r="S384" s="18"/>
      <c r="T384" s="19"/>
      <c r="U384" s="18"/>
      <c r="V384" s="14"/>
    </row>
    <row r="385">
      <c r="A385" s="28"/>
      <c r="B385" s="19"/>
      <c r="C385" s="18"/>
      <c r="D385" s="19"/>
      <c r="E385" s="18"/>
      <c r="F385" s="19"/>
      <c r="G385" s="18"/>
      <c r="H385" s="19"/>
      <c r="I385" s="18"/>
      <c r="J385" s="19"/>
      <c r="K385" s="18"/>
      <c r="L385" s="19"/>
      <c r="M385" s="18"/>
      <c r="N385" s="19"/>
      <c r="O385" s="18"/>
      <c r="P385" s="19"/>
      <c r="Q385" s="18"/>
      <c r="R385" s="19"/>
      <c r="S385" s="18"/>
      <c r="T385" s="19"/>
      <c r="U385" s="18"/>
      <c r="V385" s="14"/>
    </row>
    <row r="386">
      <c r="A386" s="28"/>
      <c r="B386" s="19"/>
      <c r="C386" s="18"/>
      <c r="D386" s="19"/>
      <c r="E386" s="18"/>
      <c r="F386" s="19"/>
      <c r="G386" s="18"/>
      <c r="H386" s="19"/>
      <c r="I386" s="18"/>
      <c r="J386" s="19"/>
      <c r="K386" s="18"/>
      <c r="L386" s="19"/>
      <c r="M386" s="18"/>
      <c r="N386" s="19"/>
      <c r="O386" s="18"/>
      <c r="P386" s="19"/>
      <c r="Q386" s="18"/>
      <c r="R386" s="19"/>
      <c r="S386" s="18"/>
      <c r="T386" s="19"/>
      <c r="U386" s="18"/>
      <c r="V386" s="14"/>
    </row>
    <row r="387">
      <c r="A387" s="28"/>
      <c r="B387" s="19"/>
      <c r="C387" s="18"/>
      <c r="D387" s="19"/>
      <c r="E387" s="18"/>
      <c r="F387" s="19"/>
      <c r="G387" s="18"/>
      <c r="H387" s="19"/>
      <c r="I387" s="18"/>
      <c r="J387" s="19"/>
      <c r="K387" s="18"/>
      <c r="L387" s="19"/>
      <c r="M387" s="18"/>
      <c r="N387" s="19"/>
      <c r="O387" s="18"/>
      <c r="P387" s="19"/>
      <c r="Q387" s="18"/>
      <c r="R387" s="19"/>
      <c r="S387" s="18"/>
      <c r="T387" s="19"/>
      <c r="U387" s="18"/>
      <c r="V387" s="14"/>
    </row>
    <row r="388">
      <c r="A388" s="28"/>
      <c r="B388" s="19"/>
      <c r="C388" s="18"/>
      <c r="D388" s="19"/>
      <c r="E388" s="18"/>
      <c r="F388" s="19"/>
      <c r="G388" s="18"/>
      <c r="H388" s="19"/>
      <c r="I388" s="18"/>
      <c r="J388" s="19"/>
      <c r="K388" s="18"/>
      <c r="L388" s="19"/>
      <c r="M388" s="18"/>
      <c r="N388" s="19"/>
      <c r="O388" s="18"/>
      <c r="P388" s="19"/>
      <c r="Q388" s="18"/>
      <c r="R388" s="19"/>
      <c r="S388" s="18"/>
      <c r="T388" s="19"/>
      <c r="U388" s="18"/>
      <c r="V388" s="14"/>
    </row>
    <row r="389">
      <c r="A389" s="28"/>
      <c r="B389" s="19"/>
      <c r="C389" s="18"/>
      <c r="D389" s="19"/>
      <c r="E389" s="18"/>
      <c r="F389" s="19"/>
      <c r="G389" s="18"/>
      <c r="H389" s="19"/>
      <c r="I389" s="18"/>
      <c r="J389" s="19"/>
      <c r="K389" s="18"/>
      <c r="L389" s="19"/>
      <c r="M389" s="18"/>
      <c r="N389" s="19"/>
      <c r="O389" s="18"/>
      <c r="P389" s="19"/>
      <c r="Q389" s="18"/>
      <c r="R389" s="19"/>
      <c r="S389" s="18"/>
      <c r="T389" s="19"/>
      <c r="U389" s="18"/>
      <c r="V389" s="14"/>
    </row>
    <row r="390">
      <c r="A390" s="28"/>
      <c r="B390" s="19"/>
      <c r="C390" s="18"/>
      <c r="D390" s="19"/>
      <c r="E390" s="18"/>
      <c r="F390" s="19"/>
      <c r="G390" s="18"/>
      <c r="H390" s="19"/>
      <c r="I390" s="18"/>
      <c r="J390" s="19"/>
      <c r="K390" s="18"/>
      <c r="L390" s="19"/>
      <c r="M390" s="18"/>
      <c r="N390" s="19"/>
      <c r="O390" s="18"/>
      <c r="P390" s="19"/>
      <c r="Q390" s="18"/>
      <c r="R390" s="19"/>
      <c r="S390" s="18"/>
      <c r="T390" s="19"/>
      <c r="U390" s="18"/>
      <c r="V390" s="14"/>
    </row>
    <row r="391">
      <c r="A391" s="28"/>
      <c r="B391" s="19"/>
      <c r="C391" s="18"/>
      <c r="D391" s="19"/>
      <c r="E391" s="18"/>
      <c r="F391" s="19"/>
      <c r="G391" s="18"/>
      <c r="H391" s="19"/>
      <c r="I391" s="18"/>
      <c r="J391" s="19"/>
      <c r="K391" s="18"/>
      <c r="L391" s="19"/>
      <c r="M391" s="18"/>
      <c r="N391" s="19"/>
      <c r="O391" s="18"/>
      <c r="P391" s="19"/>
      <c r="Q391" s="18"/>
      <c r="R391" s="19"/>
      <c r="S391" s="18"/>
      <c r="T391" s="19"/>
      <c r="U391" s="18"/>
      <c r="V391" s="14"/>
    </row>
    <row r="392">
      <c r="A392" s="28"/>
      <c r="B392" s="19"/>
      <c r="C392" s="18"/>
      <c r="D392" s="19"/>
      <c r="E392" s="18"/>
      <c r="F392" s="19"/>
      <c r="G392" s="18"/>
      <c r="H392" s="19"/>
      <c r="I392" s="18"/>
      <c r="J392" s="19"/>
      <c r="K392" s="18"/>
      <c r="L392" s="19"/>
      <c r="M392" s="18"/>
      <c r="N392" s="19"/>
      <c r="O392" s="18"/>
      <c r="P392" s="19"/>
      <c r="Q392" s="18"/>
      <c r="R392" s="19"/>
      <c r="S392" s="18"/>
      <c r="T392" s="19"/>
      <c r="U392" s="18"/>
      <c r="V392" s="14"/>
    </row>
    <row r="393">
      <c r="A393" s="28"/>
      <c r="B393" s="19"/>
      <c r="C393" s="18"/>
      <c r="D393" s="19"/>
      <c r="E393" s="18"/>
      <c r="F393" s="19"/>
      <c r="G393" s="18"/>
      <c r="H393" s="19"/>
      <c r="I393" s="18"/>
      <c r="J393" s="19"/>
      <c r="K393" s="18"/>
      <c r="L393" s="19"/>
      <c r="M393" s="18"/>
      <c r="N393" s="19"/>
      <c r="O393" s="18"/>
      <c r="P393" s="19"/>
      <c r="Q393" s="18"/>
      <c r="R393" s="19"/>
      <c r="S393" s="18"/>
      <c r="T393" s="19"/>
      <c r="U393" s="18"/>
      <c r="V393" s="14"/>
    </row>
    <row r="394">
      <c r="A394" s="28"/>
      <c r="B394" s="19"/>
      <c r="C394" s="18"/>
      <c r="D394" s="19"/>
      <c r="E394" s="18"/>
      <c r="F394" s="19"/>
      <c r="G394" s="18"/>
      <c r="H394" s="19"/>
      <c r="I394" s="18"/>
      <c r="J394" s="19"/>
      <c r="K394" s="18"/>
      <c r="L394" s="19"/>
      <c r="M394" s="18"/>
      <c r="N394" s="19"/>
      <c r="O394" s="18"/>
      <c r="P394" s="19"/>
      <c r="Q394" s="18"/>
      <c r="R394" s="19"/>
      <c r="S394" s="18"/>
      <c r="T394" s="19"/>
      <c r="U394" s="18"/>
      <c r="V394" s="14"/>
    </row>
    <row r="395">
      <c r="A395" s="28"/>
      <c r="B395" s="19"/>
      <c r="C395" s="18"/>
      <c r="D395" s="19"/>
      <c r="E395" s="18"/>
      <c r="F395" s="19"/>
      <c r="G395" s="18"/>
      <c r="H395" s="19"/>
      <c r="I395" s="18"/>
      <c r="J395" s="19"/>
      <c r="K395" s="18"/>
      <c r="L395" s="19"/>
      <c r="M395" s="18"/>
      <c r="N395" s="19"/>
      <c r="O395" s="18"/>
      <c r="P395" s="19"/>
      <c r="Q395" s="18"/>
      <c r="R395" s="19"/>
      <c r="S395" s="18"/>
      <c r="T395" s="19"/>
      <c r="U395" s="18"/>
      <c r="V395" s="14"/>
    </row>
    <row r="396">
      <c r="A396" s="28"/>
      <c r="B396" s="19"/>
      <c r="C396" s="18"/>
      <c r="D396" s="19"/>
      <c r="E396" s="18"/>
      <c r="F396" s="19"/>
      <c r="G396" s="18"/>
      <c r="H396" s="19"/>
      <c r="I396" s="18"/>
      <c r="J396" s="19"/>
      <c r="K396" s="18"/>
      <c r="L396" s="19"/>
      <c r="M396" s="18"/>
      <c r="N396" s="19"/>
      <c r="O396" s="18"/>
      <c r="P396" s="19"/>
      <c r="Q396" s="18"/>
      <c r="R396" s="19"/>
      <c r="S396" s="18"/>
      <c r="T396" s="19"/>
      <c r="U396" s="18"/>
      <c r="V396" s="14"/>
    </row>
    <row r="397">
      <c r="A397" s="28"/>
      <c r="B397" s="19"/>
      <c r="C397" s="18"/>
      <c r="D397" s="19"/>
      <c r="E397" s="18"/>
      <c r="F397" s="19"/>
      <c r="G397" s="18"/>
      <c r="H397" s="19"/>
      <c r="I397" s="18"/>
      <c r="J397" s="19"/>
      <c r="K397" s="18"/>
      <c r="L397" s="19"/>
      <c r="M397" s="18"/>
      <c r="N397" s="19"/>
      <c r="O397" s="18"/>
      <c r="P397" s="19"/>
      <c r="Q397" s="18"/>
      <c r="R397" s="19"/>
      <c r="S397" s="18"/>
      <c r="T397" s="19"/>
      <c r="U397" s="18"/>
      <c r="V397" s="14"/>
    </row>
    <row r="398">
      <c r="A398" s="28"/>
      <c r="B398" s="19"/>
      <c r="C398" s="18"/>
      <c r="D398" s="19"/>
      <c r="E398" s="18"/>
      <c r="F398" s="19"/>
      <c r="G398" s="18"/>
      <c r="H398" s="19"/>
      <c r="I398" s="18"/>
      <c r="J398" s="19"/>
      <c r="K398" s="18"/>
      <c r="L398" s="19"/>
      <c r="M398" s="18"/>
      <c r="N398" s="19"/>
      <c r="O398" s="18"/>
      <c r="P398" s="19"/>
      <c r="Q398" s="18"/>
      <c r="R398" s="19"/>
      <c r="S398" s="18"/>
      <c r="T398" s="19"/>
      <c r="U398" s="18"/>
      <c r="V398" s="14"/>
    </row>
    <row r="399">
      <c r="A399" s="28"/>
      <c r="B399" s="19"/>
      <c r="C399" s="18"/>
      <c r="D399" s="19"/>
      <c r="E399" s="18"/>
      <c r="F399" s="19"/>
      <c r="G399" s="18"/>
      <c r="H399" s="19"/>
      <c r="I399" s="18"/>
      <c r="J399" s="19"/>
      <c r="K399" s="18"/>
      <c r="L399" s="19"/>
      <c r="M399" s="18"/>
      <c r="N399" s="19"/>
      <c r="O399" s="18"/>
      <c r="P399" s="19"/>
      <c r="Q399" s="18"/>
      <c r="R399" s="19"/>
      <c r="S399" s="18"/>
      <c r="T399" s="19"/>
      <c r="U399" s="18"/>
      <c r="V399" s="14"/>
    </row>
    <row r="400">
      <c r="A400" s="28"/>
      <c r="B400" s="19"/>
      <c r="C400" s="18"/>
      <c r="D400" s="19"/>
      <c r="E400" s="18"/>
      <c r="F400" s="19"/>
      <c r="G400" s="18"/>
      <c r="H400" s="19"/>
      <c r="I400" s="18"/>
      <c r="J400" s="19"/>
      <c r="K400" s="18"/>
      <c r="L400" s="19"/>
      <c r="M400" s="18"/>
      <c r="N400" s="19"/>
      <c r="O400" s="18"/>
      <c r="P400" s="19"/>
      <c r="Q400" s="18"/>
      <c r="R400" s="19"/>
      <c r="S400" s="18"/>
      <c r="T400" s="19"/>
      <c r="U400" s="18"/>
      <c r="V400" s="14"/>
    </row>
    <row r="401">
      <c r="A401" s="28"/>
      <c r="B401" s="19"/>
      <c r="C401" s="18"/>
      <c r="D401" s="19"/>
      <c r="E401" s="18"/>
      <c r="F401" s="19"/>
      <c r="G401" s="18"/>
      <c r="H401" s="19"/>
      <c r="I401" s="18"/>
      <c r="J401" s="19"/>
      <c r="K401" s="18"/>
      <c r="L401" s="19"/>
      <c r="M401" s="18"/>
      <c r="N401" s="19"/>
      <c r="O401" s="18"/>
      <c r="P401" s="19"/>
      <c r="Q401" s="18"/>
      <c r="R401" s="19"/>
      <c r="S401" s="18"/>
      <c r="T401" s="19"/>
      <c r="U401" s="18"/>
      <c r="V401" s="14"/>
    </row>
    <row r="402">
      <c r="A402" s="28"/>
      <c r="B402" s="19"/>
      <c r="C402" s="18"/>
      <c r="D402" s="19"/>
      <c r="E402" s="18"/>
      <c r="F402" s="19"/>
      <c r="G402" s="18"/>
      <c r="H402" s="19"/>
      <c r="I402" s="18"/>
      <c r="J402" s="19"/>
      <c r="K402" s="18"/>
      <c r="L402" s="19"/>
      <c r="M402" s="18"/>
      <c r="N402" s="19"/>
      <c r="O402" s="18"/>
      <c r="P402" s="19"/>
      <c r="Q402" s="18"/>
      <c r="R402" s="19"/>
      <c r="S402" s="18"/>
      <c r="T402" s="19"/>
      <c r="U402" s="18"/>
      <c r="V402" s="14"/>
    </row>
    <row r="403">
      <c r="A403" s="28"/>
      <c r="B403" s="19"/>
      <c r="C403" s="18"/>
      <c r="D403" s="19"/>
      <c r="E403" s="18"/>
      <c r="F403" s="19"/>
      <c r="G403" s="18"/>
      <c r="H403" s="19"/>
      <c r="I403" s="18"/>
      <c r="J403" s="19"/>
      <c r="K403" s="18"/>
      <c r="L403" s="19"/>
      <c r="M403" s="18"/>
      <c r="N403" s="19"/>
      <c r="O403" s="18"/>
      <c r="P403" s="19"/>
      <c r="Q403" s="18"/>
      <c r="R403" s="19"/>
      <c r="S403" s="18"/>
      <c r="T403" s="19"/>
      <c r="U403" s="18"/>
      <c r="V403" s="14"/>
    </row>
    <row r="404">
      <c r="A404" s="28"/>
      <c r="B404" s="19"/>
      <c r="C404" s="18"/>
      <c r="D404" s="19"/>
      <c r="E404" s="18"/>
      <c r="F404" s="19"/>
      <c r="G404" s="18"/>
      <c r="H404" s="19"/>
      <c r="I404" s="18"/>
      <c r="J404" s="19"/>
      <c r="K404" s="18"/>
      <c r="L404" s="19"/>
      <c r="M404" s="18"/>
      <c r="N404" s="19"/>
      <c r="O404" s="18"/>
      <c r="P404" s="19"/>
      <c r="Q404" s="18"/>
      <c r="R404" s="19"/>
      <c r="S404" s="18"/>
      <c r="T404" s="19"/>
      <c r="U404" s="18"/>
      <c r="V404" s="14"/>
    </row>
    <row r="405">
      <c r="A405" s="28"/>
      <c r="B405" s="19"/>
      <c r="C405" s="18"/>
      <c r="D405" s="19"/>
      <c r="E405" s="18"/>
      <c r="F405" s="19"/>
      <c r="G405" s="18"/>
      <c r="H405" s="19"/>
      <c r="I405" s="18"/>
      <c r="J405" s="19"/>
      <c r="K405" s="18"/>
      <c r="L405" s="19"/>
      <c r="M405" s="18"/>
      <c r="N405" s="19"/>
      <c r="O405" s="18"/>
      <c r="P405" s="19"/>
      <c r="Q405" s="18"/>
      <c r="R405" s="19"/>
      <c r="S405" s="18"/>
      <c r="T405" s="19"/>
      <c r="U405" s="18"/>
      <c r="V405" s="14"/>
    </row>
    <row r="406">
      <c r="A406" s="28"/>
      <c r="B406" s="19"/>
      <c r="C406" s="18"/>
      <c r="D406" s="19"/>
      <c r="E406" s="18"/>
      <c r="F406" s="19"/>
      <c r="G406" s="18"/>
      <c r="H406" s="19"/>
      <c r="I406" s="18"/>
      <c r="J406" s="19"/>
      <c r="K406" s="18"/>
      <c r="L406" s="19"/>
      <c r="M406" s="18"/>
      <c r="N406" s="19"/>
      <c r="O406" s="18"/>
      <c r="P406" s="19"/>
      <c r="Q406" s="18"/>
      <c r="R406" s="19"/>
      <c r="S406" s="18"/>
      <c r="T406" s="19"/>
      <c r="U406" s="18"/>
      <c r="V406" s="14"/>
    </row>
    <row r="407">
      <c r="A407" s="28"/>
      <c r="B407" s="19"/>
      <c r="C407" s="18"/>
      <c r="D407" s="19"/>
      <c r="E407" s="18"/>
      <c r="F407" s="19"/>
      <c r="G407" s="18"/>
      <c r="H407" s="19"/>
      <c r="I407" s="18"/>
      <c r="J407" s="19"/>
      <c r="K407" s="18"/>
      <c r="L407" s="19"/>
      <c r="M407" s="18"/>
      <c r="N407" s="19"/>
      <c r="O407" s="18"/>
      <c r="P407" s="19"/>
      <c r="Q407" s="18"/>
      <c r="R407" s="19"/>
      <c r="S407" s="18"/>
      <c r="T407" s="19"/>
      <c r="U407" s="18"/>
      <c r="V407" s="14"/>
    </row>
    <row r="408">
      <c r="A408" s="28"/>
      <c r="B408" s="19"/>
      <c r="C408" s="18"/>
      <c r="D408" s="19"/>
      <c r="E408" s="18"/>
      <c r="F408" s="19"/>
      <c r="G408" s="18"/>
      <c r="H408" s="19"/>
      <c r="I408" s="18"/>
      <c r="J408" s="19"/>
      <c r="K408" s="18"/>
      <c r="L408" s="19"/>
      <c r="M408" s="18"/>
      <c r="N408" s="19"/>
      <c r="O408" s="18"/>
      <c r="P408" s="19"/>
      <c r="Q408" s="18"/>
      <c r="R408" s="19"/>
      <c r="S408" s="18"/>
      <c r="T408" s="19"/>
      <c r="U408" s="18"/>
      <c r="V408" s="14"/>
    </row>
    <row r="409">
      <c r="A409" s="28"/>
      <c r="B409" s="19"/>
      <c r="C409" s="18"/>
      <c r="D409" s="19"/>
      <c r="E409" s="18"/>
      <c r="F409" s="19"/>
      <c r="G409" s="18"/>
      <c r="H409" s="19"/>
      <c r="I409" s="18"/>
      <c r="J409" s="19"/>
      <c r="K409" s="18"/>
      <c r="L409" s="19"/>
      <c r="M409" s="18"/>
      <c r="N409" s="19"/>
      <c r="O409" s="18"/>
      <c r="P409" s="19"/>
      <c r="Q409" s="18"/>
      <c r="R409" s="19"/>
      <c r="S409" s="18"/>
      <c r="T409" s="19"/>
      <c r="U409" s="18"/>
      <c r="V409" s="14"/>
    </row>
    <row r="410">
      <c r="A410" s="28"/>
      <c r="B410" s="19"/>
      <c r="C410" s="18"/>
      <c r="D410" s="19"/>
      <c r="E410" s="18"/>
      <c r="F410" s="19"/>
      <c r="G410" s="18"/>
      <c r="H410" s="19"/>
      <c r="I410" s="18"/>
      <c r="J410" s="19"/>
      <c r="K410" s="18"/>
      <c r="L410" s="19"/>
      <c r="M410" s="18"/>
      <c r="N410" s="19"/>
      <c r="O410" s="18"/>
      <c r="P410" s="19"/>
      <c r="Q410" s="18"/>
      <c r="R410" s="19"/>
      <c r="S410" s="18"/>
      <c r="T410" s="19"/>
      <c r="U410" s="18"/>
      <c r="V410" s="14"/>
    </row>
    <row r="411">
      <c r="A411" s="28"/>
      <c r="B411" s="19"/>
      <c r="C411" s="18"/>
      <c r="D411" s="19"/>
      <c r="E411" s="18"/>
      <c r="F411" s="19"/>
      <c r="G411" s="18"/>
      <c r="H411" s="19"/>
      <c r="I411" s="18"/>
      <c r="J411" s="19"/>
      <c r="K411" s="18"/>
      <c r="L411" s="19"/>
      <c r="M411" s="18"/>
      <c r="N411" s="19"/>
      <c r="O411" s="18"/>
      <c r="P411" s="19"/>
      <c r="Q411" s="18"/>
      <c r="R411" s="19"/>
      <c r="S411" s="18"/>
      <c r="T411" s="19"/>
      <c r="U411" s="18"/>
      <c r="V411" s="14"/>
    </row>
    <row r="412">
      <c r="A412" s="28"/>
      <c r="B412" s="19"/>
      <c r="C412" s="18"/>
      <c r="D412" s="19"/>
      <c r="E412" s="18"/>
      <c r="F412" s="19"/>
      <c r="G412" s="18"/>
      <c r="H412" s="19"/>
      <c r="I412" s="18"/>
      <c r="J412" s="19"/>
      <c r="K412" s="18"/>
      <c r="L412" s="19"/>
      <c r="M412" s="18"/>
      <c r="N412" s="19"/>
      <c r="O412" s="18"/>
      <c r="P412" s="19"/>
      <c r="Q412" s="18"/>
      <c r="R412" s="19"/>
      <c r="S412" s="18"/>
      <c r="T412" s="19"/>
      <c r="U412" s="18"/>
      <c r="V412" s="14"/>
    </row>
    <row r="413">
      <c r="A413" s="28"/>
      <c r="B413" s="19"/>
      <c r="C413" s="18"/>
      <c r="D413" s="19"/>
      <c r="E413" s="18"/>
      <c r="F413" s="19"/>
      <c r="G413" s="18"/>
      <c r="H413" s="19"/>
      <c r="I413" s="18"/>
      <c r="J413" s="19"/>
      <c r="K413" s="18"/>
      <c r="L413" s="19"/>
      <c r="M413" s="18"/>
      <c r="N413" s="19"/>
      <c r="O413" s="18"/>
      <c r="P413" s="19"/>
      <c r="Q413" s="18"/>
      <c r="R413" s="19"/>
      <c r="S413" s="18"/>
      <c r="T413" s="19"/>
      <c r="U413" s="18"/>
      <c r="V413" s="14"/>
    </row>
    <row r="414">
      <c r="A414" s="28"/>
      <c r="B414" s="19"/>
      <c r="C414" s="18"/>
      <c r="D414" s="19"/>
      <c r="E414" s="18"/>
      <c r="F414" s="19"/>
      <c r="G414" s="18"/>
      <c r="H414" s="19"/>
      <c r="I414" s="18"/>
      <c r="J414" s="19"/>
      <c r="K414" s="18"/>
      <c r="L414" s="19"/>
      <c r="M414" s="18"/>
      <c r="N414" s="19"/>
      <c r="O414" s="18"/>
      <c r="P414" s="19"/>
      <c r="Q414" s="18"/>
      <c r="R414" s="19"/>
      <c r="S414" s="18"/>
      <c r="T414" s="19"/>
      <c r="U414" s="18"/>
      <c r="V414" s="14"/>
    </row>
    <row r="415">
      <c r="A415" s="28"/>
      <c r="B415" s="19"/>
      <c r="C415" s="18"/>
      <c r="D415" s="19"/>
      <c r="E415" s="18"/>
      <c r="F415" s="19"/>
      <c r="G415" s="18"/>
      <c r="H415" s="19"/>
      <c r="I415" s="18"/>
      <c r="J415" s="19"/>
      <c r="K415" s="18"/>
      <c r="L415" s="19"/>
      <c r="M415" s="18"/>
      <c r="N415" s="19"/>
      <c r="O415" s="18"/>
      <c r="P415" s="19"/>
      <c r="Q415" s="18"/>
      <c r="R415" s="19"/>
      <c r="S415" s="18"/>
      <c r="T415" s="19"/>
      <c r="U415" s="18"/>
      <c r="V415" s="14"/>
    </row>
    <row r="416">
      <c r="A416" s="28"/>
      <c r="B416" s="19"/>
      <c r="C416" s="18"/>
      <c r="D416" s="19"/>
      <c r="E416" s="18"/>
      <c r="F416" s="19"/>
      <c r="G416" s="18"/>
      <c r="H416" s="19"/>
      <c r="I416" s="18"/>
      <c r="J416" s="19"/>
      <c r="K416" s="18"/>
      <c r="L416" s="19"/>
      <c r="M416" s="18"/>
      <c r="N416" s="19"/>
      <c r="O416" s="18"/>
      <c r="P416" s="19"/>
      <c r="Q416" s="18"/>
      <c r="R416" s="19"/>
      <c r="S416" s="18"/>
      <c r="T416" s="19"/>
      <c r="U416" s="18"/>
      <c r="V416" s="14"/>
    </row>
    <row r="417">
      <c r="A417" s="28"/>
      <c r="B417" s="19"/>
      <c r="C417" s="18"/>
      <c r="D417" s="19"/>
      <c r="E417" s="18"/>
      <c r="F417" s="19"/>
      <c r="G417" s="18"/>
      <c r="H417" s="19"/>
      <c r="I417" s="18"/>
      <c r="J417" s="19"/>
      <c r="K417" s="18"/>
      <c r="L417" s="19"/>
      <c r="M417" s="18"/>
      <c r="N417" s="19"/>
      <c r="O417" s="18"/>
      <c r="P417" s="19"/>
      <c r="Q417" s="18"/>
      <c r="R417" s="19"/>
      <c r="S417" s="18"/>
      <c r="T417" s="19"/>
      <c r="U417" s="18"/>
      <c r="V417" s="14"/>
    </row>
    <row r="418">
      <c r="A418" s="28"/>
      <c r="B418" s="19"/>
      <c r="C418" s="18"/>
      <c r="D418" s="19"/>
      <c r="E418" s="18"/>
      <c r="F418" s="19"/>
      <c r="G418" s="18"/>
      <c r="H418" s="19"/>
      <c r="I418" s="18"/>
      <c r="J418" s="19"/>
      <c r="K418" s="18"/>
      <c r="L418" s="19"/>
      <c r="M418" s="18"/>
      <c r="N418" s="19"/>
      <c r="O418" s="18"/>
      <c r="P418" s="19"/>
      <c r="Q418" s="18"/>
      <c r="R418" s="19"/>
      <c r="S418" s="18"/>
      <c r="T418" s="19"/>
      <c r="U418" s="18"/>
      <c r="V418" s="14"/>
    </row>
    <row r="419">
      <c r="A419" s="28"/>
      <c r="B419" s="19"/>
      <c r="C419" s="18"/>
      <c r="D419" s="19"/>
      <c r="E419" s="18"/>
      <c r="F419" s="19"/>
      <c r="G419" s="18"/>
      <c r="H419" s="19"/>
      <c r="I419" s="18"/>
      <c r="J419" s="19"/>
      <c r="K419" s="18"/>
      <c r="L419" s="19"/>
      <c r="M419" s="18"/>
      <c r="N419" s="19"/>
      <c r="O419" s="18"/>
      <c r="P419" s="19"/>
      <c r="Q419" s="18"/>
      <c r="R419" s="19"/>
      <c r="S419" s="18"/>
      <c r="T419" s="19"/>
      <c r="U419" s="18"/>
      <c r="V419" s="14"/>
    </row>
    <row r="420">
      <c r="A420" s="28"/>
      <c r="B420" s="19"/>
      <c r="C420" s="18"/>
      <c r="D420" s="19"/>
      <c r="E420" s="18"/>
      <c r="F420" s="19"/>
      <c r="G420" s="18"/>
      <c r="H420" s="19"/>
      <c r="I420" s="18"/>
      <c r="J420" s="19"/>
      <c r="K420" s="18"/>
      <c r="L420" s="19"/>
      <c r="M420" s="18"/>
      <c r="N420" s="19"/>
      <c r="O420" s="18"/>
      <c r="P420" s="19"/>
      <c r="Q420" s="18"/>
      <c r="R420" s="19"/>
      <c r="S420" s="18"/>
      <c r="T420" s="19"/>
      <c r="U420" s="18"/>
      <c r="V420" s="14"/>
    </row>
    <row r="421">
      <c r="A421" s="28"/>
      <c r="B421" s="19"/>
      <c r="C421" s="18"/>
      <c r="D421" s="19"/>
      <c r="E421" s="18"/>
      <c r="F421" s="19"/>
      <c r="G421" s="18"/>
      <c r="H421" s="19"/>
      <c r="I421" s="18"/>
      <c r="J421" s="19"/>
      <c r="K421" s="18"/>
      <c r="L421" s="19"/>
      <c r="M421" s="18"/>
      <c r="N421" s="19"/>
      <c r="O421" s="18"/>
      <c r="P421" s="19"/>
      <c r="Q421" s="18"/>
      <c r="R421" s="19"/>
      <c r="S421" s="18"/>
      <c r="T421" s="19"/>
      <c r="U421" s="18"/>
      <c r="V421" s="14"/>
    </row>
    <row r="422">
      <c r="A422" s="28"/>
      <c r="B422" s="19"/>
      <c r="C422" s="18"/>
      <c r="D422" s="19"/>
      <c r="E422" s="18"/>
      <c r="F422" s="19"/>
      <c r="G422" s="18"/>
      <c r="H422" s="19"/>
      <c r="I422" s="18"/>
      <c r="J422" s="19"/>
      <c r="K422" s="18"/>
      <c r="L422" s="19"/>
      <c r="M422" s="18"/>
      <c r="N422" s="19"/>
      <c r="O422" s="18"/>
      <c r="P422" s="19"/>
      <c r="Q422" s="18"/>
      <c r="R422" s="19"/>
      <c r="S422" s="18"/>
      <c r="T422" s="19"/>
      <c r="U422" s="18"/>
      <c r="V422" s="14"/>
    </row>
    <row r="423">
      <c r="A423" s="28"/>
      <c r="B423" s="19"/>
      <c r="C423" s="18"/>
      <c r="D423" s="19"/>
      <c r="E423" s="18"/>
      <c r="F423" s="19"/>
      <c r="G423" s="18"/>
      <c r="H423" s="19"/>
      <c r="I423" s="18"/>
      <c r="J423" s="19"/>
      <c r="K423" s="18"/>
      <c r="L423" s="19"/>
      <c r="M423" s="18"/>
      <c r="N423" s="19"/>
      <c r="O423" s="18"/>
      <c r="P423" s="19"/>
      <c r="Q423" s="18"/>
      <c r="R423" s="19"/>
      <c r="S423" s="18"/>
      <c r="T423" s="19"/>
      <c r="U423" s="18"/>
      <c r="V423" s="14"/>
    </row>
    <row r="424">
      <c r="A424" s="28"/>
      <c r="B424" s="19"/>
      <c r="C424" s="18"/>
      <c r="D424" s="19"/>
      <c r="E424" s="18"/>
      <c r="F424" s="19"/>
      <c r="G424" s="18"/>
      <c r="H424" s="19"/>
      <c r="I424" s="18"/>
      <c r="J424" s="19"/>
      <c r="K424" s="18"/>
      <c r="L424" s="19"/>
      <c r="M424" s="18"/>
      <c r="N424" s="19"/>
      <c r="O424" s="18"/>
      <c r="P424" s="19"/>
      <c r="Q424" s="18"/>
      <c r="R424" s="19"/>
      <c r="S424" s="18"/>
      <c r="T424" s="19"/>
      <c r="U424" s="18"/>
      <c r="V424" s="14"/>
    </row>
    <row r="425">
      <c r="A425" s="28"/>
      <c r="B425" s="19"/>
      <c r="C425" s="18"/>
      <c r="D425" s="19"/>
      <c r="E425" s="18"/>
      <c r="F425" s="19"/>
      <c r="G425" s="18"/>
      <c r="H425" s="19"/>
      <c r="I425" s="18"/>
      <c r="J425" s="19"/>
      <c r="K425" s="18"/>
      <c r="L425" s="19"/>
      <c r="M425" s="18"/>
      <c r="N425" s="19"/>
      <c r="O425" s="18"/>
      <c r="P425" s="19"/>
      <c r="Q425" s="18"/>
      <c r="R425" s="19"/>
      <c r="S425" s="18"/>
      <c r="T425" s="19"/>
      <c r="U425" s="18"/>
      <c r="V425" s="14"/>
    </row>
    <row r="426">
      <c r="A426" s="28"/>
      <c r="B426" s="19"/>
      <c r="C426" s="18"/>
      <c r="D426" s="19"/>
      <c r="E426" s="18"/>
      <c r="F426" s="19"/>
      <c r="G426" s="18"/>
      <c r="H426" s="19"/>
      <c r="I426" s="18"/>
      <c r="J426" s="19"/>
      <c r="K426" s="18"/>
      <c r="L426" s="19"/>
      <c r="M426" s="18"/>
      <c r="N426" s="19"/>
      <c r="O426" s="18"/>
      <c r="P426" s="19"/>
      <c r="Q426" s="18"/>
      <c r="R426" s="19"/>
      <c r="S426" s="18"/>
      <c r="T426" s="19"/>
      <c r="U426" s="18"/>
      <c r="V426" s="14"/>
    </row>
    <row r="427">
      <c r="A427" s="28"/>
      <c r="B427" s="19"/>
      <c r="C427" s="18"/>
      <c r="D427" s="19"/>
      <c r="E427" s="18"/>
      <c r="F427" s="19"/>
      <c r="G427" s="18"/>
      <c r="H427" s="19"/>
      <c r="I427" s="18"/>
      <c r="J427" s="19"/>
      <c r="K427" s="18"/>
      <c r="L427" s="19"/>
      <c r="M427" s="18"/>
      <c r="N427" s="19"/>
      <c r="O427" s="18"/>
      <c r="P427" s="19"/>
      <c r="Q427" s="18"/>
      <c r="R427" s="19"/>
      <c r="S427" s="18"/>
      <c r="T427" s="19"/>
      <c r="U427" s="18"/>
      <c r="V427" s="14"/>
    </row>
    <row r="428">
      <c r="A428" s="28"/>
      <c r="B428" s="19"/>
      <c r="C428" s="18"/>
      <c r="D428" s="19"/>
      <c r="E428" s="18"/>
      <c r="F428" s="19"/>
      <c r="G428" s="18"/>
      <c r="H428" s="19"/>
      <c r="I428" s="18"/>
      <c r="J428" s="19"/>
      <c r="K428" s="18"/>
      <c r="L428" s="19"/>
      <c r="M428" s="18"/>
      <c r="N428" s="19"/>
      <c r="O428" s="18"/>
      <c r="P428" s="19"/>
      <c r="Q428" s="18"/>
      <c r="R428" s="19"/>
      <c r="S428" s="18"/>
      <c r="T428" s="19"/>
      <c r="U428" s="18"/>
      <c r="V428" s="14"/>
    </row>
    <row r="429">
      <c r="A429" s="28"/>
      <c r="B429" s="19"/>
      <c r="C429" s="18"/>
      <c r="D429" s="19"/>
      <c r="E429" s="18"/>
      <c r="F429" s="19"/>
      <c r="G429" s="18"/>
      <c r="H429" s="19"/>
      <c r="I429" s="18"/>
      <c r="J429" s="19"/>
      <c r="K429" s="18"/>
      <c r="L429" s="19"/>
      <c r="M429" s="18"/>
      <c r="N429" s="19"/>
      <c r="O429" s="18"/>
      <c r="P429" s="19"/>
      <c r="Q429" s="18"/>
      <c r="R429" s="19"/>
      <c r="S429" s="18"/>
      <c r="T429" s="19"/>
      <c r="U429" s="18"/>
      <c r="V429" s="14"/>
    </row>
    <row r="430">
      <c r="A430" s="28"/>
      <c r="B430" s="19"/>
      <c r="C430" s="18"/>
      <c r="D430" s="19"/>
      <c r="E430" s="18"/>
      <c r="F430" s="19"/>
      <c r="G430" s="18"/>
      <c r="H430" s="19"/>
      <c r="I430" s="18"/>
      <c r="J430" s="19"/>
      <c r="K430" s="18"/>
      <c r="L430" s="19"/>
      <c r="M430" s="18"/>
      <c r="N430" s="19"/>
      <c r="O430" s="18"/>
      <c r="P430" s="19"/>
      <c r="Q430" s="18"/>
      <c r="R430" s="19"/>
      <c r="S430" s="18"/>
      <c r="T430" s="19"/>
      <c r="U430" s="18"/>
      <c r="V430" s="14"/>
    </row>
    <row r="431">
      <c r="A431" s="28"/>
      <c r="B431" s="19"/>
      <c r="C431" s="18"/>
      <c r="D431" s="19"/>
      <c r="E431" s="18"/>
      <c r="F431" s="19"/>
      <c r="G431" s="18"/>
      <c r="H431" s="19"/>
      <c r="I431" s="18"/>
      <c r="J431" s="19"/>
      <c r="K431" s="18"/>
      <c r="L431" s="19"/>
      <c r="M431" s="18"/>
      <c r="N431" s="19"/>
      <c r="O431" s="18"/>
      <c r="P431" s="19"/>
      <c r="Q431" s="18"/>
      <c r="R431" s="19"/>
      <c r="S431" s="18"/>
      <c r="T431" s="19"/>
      <c r="U431" s="18"/>
      <c r="V431" s="14"/>
    </row>
    <row r="432">
      <c r="A432" s="28"/>
      <c r="B432" s="19"/>
      <c r="C432" s="18"/>
      <c r="D432" s="19"/>
      <c r="E432" s="18"/>
      <c r="F432" s="19"/>
      <c r="G432" s="18"/>
      <c r="H432" s="19"/>
      <c r="I432" s="18"/>
      <c r="J432" s="19"/>
      <c r="K432" s="18"/>
      <c r="L432" s="19"/>
      <c r="M432" s="18"/>
      <c r="N432" s="19"/>
      <c r="O432" s="18"/>
      <c r="P432" s="19"/>
      <c r="Q432" s="18"/>
      <c r="R432" s="19"/>
      <c r="S432" s="18"/>
      <c r="T432" s="19"/>
      <c r="U432" s="18"/>
      <c r="V432" s="14"/>
    </row>
    <row r="433">
      <c r="A433" s="28"/>
      <c r="B433" s="19"/>
      <c r="C433" s="18"/>
      <c r="D433" s="19"/>
      <c r="E433" s="18"/>
      <c r="F433" s="19"/>
      <c r="G433" s="18"/>
      <c r="H433" s="19"/>
      <c r="I433" s="18"/>
      <c r="J433" s="19"/>
      <c r="K433" s="18"/>
      <c r="L433" s="19"/>
      <c r="M433" s="18"/>
      <c r="N433" s="19"/>
      <c r="O433" s="18"/>
      <c r="P433" s="19"/>
      <c r="Q433" s="18"/>
      <c r="R433" s="19"/>
      <c r="S433" s="18"/>
      <c r="T433" s="19"/>
      <c r="U433" s="18"/>
      <c r="V433" s="14"/>
    </row>
    <row r="434">
      <c r="A434" s="28"/>
      <c r="B434" s="19"/>
      <c r="C434" s="18"/>
      <c r="D434" s="19"/>
      <c r="E434" s="18"/>
      <c r="F434" s="19"/>
      <c r="G434" s="18"/>
      <c r="H434" s="19"/>
      <c r="I434" s="18"/>
      <c r="J434" s="19"/>
      <c r="K434" s="18"/>
      <c r="L434" s="19"/>
      <c r="M434" s="18"/>
      <c r="N434" s="19"/>
      <c r="O434" s="18"/>
      <c r="P434" s="19"/>
      <c r="Q434" s="18"/>
      <c r="R434" s="19"/>
      <c r="S434" s="18"/>
      <c r="T434" s="19"/>
      <c r="U434" s="18"/>
      <c r="V434" s="14"/>
    </row>
    <row r="435">
      <c r="A435" s="28"/>
      <c r="B435" s="19"/>
      <c r="C435" s="18"/>
      <c r="D435" s="19"/>
      <c r="E435" s="18"/>
      <c r="F435" s="19"/>
      <c r="G435" s="18"/>
      <c r="H435" s="19"/>
      <c r="I435" s="18"/>
      <c r="J435" s="19"/>
      <c r="K435" s="18"/>
      <c r="L435" s="19"/>
      <c r="M435" s="18"/>
      <c r="N435" s="19"/>
      <c r="O435" s="18"/>
      <c r="P435" s="19"/>
      <c r="Q435" s="18"/>
      <c r="R435" s="19"/>
      <c r="S435" s="18"/>
      <c r="T435" s="19"/>
      <c r="U435" s="18"/>
      <c r="V435" s="14"/>
    </row>
    <row r="436">
      <c r="A436" s="28"/>
      <c r="B436" s="19"/>
      <c r="C436" s="18"/>
      <c r="D436" s="19"/>
      <c r="E436" s="18"/>
      <c r="F436" s="19"/>
      <c r="G436" s="18"/>
      <c r="H436" s="19"/>
      <c r="I436" s="18"/>
      <c r="J436" s="19"/>
      <c r="K436" s="18"/>
      <c r="L436" s="19"/>
      <c r="M436" s="18"/>
      <c r="N436" s="19"/>
      <c r="O436" s="18"/>
      <c r="P436" s="19"/>
      <c r="Q436" s="18"/>
      <c r="R436" s="19"/>
      <c r="S436" s="18"/>
      <c r="T436" s="19"/>
      <c r="U436" s="18"/>
      <c r="V436" s="14"/>
    </row>
    <row r="437">
      <c r="A437" s="28"/>
      <c r="B437" s="19"/>
      <c r="C437" s="18"/>
      <c r="D437" s="19"/>
      <c r="E437" s="18"/>
      <c r="F437" s="19"/>
      <c r="G437" s="18"/>
      <c r="H437" s="19"/>
      <c r="I437" s="18"/>
      <c r="J437" s="19"/>
      <c r="K437" s="18"/>
      <c r="L437" s="19"/>
      <c r="M437" s="18"/>
      <c r="N437" s="19"/>
      <c r="O437" s="18"/>
      <c r="P437" s="19"/>
      <c r="Q437" s="18"/>
      <c r="R437" s="19"/>
      <c r="S437" s="18"/>
      <c r="T437" s="19"/>
      <c r="U437" s="18"/>
      <c r="V437" s="14"/>
    </row>
    <row r="438">
      <c r="A438" s="28"/>
      <c r="B438" s="19"/>
      <c r="C438" s="18"/>
      <c r="D438" s="19"/>
      <c r="E438" s="18"/>
      <c r="F438" s="19"/>
      <c r="G438" s="18"/>
      <c r="H438" s="19"/>
      <c r="I438" s="18"/>
      <c r="J438" s="19"/>
      <c r="K438" s="18"/>
      <c r="L438" s="19"/>
      <c r="M438" s="18"/>
      <c r="N438" s="19"/>
      <c r="O438" s="18"/>
      <c r="P438" s="19"/>
      <c r="Q438" s="18"/>
      <c r="R438" s="19"/>
      <c r="S438" s="18"/>
      <c r="T438" s="19"/>
      <c r="U438" s="18"/>
      <c r="V438" s="14"/>
    </row>
    <row r="439">
      <c r="A439" s="28"/>
      <c r="B439" s="19"/>
      <c r="C439" s="18"/>
      <c r="D439" s="19"/>
      <c r="E439" s="18"/>
      <c r="F439" s="19"/>
      <c r="G439" s="18"/>
      <c r="H439" s="19"/>
      <c r="I439" s="18"/>
      <c r="J439" s="19"/>
      <c r="K439" s="18"/>
      <c r="L439" s="19"/>
      <c r="M439" s="18"/>
      <c r="N439" s="19"/>
      <c r="O439" s="18"/>
      <c r="P439" s="19"/>
      <c r="Q439" s="18"/>
      <c r="R439" s="19"/>
      <c r="S439" s="18"/>
      <c r="T439" s="19"/>
      <c r="U439" s="18"/>
      <c r="V439" s="14"/>
    </row>
    <row r="440">
      <c r="A440" s="28"/>
      <c r="B440" s="19"/>
      <c r="C440" s="18"/>
      <c r="D440" s="19"/>
      <c r="E440" s="18"/>
      <c r="F440" s="19"/>
      <c r="G440" s="18"/>
      <c r="H440" s="19"/>
      <c r="I440" s="18"/>
      <c r="J440" s="19"/>
      <c r="K440" s="18"/>
      <c r="L440" s="19"/>
      <c r="M440" s="18"/>
      <c r="N440" s="19"/>
      <c r="O440" s="18"/>
      <c r="P440" s="19"/>
      <c r="Q440" s="18"/>
      <c r="R440" s="19"/>
      <c r="S440" s="18"/>
      <c r="T440" s="19"/>
      <c r="U440" s="18"/>
      <c r="V440" s="14"/>
    </row>
    <row r="441">
      <c r="A441" s="28"/>
      <c r="B441" s="19"/>
      <c r="C441" s="18"/>
      <c r="D441" s="19"/>
      <c r="E441" s="18"/>
      <c r="F441" s="19"/>
      <c r="G441" s="18"/>
      <c r="H441" s="19"/>
      <c r="I441" s="18"/>
      <c r="J441" s="19"/>
      <c r="K441" s="18"/>
      <c r="L441" s="19"/>
      <c r="M441" s="18"/>
      <c r="N441" s="19"/>
      <c r="O441" s="18"/>
      <c r="P441" s="19"/>
      <c r="Q441" s="18"/>
      <c r="R441" s="19"/>
      <c r="S441" s="18"/>
      <c r="T441" s="19"/>
      <c r="U441" s="18"/>
      <c r="V441" s="14"/>
    </row>
    <row r="442">
      <c r="A442" s="28"/>
      <c r="B442" s="19"/>
      <c r="C442" s="18"/>
      <c r="D442" s="19"/>
      <c r="E442" s="18"/>
      <c r="F442" s="19"/>
      <c r="G442" s="18"/>
      <c r="H442" s="19"/>
      <c r="I442" s="18"/>
      <c r="J442" s="19"/>
      <c r="K442" s="18"/>
      <c r="L442" s="19"/>
      <c r="M442" s="18"/>
      <c r="N442" s="19"/>
      <c r="O442" s="18"/>
      <c r="P442" s="19"/>
      <c r="Q442" s="18"/>
      <c r="R442" s="19"/>
      <c r="S442" s="18"/>
      <c r="T442" s="19"/>
      <c r="U442" s="18"/>
      <c r="V442" s="14"/>
    </row>
    <row r="443">
      <c r="A443" s="28"/>
      <c r="B443" s="19"/>
      <c r="C443" s="18"/>
      <c r="D443" s="19"/>
      <c r="E443" s="18"/>
      <c r="F443" s="19"/>
      <c r="G443" s="18"/>
      <c r="H443" s="19"/>
      <c r="I443" s="18"/>
      <c r="J443" s="19"/>
      <c r="K443" s="18"/>
      <c r="L443" s="19"/>
      <c r="M443" s="18"/>
      <c r="N443" s="19"/>
      <c r="O443" s="18"/>
      <c r="P443" s="19"/>
      <c r="Q443" s="18"/>
      <c r="R443" s="19"/>
      <c r="S443" s="18"/>
      <c r="T443" s="19"/>
      <c r="U443" s="18"/>
      <c r="V443" s="14"/>
    </row>
    <row r="444">
      <c r="A444" s="28"/>
      <c r="B444" s="19"/>
      <c r="C444" s="18"/>
      <c r="D444" s="19"/>
      <c r="E444" s="18"/>
      <c r="F444" s="19"/>
      <c r="G444" s="18"/>
      <c r="H444" s="19"/>
      <c r="I444" s="18"/>
      <c r="J444" s="19"/>
      <c r="K444" s="18"/>
      <c r="L444" s="19"/>
      <c r="M444" s="18"/>
      <c r="N444" s="19"/>
      <c r="O444" s="18"/>
      <c r="P444" s="19"/>
      <c r="Q444" s="18"/>
      <c r="R444" s="19"/>
      <c r="S444" s="18"/>
      <c r="T444" s="19"/>
      <c r="U444" s="18"/>
      <c r="V444" s="14"/>
    </row>
    <row r="445">
      <c r="A445" s="28"/>
      <c r="B445" s="19"/>
      <c r="C445" s="18"/>
      <c r="D445" s="19"/>
      <c r="E445" s="18"/>
      <c r="F445" s="19"/>
      <c r="G445" s="18"/>
      <c r="H445" s="19"/>
      <c r="I445" s="18"/>
      <c r="J445" s="19"/>
      <c r="K445" s="18"/>
      <c r="L445" s="19"/>
      <c r="M445" s="18"/>
      <c r="N445" s="19"/>
      <c r="O445" s="18"/>
      <c r="P445" s="19"/>
      <c r="Q445" s="18"/>
      <c r="R445" s="19"/>
      <c r="S445" s="18"/>
      <c r="T445" s="19"/>
      <c r="U445" s="18"/>
      <c r="V445" s="14"/>
    </row>
    <row r="446">
      <c r="A446" s="28"/>
      <c r="B446" s="19"/>
      <c r="C446" s="18"/>
      <c r="D446" s="19"/>
      <c r="E446" s="18"/>
      <c r="F446" s="19"/>
      <c r="G446" s="18"/>
      <c r="H446" s="19"/>
      <c r="I446" s="18"/>
      <c r="J446" s="19"/>
      <c r="K446" s="18"/>
      <c r="L446" s="19"/>
      <c r="M446" s="18"/>
      <c r="N446" s="19"/>
      <c r="O446" s="18"/>
      <c r="P446" s="19"/>
      <c r="Q446" s="18"/>
      <c r="R446" s="19"/>
      <c r="S446" s="18"/>
      <c r="T446" s="19"/>
      <c r="U446" s="18"/>
      <c r="V446" s="14"/>
    </row>
    <row r="447">
      <c r="A447" s="28"/>
      <c r="B447" s="19"/>
      <c r="C447" s="18"/>
      <c r="D447" s="19"/>
      <c r="E447" s="18"/>
      <c r="F447" s="19"/>
      <c r="G447" s="18"/>
      <c r="H447" s="19"/>
      <c r="I447" s="18"/>
      <c r="J447" s="19"/>
      <c r="K447" s="18"/>
      <c r="L447" s="19"/>
      <c r="M447" s="18"/>
      <c r="N447" s="19"/>
      <c r="O447" s="18"/>
      <c r="P447" s="19"/>
      <c r="Q447" s="18"/>
      <c r="R447" s="19"/>
      <c r="S447" s="18"/>
      <c r="T447" s="19"/>
      <c r="U447" s="18"/>
      <c r="V447" s="14"/>
    </row>
    <row r="448">
      <c r="A448" s="28"/>
      <c r="B448" s="19"/>
      <c r="C448" s="18"/>
      <c r="D448" s="19"/>
      <c r="E448" s="18"/>
      <c r="F448" s="19"/>
      <c r="G448" s="18"/>
      <c r="H448" s="19"/>
      <c r="I448" s="18"/>
      <c r="J448" s="19"/>
      <c r="K448" s="18"/>
      <c r="L448" s="19"/>
      <c r="M448" s="18"/>
      <c r="N448" s="19"/>
      <c r="O448" s="18"/>
      <c r="P448" s="19"/>
      <c r="Q448" s="18"/>
      <c r="R448" s="19"/>
      <c r="S448" s="18"/>
      <c r="T448" s="19"/>
      <c r="U448" s="18"/>
      <c r="V448" s="14"/>
    </row>
    <row r="449">
      <c r="A449" s="28"/>
      <c r="B449" s="19"/>
      <c r="C449" s="18"/>
      <c r="D449" s="19"/>
      <c r="E449" s="18"/>
      <c r="F449" s="19"/>
      <c r="G449" s="18"/>
      <c r="H449" s="19"/>
      <c r="I449" s="18"/>
      <c r="J449" s="19"/>
      <c r="K449" s="18"/>
      <c r="L449" s="19"/>
      <c r="M449" s="18"/>
      <c r="N449" s="19"/>
      <c r="O449" s="18"/>
      <c r="P449" s="19"/>
      <c r="Q449" s="18"/>
      <c r="R449" s="19"/>
      <c r="S449" s="18"/>
      <c r="T449" s="19"/>
      <c r="U449" s="18"/>
      <c r="V449" s="14"/>
    </row>
    <row r="450">
      <c r="A450" s="28"/>
      <c r="B450" s="19"/>
      <c r="C450" s="18"/>
      <c r="D450" s="19"/>
      <c r="E450" s="18"/>
      <c r="F450" s="19"/>
      <c r="G450" s="18"/>
      <c r="H450" s="19"/>
      <c r="I450" s="18"/>
      <c r="J450" s="19"/>
      <c r="K450" s="18"/>
      <c r="L450" s="19"/>
      <c r="M450" s="18"/>
      <c r="N450" s="19"/>
      <c r="O450" s="18"/>
      <c r="P450" s="19"/>
      <c r="Q450" s="18"/>
      <c r="R450" s="19"/>
      <c r="S450" s="18"/>
      <c r="T450" s="19"/>
      <c r="U450" s="18"/>
      <c r="V450" s="14"/>
    </row>
    <row r="451">
      <c r="A451" s="28"/>
      <c r="B451" s="19"/>
      <c r="C451" s="18"/>
      <c r="D451" s="19"/>
      <c r="E451" s="18"/>
      <c r="F451" s="19"/>
      <c r="G451" s="18"/>
      <c r="H451" s="19"/>
      <c r="I451" s="18"/>
      <c r="J451" s="19"/>
      <c r="K451" s="18"/>
      <c r="L451" s="19"/>
      <c r="M451" s="18"/>
      <c r="N451" s="19"/>
      <c r="O451" s="18"/>
      <c r="P451" s="19"/>
      <c r="Q451" s="18"/>
      <c r="R451" s="19"/>
      <c r="S451" s="18"/>
      <c r="T451" s="19"/>
      <c r="U451" s="18"/>
      <c r="V451" s="14"/>
    </row>
    <row r="452">
      <c r="A452" s="28"/>
      <c r="B452" s="19"/>
      <c r="C452" s="18"/>
      <c r="D452" s="19"/>
      <c r="E452" s="18"/>
      <c r="F452" s="19"/>
      <c r="G452" s="18"/>
      <c r="H452" s="19"/>
      <c r="I452" s="18"/>
      <c r="J452" s="19"/>
      <c r="K452" s="18"/>
      <c r="L452" s="19"/>
      <c r="M452" s="18"/>
      <c r="N452" s="19"/>
      <c r="O452" s="18"/>
      <c r="P452" s="19"/>
      <c r="Q452" s="18"/>
      <c r="R452" s="19"/>
      <c r="S452" s="18"/>
      <c r="T452" s="19"/>
      <c r="U452" s="18"/>
      <c r="V452" s="14"/>
    </row>
    <row r="453">
      <c r="A453" s="28"/>
      <c r="B453" s="19"/>
      <c r="C453" s="18"/>
      <c r="D453" s="19"/>
      <c r="E453" s="18"/>
      <c r="F453" s="19"/>
      <c r="G453" s="18"/>
      <c r="H453" s="19"/>
      <c r="I453" s="18"/>
      <c r="J453" s="19"/>
      <c r="K453" s="18"/>
      <c r="L453" s="19"/>
      <c r="M453" s="18"/>
      <c r="N453" s="19"/>
      <c r="O453" s="18"/>
      <c r="P453" s="19"/>
      <c r="Q453" s="18"/>
      <c r="R453" s="19"/>
      <c r="S453" s="18"/>
      <c r="T453" s="19"/>
      <c r="U453" s="18"/>
      <c r="V453" s="14"/>
    </row>
    <row r="454">
      <c r="A454" s="28"/>
      <c r="B454" s="19"/>
      <c r="C454" s="18"/>
      <c r="D454" s="19"/>
      <c r="E454" s="18"/>
      <c r="F454" s="19"/>
      <c r="G454" s="18"/>
      <c r="H454" s="19"/>
      <c r="I454" s="18"/>
      <c r="J454" s="19"/>
      <c r="K454" s="18"/>
      <c r="L454" s="19"/>
      <c r="M454" s="18"/>
      <c r="N454" s="19"/>
      <c r="O454" s="18"/>
      <c r="P454" s="19"/>
      <c r="Q454" s="18"/>
      <c r="R454" s="19"/>
      <c r="S454" s="18"/>
      <c r="T454" s="19"/>
      <c r="U454" s="18"/>
      <c r="V454" s="14"/>
    </row>
    <row r="455">
      <c r="A455" s="28"/>
      <c r="B455" s="19"/>
      <c r="C455" s="18"/>
      <c r="D455" s="19"/>
      <c r="E455" s="18"/>
      <c r="F455" s="19"/>
      <c r="G455" s="18"/>
      <c r="H455" s="19"/>
      <c r="I455" s="18"/>
      <c r="J455" s="19"/>
      <c r="K455" s="18"/>
      <c r="L455" s="19"/>
      <c r="M455" s="18"/>
      <c r="N455" s="19"/>
      <c r="O455" s="18"/>
      <c r="P455" s="19"/>
      <c r="Q455" s="18"/>
      <c r="R455" s="19"/>
      <c r="S455" s="18"/>
      <c r="T455" s="19"/>
      <c r="U455" s="18"/>
      <c r="V455" s="14"/>
    </row>
    <row r="456">
      <c r="A456" s="28"/>
      <c r="B456" s="19"/>
      <c r="C456" s="18"/>
      <c r="D456" s="19"/>
      <c r="E456" s="18"/>
      <c r="F456" s="19"/>
      <c r="G456" s="18"/>
      <c r="H456" s="19"/>
      <c r="I456" s="18"/>
      <c r="J456" s="19"/>
      <c r="K456" s="18"/>
      <c r="L456" s="19"/>
      <c r="M456" s="18"/>
      <c r="N456" s="19"/>
      <c r="O456" s="18"/>
      <c r="P456" s="19"/>
      <c r="Q456" s="18"/>
      <c r="R456" s="19"/>
      <c r="S456" s="18"/>
      <c r="T456" s="19"/>
      <c r="U456" s="18"/>
      <c r="V456" s="14"/>
    </row>
    <row r="457">
      <c r="A457" s="28"/>
      <c r="B457" s="19"/>
      <c r="C457" s="18"/>
      <c r="D457" s="19"/>
      <c r="E457" s="18"/>
      <c r="F457" s="19"/>
      <c r="G457" s="18"/>
      <c r="H457" s="19"/>
      <c r="I457" s="18"/>
      <c r="J457" s="19"/>
      <c r="K457" s="18"/>
      <c r="L457" s="19"/>
      <c r="M457" s="18"/>
      <c r="N457" s="19"/>
      <c r="O457" s="18"/>
      <c r="P457" s="19"/>
      <c r="Q457" s="18"/>
      <c r="R457" s="19"/>
      <c r="S457" s="18"/>
      <c r="T457" s="19"/>
      <c r="U457" s="18"/>
      <c r="V457" s="14"/>
    </row>
    <row r="458">
      <c r="A458" s="28"/>
      <c r="B458" s="19"/>
      <c r="C458" s="18"/>
      <c r="D458" s="19"/>
      <c r="E458" s="18"/>
      <c r="F458" s="19"/>
      <c r="G458" s="18"/>
      <c r="H458" s="19"/>
      <c r="I458" s="18"/>
      <c r="J458" s="19"/>
      <c r="K458" s="18"/>
      <c r="L458" s="19"/>
      <c r="M458" s="18"/>
      <c r="N458" s="19"/>
      <c r="O458" s="18"/>
      <c r="P458" s="19"/>
      <c r="Q458" s="18"/>
      <c r="R458" s="19"/>
      <c r="S458" s="18"/>
      <c r="T458" s="19"/>
      <c r="U458" s="18"/>
      <c r="V458" s="14"/>
    </row>
    <row r="459">
      <c r="A459" s="28"/>
      <c r="B459" s="19"/>
      <c r="C459" s="18"/>
      <c r="D459" s="19"/>
      <c r="E459" s="18"/>
      <c r="F459" s="19"/>
      <c r="G459" s="18"/>
      <c r="H459" s="19"/>
      <c r="I459" s="18"/>
      <c r="J459" s="19"/>
      <c r="K459" s="18"/>
      <c r="L459" s="19"/>
      <c r="M459" s="18"/>
      <c r="N459" s="19"/>
      <c r="O459" s="18"/>
      <c r="P459" s="19"/>
      <c r="Q459" s="18"/>
      <c r="R459" s="19"/>
      <c r="S459" s="18"/>
      <c r="T459" s="19"/>
      <c r="U459" s="18"/>
      <c r="V459" s="14"/>
    </row>
    <row r="460">
      <c r="A460" s="28"/>
      <c r="B460" s="19"/>
      <c r="C460" s="18"/>
      <c r="D460" s="19"/>
      <c r="E460" s="18"/>
      <c r="F460" s="19"/>
      <c r="G460" s="18"/>
      <c r="H460" s="19"/>
      <c r="I460" s="18"/>
      <c r="J460" s="19"/>
      <c r="K460" s="18"/>
      <c r="L460" s="19"/>
      <c r="M460" s="18"/>
      <c r="N460" s="19"/>
      <c r="O460" s="18"/>
      <c r="P460" s="19"/>
      <c r="Q460" s="18"/>
      <c r="R460" s="19"/>
      <c r="S460" s="18"/>
      <c r="T460" s="19"/>
      <c r="U460" s="18"/>
      <c r="V460" s="14"/>
    </row>
    <row r="461">
      <c r="A461" s="28"/>
      <c r="B461" s="19"/>
      <c r="C461" s="18"/>
      <c r="D461" s="19"/>
      <c r="E461" s="18"/>
      <c r="F461" s="19"/>
      <c r="G461" s="18"/>
      <c r="H461" s="19"/>
      <c r="I461" s="18"/>
      <c r="J461" s="19"/>
      <c r="K461" s="18"/>
      <c r="L461" s="19"/>
      <c r="M461" s="18"/>
      <c r="N461" s="19"/>
      <c r="O461" s="18"/>
      <c r="P461" s="19"/>
      <c r="Q461" s="18"/>
      <c r="R461" s="19"/>
      <c r="S461" s="18"/>
      <c r="T461" s="19"/>
      <c r="U461" s="18"/>
      <c r="V461" s="14"/>
    </row>
    <row r="462">
      <c r="A462" s="28"/>
      <c r="B462" s="19"/>
      <c r="C462" s="18"/>
      <c r="D462" s="19"/>
      <c r="E462" s="18"/>
      <c r="F462" s="19"/>
      <c r="G462" s="18"/>
      <c r="H462" s="19"/>
      <c r="I462" s="18"/>
      <c r="J462" s="19"/>
      <c r="K462" s="18"/>
      <c r="L462" s="19"/>
      <c r="M462" s="18"/>
      <c r="N462" s="19"/>
      <c r="O462" s="18"/>
      <c r="P462" s="19"/>
      <c r="Q462" s="18"/>
      <c r="R462" s="19"/>
      <c r="S462" s="18"/>
      <c r="T462" s="19"/>
      <c r="U462" s="18"/>
      <c r="V462" s="14"/>
    </row>
    <row r="463">
      <c r="A463" s="28"/>
      <c r="B463" s="19"/>
      <c r="C463" s="18"/>
      <c r="D463" s="19"/>
      <c r="E463" s="18"/>
      <c r="F463" s="19"/>
      <c r="G463" s="18"/>
      <c r="H463" s="19"/>
      <c r="I463" s="18"/>
      <c r="J463" s="19"/>
      <c r="K463" s="18"/>
      <c r="L463" s="19"/>
      <c r="M463" s="18"/>
      <c r="N463" s="19"/>
      <c r="O463" s="18"/>
      <c r="P463" s="19"/>
      <c r="Q463" s="18"/>
      <c r="R463" s="19"/>
      <c r="S463" s="18"/>
      <c r="T463" s="19"/>
      <c r="U463" s="18"/>
      <c r="V463" s="14"/>
    </row>
    <row r="464">
      <c r="A464" s="28"/>
      <c r="B464" s="19"/>
      <c r="C464" s="18"/>
      <c r="D464" s="19"/>
      <c r="E464" s="18"/>
      <c r="F464" s="19"/>
      <c r="G464" s="18"/>
      <c r="H464" s="19"/>
      <c r="I464" s="18"/>
      <c r="J464" s="19"/>
      <c r="K464" s="18"/>
      <c r="L464" s="19"/>
      <c r="M464" s="18"/>
      <c r="N464" s="19"/>
      <c r="O464" s="18"/>
      <c r="P464" s="19"/>
      <c r="Q464" s="18"/>
      <c r="R464" s="19"/>
      <c r="S464" s="18"/>
      <c r="T464" s="19"/>
      <c r="U464" s="18"/>
      <c r="V464" s="14"/>
    </row>
    <row r="465">
      <c r="A465" s="28"/>
      <c r="B465" s="19"/>
      <c r="C465" s="18"/>
      <c r="D465" s="19"/>
      <c r="E465" s="18"/>
      <c r="F465" s="19"/>
      <c r="G465" s="18"/>
      <c r="H465" s="19"/>
      <c r="I465" s="18"/>
      <c r="J465" s="19"/>
      <c r="K465" s="18"/>
      <c r="L465" s="19"/>
      <c r="M465" s="18"/>
      <c r="N465" s="19"/>
      <c r="O465" s="18"/>
      <c r="P465" s="19"/>
      <c r="Q465" s="18"/>
      <c r="R465" s="19"/>
      <c r="S465" s="18"/>
      <c r="T465" s="19"/>
      <c r="U465" s="18"/>
      <c r="V465" s="14"/>
    </row>
    <row r="466">
      <c r="A466" s="28"/>
      <c r="B466" s="19"/>
      <c r="C466" s="18"/>
      <c r="D466" s="19"/>
      <c r="E466" s="18"/>
      <c r="F466" s="19"/>
      <c r="G466" s="18"/>
      <c r="H466" s="19"/>
      <c r="I466" s="18"/>
      <c r="J466" s="19"/>
      <c r="K466" s="18"/>
      <c r="L466" s="19"/>
      <c r="M466" s="18"/>
      <c r="N466" s="19"/>
      <c r="O466" s="18"/>
      <c r="P466" s="19"/>
      <c r="Q466" s="18"/>
      <c r="R466" s="19"/>
      <c r="S466" s="18"/>
      <c r="T466" s="19"/>
      <c r="U466" s="18"/>
      <c r="V466" s="14"/>
    </row>
    <row r="467">
      <c r="A467" s="28"/>
      <c r="B467" s="19"/>
      <c r="C467" s="18"/>
      <c r="D467" s="19"/>
      <c r="E467" s="18"/>
      <c r="F467" s="19"/>
      <c r="G467" s="18"/>
      <c r="H467" s="19"/>
      <c r="I467" s="18"/>
      <c r="J467" s="19"/>
      <c r="K467" s="18"/>
      <c r="L467" s="19"/>
      <c r="M467" s="18"/>
      <c r="N467" s="19"/>
      <c r="O467" s="18"/>
      <c r="P467" s="19"/>
      <c r="Q467" s="18"/>
      <c r="R467" s="19"/>
      <c r="S467" s="18"/>
      <c r="T467" s="19"/>
      <c r="U467" s="18"/>
      <c r="V467" s="14"/>
    </row>
    <row r="468">
      <c r="A468" s="28"/>
      <c r="B468" s="19"/>
      <c r="C468" s="18"/>
      <c r="D468" s="19"/>
      <c r="E468" s="18"/>
      <c r="F468" s="19"/>
      <c r="G468" s="18"/>
      <c r="H468" s="19"/>
      <c r="I468" s="18"/>
      <c r="J468" s="19"/>
      <c r="K468" s="18"/>
      <c r="L468" s="19"/>
      <c r="M468" s="18"/>
      <c r="N468" s="19"/>
      <c r="O468" s="18"/>
      <c r="P468" s="19"/>
      <c r="Q468" s="18"/>
      <c r="R468" s="19"/>
      <c r="S468" s="18"/>
      <c r="T468" s="19"/>
      <c r="U468" s="18"/>
      <c r="V468" s="14"/>
    </row>
    <row r="469">
      <c r="A469" s="28"/>
      <c r="B469" s="19"/>
      <c r="C469" s="18"/>
      <c r="D469" s="19"/>
      <c r="E469" s="18"/>
      <c r="F469" s="19"/>
      <c r="G469" s="18"/>
      <c r="H469" s="19"/>
      <c r="I469" s="18"/>
      <c r="J469" s="19"/>
      <c r="K469" s="18"/>
      <c r="L469" s="19"/>
      <c r="M469" s="18"/>
      <c r="N469" s="19"/>
      <c r="O469" s="18"/>
      <c r="P469" s="19"/>
      <c r="Q469" s="18"/>
      <c r="R469" s="19"/>
      <c r="S469" s="18"/>
      <c r="T469" s="19"/>
      <c r="U469" s="18"/>
      <c r="V469" s="14"/>
    </row>
    <row r="470">
      <c r="A470" s="28"/>
      <c r="B470" s="19"/>
      <c r="C470" s="18"/>
      <c r="D470" s="19"/>
      <c r="E470" s="18"/>
      <c r="F470" s="19"/>
      <c r="G470" s="18"/>
      <c r="H470" s="19"/>
      <c r="I470" s="18"/>
      <c r="J470" s="19"/>
      <c r="K470" s="18"/>
      <c r="L470" s="19"/>
      <c r="M470" s="18"/>
      <c r="N470" s="19"/>
      <c r="O470" s="18"/>
      <c r="P470" s="19"/>
      <c r="Q470" s="18"/>
      <c r="R470" s="19"/>
      <c r="S470" s="18"/>
      <c r="T470" s="19"/>
      <c r="U470" s="18"/>
      <c r="V470" s="14"/>
    </row>
    <row r="471">
      <c r="A471" s="28"/>
      <c r="B471" s="19"/>
      <c r="C471" s="18"/>
      <c r="D471" s="19"/>
      <c r="E471" s="18"/>
      <c r="F471" s="19"/>
      <c r="G471" s="18"/>
      <c r="H471" s="19"/>
      <c r="I471" s="18"/>
      <c r="J471" s="19"/>
      <c r="K471" s="18"/>
      <c r="L471" s="19"/>
      <c r="M471" s="18"/>
      <c r="N471" s="19"/>
      <c r="O471" s="18"/>
      <c r="P471" s="19"/>
      <c r="Q471" s="18"/>
      <c r="R471" s="19"/>
      <c r="S471" s="18"/>
      <c r="T471" s="19"/>
      <c r="U471" s="18"/>
      <c r="V471" s="14"/>
    </row>
    <row r="472">
      <c r="A472" s="28"/>
      <c r="B472" s="19"/>
      <c r="C472" s="18"/>
      <c r="D472" s="19"/>
      <c r="E472" s="18"/>
      <c r="F472" s="19"/>
      <c r="G472" s="18"/>
      <c r="H472" s="19"/>
      <c r="I472" s="18"/>
      <c r="J472" s="19"/>
      <c r="K472" s="18"/>
      <c r="L472" s="19"/>
      <c r="M472" s="18"/>
      <c r="N472" s="19"/>
      <c r="O472" s="18"/>
      <c r="P472" s="19"/>
      <c r="Q472" s="18"/>
      <c r="R472" s="19"/>
      <c r="S472" s="18"/>
      <c r="T472" s="19"/>
      <c r="U472" s="18"/>
      <c r="V472" s="14"/>
    </row>
    <row r="473">
      <c r="A473" s="28"/>
      <c r="B473" s="19"/>
      <c r="C473" s="18"/>
      <c r="D473" s="19"/>
      <c r="E473" s="18"/>
      <c r="F473" s="19"/>
      <c r="G473" s="18"/>
      <c r="H473" s="19"/>
      <c r="I473" s="18"/>
      <c r="J473" s="19"/>
      <c r="K473" s="18"/>
      <c r="L473" s="19"/>
      <c r="M473" s="18"/>
      <c r="N473" s="19"/>
      <c r="O473" s="18"/>
      <c r="P473" s="19"/>
      <c r="Q473" s="18"/>
      <c r="R473" s="19"/>
      <c r="S473" s="18"/>
      <c r="T473" s="19"/>
      <c r="U473" s="18"/>
      <c r="V473" s="14"/>
    </row>
    <row r="474">
      <c r="A474" s="28"/>
      <c r="B474" s="19"/>
      <c r="C474" s="18"/>
      <c r="D474" s="19"/>
      <c r="E474" s="18"/>
      <c r="F474" s="19"/>
      <c r="G474" s="18"/>
      <c r="H474" s="19"/>
      <c r="I474" s="18"/>
      <c r="J474" s="19"/>
      <c r="K474" s="18"/>
      <c r="L474" s="19"/>
      <c r="M474" s="18"/>
      <c r="N474" s="19"/>
      <c r="O474" s="18"/>
      <c r="P474" s="19"/>
      <c r="Q474" s="18"/>
      <c r="R474" s="19"/>
      <c r="S474" s="18"/>
      <c r="T474" s="19"/>
      <c r="U474" s="18"/>
      <c r="V474" s="14"/>
    </row>
    <row r="475">
      <c r="A475" s="28"/>
      <c r="B475" s="19"/>
      <c r="C475" s="18"/>
      <c r="D475" s="19"/>
      <c r="E475" s="18"/>
      <c r="F475" s="19"/>
      <c r="G475" s="18"/>
      <c r="H475" s="19"/>
      <c r="I475" s="18"/>
      <c r="J475" s="19"/>
      <c r="K475" s="18"/>
      <c r="L475" s="19"/>
      <c r="M475" s="18"/>
      <c r="N475" s="19"/>
      <c r="O475" s="18"/>
      <c r="P475" s="19"/>
      <c r="Q475" s="18"/>
      <c r="R475" s="19"/>
      <c r="S475" s="18"/>
      <c r="T475" s="19"/>
      <c r="U475" s="18"/>
      <c r="V475" s="14"/>
    </row>
    <row r="476">
      <c r="A476" s="28"/>
      <c r="B476" s="19"/>
      <c r="C476" s="18"/>
      <c r="D476" s="19"/>
      <c r="E476" s="18"/>
      <c r="F476" s="19"/>
      <c r="G476" s="18"/>
      <c r="H476" s="19"/>
      <c r="I476" s="18"/>
      <c r="J476" s="19"/>
      <c r="K476" s="18"/>
      <c r="L476" s="19"/>
      <c r="M476" s="18"/>
      <c r="N476" s="19"/>
      <c r="O476" s="18"/>
      <c r="P476" s="19"/>
      <c r="Q476" s="18"/>
      <c r="R476" s="19"/>
      <c r="S476" s="18"/>
      <c r="T476" s="19"/>
      <c r="U476" s="18"/>
      <c r="V476" s="14"/>
    </row>
    <row r="477">
      <c r="A477" s="28"/>
      <c r="B477" s="19"/>
      <c r="C477" s="18"/>
      <c r="D477" s="19"/>
      <c r="E477" s="18"/>
      <c r="F477" s="19"/>
      <c r="G477" s="18"/>
      <c r="H477" s="19"/>
      <c r="I477" s="18"/>
      <c r="J477" s="19"/>
      <c r="K477" s="18"/>
      <c r="L477" s="19"/>
      <c r="M477" s="18"/>
      <c r="N477" s="19"/>
      <c r="O477" s="18"/>
      <c r="P477" s="19"/>
      <c r="Q477" s="18"/>
      <c r="R477" s="19"/>
      <c r="S477" s="18"/>
      <c r="T477" s="19"/>
      <c r="U477" s="18"/>
      <c r="V477" s="14"/>
    </row>
    <row r="478">
      <c r="A478" s="28"/>
      <c r="B478" s="19"/>
      <c r="C478" s="18"/>
      <c r="D478" s="19"/>
      <c r="E478" s="18"/>
      <c r="F478" s="19"/>
      <c r="G478" s="18"/>
      <c r="H478" s="19"/>
      <c r="I478" s="18"/>
      <c r="J478" s="19"/>
      <c r="K478" s="18"/>
      <c r="L478" s="19"/>
      <c r="M478" s="18"/>
      <c r="N478" s="19"/>
      <c r="O478" s="18"/>
      <c r="P478" s="19"/>
      <c r="Q478" s="18"/>
      <c r="R478" s="19"/>
      <c r="S478" s="18"/>
      <c r="T478" s="19"/>
      <c r="U478" s="18"/>
      <c r="V478" s="14"/>
    </row>
    <row r="479">
      <c r="A479" s="28"/>
      <c r="B479" s="19"/>
      <c r="C479" s="18"/>
      <c r="D479" s="19"/>
      <c r="E479" s="18"/>
      <c r="F479" s="19"/>
      <c r="G479" s="18"/>
      <c r="H479" s="19"/>
      <c r="I479" s="18"/>
      <c r="J479" s="19"/>
      <c r="K479" s="18"/>
      <c r="L479" s="19"/>
      <c r="M479" s="18"/>
      <c r="N479" s="19"/>
      <c r="O479" s="18"/>
      <c r="P479" s="19"/>
      <c r="Q479" s="18"/>
      <c r="R479" s="19"/>
      <c r="S479" s="18"/>
      <c r="T479" s="19"/>
      <c r="U479" s="18"/>
      <c r="V479" s="14"/>
    </row>
    <row r="480">
      <c r="A480" s="28"/>
      <c r="B480" s="19"/>
      <c r="C480" s="18"/>
      <c r="D480" s="19"/>
      <c r="E480" s="18"/>
      <c r="F480" s="19"/>
      <c r="G480" s="18"/>
      <c r="H480" s="19"/>
      <c r="I480" s="18"/>
      <c r="J480" s="19"/>
      <c r="K480" s="18"/>
      <c r="L480" s="19"/>
      <c r="M480" s="18"/>
      <c r="N480" s="19"/>
      <c r="O480" s="18"/>
      <c r="P480" s="19"/>
      <c r="Q480" s="18"/>
      <c r="R480" s="19"/>
      <c r="S480" s="18"/>
      <c r="T480" s="19"/>
      <c r="U480" s="18"/>
      <c r="V480" s="14"/>
    </row>
    <row r="481">
      <c r="A481" s="28"/>
      <c r="B481" s="19"/>
      <c r="C481" s="18"/>
      <c r="D481" s="19"/>
      <c r="E481" s="18"/>
      <c r="F481" s="19"/>
      <c r="G481" s="18"/>
      <c r="H481" s="19"/>
      <c r="I481" s="18"/>
      <c r="J481" s="19"/>
      <c r="K481" s="18"/>
      <c r="L481" s="19"/>
      <c r="M481" s="18"/>
      <c r="N481" s="19"/>
      <c r="O481" s="18"/>
      <c r="P481" s="19"/>
      <c r="Q481" s="18"/>
      <c r="R481" s="19"/>
      <c r="S481" s="18"/>
      <c r="T481" s="19"/>
      <c r="U481" s="18"/>
      <c r="V481" s="14"/>
    </row>
    <row r="482">
      <c r="A482" s="28"/>
      <c r="B482" s="19"/>
      <c r="C482" s="18"/>
      <c r="D482" s="19"/>
      <c r="E482" s="18"/>
      <c r="F482" s="19"/>
      <c r="G482" s="18"/>
      <c r="H482" s="19"/>
      <c r="I482" s="18"/>
      <c r="J482" s="19"/>
      <c r="K482" s="18"/>
      <c r="L482" s="19"/>
      <c r="M482" s="18"/>
      <c r="N482" s="19"/>
      <c r="O482" s="18"/>
      <c r="P482" s="19"/>
      <c r="Q482" s="18"/>
      <c r="R482" s="19"/>
      <c r="S482" s="18"/>
      <c r="T482" s="19"/>
      <c r="U482" s="18"/>
      <c r="V482" s="14"/>
    </row>
    <row r="483">
      <c r="A483" s="28"/>
      <c r="B483" s="19"/>
      <c r="C483" s="18"/>
      <c r="D483" s="19"/>
      <c r="E483" s="18"/>
      <c r="F483" s="19"/>
      <c r="G483" s="18"/>
      <c r="H483" s="19"/>
      <c r="I483" s="18"/>
      <c r="J483" s="19"/>
      <c r="K483" s="18"/>
      <c r="L483" s="19"/>
      <c r="M483" s="18"/>
      <c r="N483" s="19"/>
      <c r="O483" s="18"/>
      <c r="P483" s="19"/>
      <c r="Q483" s="18"/>
      <c r="R483" s="19"/>
      <c r="S483" s="18"/>
      <c r="T483" s="19"/>
      <c r="U483" s="18"/>
      <c r="V483" s="14"/>
    </row>
    <row r="484">
      <c r="A484" s="28"/>
      <c r="B484" s="19"/>
      <c r="C484" s="18"/>
      <c r="D484" s="19"/>
      <c r="E484" s="18"/>
      <c r="F484" s="19"/>
      <c r="G484" s="18"/>
      <c r="H484" s="19"/>
      <c r="I484" s="18"/>
      <c r="J484" s="19"/>
      <c r="K484" s="18"/>
      <c r="L484" s="19"/>
      <c r="M484" s="18"/>
      <c r="N484" s="19"/>
      <c r="O484" s="18"/>
      <c r="P484" s="19"/>
      <c r="Q484" s="18"/>
      <c r="R484" s="19"/>
      <c r="S484" s="18"/>
      <c r="T484" s="19"/>
      <c r="U484" s="18"/>
      <c r="V484" s="14"/>
    </row>
    <row r="485">
      <c r="A485" s="28"/>
      <c r="B485" s="19"/>
      <c r="C485" s="18"/>
      <c r="D485" s="19"/>
      <c r="E485" s="18"/>
      <c r="F485" s="19"/>
      <c r="G485" s="18"/>
      <c r="H485" s="19"/>
      <c r="I485" s="18"/>
      <c r="J485" s="19"/>
      <c r="K485" s="18"/>
      <c r="L485" s="19"/>
      <c r="M485" s="18"/>
      <c r="N485" s="19"/>
      <c r="O485" s="18"/>
      <c r="P485" s="19"/>
      <c r="Q485" s="18"/>
      <c r="R485" s="19"/>
      <c r="S485" s="18"/>
      <c r="T485" s="19"/>
      <c r="U485" s="18"/>
      <c r="V485" s="14"/>
    </row>
    <row r="486">
      <c r="A486" s="28"/>
      <c r="B486" s="19"/>
      <c r="C486" s="18"/>
      <c r="D486" s="19"/>
      <c r="E486" s="18"/>
      <c r="F486" s="19"/>
      <c r="G486" s="18"/>
      <c r="H486" s="19"/>
      <c r="I486" s="18"/>
      <c r="J486" s="19"/>
      <c r="K486" s="18"/>
      <c r="L486" s="19"/>
      <c r="M486" s="18"/>
      <c r="N486" s="19"/>
      <c r="O486" s="18"/>
      <c r="P486" s="19"/>
      <c r="Q486" s="18"/>
      <c r="R486" s="19"/>
      <c r="S486" s="18"/>
      <c r="T486" s="19"/>
      <c r="U486" s="18"/>
      <c r="V486" s="14"/>
    </row>
    <row r="487">
      <c r="A487" s="28"/>
      <c r="B487" s="19"/>
      <c r="C487" s="18"/>
      <c r="D487" s="19"/>
      <c r="E487" s="18"/>
      <c r="F487" s="19"/>
      <c r="G487" s="18"/>
      <c r="H487" s="19"/>
      <c r="I487" s="18"/>
      <c r="J487" s="19"/>
      <c r="K487" s="18"/>
      <c r="L487" s="19"/>
      <c r="M487" s="18"/>
      <c r="N487" s="19"/>
      <c r="O487" s="18"/>
      <c r="P487" s="19"/>
      <c r="Q487" s="18"/>
      <c r="R487" s="19"/>
      <c r="S487" s="18"/>
      <c r="T487" s="19"/>
      <c r="U487" s="18"/>
      <c r="V487" s="14"/>
    </row>
    <row r="488">
      <c r="A488" s="28"/>
      <c r="B488" s="19"/>
      <c r="C488" s="18"/>
      <c r="D488" s="19"/>
      <c r="E488" s="18"/>
      <c r="F488" s="19"/>
      <c r="G488" s="18"/>
      <c r="H488" s="19"/>
      <c r="I488" s="18"/>
      <c r="J488" s="19"/>
      <c r="K488" s="18"/>
      <c r="L488" s="19"/>
      <c r="M488" s="18"/>
      <c r="N488" s="19"/>
      <c r="O488" s="18"/>
      <c r="P488" s="19"/>
      <c r="Q488" s="18"/>
      <c r="R488" s="19"/>
      <c r="S488" s="18"/>
      <c r="T488" s="19"/>
      <c r="U488" s="18"/>
      <c r="V488" s="14"/>
    </row>
    <row r="489">
      <c r="A489" s="28"/>
      <c r="B489" s="19"/>
      <c r="C489" s="18"/>
      <c r="D489" s="19"/>
      <c r="E489" s="18"/>
      <c r="F489" s="19"/>
      <c r="G489" s="18"/>
      <c r="H489" s="19"/>
      <c r="I489" s="18"/>
      <c r="J489" s="19"/>
      <c r="K489" s="18"/>
      <c r="L489" s="19"/>
      <c r="M489" s="18"/>
      <c r="N489" s="19"/>
      <c r="O489" s="18"/>
      <c r="P489" s="19"/>
      <c r="Q489" s="18"/>
      <c r="R489" s="19"/>
      <c r="S489" s="18"/>
      <c r="T489" s="19"/>
      <c r="U489" s="18"/>
      <c r="V489" s="14"/>
    </row>
    <row r="490">
      <c r="A490" s="28"/>
      <c r="B490" s="19"/>
      <c r="C490" s="18"/>
      <c r="D490" s="19"/>
      <c r="E490" s="18"/>
      <c r="F490" s="19"/>
      <c r="G490" s="18"/>
      <c r="H490" s="19"/>
      <c r="I490" s="18"/>
      <c r="J490" s="19"/>
      <c r="K490" s="18"/>
      <c r="L490" s="19"/>
      <c r="M490" s="18"/>
      <c r="N490" s="19"/>
      <c r="O490" s="18"/>
      <c r="P490" s="19"/>
      <c r="Q490" s="18"/>
      <c r="R490" s="19"/>
      <c r="S490" s="18"/>
      <c r="T490" s="19"/>
      <c r="U490" s="18"/>
      <c r="V490" s="14"/>
    </row>
    <row r="491">
      <c r="A491" s="28"/>
      <c r="B491" s="19"/>
      <c r="C491" s="18"/>
      <c r="D491" s="19"/>
      <c r="E491" s="18"/>
      <c r="F491" s="19"/>
      <c r="G491" s="18"/>
      <c r="H491" s="19"/>
      <c r="I491" s="18"/>
      <c r="J491" s="19"/>
      <c r="K491" s="18"/>
      <c r="L491" s="19"/>
      <c r="M491" s="18"/>
      <c r="N491" s="19"/>
      <c r="O491" s="18"/>
      <c r="P491" s="19"/>
      <c r="Q491" s="18"/>
      <c r="R491" s="19"/>
      <c r="S491" s="18"/>
      <c r="T491" s="19"/>
      <c r="U491" s="18"/>
      <c r="V491" s="14"/>
    </row>
    <row r="492">
      <c r="A492" s="28"/>
      <c r="B492" s="19"/>
      <c r="C492" s="18"/>
      <c r="D492" s="19"/>
      <c r="E492" s="18"/>
      <c r="F492" s="19"/>
      <c r="G492" s="18"/>
      <c r="H492" s="19"/>
      <c r="I492" s="18"/>
      <c r="J492" s="19"/>
      <c r="K492" s="18"/>
      <c r="L492" s="19"/>
      <c r="M492" s="18"/>
      <c r="N492" s="19"/>
      <c r="O492" s="18"/>
      <c r="P492" s="19"/>
      <c r="Q492" s="18"/>
      <c r="R492" s="19"/>
      <c r="S492" s="18"/>
      <c r="T492" s="19"/>
      <c r="U492" s="18"/>
      <c r="V492" s="14"/>
    </row>
    <row r="493">
      <c r="A493" s="28"/>
      <c r="B493" s="19"/>
      <c r="C493" s="18"/>
      <c r="D493" s="19"/>
      <c r="E493" s="18"/>
      <c r="F493" s="19"/>
      <c r="G493" s="18"/>
      <c r="H493" s="19"/>
      <c r="I493" s="18"/>
      <c r="J493" s="19"/>
      <c r="K493" s="18"/>
      <c r="L493" s="19"/>
      <c r="M493" s="18"/>
      <c r="N493" s="19"/>
      <c r="O493" s="18"/>
      <c r="P493" s="19"/>
      <c r="Q493" s="18"/>
      <c r="R493" s="19"/>
      <c r="S493" s="18"/>
      <c r="T493" s="19"/>
      <c r="U493" s="18"/>
      <c r="V493" s="14"/>
    </row>
    <row r="494">
      <c r="A494" s="28"/>
      <c r="B494" s="19"/>
      <c r="C494" s="18"/>
      <c r="D494" s="19"/>
      <c r="E494" s="18"/>
      <c r="F494" s="19"/>
      <c r="G494" s="18"/>
      <c r="H494" s="19"/>
      <c r="I494" s="18"/>
      <c r="J494" s="19"/>
      <c r="K494" s="18"/>
      <c r="L494" s="19"/>
      <c r="M494" s="18"/>
      <c r="N494" s="19"/>
      <c r="O494" s="18"/>
      <c r="P494" s="19"/>
      <c r="Q494" s="18"/>
      <c r="R494" s="19"/>
      <c r="S494" s="18"/>
      <c r="T494" s="19"/>
      <c r="U494" s="18"/>
      <c r="V494" s="14"/>
    </row>
    <row r="495">
      <c r="A495" s="28"/>
      <c r="B495" s="19"/>
      <c r="C495" s="18"/>
      <c r="D495" s="19"/>
      <c r="E495" s="18"/>
      <c r="F495" s="19"/>
      <c r="G495" s="18"/>
      <c r="H495" s="19"/>
      <c r="I495" s="18"/>
      <c r="J495" s="19"/>
      <c r="K495" s="18"/>
      <c r="L495" s="19"/>
      <c r="M495" s="18"/>
      <c r="N495" s="19"/>
      <c r="O495" s="18"/>
      <c r="P495" s="19"/>
      <c r="Q495" s="18"/>
      <c r="R495" s="19"/>
      <c r="S495" s="18"/>
      <c r="T495" s="19"/>
      <c r="U495" s="18"/>
      <c r="V495" s="14"/>
    </row>
    <row r="496">
      <c r="A496" s="28"/>
      <c r="B496" s="19"/>
      <c r="C496" s="18"/>
      <c r="D496" s="19"/>
      <c r="E496" s="18"/>
      <c r="F496" s="19"/>
      <c r="G496" s="18"/>
      <c r="H496" s="19"/>
      <c r="I496" s="18"/>
      <c r="J496" s="19"/>
      <c r="K496" s="18"/>
      <c r="L496" s="19"/>
      <c r="M496" s="18"/>
      <c r="N496" s="19"/>
      <c r="O496" s="18"/>
      <c r="P496" s="19"/>
      <c r="Q496" s="18"/>
      <c r="R496" s="19"/>
      <c r="S496" s="18"/>
      <c r="T496" s="19"/>
      <c r="U496" s="18"/>
      <c r="V496" s="14"/>
    </row>
    <row r="497">
      <c r="A497" s="28"/>
      <c r="B497" s="19"/>
      <c r="C497" s="18"/>
      <c r="D497" s="19"/>
      <c r="E497" s="18"/>
      <c r="F497" s="19"/>
      <c r="G497" s="18"/>
      <c r="H497" s="19"/>
      <c r="I497" s="18"/>
      <c r="J497" s="19"/>
      <c r="K497" s="18"/>
      <c r="L497" s="19"/>
      <c r="M497" s="18"/>
      <c r="N497" s="19"/>
      <c r="O497" s="18"/>
      <c r="P497" s="19"/>
      <c r="Q497" s="18"/>
      <c r="R497" s="19"/>
      <c r="S497" s="18"/>
      <c r="T497" s="19"/>
      <c r="U497" s="18"/>
      <c r="V497" s="14"/>
    </row>
    <row r="498">
      <c r="A498" s="28"/>
      <c r="B498" s="19"/>
      <c r="C498" s="18"/>
      <c r="D498" s="19"/>
      <c r="E498" s="18"/>
      <c r="F498" s="19"/>
      <c r="G498" s="18"/>
      <c r="H498" s="19"/>
      <c r="I498" s="18"/>
      <c r="J498" s="19"/>
      <c r="K498" s="18"/>
      <c r="L498" s="19"/>
      <c r="M498" s="18"/>
      <c r="N498" s="19"/>
      <c r="O498" s="18"/>
      <c r="P498" s="19"/>
      <c r="Q498" s="18"/>
      <c r="R498" s="19"/>
      <c r="S498" s="18"/>
      <c r="T498" s="19"/>
      <c r="U498" s="18"/>
      <c r="V498" s="14"/>
    </row>
    <row r="499">
      <c r="A499" s="28"/>
      <c r="B499" s="19"/>
      <c r="C499" s="18"/>
      <c r="D499" s="19"/>
      <c r="E499" s="18"/>
      <c r="F499" s="19"/>
      <c r="G499" s="18"/>
      <c r="H499" s="19"/>
      <c r="I499" s="18"/>
      <c r="J499" s="19"/>
      <c r="K499" s="18"/>
      <c r="L499" s="19"/>
      <c r="M499" s="18"/>
      <c r="N499" s="19"/>
      <c r="O499" s="18"/>
      <c r="P499" s="19"/>
      <c r="Q499" s="18"/>
      <c r="R499" s="19"/>
      <c r="S499" s="18"/>
      <c r="T499" s="19"/>
      <c r="U499" s="18"/>
      <c r="V499" s="14"/>
    </row>
    <row r="500">
      <c r="A500" s="28"/>
      <c r="B500" s="19"/>
      <c r="C500" s="18"/>
      <c r="D500" s="19"/>
      <c r="E500" s="18"/>
      <c r="F500" s="19"/>
      <c r="G500" s="18"/>
      <c r="H500" s="19"/>
      <c r="I500" s="18"/>
      <c r="J500" s="19"/>
      <c r="K500" s="18"/>
      <c r="L500" s="19"/>
      <c r="M500" s="18"/>
      <c r="N500" s="19"/>
      <c r="O500" s="18"/>
      <c r="P500" s="19"/>
      <c r="Q500" s="18"/>
      <c r="R500" s="19"/>
      <c r="S500" s="18"/>
      <c r="T500" s="19"/>
      <c r="U500" s="18"/>
      <c r="V500" s="14"/>
    </row>
    <row r="501">
      <c r="A501" s="28"/>
      <c r="B501" s="19"/>
      <c r="C501" s="18"/>
      <c r="D501" s="19"/>
      <c r="E501" s="18"/>
      <c r="F501" s="19"/>
      <c r="G501" s="18"/>
      <c r="H501" s="19"/>
      <c r="I501" s="18"/>
      <c r="J501" s="19"/>
      <c r="K501" s="18"/>
      <c r="L501" s="19"/>
      <c r="M501" s="18"/>
      <c r="N501" s="19"/>
      <c r="O501" s="18"/>
      <c r="P501" s="19"/>
      <c r="Q501" s="18"/>
      <c r="R501" s="19"/>
      <c r="S501" s="18"/>
      <c r="T501" s="19"/>
      <c r="U501" s="18"/>
      <c r="V501" s="14"/>
    </row>
    <row r="502">
      <c r="A502" s="28"/>
      <c r="B502" s="19"/>
      <c r="C502" s="18"/>
      <c r="D502" s="19"/>
      <c r="E502" s="18"/>
      <c r="F502" s="19"/>
      <c r="G502" s="18"/>
      <c r="H502" s="19"/>
      <c r="I502" s="18"/>
      <c r="J502" s="19"/>
      <c r="K502" s="18"/>
      <c r="L502" s="19"/>
      <c r="M502" s="18"/>
      <c r="N502" s="19"/>
      <c r="O502" s="18"/>
      <c r="P502" s="19"/>
      <c r="Q502" s="18"/>
      <c r="R502" s="19"/>
      <c r="S502" s="18"/>
      <c r="T502" s="19"/>
      <c r="U502" s="18"/>
      <c r="V502" s="14"/>
    </row>
    <row r="503">
      <c r="A503" s="28"/>
      <c r="B503" s="19"/>
      <c r="C503" s="18"/>
      <c r="D503" s="19"/>
      <c r="E503" s="18"/>
      <c r="F503" s="19"/>
      <c r="G503" s="18"/>
      <c r="H503" s="19"/>
      <c r="I503" s="18"/>
      <c r="J503" s="19"/>
      <c r="K503" s="18"/>
      <c r="L503" s="19"/>
      <c r="M503" s="18"/>
      <c r="N503" s="19"/>
      <c r="O503" s="18"/>
      <c r="P503" s="19"/>
      <c r="Q503" s="18"/>
      <c r="R503" s="19"/>
      <c r="S503" s="18"/>
      <c r="T503" s="19"/>
      <c r="U503" s="18"/>
      <c r="V503" s="14"/>
    </row>
    <row r="504">
      <c r="A504" s="28"/>
      <c r="B504" s="19"/>
      <c r="C504" s="18"/>
      <c r="D504" s="19"/>
      <c r="E504" s="18"/>
      <c r="F504" s="19"/>
      <c r="G504" s="18"/>
      <c r="H504" s="19"/>
      <c r="I504" s="18"/>
      <c r="J504" s="19"/>
      <c r="K504" s="18"/>
      <c r="L504" s="19"/>
      <c r="M504" s="18"/>
      <c r="N504" s="19"/>
      <c r="O504" s="18"/>
      <c r="P504" s="19"/>
      <c r="Q504" s="18"/>
      <c r="R504" s="19"/>
      <c r="S504" s="18"/>
      <c r="T504" s="19"/>
      <c r="U504" s="18"/>
      <c r="V504" s="14"/>
    </row>
    <row r="505">
      <c r="A505" s="28"/>
      <c r="B505" s="19"/>
      <c r="C505" s="18"/>
      <c r="D505" s="19"/>
      <c r="E505" s="18"/>
      <c r="F505" s="19"/>
      <c r="G505" s="18"/>
      <c r="H505" s="19"/>
      <c r="I505" s="18"/>
      <c r="J505" s="19"/>
      <c r="K505" s="18"/>
      <c r="L505" s="19"/>
      <c r="M505" s="18"/>
      <c r="N505" s="19"/>
      <c r="O505" s="18"/>
      <c r="P505" s="19"/>
      <c r="Q505" s="18"/>
      <c r="R505" s="19"/>
      <c r="S505" s="18"/>
      <c r="T505" s="19"/>
      <c r="U505" s="18"/>
      <c r="V505" s="14"/>
    </row>
    <row r="506">
      <c r="A506" s="28"/>
      <c r="B506" s="19"/>
      <c r="C506" s="18"/>
      <c r="D506" s="19"/>
      <c r="E506" s="18"/>
      <c r="F506" s="19"/>
      <c r="G506" s="18"/>
      <c r="H506" s="19"/>
      <c r="I506" s="18"/>
      <c r="J506" s="19"/>
      <c r="K506" s="18"/>
      <c r="L506" s="19"/>
      <c r="M506" s="18"/>
      <c r="N506" s="19"/>
      <c r="O506" s="18"/>
      <c r="P506" s="19"/>
      <c r="Q506" s="18"/>
      <c r="R506" s="19"/>
      <c r="S506" s="18"/>
      <c r="T506" s="19"/>
      <c r="U506" s="18"/>
      <c r="V506" s="14"/>
    </row>
    <row r="507">
      <c r="A507" s="28"/>
      <c r="B507" s="19"/>
      <c r="C507" s="18"/>
      <c r="D507" s="19"/>
      <c r="E507" s="18"/>
      <c r="F507" s="19"/>
      <c r="G507" s="18"/>
      <c r="H507" s="19"/>
      <c r="I507" s="18"/>
      <c r="J507" s="19"/>
      <c r="K507" s="18"/>
      <c r="L507" s="19"/>
      <c r="M507" s="18"/>
      <c r="N507" s="19"/>
      <c r="O507" s="18"/>
      <c r="P507" s="19"/>
      <c r="Q507" s="18"/>
      <c r="R507" s="19"/>
      <c r="S507" s="18"/>
      <c r="T507" s="19"/>
      <c r="U507" s="18"/>
      <c r="V507" s="14"/>
    </row>
    <row r="508">
      <c r="A508" s="28"/>
      <c r="B508" s="19"/>
      <c r="C508" s="18"/>
      <c r="D508" s="19"/>
      <c r="E508" s="18"/>
      <c r="F508" s="19"/>
      <c r="G508" s="18"/>
      <c r="H508" s="19"/>
      <c r="I508" s="18"/>
      <c r="J508" s="19"/>
      <c r="K508" s="18"/>
      <c r="L508" s="19"/>
      <c r="M508" s="18"/>
      <c r="N508" s="19"/>
      <c r="O508" s="18"/>
      <c r="P508" s="19"/>
      <c r="Q508" s="18"/>
      <c r="R508" s="19"/>
      <c r="S508" s="18"/>
      <c r="T508" s="19"/>
      <c r="U508" s="18"/>
      <c r="V508" s="14"/>
    </row>
    <row r="509">
      <c r="A509" s="28"/>
      <c r="B509" s="19"/>
      <c r="C509" s="18"/>
      <c r="D509" s="19"/>
      <c r="E509" s="18"/>
      <c r="F509" s="19"/>
      <c r="G509" s="18"/>
      <c r="H509" s="19"/>
      <c r="I509" s="18"/>
      <c r="J509" s="19"/>
      <c r="K509" s="18"/>
      <c r="L509" s="19"/>
      <c r="M509" s="18"/>
      <c r="N509" s="19"/>
      <c r="O509" s="18"/>
      <c r="P509" s="19"/>
      <c r="Q509" s="18"/>
      <c r="R509" s="19"/>
      <c r="S509" s="18"/>
      <c r="T509" s="19"/>
      <c r="U509" s="18"/>
      <c r="V509" s="14"/>
    </row>
    <row r="510">
      <c r="A510" s="28"/>
      <c r="B510" s="19"/>
      <c r="C510" s="18"/>
      <c r="D510" s="19"/>
      <c r="E510" s="18"/>
      <c r="F510" s="19"/>
      <c r="G510" s="18"/>
      <c r="H510" s="19"/>
      <c r="I510" s="18"/>
      <c r="J510" s="19"/>
      <c r="K510" s="18"/>
      <c r="L510" s="19"/>
      <c r="M510" s="18"/>
      <c r="N510" s="19"/>
      <c r="O510" s="18"/>
      <c r="P510" s="19"/>
      <c r="Q510" s="18"/>
      <c r="R510" s="19"/>
      <c r="S510" s="18"/>
      <c r="T510" s="19"/>
      <c r="U510" s="18"/>
      <c r="V510" s="14"/>
    </row>
    <row r="511">
      <c r="A511" s="28"/>
      <c r="B511" s="19"/>
      <c r="C511" s="18"/>
      <c r="D511" s="19"/>
      <c r="E511" s="18"/>
      <c r="F511" s="19"/>
      <c r="G511" s="18"/>
      <c r="H511" s="19"/>
      <c r="I511" s="18"/>
      <c r="J511" s="19"/>
      <c r="K511" s="18"/>
      <c r="L511" s="19"/>
      <c r="M511" s="18"/>
      <c r="N511" s="19"/>
      <c r="O511" s="18"/>
      <c r="P511" s="19"/>
      <c r="Q511" s="18"/>
      <c r="R511" s="19"/>
      <c r="S511" s="18"/>
      <c r="T511" s="19"/>
      <c r="U511" s="18"/>
      <c r="V511" s="14"/>
    </row>
    <row r="512">
      <c r="A512" s="28"/>
      <c r="B512" s="19"/>
      <c r="C512" s="18"/>
      <c r="D512" s="19"/>
      <c r="E512" s="18"/>
      <c r="F512" s="19"/>
      <c r="G512" s="18"/>
      <c r="H512" s="19"/>
      <c r="I512" s="18"/>
      <c r="J512" s="19"/>
      <c r="K512" s="18"/>
      <c r="L512" s="19"/>
      <c r="M512" s="18"/>
      <c r="N512" s="19"/>
      <c r="O512" s="18"/>
      <c r="P512" s="19"/>
      <c r="Q512" s="18"/>
      <c r="R512" s="19"/>
      <c r="S512" s="18"/>
      <c r="T512" s="19"/>
      <c r="U512" s="18"/>
      <c r="V512" s="14"/>
    </row>
    <row r="513">
      <c r="A513" s="28"/>
      <c r="B513" s="19"/>
      <c r="C513" s="18"/>
      <c r="D513" s="19"/>
      <c r="E513" s="18"/>
      <c r="F513" s="19"/>
      <c r="G513" s="18"/>
      <c r="H513" s="19"/>
      <c r="I513" s="18"/>
      <c r="J513" s="19"/>
      <c r="K513" s="18"/>
      <c r="L513" s="19"/>
      <c r="M513" s="18"/>
      <c r="N513" s="19"/>
      <c r="O513" s="18"/>
      <c r="P513" s="19"/>
      <c r="Q513" s="18"/>
      <c r="R513" s="19"/>
      <c r="S513" s="18"/>
      <c r="T513" s="19"/>
      <c r="U513" s="18"/>
      <c r="V513" s="14"/>
    </row>
    <row r="514">
      <c r="A514" s="28"/>
      <c r="B514" s="19"/>
      <c r="C514" s="18"/>
      <c r="D514" s="19"/>
      <c r="E514" s="18"/>
      <c r="F514" s="19"/>
      <c r="G514" s="18"/>
      <c r="H514" s="19"/>
      <c r="I514" s="18"/>
      <c r="J514" s="19"/>
      <c r="K514" s="18"/>
      <c r="L514" s="19"/>
      <c r="M514" s="18"/>
      <c r="N514" s="19"/>
      <c r="O514" s="18"/>
      <c r="P514" s="19"/>
      <c r="Q514" s="18"/>
      <c r="R514" s="19"/>
      <c r="S514" s="18"/>
      <c r="T514" s="19"/>
      <c r="U514" s="18"/>
      <c r="V514" s="14"/>
    </row>
    <row r="515">
      <c r="A515" s="28"/>
      <c r="B515" s="19"/>
      <c r="C515" s="18"/>
      <c r="D515" s="19"/>
      <c r="E515" s="18"/>
      <c r="F515" s="19"/>
      <c r="G515" s="18"/>
      <c r="H515" s="19"/>
      <c r="I515" s="18"/>
      <c r="J515" s="19"/>
      <c r="K515" s="18"/>
      <c r="L515" s="19"/>
      <c r="M515" s="18"/>
      <c r="N515" s="19"/>
      <c r="O515" s="18"/>
      <c r="P515" s="19"/>
      <c r="Q515" s="18"/>
      <c r="R515" s="19"/>
      <c r="S515" s="18"/>
      <c r="T515" s="19"/>
      <c r="U515" s="18"/>
      <c r="V515" s="14"/>
    </row>
    <row r="516">
      <c r="A516" s="28"/>
      <c r="B516" s="19"/>
      <c r="C516" s="18"/>
      <c r="D516" s="19"/>
      <c r="E516" s="18"/>
      <c r="F516" s="19"/>
      <c r="G516" s="18"/>
      <c r="H516" s="19"/>
      <c r="I516" s="18"/>
      <c r="J516" s="19"/>
      <c r="K516" s="18"/>
      <c r="L516" s="19"/>
      <c r="M516" s="18"/>
      <c r="N516" s="19"/>
      <c r="O516" s="18"/>
      <c r="P516" s="19"/>
      <c r="Q516" s="18"/>
      <c r="R516" s="19"/>
      <c r="S516" s="18"/>
      <c r="T516" s="19"/>
      <c r="U516" s="18"/>
      <c r="V516" s="14"/>
    </row>
    <row r="517">
      <c r="A517" s="28"/>
      <c r="B517" s="19"/>
      <c r="C517" s="18"/>
      <c r="D517" s="19"/>
      <c r="E517" s="18"/>
      <c r="F517" s="19"/>
      <c r="G517" s="18"/>
      <c r="H517" s="19"/>
      <c r="I517" s="18"/>
      <c r="J517" s="19"/>
      <c r="K517" s="18"/>
      <c r="L517" s="19"/>
      <c r="M517" s="18"/>
      <c r="N517" s="19"/>
      <c r="O517" s="18"/>
      <c r="P517" s="19"/>
      <c r="Q517" s="18"/>
      <c r="R517" s="19"/>
      <c r="S517" s="18"/>
      <c r="T517" s="19"/>
      <c r="U517" s="18"/>
      <c r="V517" s="14"/>
    </row>
    <row r="518">
      <c r="A518" s="28"/>
      <c r="B518" s="19"/>
      <c r="C518" s="18"/>
      <c r="D518" s="19"/>
      <c r="E518" s="18"/>
      <c r="F518" s="19"/>
      <c r="G518" s="18"/>
      <c r="H518" s="19"/>
      <c r="I518" s="18"/>
      <c r="J518" s="19"/>
      <c r="K518" s="18"/>
      <c r="L518" s="19"/>
      <c r="M518" s="18"/>
      <c r="N518" s="19"/>
      <c r="O518" s="18"/>
      <c r="P518" s="19"/>
      <c r="Q518" s="18"/>
      <c r="R518" s="19"/>
      <c r="S518" s="18"/>
      <c r="T518" s="19"/>
      <c r="U518" s="18"/>
      <c r="V518" s="14"/>
    </row>
    <row r="519">
      <c r="A519" s="28"/>
      <c r="B519" s="19"/>
      <c r="C519" s="18"/>
      <c r="D519" s="19"/>
      <c r="E519" s="18"/>
      <c r="F519" s="19"/>
      <c r="G519" s="18"/>
      <c r="H519" s="19"/>
      <c r="I519" s="18"/>
      <c r="J519" s="19"/>
      <c r="K519" s="18"/>
      <c r="L519" s="19"/>
      <c r="M519" s="18"/>
      <c r="N519" s="19"/>
      <c r="O519" s="18"/>
      <c r="P519" s="19"/>
      <c r="Q519" s="18"/>
      <c r="R519" s="19"/>
      <c r="S519" s="18"/>
      <c r="T519" s="19"/>
      <c r="U519" s="18"/>
      <c r="V519" s="14"/>
    </row>
    <row r="520">
      <c r="A520" s="28"/>
      <c r="B520" s="19"/>
      <c r="C520" s="18"/>
      <c r="D520" s="19"/>
      <c r="E520" s="18"/>
      <c r="F520" s="19"/>
      <c r="G520" s="18"/>
      <c r="H520" s="19"/>
      <c r="I520" s="18"/>
      <c r="J520" s="19"/>
      <c r="K520" s="18"/>
      <c r="L520" s="19"/>
      <c r="M520" s="18"/>
      <c r="N520" s="19"/>
      <c r="O520" s="18"/>
      <c r="P520" s="19"/>
      <c r="Q520" s="18"/>
      <c r="R520" s="19"/>
      <c r="S520" s="18"/>
      <c r="T520" s="19"/>
      <c r="U520" s="18"/>
      <c r="V520" s="14"/>
    </row>
    <row r="521">
      <c r="A521" s="28"/>
      <c r="B521" s="19"/>
      <c r="C521" s="18"/>
      <c r="D521" s="19"/>
      <c r="E521" s="18"/>
      <c r="F521" s="19"/>
      <c r="G521" s="18"/>
      <c r="H521" s="19"/>
      <c r="I521" s="18"/>
      <c r="J521" s="19"/>
      <c r="K521" s="18"/>
      <c r="L521" s="19"/>
      <c r="M521" s="18"/>
      <c r="N521" s="19"/>
      <c r="O521" s="18"/>
      <c r="P521" s="19"/>
      <c r="Q521" s="18"/>
      <c r="R521" s="19"/>
      <c r="S521" s="18"/>
      <c r="T521" s="19"/>
      <c r="U521" s="18"/>
      <c r="V521" s="14"/>
    </row>
    <row r="522">
      <c r="A522" s="28"/>
      <c r="B522" s="19"/>
      <c r="C522" s="18"/>
      <c r="D522" s="19"/>
      <c r="E522" s="18"/>
      <c r="F522" s="19"/>
      <c r="G522" s="18"/>
      <c r="H522" s="19"/>
      <c r="I522" s="18"/>
      <c r="J522" s="19"/>
      <c r="K522" s="18"/>
      <c r="L522" s="19"/>
      <c r="M522" s="18"/>
      <c r="N522" s="19"/>
      <c r="O522" s="18"/>
      <c r="P522" s="19"/>
      <c r="Q522" s="18"/>
      <c r="R522" s="19"/>
      <c r="S522" s="18"/>
      <c r="T522" s="19"/>
      <c r="U522" s="18"/>
      <c r="V522" s="14"/>
    </row>
    <row r="523">
      <c r="A523" s="28"/>
      <c r="B523" s="19"/>
      <c r="C523" s="18"/>
      <c r="D523" s="19"/>
      <c r="E523" s="18"/>
      <c r="F523" s="19"/>
      <c r="G523" s="18"/>
      <c r="H523" s="19"/>
      <c r="I523" s="18"/>
      <c r="J523" s="19"/>
      <c r="K523" s="18"/>
      <c r="L523" s="19"/>
      <c r="M523" s="18"/>
      <c r="N523" s="19"/>
      <c r="O523" s="18"/>
      <c r="P523" s="19"/>
      <c r="Q523" s="18"/>
      <c r="R523" s="19"/>
      <c r="S523" s="18"/>
      <c r="T523" s="19"/>
      <c r="U523" s="18"/>
      <c r="V523" s="14"/>
    </row>
    <row r="524">
      <c r="A524" s="28"/>
      <c r="B524" s="19"/>
      <c r="C524" s="18"/>
      <c r="D524" s="19"/>
      <c r="E524" s="18"/>
      <c r="F524" s="19"/>
      <c r="G524" s="18"/>
      <c r="H524" s="19"/>
      <c r="I524" s="18"/>
      <c r="J524" s="19"/>
      <c r="K524" s="18"/>
      <c r="L524" s="19"/>
      <c r="M524" s="18"/>
      <c r="N524" s="19"/>
      <c r="O524" s="18"/>
      <c r="P524" s="19"/>
      <c r="Q524" s="18"/>
      <c r="R524" s="19"/>
      <c r="S524" s="18"/>
      <c r="T524" s="19"/>
      <c r="U524" s="18"/>
      <c r="V524" s="14"/>
    </row>
    <row r="525">
      <c r="A525" s="28"/>
      <c r="B525" s="19"/>
      <c r="C525" s="18"/>
      <c r="D525" s="19"/>
      <c r="E525" s="18"/>
      <c r="F525" s="19"/>
      <c r="G525" s="18"/>
      <c r="H525" s="19"/>
      <c r="I525" s="18"/>
      <c r="J525" s="19"/>
      <c r="K525" s="18"/>
      <c r="L525" s="19"/>
      <c r="M525" s="18"/>
      <c r="N525" s="19"/>
      <c r="O525" s="18"/>
      <c r="P525" s="19"/>
      <c r="Q525" s="18"/>
      <c r="R525" s="19"/>
      <c r="S525" s="18"/>
      <c r="T525" s="19"/>
      <c r="U525" s="18"/>
      <c r="V525" s="14"/>
    </row>
    <row r="526">
      <c r="A526" s="28"/>
      <c r="B526" s="19"/>
      <c r="C526" s="18"/>
      <c r="D526" s="19"/>
      <c r="E526" s="18"/>
      <c r="F526" s="19"/>
      <c r="G526" s="18"/>
      <c r="H526" s="19"/>
      <c r="I526" s="18"/>
      <c r="J526" s="19"/>
      <c r="K526" s="18"/>
      <c r="L526" s="19"/>
      <c r="M526" s="18"/>
      <c r="N526" s="19"/>
      <c r="O526" s="18"/>
      <c r="P526" s="19"/>
      <c r="Q526" s="18"/>
      <c r="R526" s="19"/>
      <c r="S526" s="18"/>
      <c r="T526" s="19"/>
      <c r="U526" s="18"/>
      <c r="V526" s="14"/>
    </row>
    <row r="527">
      <c r="A527" s="28"/>
      <c r="B527" s="19"/>
      <c r="C527" s="18"/>
      <c r="D527" s="19"/>
      <c r="E527" s="18"/>
      <c r="F527" s="19"/>
      <c r="G527" s="18"/>
      <c r="H527" s="19"/>
      <c r="I527" s="18"/>
      <c r="J527" s="19"/>
      <c r="K527" s="18"/>
      <c r="L527" s="19"/>
      <c r="M527" s="18"/>
      <c r="N527" s="19"/>
      <c r="O527" s="18"/>
      <c r="P527" s="19"/>
      <c r="Q527" s="18"/>
      <c r="R527" s="19"/>
      <c r="S527" s="18"/>
      <c r="T527" s="19"/>
      <c r="U527" s="18"/>
      <c r="V527" s="14"/>
    </row>
    <row r="528">
      <c r="A528" s="28"/>
      <c r="B528" s="19"/>
      <c r="C528" s="18"/>
      <c r="D528" s="19"/>
      <c r="E528" s="18"/>
      <c r="F528" s="19"/>
      <c r="G528" s="18"/>
      <c r="H528" s="19"/>
      <c r="I528" s="18"/>
      <c r="J528" s="19"/>
      <c r="K528" s="18"/>
      <c r="L528" s="19"/>
      <c r="M528" s="18"/>
      <c r="N528" s="19"/>
      <c r="O528" s="18"/>
      <c r="P528" s="19"/>
      <c r="Q528" s="18"/>
      <c r="R528" s="19"/>
      <c r="S528" s="18"/>
      <c r="T528" s="19"/>
      <c r="U528" s="18"/>
      <c r="V528" s="14"/>
    </row>
    <row r="529">
      <c r="A529" s="28"/>
      <c r="B529" s="19"/>
      <c r="C529" s="18"/>
      <c r="D529" s="19"/>
      <c r="E529" s="18"/>
      <c r="F529" s="19"/>
      <c r="G529" s="18"/>
      <c r="H529" s="19"/>
      <c r="I529" s="18"/>
      <c r="J529" s="19"/>
      <c r="K529" s="18"/>
      <c r="L529" s="19"/>
      <c r="M529" s="18"/>
      <c r="N529" s="19"/>
      <c r="O529" s="18"/>
      <c r="P529" s="19"/>
      <c r="Q529" s="18"/>
      <c r="R529" s="19"/>
      <c r="S529" s="18"/>
      <c r="T529" s="19"/>
      <c r="U529" s="18"/>
      <c r="V529" s="14"/>
    </row>
    <row r="530">
      <c r="A530" s="28"/>
      <c r="B530" s="19"/>
      <c r="C530" s="18"/>
      <c r="D530" s="19"/>
      <c r="E530" s="18"/>
      <c r="F530" s="19"/>
      <c r="G530" s="18"/>
      <c r="H530" s="19"/>
      <c r="I530" s="18"/>
      <c r="J530" s="19"/>
      <c r="K530" s="18"/>
      <c r="L530" s="19"/>
      <c r="M530" s="18"/>
      <c r="N530" s="19"/>
      <c r="O530" s="18"/>
      <c r="P530" s="19"/>
      <c r="Q530" s="18"/>
      <c r="R530" s="19"/>
      <c r="S530" s="18"/>
      <c r="T530" s="19"/>
      <c r="U530" s="18"/>
      <c r="V530" s="14"/>
    </row>
    <row r="531">
      <c r="A531" s="28"/>
      <c r="B531" s="19"/>
      <c r="C531" s="18"/>
      <c r="D531" s="19"/>
      <c r="E531" s="18"/>
      <c r="F531" s="19"/>
      <c r="G531" s="18"/>
      <c r="H531" s="19"/>
      <c r="I531" s="18"/>
      <c r="J531" s="19"/>
      <c r="K531" s="18"/>
      <c r="L531" s="19"/>
      <c r="M531" s="18"/>
      <c r="N531" s="19"/>
      <c r="O531" s="18"/>
      <c r="P531" s="19"/>
      <c r="Q531" s="18"/>
      <c r="R531" s="19"/>
      <c r="S531" s="18"/>
      <c r="T531" s="19"/>
      <c r="U531" s="18"/>
      <c r="V531" s="14"/>
    </row>
    <row r="532">
      <c r="A532" s="28"/>
      <c r="B532" s="19"/>
      <c r="C532" s="18"/>
      <c r="D532" s="19"/>
      <c r="E532" s="18"/>
      <c r="F532" s="19"/>
      <c r="G532" s="18"/>
      <c r="H532" s="19"/>
      <c r="I532" s="18"/>
      <c r="J532" s="19"/>
      <c r="K532" s="18"/>
      <c r="L532" s="19"/>
      <c r="M532" s="18"/>
      <c r="N532" s="19"/>
      <c r="O532" s="18"/>
      <c r="P532" s="19"/>
      <c r="Q532" s="18"/>
      <c r="R532" s="19"/>
      <c r="S532" s="18"/>
      <c r="T532" s="19"/>
      <c r="U532" s="18"/>
      <c r="V532" s="14"/>
    </row>
    <row r="533">
      <c r="A533" s="28"/>
      <c r="B533" s="19"/>
      <c r="C533" s="18"/>
      <c r="D533" s="19"/>
      <c r="E533" s="18"/>
      <c r="F533" s="19"/>
      <c r="G533" s="18"/>
      <c r="H533" s="19"/>
      <c r="I533" s="18"/>
      <c r="J533" s="19"/>
      <c r="K533" s="18"/>
      <c r="L533" s="19"/>
      <c r="M533" s="18"/>
      <c r="N533" s="19"/>
      <c r="O533" s="18"/>
      <c r="P533" s="19"/>
      <c r="Q533" s="18"/>
      <c r="R533" s="19"/>
      <c r="S533" s="18"/>
      <c r="T533" s="19"/>
      <c r="U533" s="18"/>
      <c r="V533" s="14"/>
    </row>
    <row r="534">
      <c r="A534" s="28"/>
      <c r="B534" s="19"/>
      <c r="C534" s="18"/>
      <c r="D534" s="19"/>
      <c r="E534" s="18"/>
      <c r="F534" s="19"/>
      <c r="G534" s="18"/>
      <c r="H534" s="19"/>
      <c r="I534" s="18"/>
      <c r="J534" s="19"/>
      <c r="K534" s="18"/>
      <c r="L534" s="19"/>
      <c r="M534" s="18"/>
      <c r="N534" s="19"/>
      <c r="O534" s="18"/>
      <c r="P534" s="19"/>
      <c r="Q534" s="18"/>
      <c r="R534" s="19"/>
      <c r="S534" s="18"/>
      <c r="T534" s="19"/>
      <c r="U534" s="18"/>
      <c r="V534" s="14"/>
    </row>
    <row r="535">
      <c r="A535" s="28"/>
      <c r="B535" s="19"/>
      <c r="C535" s="18"/>
      <c r="D535" s="19"/>
      <c r="E535" s="18"/>
      <c r="F535" s="19"/>
      <c r="G535" s="18"/>
      <c r="H535" s="19"/>
      <c r="I535" s="18"/>
      <c r="J535" s="19"/>
      <c r="K535" s="18"/>
      <c r="L535" s="19"/>
      <c r="M535" s="18"/>
      <c r="N535" s="19"/>
      <c r="O535" s="18"/>
      <c r="P535" s="19"/>
      <c r="Q535" s="18"/>
      <c r="R535" s="19"/>
      <c r="S535" s="18"/>
      <c r="T535" s="19"/>
      <c r="U535" s="18"/>
      <c r="V535" s="14"/>
    </row>
    <row r="536">
      <c r="A536" s="28"/>
      <c r="B536" s="19"/>
      <c r="C536" s="18"/>
      <c r="D536" s="19"/>
      <c r="E536" s="18"/>
      <c r="F536" s="19"/>
      <c r="G536" s="18"/>
      <c r="H536" s="19"/>
      <c r="I536" s="18"/>
      <c r="J536" s="19"/>
      <c r="K536" s="18"/>
      <c r="L536" s="19"/>
      <c r="M536" s="18"/>
      <c r="N536" s="19"/>
      <c r="O536" s="18"/>
      <c r="P536" s="19"/>
      <c r="Q536" s="18"/>
      <c r="R536" s="19"/>
      <c r="S536" s="18"/>
      <c r="T536" s="19"/>
      <c r="U536" s="18"/>
      <c r="V536" s="14"/>
    </row>
    <row r="537">
      <c r="A537" s="28"/>
      <c r="B537" s="19"/>
      <c r="C537" s="18"/>
      <c r="D537" s="19"/>
      <c r="E537" s="18"/>
      <c r="F537" s="19"/>
      <c r="G537" s="18"/>
      <c r="H537" s="19"/>
      <c r="I537" s="18"/>
      <c r="J537" s="19"/>
      <c r="K537" s="18"/>
      <c r="L537" s="19"/>
      <c r="M537" s="18"/>
      <c r="N537" s="19"/>
      <c r="O537" s="18"/>
      <c r="P537" s="19"/>
      <c r="Q537" s="18"/>
      <c r="R537" s="19"/>
      <c r="S537" s="18"/>
      <c r="T537" s="19"/>
      <c r="U537" s="18"/>
      <c r="V537" s="14"/>
    </row>
    <row r="538">
      <c r="A538" s="28"/>
      <c r="B538" s="19"/>
      <c r="C538" s="18"/>
      <c r="D538" s="19"/>
      <c r="E538" s="18"/>
      <c r="F538" s="19"/>
      <c r="G538" s="18"/>
      <c r="H538" s="19"/>
      <c r="I538" s="18"/>
      <c r="J538" s="19"/>
      <c r="K538" s="18"/>
      <c r="L538" s="19"/>
      <c r="M538" s="18"/>
      <c r="N538" s="19"/>
      <c r="O538" s="18"/>
      <c r="P538" s="19"/>
      <c r="Q538" s="18"/>
      <c r="R538" s="19"/>
      <c r="S538" s="18"/>
      <c r="T538" s="19"/>
      <c r="U538" s="18"/>
      <c r="V538" s="14"/>
    </row>
    <row r="539">
      <c r="A539" s="28"/>
      <c r="B539" s="19"/>
      <c r="C539" s="18"/>
      <c r="D539" s="19"/>
      <c r="E539" s="18"/>
      <c r="F539" s="19"/>
      <c r="G539" s="18"/>
      <c r="H539" s="19"/>
      <c r="I539" s="18"/>
      <c r="J539" s="19"/>
      <c r="K539" s="18"/>
      <c r="L539" s="19"/>
      <c r="M539" s="18"/>
      <c r="N539" s="19"/>
      <c r="O539" s="18"/>
      <c r="P539" s="19"/>
      <c r="Q539" s="18"/>
      <c r="R539" s="19"/>
      <c r="S539" s="18"/>
      <c r="T539" s="19"/>
      <c r="U539" s="18"/>
      <c r="V539" s="14"/>
    </row>
    <row r="540">
      <c r="A540" s="28"/>
      <c r="B540" s="19"/>
      <c r="C540" s="18"/>
      <c r="D540" s="19"/>
      <c r="E540" s="18"/>
      <c r="F540" s="19"/>
      <c r="G540" s="18"/>
      <c r="H540" s="19"/>
      <c r="I540" s="18"/>
      <c r="J540" s="19"/>
      <c r="K540" s="18"/>
      <c r="L540" s="19"/>
      <c r="M540" s="18"/>
      <c r="N540" s="19"/>
      <c r="O540" s="18"/>
      <c r="P540" s="19"/>
      <c r="Q540" s="18"/>
      <c r="R540" s="19"/>
      <c r="S540" s="18"/>
      <c r="T540" s="19"/>
      <c r="U540" s="18"/>
      <c r="V540" s="14"/>
    </row>
    <row r="541">
      <c r="A541" s="28"/>
      <c r="B541" s="19"/>
      <c r="C541" s="18"/>
      <c r="D541" s="19"/>
      <c r="E541" s="18"/>
      <c r="F541" s="19"/>
      <c r="G541" s="18"/>
      <c r="H541" s="19"/>
      <c r="I541" s="18"/>
      <c r="J541" s="19"/>
      <c r="K541" s="18"/>
      <c r="L541" s="19"/>
      <c r="M541" s="18"/>
      <c r="N541" s="19"/>
      <c r="O541" s="18"/>
      <c r="P541" s="19"/>
      <c r="Q541" s="18"/>
      <c r="R541" s="19"/>
      <c r="S541" s="18"/>
      <c r="T541" s="19"/>
      <c r="U541" s="18"/>
      <c r="V541" s="14"/>
    </row>
    <row r="542">
      <c r="A542" s="28"/>
      <c r="B542" s="19"/>
      <c r="C542" s="18"/>
      <c r="D542" s="19"/>
      <c r="E542" s="18"/>
      <c r="F542" s="19"/>
      <c r="G542" s="18"/>
      <c r="H542" s="19"/>
      <c r="I542" s="18"/>
      <c r="J542" s="19"/>
      <c r="K542" s="18"/>
      <c r="L542" s="19"/>
      <c r="M542" s="18"/>
      <c r="N542" s="19"/>
      <c r="O542" s="18"/>
      <c r="P542" s="19"/>
      <c r="Q542" s="18"/>
      <c r="R542" s="19"/>
      <c r="S542" s="18"/>
      <c r="T542" s="19"/>
      <c r="U542" s="18"/>
      <c r="V542" s="14"/>
    </row>
    <row r="543">
      <c r="A543" s="28"/>
      <c r="B543" s="19"/>
      <c r="C543" s="18"/>
      <c r="D543" s="19"/>
      <c r="E543" s="18"/>
      <c r="F543" s="19"/>
      <c r="G543" s="18"/>
      <c r="H543" s="19"/>
      <c r="I543" s="18"/>
      <c r="J543" s="19"/>
      <c r="K543" s="18"/>
      <c r="L543" s="19"/>
      <c r="M543" s="18"/>
      <c r="N543" s="19"/>
      <c r="O543" s="18"/>
      <c r="P543" s="19"/>
      <c r="Q543" s="18"/>
      <c r="R543" s="19"/>
      <c r="S543" s="18"/>
      <c r="T543" s="19"/>
      <c r="U543" s="18"/>
      <c r="V543" s="14"/>
    </row>
    <row r="544">
      <c r="A544" s="28"/>
      <c r="B544" s="19"/>
      <c r="C544" s="18"/>
      <c r="D544" s="19"/>
      <c r="E544" s="18"/>
      <c r="F544" s="19"/>
      <c r="G544" s="18"/>
      <c r="H544" s="19"/>
      <c r="I544" s="18"/>
      <c r="J544" s="19"/>
      <c r="K544" s="18"/>
      <c r="L544" s="19"/>
      <c r="M544" s="18"/>
      <c r="N544" s="19"/>
      <c r="O544" s="18"/>
      <c r="P544" s="19"/>
      <c r="Q544" s="18"/>
      <c r="R544" s="19"/>
      <c r="S544" s="18"/>
      <c r="T544" s="19"/>
      <c r="U544" s="18"/>
      <c r="V544" s="14"/>
    </row>
    <row r="545">
      <c r="A545" s="28"/>
      <c r="B545" s="19"/>
      <c r="C545" s="18"/>
      <c r="D545" s="19"/>
      <c r="E545" s="18"/>
      <c r="F545" s="19"/>
      <c r="G545" s="18"/>
      <c r="H545" s="19"/>
      <c r="I545" s="18"/>
      <c r="J545" s="19"/>
      <c r="K545" s="18"/>
      <c r="L545" s="19"/>
      <c r="M545" s="18"/>
      <c r="N545" s="19"/>
      <c r="O545" s="18"/>
      <c r="P545" s="19"/>
      <c r="Q545" s="18"/>
      <c r="R545" s="19"/>
      <c r="S545" s="18"/>
      <c r="T545" s="19"/>
      <c r="U545" s="18"/>
      <c r="V545" s="14"/>
    </row>
    <row r="546">
      <c r="A546" s="28"/>
      <c r="B546" s="19"/>
      <c r="C546" s="18"/>
      <c r="D546" s="19"/>
      <c r="E546" s="18"/>
      <c r="F546" s="19"/>
      <c r="G546" s="18"/>
      <c r="H546" s="19"/>
      <c r="I546" s="18"/>
      <c r="J546" s="19"/>
      <c r="K546" s="18"/>
      <c r="L546" s="19"/>
      <c r="M546" s="18"/>
      <c r="N546" s="19"/>
      <c r="O546" s="18"/>
      <c r="P546" s="19"/>
      <c r="Q546" s="18"/>
      <c r="R546" s="19"/>
      <c r="S546" s="18"/>
      <c r="T546" s="19"/>
      <c r="U546" s="18"/>
      <c r="V546" s="14"/>
    </row>
    <row r="547">
      <c r="A547" s="28"/>
      <c r="B547" s="19"/>
      <c r="C547" s="18"/>
      <c r="D547" s="19"/>
      <c r="E547" s="18"/>
      <c r="F547" s="19"/>
      <c r="G547" s="18"/>
      <c r="H547" s="19"/>
      <c r="I547" s="18"/>
      <c r="J547" s="19"/>
      <c r="K547" s="18"/>
      <c r="L547" s="19"/>
      <c r="M547" s="18"/>
      <c r="N547" s="19"/>
      <c r="O547" s="18"/>
      <c r="P547" s="19"/>
      <c r="Q547" s="18"/>
      <c r="R547" s="19"/>
      <c r="S547" s="18"/>
      <c r="T547" s="19"/>
      <c r="U547" s="18"/>
      <c r="V547" s="14"/>
    </row>
    <row r="548">
      <c r="A548" s="28"/>
      <c r="B548" s="19"/>
      <c r="C548" s="18"/>
      <c r="D548" s="19"/>
      <c r="E548" s="18"/>
      <c r="F548" s="19"/>
      <c r="G548" s="18"/>
      <c r="H548" s="19"/>
      <c r="I548" s="18"/>
      <c r="J548" s="19"/>
      <c r="K548" s="18"/>
      <c r="L548" s="19"/>
      <c r="M548" s="18"/>
      <c r="N548" s="19"/>
      <c r="O548" s="18"/>
      <c r="P548" s="19"/>
      <c r="Q548" s="18"/>
      <c r="R548" s="19"/>
      <c r="S548" s="18"/>
      <c r="T548" s="19"/>
      <c r="U548" s="18"/>
      <c r="V548" s="14"/>
    </row>
    <row r="549">
      <c r="A549" s="28"/>
      <c r="B549" s="19"/>
      <c r="C549" s="18"/>
      <c r="D549" s="19"/>
      <c r="E549" s="18"/>
      <c r="F549" s="19"/>
      <c r="G549" s="18"/>
      <c r="H549" s="19"/>
      <c r="I549" s="18"/>
      <c r="J549" s="19"/>
      <c r="K549" s="18"/>
      <c r="L549" s="19"/>
      <c r="M549" s="18"/>
      <c r="N549" s="19"/>
      <c r="O549" s="18"/>
      <c r="P549" s="19"/>
      <c r="Q549" s="18"/>
      <c r="R549" s="19"/>
      <c r="S549" s="18"/>
      <c r="T549" s="19"/>
      <c r="U549" s="18"/>
      <c r="V549" s="14"/>
    </row>
    <row r="550">
      <c r="A550" s="28"/>
      <c r="B550" s="19"/>
      <c r="C550" s="18"/>
      <c r="D550" s="19"/>
      <c r="E550" s="18"/>
      <c r="F550" s="19"/>
      <c r="G550" s="18"/>
      <c r="H550" s="19"/>
      <c r="I550" s="18"/>
      <c r="J550" s="19"/>
      <c r="K550" s="18"/>
      <c r="L550" s="19"/>
      <c r="M550" s="18"/>
      <c r="N550" s="19"/>
      <c r="O550" s="18"/>
      <c r="P550" s="19"/>
      <c r="Q550" s="18"/>
      <c r="R550" s="19"/>
      <c r="S550" s="18"/>
      <c r="T550" s="19"/>
      <c r="U550" s="18"/>
      <c r="V550" s="14"/>
    </row>
    <row r="551">
      <c r="A551" s="28"/>
      <c r="B551" s="19"/>
      <c r="C551" s="18"/>
      <c r="D551" s="19"/>
      <c r="E551" s="18"/>
      <c r="F551" s="19"/>
      <c r="G551" s="18"/>
      <c r="H551" s="19"/>
      <c r="I551" s="18"/>
      <c r="J551" s="19"/>
      <c r="K551" s="18"/>
      <c r="L551" s="19"/>
      <c r="M551" s="18"/>
      <c r="N551" s="19"/>
      <c r="O551" s="18"/>
      <c r="P551" s="19"/>
      <c r="Q551" s="18"/>
      <c r="R551" s="19"/>
      <c r="S551" s="18"/>
      <c r="T551" s="19"/>
      <c r="U551" s="18"/>
      <c r="V551" s="14"/>
    </row>
    <row r="552">
      <c r="A552" s="28"/>
      <c r="B552" s="19"/>
      <c r="C552" s="18"/>
      <c r="D552" s="19"/>
      <c r="E552" s="18"/>
      <c r="F552" s="19"/>
      <c r="G552" s="18"/>
      <c r="H552" s="19"/>
      <c r="I552" s="18"/>
      <c r="J552" s="19"/>
      <c r="K552" s="18"/>
      <c r="L552" s="19"/>
      <c r="M552" s="18"/>
      <c r="N552" s="19"/>
      <c r="O552" s="18"/>
      <c r="P552" s="19"/>
      <c r="Q552" s="18"/>
      <c r="R552" s="19"/>
      <c r="S552" s="18"/>
      <c r="T552" s="19"/>
      <c r="U552" s="18"/>
      <c r="V552" s="14"/>
    </row>
    <row r="553">
      <c r="A553" s="28"/>
      <c r="B553" s="19"/>
      <c r="C553" s="18"/>
      <c r="D553" s="19"/>
      <c r="E553" s="18"/>
      <c r="F553" s="19"/>
      <c r="G553" s="18"/>
      <c r="H553" s="19"/>
      <c r="I553" s="18"/>
      <c r="J553" s="19"/>
      <c r="K553" s="18"/>
      <c r="L553" s="19"/>
      <c r="M553" s="18"/>
      <c r="N553" s="19"/>
      <c r="O553" s="18"/>
      <c r="P553" s="19"/>
      <c r="Q553" s="18"/>
      <c r="R553" s="19"/>
      <c r="S553" s="18"/>
      <c r="T553" s="19"/>
      <c r="U553" s="18"/>
      <c r="V553" s="14"/>
    </row>
    <row r="554">
      <c r="A554" s="28"/>
      <c r="B554" s="19"/>
      <c r="C554" s="18"/>
      <c r="D554" s="19"/>
      <c r="E554" s="18"/>
      <c r="F554" s="19"/>
      <c r="G554" s="18"/>
      <c r="H554" s="19"/>
      <c r="I554" s="18"/>
      <c r="J554" s="19"/>
      <c r="K554" s="18"/>
      <c r="L554" s="19"/>
      <c r="M554" s="18"/>
      <c r="N554" s="19"/>
      <c r="O554" s="18"/>
      <c r="P554" s="19"/>
      <c r="Q554" s="18"/>
      <c r="R554" s="19"/>
      <c r="S554" s="18"/>
      <c r="T554" s="19"/>
      <c r="U554" s="18"/>
      <c r="V554" s="14"/>
    </row>
    <row r="555">
      <c r="A555" s="28"/>
      <c r="B555" s="19"/>
      <c r="C555" s="18"/>
      <c r="D555" s="19"/>
      <c r="E555" s="18"/>
      <c r="F555" s="19"/>
      <c r="G555" s="18"/>
      <c r="H555" s="19"/>
      <c r="I555" s="18"/>
      <c r="J555" s="19"/>
      <c r="K555" s="18"/>
      <c r="L555" s="19"/>
      <c r="M555" s="18"/>
      <c r="N555" s="19"/>
      <c r="O555" s="18"/>
      <c r="P555" s="19"/>
      <c r="Q555" s="18"/>
      <c r="R555" s="19"/>
      <c r="S555" s="18"/>
      <c r="T555" s="19"/>
      <c r="U555" s="18"/>
      <c r="V555" s="14"/>
    </row>
    <row r="556">
      <c r="A556" s="28"/>
      <c r="B556" s="19"/>
      <c r="C556" s="18"/>
      <c r="D556" s="19"/>
      <c r="E556" s="18"/>
      <c r="F556" s="19"/>
      <c r="G556" s="18"/>
      <c r="H556" s="19"/>
      <c r="I556" s="18"/>
      <c r="J556" s="19"/>
      <c r="K556" s="18"/>
      <c r="L556" s="19"/>
      <c r="M556" s="18"/>
      <c r="N556" s="19"/>
      <c r="O556" s="18"/>
      <c r="P556" s="19"/>
      <c r="Q556" s="18"/>
      <c r="R556" s="19"/>
      <c r="S556" s="18"/>
      <c r="T556" s="19"/>
      <c r="U556" s="18"/>
      <c r="V556" s="14"/>
    </row>
    <row r="557">
      <c r="A557" s="28"/>
      <c r="B557" s="19"/>
      <c r="C557" s="18"/>
      <c r="D557" s="19"/>
      <c r="E557" s="18"/>
      <c r="F557" s="19"/>
      <c r="G557" s="18"/>
      <c r="H557" s="19"/>
      <c r="I557" s="18"/>
      <c r="J557" s="19"/>
      <c r="K557" s="18"/>
      <c r="L557" s="19"/>
      <c r="M557" s="18"/>
      <c r="N557" s="19"/>
      <c r="O557" s="18"/>
      <c r="P557" s="19"/>
      <c r="Q557" s="18"/>
      <c r="R557" s="19"/>
      <c r="S557" s="18"/>
      <c r="T557" s="19"/>
      <c r="U557" s="18"/>
      <c r="V557" s="14"/>
    </row>
    <row r="558">
      <c r="A558" s="28"/>
      <c r="B558" s="19"/>
      <c r="C558" s="18"/>
      <c r="D558" s="19"/>
      <c r="E558" s="18"/>
      <c r="F558" s="19"/>
      <c r="G558" s="18"/>
      <c r="H558" s="19"/>
      <c r="I558" s="18"/>
      <c r="J558" s="19"/>
      <c r="K558" s="18"/>
      <c r="L558" s="19"/>
      <c r="M558" s="18"/>
      <c r="N558" s="19"/>
      <c r="O558" s="18"/>
      <c r="P558" s="19"/>
      <c r="Q558" s="18"/>
      <c r="R558" s="19"/>
      <c r="S558" s="18"/>
      <c r="T558" s="19"/>
      <c r="U558" s="18"/>
      <c r="V558" s="14"/>
    </row>
    <row r="559">
      <c r="A559" s="28"/>
      <c r="B559" s="19"/>
      <c r="C559" s="18"/>
      <c r="D559" s="19"/>
      <c r="E559" s="18"/>
      <c r="F559" s="19"/>
      <c r="G559" s="18"/>
      <c r="H559" s="19"/>
      <c r="I559" s="18"/>
      <c r="J559" s="19"/>
      <c r="K559" s="18"/>
      <c r="L559" s="19"/>
      <c r="M559" s="18"/>
      <c r="N559" s="19"/>
      <c r="O559" s="18"/>
      <c r="P559" s="19"/>
      <c r="Q559" s="18"/>
      <c r="R559" s="19"/>
      <c r="S559" s="18"/>
      <c r="T559" s="19"/>
      <c r="U559" s="18"/>
      <c r="V559" s="14"/>
    </row>
    <row r="560">
      <c r="A560" s="28"/>
      <c r="B560" s="19"/>
      <c r="C560" s="18"/>
      <c r="D560" s="19"/>
      <c r="E560" s="18"/>
      <c r="F560" s="19"/>
      <c r="G560" s="18"/>
      <c r="H560" s="19"/>
      <c r="I560" s="18"/>
      <c r="J560" s="19"/>
      <c r="K560" s="18"/>
      <c r="L560" s="19"/>
      <c r="M560" s="18"/>
      <c r="N560" s="19"/>
      <c r="O560" s="18"/>
      <c r="P560" s="19"/>
      <c r="Q560" s="18"/>
      <c r="R560" s="19"/>
      <c r="S560" s="18"/>
      <c r="T560" s="19"/>
      <c r="U560" s="18"/>
      <c r="V560" s="14"/>
    </row>
    <row r="561">
      <c r="A561" s="28"/>
      <c r="B561" s="19"/>
      <c r="C561" s="18"/>
      <c r="D561" s="19"/>
      <c r="E561" s="18"/>
      <c r="F561" s="19"/>
      <c r="G561" s="18"/>
      <c r="H561" s="19"/>
      <c r="I561" s="18"/>
      <c r="J561" s="19"/>
      <c r="K561" s="18"/>
      <c r="L561" s="19"/>
      <c r="M561" s="18"/>
      <c r="N561" s="19"/>
      <c r="O561" s="18"/>
      <c r="P561" s="19"/>
      <c r="Q561" s="18"/>
      <c r="R561" s="19"/>
      <c r="S561" s="18"/>
      <c r="T561" s="19"/>
      <c r="U561" s="18"/>
      <c r="V561" s="14"/>
    </row>
    <row r="562">
      <c r="A562" s="28"/>
      <c r="B562" s="19"/>
      <c r="C562" s="18"/>
      <c r="D562" s="19"/>
      <c r="E562" s="18"/>
      <c r="F562" s="19"/>
      <c r="G562" s="18"/>
      <c r="H562" s="19"/>
      <c r="I562" s="18"/>
      <c r="J562" s="19"/>
      <c r="K562" s="18"/>
      <c r="L562" s="19"/>
      <c r="M562" s="18"/>
      <c r="N562" s="19"/>
      <c r="O562" s="18"/>
      <c r="P562" s="19"/>
      <c r="Q562" s="18"/>
      <c r="R562" s="19"/>
      <c r="S562" s="18"/>
      <c r="T562" s="19"/>
      <c r="U562" s="18"/>
      <c r="V562" s="14"/>
    </row>
    <row r="563">
      <c r="A563" s="28"/>
      <c r="B563" s="19"/>
      <c r="C563" s="18"/>
      <c r="D563" s="19"/>
      <c r="E563" s="18"/>
      <c r="F563" s="19"/>
      <c r="G563" s="18"/>
      <c r="H563" s="19"/>
      <c r="I563" s="18"/>
      <c r="J563" s="19"/>
      <c r="K563" s="18"/>
      <c r="L563" s="19"/>
      <c r="M563" s="18"/>
      <c r="N563" s="19"/>
      <c r="O563" s="18"/>
      <c r="P563" s="19"/>
      <c r="Q563" s="18"/>
      <c r="R563" s="19"/>
      <c r="S563" s="18"/>
      <c r="T563" s="19"/>
      <c r="U563" s="18"/>
      <c r="V563" s="14"/>
    </row>
    <row r="564">
      <c r="A564" s="28"/>
      <c r="B564" s="19"/>
      <c r="C564" s="18"/>
      <c r="D564" s="19"/>
      <c r="E564" s="18"/>
      <c r="F564" s="19"/>
      <c r="G564" s="18"/>
      <c r="H564" s="19"/>
      <c r="I564" s="18"/>
      <c r="J564" s="19"/>
      <c r="K564" s="18"/>
      <c r="L564" s="19"/>
      <c r="M564" s="18"/>
      <c r="N564" s="19"/>
      <c r="O564" s="18"/>
      <c r="P564" s="19"/>
      <c r="Q564" s="18"/>
      <c r="R564" s="19"/>
      <c r="S564" s="18"/>
      <c r="T564" s="19"/>
      <c r="U564" s="18"/>
      <c r="V564" s="14"/>
    </row>
    <row r="565">
      <c r="A565" s="28"/>
      <c r="B565" s="19"/>
      <c r="C565" s="18"/>
      <c r="D565" s="19"/>
      <c r="E565" s="18"/>
      <c r="F565" s="19"/>
      <c r="G565" s="18"/>
      <c r="H565" s="19"/>
      <c r="I565" s="18"/>
      <c r="J565" s="19"/>
      <c r="K565" s="18"/>
      <c r="L565" s="19"/>
      <c r="M565" s="18"/>
      <c r="N565" s="19"/>
      <c r="O565" s="18"/>
      <c r="P565" s="19"/>
      <c r="Q565" s="18"/>
      <c r="R565" s="19"/>
      <c r="S565" s="18"/>
      <c r="T565" s="19"/>
      <c r="U565" s="18"/>
      <c r="V565" s="14"/>
    </row>
    <row r="566">
      <c r="A566" s="28"/>
      <c r="B566" s="19"/>
      <c r="C566" s="18"/>
      <c r="D566" s="19"/>
      <c r="E566" s="18"/>
      <c r="F566" s="19"/>
      <c r="G566" s="18"/>
      <c r="H566" s="19"/>
      <c r="I566" s="18"/>
      <c r="J566" s="19"/>
      <c r="K566" s="18"/>
      <c r="L566" s="19"/>
      <c r="M566" s="18"/>
      <c r="N566" s="19"/>
      <c r="O566" s="18"/>
      <c r="P566" s="19"/>
      <c r="Q566" s="18"/>
      <c r="R566" s="19"/>
      <c r="S566" s="18"/>
      <c r="T566" s="19"/>
      <c r="U566" s="18"/>
      <c r="V566" s="14"/>
    </row>
    <row r="567">
      <c r="A567" s="28"/>
      <c r="B567" s="19"/>
      <c r="C567" s="18"/>
      <c r="D567" s="19"/>
      <c r="E567" s="18"/>
      <c r="F567" s="19"/>
      <c r="G567" s="18"/>
      <c r="H567" s="19"/>
      <c r="I567" s="18"/>
      <c r="J567" s="19"/>
      <c r="K567" s="18"/>
      <c r="L567" s="19"/>
      <c r="M567" s="18"/>
      <c r="N567" s="19"/>
      <c r="O567" s="18"/>
      <c r="P567" s="19"/>
      <c r="Q567" s="18"/>
      <c r="R567" s="19"/>
      <c r="S567" s="18"/>
      <c r="T567" s="19"/>
      <c r="U567" s="18"/>
      <c r="V567" s="14"/>
    </row>
    <row r="568">
      <c r="A568" s="28"/>
      <c r="B568" s="19"/>
      <c r="C568" s="18"/>
      <c r="D568" s="19"/>
      <c r="E568" s="18"/>
      <c r="F568" s="19"/>
      <c r="G568" s="18"/>
      <c r="H568" s="19"/>
      <c r="I568" s="18"/>
      <c r="J568" s="19"/>
      <c r="K568" s="18"/>
      <c r="L568" s="19"/>
      <c r="M568" s="18"/>
      <c r="N568" s="19"/>
      <c r="O568" s="18"/>
      <c r="P568" s="19"/>
      <c r="Q568" s="18"/>
      <c r="R568" s="19"/>
      <c r="S568" s="18"/>
      <c r="T568" s="19"/>
      <c r="U568" s="18"/>
      <c r="V568" s="14"/>
    </row>
    <row r="569">
      <c r="A569" s="28"/>
      <c r="B569" s="19"/>
      <c r="C569" s="18"/>
      <c r="D569" s="19"/>
      <c r="E569" s="18"/>
      <c r="F569" s="19"/>
      <c r="G569" s="18"/>
      <c r="H569" s="19"/>
      <c r="I569" s="18"/>
      <c r="J569" s="19"/>
      <c r="K569" s="18"/>
      <c r="L569" s="19"/>
      <c r="M569" s="18"/>
      <c r="N569" s="19"/>
      <c r="O569" s="18"/>
      <c r="P569" s="19"/>
      <c r="Q569" s="18"/>
      <c r="R569" s="19"/>
      <c r="S569" s="18"/>
      <c r="T569" s="19"/>
      <c r="U569" s="18"/>
      <c r="V569" s="14"/>
    </row>
    <row r="570">
      <c r="A570" s="28"/>
      <c r="B570" s="19"/>
      <c r="C570" s="18"/>
      <c r="D570" s="19"/>
      <c r="E570" s="18"/>
      <c r="F570" s="19"/>
      <c r="G570" s="18"/>
      <c r="H570" s="19"/>
      <c r="I570" s="18"/>
      <c r="J570" s="19"/>
      <c r="K570" s="18"/>
      <c r="L570" s="19"/>
      <c r="M570" s="18"/>
      <c r="N570" s="19"/>
      <c r="O570" s="18"/>
      <c r="P570" s="19"/>
      <c r="Q570" s="18"/>
      <c r="R570" s="19"/>
      <c r="S570" s="18"/>
      <c r="T570" s="19"/>
      <c r="U570" s="18"/>
      <c r="V570" s="14"/>
    </row>
    <row r="571">
      <c r="A571" s="28"/>
      <c r="B571" s="19"/>
      <c r="C571" s="18"/>
      <c r="D571" s="19"/>
      <c r="E571" s="18"/>
      <c r="F571" s="19"/>
      <c r="G571" s="18"/>
      <c r="H571" s="19"/>
      <c r="I571" s="18"/>
      <c r="J571" s="19"/>
      <c r="K571" s="18"/>
      <c r="L571" s="19"/>
      <c r="M571" s="18"/>
      <c r="N571" s="19"/>
      <c r="O571" s="18"/>
      <c r="P571" s="19"/>
      <c r="Q571" s="18"/>
      <c r="R571" s="19"/>
      <c r="S571" s="18"/>
      <c r="T571" s="19"/>
      <c r="U571" s="18"/>
      <c r="V571" s="14"/>
    </row>
    <row r="572">
      <c r="A572" s="28"/>
      <c r="B572" s="19"/>
      <c r="C572" s="18"/>
      <c r="D572" s="19"/>
      <c r="E572" s="18"/>
      <c r="F572" s="19"/>
      <c r="G572" s="18"/>
      <c r="H572" s="19"/>
      <c r="I572" s="18"/>
      <c r="J572" s="19"/>
      <c r="K572" s="18"/>
      <c r="L572" s="19"/>
      <c r="M572" s="18"/>
      <c r="N572" s="19"/>
      <c r="O572" s="18"/>
      <c r="P572" s="19"/>
      <c r="Q572" s="18"/>
      <c r="R572" s="19"/>
      <c r="S572" s="18"/>
      <c r="T572" s="19"/>
      <c r="U572" s="18"/>
      <c r="V572" s="14"/>
    </row>
    <row r="573">
      <c r="A573" s="28"/>
      <c r="B573" s="19"/>
      <c r="C573" s="18"/>
      <c r="D573" s="19"/>
      <c r="E573" s="18"/>
      <c r="F573" s="19"/>
      <c r="G573" s="18"/>
      <c r="H573" s="19"/>
      <c r="I573" s="18"/>
      <c r="J573" s="19"/>
      <c r="K573" s="18"/>
      <c r="L573" s="19"/>
      <c r="M573" s="18"/>
      <c r="N573" s="19"/>
      <c r="O573" s="18"/>
      <c r="P573" s="19"/>
      <c r="Q573" s="18"/>
      <c r="R573" s="19"/>
      <c r="S573" s="18"/>
      <c r="T573" s="19"/>
      <c r="U573" s="18"/>
      <c r="V573" s="14"/>
    </row>
    <row r="574">
      <c r="A574" s="28"/>
      <c r="B574" s="19"/>
      <c r="C574" s="18"/>
      <c r="D574" s="19"/>
      <c r="E574" s="18"/>
      <c r="F574" s="19"/>
      <c r="G574" s="18"/>
      <c r="H574" s="19"/>
      <c r="I574" s="18"/>
      <c r="J574" s="19"/>
      <c r="K574" s="18"/>
      <c r="L574" s="19"/>
      <c r="M574" s="18"/>
      <c r="N574" s="19"/>
      <c r="O574" s="18"/>
      <c r="P574" s="19"/>
      <c r="Q574" s="18"/>
      <c r="R574" s="19"/>
      <c r="S574" s="18"/>
      <c r="T574" s="19"/>
      <c r="U574" s="18"/>
      <c r="V574" s="14"/>
    </row>
    <row r="575">
      <c r="A575" s="28"/>
      <c r="B575" s="19"/>
      <c r="C575" s="18"/>
      <c r="D575" s="19"/>
      <c r="E575" s="18"/>
      <c r="F575" s="19"/>
      <c r="G575" s="18"/>
      <c r="H575" s="19"/>
      <c r="I575" s="18"/>
      <c r="J575" s="19"/>
      <c r="K575" s="18"/>
      <c r="L575" s="19"/>
      <c r="M575" s="18"/>
      <c r="N575" s="19"/>
      <c r="O575" s="18"/>
      <c r="P575" s="19"/>
      <c r="Q575" s="18"/>
      <c r="R575" s="19"/>
      <c r="S575" s="18"/>
      <c r="T575" s="19"/>
      <c r="U575" s="18"/>
      <c r="V575" s="14"/>
    </row>
    <row r="576">
      <c r="A576" s="28"/>
      <c r="B576" s="19"/>
      <c r="C576" s="18"/>
      <c r="D576" s="19"/>
      <c r="E576" s="18"/>
      <c r="F576" s="19"/>
      <c r="G576" s="18"/>
      <c r="H576" s="19"/>
      <c r="I576" s="18"/>
      <c r="J576" s="19"/>
      <c r="K576" s="18"/>
      <c r="L576" s="19"/>
      <c r="M576" s="18"/>
      <c r="N576" s="19"/>
      <c r="O576" s="18"/>
      <c r="P576" s="19"/>
      <c r="Q576" s="18"/>
      <c r="R576" s="19"/>
      <c r="S576" s="18"/>
      <c r="T576" s="19"/>
      <c r="U576" s="18"/>
      <c r="V576" s="14"/>
    </row>
    <row r="577">
      <c r="A577" s="28"/>
      <c r="B577" s="19"/>
      <c r="C577" s="18"/>
      <c r="D577" s="19"/>
      <c r="E577" s="18"/>
      <c r="F577" s="19"/>
      <c r="G577" s="18"/>
      <c r="H577" s="19"/>
      <c r="I577" s="18"/>
      <c r="J577" s="19"/>
      <c r="K577" s="18"/>
      <c r="L577" s="19"/>
      <c r="M577" s="18"/>
      <c r="N577" s="19"/>
      <c r="O577" s="18"/>
      <c r="P577" s="19"/>
      <c r="Q577" s="18"/>
      <c r="R577" s="19"/>
      <c r="S577" s="18"/>
      <c r="T577" s="19"/>
      <c r="U577" s="18"/>
      <c r="V577" s="14"/>
    </row>
    <row r="578">
      <c r="A578" s="28"/>
      <c r="B578" s="19"/>
      <c r="C578" s="18"/>
      <c r="D578" s="19"/>
      <c r="E578" s="18"/>
      <c r="F578" s="19"/>
      <c r="G578" s="18"/>
      <c r="H578" s="19"/>
      <c r="I578" s="18"/>
      <c r="J578" s="19"/>
      <c r="K578" s="18"/>
      <c r="L578" s="19"/>
      <c r="M578" s="18"/>
      <c r="N578" s="19"/>
      <c r="O578" s="18"/>
      <c r="P578" s="19"/>
      <c r="Q578" s="18"/>
      <c r="R578" s="19"/>
      <c r="S578" s="18"/>
      <c r="T578" s="19"/>
      <c r="U578" s="18"/>
      <c r="V578" s="14"/>
    </row>
    <row r="579">
      <c r="A579" s="28"/>
      <c r="B579" s="19"/>
      <c r="C579" s="18"/>
      <c r="D579" s="19"/>
      <c r="E579" s="18"/>
      <c r="F579" s="19"/>
      <c r="G579" s="18"/>
      <c r="H579" s="19"/>
      <c r="I579" s="18"/>
      <c r="J579" s="19"/>
      <c r="K579" s="18"/>
      <c r="L579" s="19"/>
      <c r="M579" s="18"/>
      <c r="N579" s="19"/>
      <c r="O579" s="18"/>
      <c r="P579" s="19"/>
      <c r="Q579" s="18"/>
      <c r="R579" s="19"/>
      <c r="S579" s="18"/>
      <c r="T579" s="19"/>
      <c r="U579" s="18"/>
      <c r="V579" s="14"/>
    </row>
    <row r="580">
      <c r="A580" s="28"/>
      <c r="B580" s="19"/>
      <c r="C580" s="18"/>
      <c r="D580" s="19"/>
      <c r="E580" s="18"/>
      <c r="F580" s="19"/>
      <c r="G580" s="18"/>
      <c r="H580" s="19"/>
      <c r="I580" s="18"/>
      <c r="J580" s="19"/>
      <c r="K580" s="18"/>
      <c r="L580" s="19"/>
      <c r="M580" s="18"/>
      <c r="N580" s="19"/>
      <c r="O580" s="18"/>
      <c r="P580" s="19"/>
      <c r="Q580" s="18"/>
      <c r="R580" s="19"/>
      <c r="S580" s="18"/>
      <c r="T580" s="19"/>
      <c r="U580" s="18"/>
      <c r="V580" s="14"/>
    </row>
    <row r="581">
      <c r="A581" s="28"/>
      <c r="B581" s="19"/>
      <c r="C581" s="18"/>
      <c r="D581" s="19"/>
      <c r="E581" s="18"/>
      <c r="F581" s="19"/>
      <c r="G581" s="18"/>
      <c r="H581" s="19"/>
      <c r="I581" s="18"/>
      <c r="J581" s="19"/>
      <c r="K581" s="18"/>
      <c r="L581" s="19"/>
      <c r="M581" s="18"/>
      <c r="N581" s="19"/>
      <c r="O581" s="18"/>
      <c r="P581" s="19"/>
      <c r="Q581" s="18"/>
      <c r="R581" s="19"/>
      <c r="S581" s="18"/>
      <c r="T581" s="19"/>
      <c r="U581" s="18"/>
      <c r="V581" s="14"/>
    </row>
    <row r="582">
      <c r="A582" s="28"/>
      <c r="B582" s="19"/>
      <c r="C582" s="18"/>
      <c r="D582" s="19"/>
      <c r="E582" s="18"/>
      <c r="F582" s="19"/>
      <c r="G582" s="18"/>
      <c r="H582" s="19"/>
      <c r="I582" s="18"/>
      <c r="J582" s="19"/>
      <c r="K582" s="18"/>
      <c r="L582" s="19"/>
      <c r="M582" s="18"/>
      <c r="N582" s="19"/>
      <c r="O582" s="18"/>
      <c r="P582" s="19"/>
      <c r="Q582" s="18"/>
      <c r="R582" s="19"/>
      <c r="S582" s="18"/>
      <c r="T582" s="19"/>
      <c r="U582" s="18"/>
      <c r="V582" s="14"/>
    </row>
    <row r="583">
      <c r="A583" s="28"/>
      <c r="B583" s="19"/>
      <c r="C583" s="18"/>
      <c r="D583" s="19"/>
      <c r="E583" s="18"/>
      <c r="F583" s="19"/>
      <c r="G583" s="18"/>
      <c r="H583" s="19"/>
      <c r="I583" s="18"/>
      <c r="J583" s="19"/>
      <c r="K583" s="18"/>
      <c r="L583" s="19"/>
      <c r="M583" s="18"/>
      <c r="N583" s="19"/>
      <c r="O583" s="18"/>
      <c r="P583" s="19"/>
      <c r="Q583" s="18"/>
      <c r="R583" s="19"/>
      <c r="S583" s="18"/>
      <c r="T583" s="19"/>
      <c r="U583" s="18"/>
      <c r="V583" s="14"/>
    </row>
    <row r="584">
      <c r="A584" s="28"/>
      <c r="B584" s="19"/>
      <c r="C584" s="18"/>
      <c r="D584" s="19"/>
      <c r="E584" s="18"/>
      <c r="F584" s="19"/>
      <c r="G584" s="18"/>
      <c r="H584" s="19"/>
      <c r="I584" s="18"/>
      <c r="J584" s="19"/>
      <c r="K584" s="18"/>
      <c r="L584" s="19"/>
      <c r="M584" s="18"/>
      <c r="N584" s="19"/>
      <c r="O584" s="18"/>
      <c r="P584" s="19"/>
      <c r="Q584" s="18"/>
      <c r="R584" s="19"/>
      <c r="S584" s="18"/>
      <c r="T584" s="19"/>
      <c r="U584" s="18"/>
      <c r="V584" s="14"/>
    </row>
    <row r="585">
      <c r="A585" s="28"/>
      <c r="B585" s="19"/>
      <c r="C585" s="18"/>
      <c r="D585" s="19"/>
      <c r="E585" s="18"/>
      <c r="F585" s="19"/>
      <c r="G585" s="18"/>
      <c r="H585" s="19"/>
      <c r="I585" s="18"/>
      <c r="J585" s="19"/>
      <c r="K585" s="18"/>
      <c r="L585" s="19"/>
      <c r="M585" s="18"/>
      <c r="N585" s="19"/>
      <c r="O585" s="18"/>
      <c r="P585" s="19"/>
      <c r="Q585" s="18"/>
      <c r="R585" s="19"/>
      <c r="S585" s="18"/>
      <c r="T585" s="19"/>
      <c r="U585" s="18"/>
      <c r="V585" s="14"/>
    </row>
    <row r="586">
      <c r="A586" s="28"/>
      <c r="B586" s="19"/>
      <c r="C586" s="18"/>
      <c r="D586" s="19"/>
      <c r="E586" s="18"/>
      <c r="F586" s="19"/>
      <c r="G586" s="18"/>
      <c r="H586" s="19"/>
      <c r="I586" s="18"/>
      <c r="J586" s="19"/>
      <c r="K586" s="18"/>
      <c r="L586" s="19"/>
      <c r="M586" s="18"/>
      <c r="N586" s="19"/>
      <c r="O586" s="18"/>
      <c r="P586" s="19"/>
      <c r="Q586" s="18"/>
      <c r="R586" s="19"/>
      <c r="S586" s="18"/>
      <c r="T586" s="19"/>
      <c r="U586" s="18"/>
      <c r="V586" s="14"/>
    </row>
    <row r="587">
      <c r="A587" s="28"/>
      <c r="B587" s="19"/>
      <c r="C587" s="18"/>
      <c r="D587" s="19"/>
      <c r="E587" s="18"/>
      <c r="F587" s="19"/>
      <c r="G587" s="18"/>
      <c r="H587" s="19"/>
      <c r="I587" s="18"/>
      <c r="J587" s="19"/>
      <c r="K587" s="18"/>
      <c r="L587" s="19"/>
      <c r="M587" s="18"/>
      <c r="N587" s="19"/>
      <c r="O587" s="18"/>
      <c r="P587" s="19"/>
      <c r="Q587" s="18"/>
      <c r="R587" s="19"/>
      <c r="S587" s="18"/>
      <c r="T587" s="19"/>
      <c r="U587" s="18"/>
      <c r="V587" s="14"/>
    </row>
    <row r="588">
      <c r="A588" s="28"/>
      <c r="B588" s="19"/>
      <c r="C588" s="18"/>
      <c r="D588" s="19"/>
      <c r="E588" s="18"/>
      <c r="F588" s="19"/>
      <c r="G588" s="18"/>
      <c r="H588" s="19"/>
      <c r="I588" s="18"/>
      <c r="J588" s="19"/>
      <c r="K588" s="18"/>
      <c r="L588" s="19"/>
      <c r="M588" s="18"/>
      <c r="N588" s="19"/>
      <c r="O588" s="18"/>
      <c r="P588" s="19"/>
      <c r="Q588" s="18"/>
      <c r="R588" s="19"/>
      <c r="S588" s="18"/>
      <c r="T588" s="19"/>
      <c r="U588" s="18"/>
      <c r="V588" s="14"/>
    </row>
    <row r="589">
      <c r="A589" s="28"/>
      <c r="B589" s="19"/>
      <c r="C589" s="18"/>
      <c r="D589" s="19"/>
      <c r="E589" s="18"/>
      <c r="F589" s="19"/>
      <c r="G589" s="18"/>
      <c r="H589" s="19"/>
      <c r="I589" s="18"/>
      <c r="J589" s="19"/>
      <c r="K589" s="18"/>
      <c r="L589" s="19"/>
      <c r="M589" s="18"/>
      <c r="N589" s="19"/>
      <c r="O589" s="18"/>
      <c r="P589" s="19"/>
      <c r="Q589" s="18"/>
      <c r="R589" s="19"/>
      <c r="S589" s="18"/>
      <c r="T589" s="19"/>
      <c r="U589" s="18"/>
      <c r="V589" s="14"/>
    </row>
    <row r="590">
      <c r="A590" s="28"/>
      <c r="B590" s="19"/>
      <c r="C590" s="18"/>
      <c r="D590" s="19"/>
      <c r="E590" s="18"/>
      <c r="F590" s="19"/>
      <c r="G590" s="18"/>
      <c r="H590" s="19"/>
      <c r="I590" s="18"/>
      <c r="J590" s="19"/>
      <c r="K590" s="18"/>
      <c r="L590" s="19"/>
      <c r="M590" s="18"/>
      <c r="N590" s="19"/>
      <c r="O590" s="18"/>
      <c r="P590" s="19"/>
      <c r="Q590" s="18"/>
      <c r="R590" s="19"/>
      <c r="S590" s="18"/>
      <c r="T590" s="19"/>
      <c r="U590" s="18"/>
      <c r="V590" s="14"/>
    </row>
    <row r="591">
      <c r="A591" s="28"/>
      <c r="B591" s="19"/>
      <c r="C591" s="18"/>
      <c r="D591" s="19"/>
      <c r="E591" s="18"/>
      <c r="F591" s="19"/>
      <c r="G591" s="18"/>
      <c r="H591" s="19"/>
      <c r="I591" s="18"/>
      <c r="J591" s="19"/>
      <c r="K591" s="18"/>
      <c r="L591" s="19"/>
      <c r="M591" s="18"/>
      <c r="N591" s="19"/>
      <c r="O591" s="18"/>
      <c r="P591" s="19"/>
      <c r="Q591" s="18"/>
      <c r="R591" s="19"/>
      <c r="S591" s="18"/>
      <c r="T591" s="19"/>
      <c r="U591" s="18"/>
      <c r="V591" s="14"/>
    </row>
    <row r="592">
      <c r="A592" s="28"/>
      <c r="B592" s="19"/>
      <c r="C592" s="18"/>
      <c r="D592" s="19"/>
      <c r="E592" s="18"/>
      <c r="F592" s="19"/>
      <c r="G592" s="18"/>
      <c r="H592" s="19"/>
      <c r="I592" s="18"/>
      <c r="J592" s="19"/>
      <c r="K592" s="18"/>
      <c r="L592" s="19"/>
      <c r="M592" s="18"/>
      <c r="N592" s="19"/>
      <c r="O592" s="18"/>
      <c r="P592" s="19"/>
      <c r="Q592" s="18"/>
      <c r="R592" s="19"/>
      <c r="S592" s="18"/>
      <c r="T592" s="19"/>
      <c r="U592" s="18"/>
      <c r="V592" s="14"/>
    </row>
    <row r="593">
      <c r="A593" s="28"/>
      <c r="B593" s="19"/>
      <c r="C593" s="18"/>
      <c r="D593" s="19"/>
      <c r="E593" s="18"/>
      <c r="F593" s="19"/>
      <c r="G593" s="18"/>
      <c r="H593" s="19"/>
      <c r="I593" s="18"/>
      <c r="J593" s="19"/>
      <c r="K593" s="18"/>
      <c r="L593" s="19"/>
      <c r="M593" s="18"/>
      <c r="N593" s="19"/>
      <c r="O593" s="18"/>
      <c r="P593" s="19"/>
      <c r="Q593" s="18"/>
      <c r="R593" s="19"/>
      <c r="S593" s="18"/>
      <c r="T593" s="19"/>
      <c r="U593" s="18"/>
      <c r="V593" s="14"/>
    </row>
    <row r="594">
      <c r="A594" s="28"/>
      <c r="B594" s="19"/>
      <c r="C594" s="18"/>
      <c r="D594" s="19"/>
      <c r="E594" s="18"/>
      <c r="F594" s="19"/>
      <c r="G594" s="18"/>
      <c r="H594" s="19"/>
      <c r="I594" s="18"/>
      <c r="J594" s="19"/>
      <c r="K594" s="18"/>
      <c r="L594" s="19"/>
      <c r="M594" s="18"/>
      <c r="N594" s="19"/>
      <c r="O594" s="18"/>
      <c r="P594" s="19"/>
      <c r="Q594" s="18"/>
      <c r="R594" s="19"/>
      <c r="S594" s="18"/>
      <c r="T594" s="19"/>
      <c r="U594" s="18"/>
      <c r="V594" s="14"/>
    </row>
    <row r="595">
      <c r="A595" s="28"/>
      <c r="B595" s="19"/>
      <c r="C595" s="18"/>
      <c r="D595" s="19"/>
      <c r="E595" s="18"/>
      <c r="F595" s="19"/>
      <c r="G595" s="18"/>
      <c r="H595" s="19"/>
      <c r="I595" s="18"/>
      <c r="J595" s="19"/>
      <c r="K595" s="18"/>
      <c r="L595" s="19"/>
      <c r="M595" s="18"/>
      <c r="N595" s="19"/>
      <c r="O595" s="18"/>
      <c r="P595" s="19"/>
      <c r="Q595" s="18"/>
      <c r="R595" s="19"/>
      <c r="S595" s="18"/>
      <c r="T595" s="19"/>
      <c r="U595" s="18"/>
      <c r="V595" s="14"/>
    </row>
    <row r="596">
      <c r="A596" s="28"/>
      <c r="B596" s="19"/>
      <c r="C596" s="18"/>
      <c r="D596" s="19"/>
      <c r="E596" s="18"/>
      <c r="F596" s="19"/>
      <c r="G596" s="18"/>
      <c r="H596" s="19"/>
      <c r="I596" s="18"/>
      <c r="J596" s="19"/>
      <c r="K596" s="18"/>
      <c r="L596" s="19"/>
      <c r="M596" s="18"/>
      <c r="N596" s="19"/>
      <c r="O596" s="18"/>
      <c r="P596" s="19"/>
      <c r="Q596" s="18"/>
      <c r="R596" s="19"/>
      <c r="S596" s="18"/>
      <c r="T596" s="19"/>
      <c r="U596" s="18"/>
      <c r="V596" s="14"/>
    </row>
    <row r="597">
      <c r="A597" s="28"/>
      <c r="B597" s="19"/>
      <c r="C597" s="18"/>
      <c r="D597" s="19"/>
      <c r="E597" s="18"/>
      <c r="F597" s="19"/>
      <c r="G597" s="18"/>
      <c r="H597" s="19"/>
      <c r="I597" s="18"/>
      <c r="J597" s="19"/>
      <c r="K597" s="18"/>
      <c r="L597" s="19"/>
      <c r="M597" s="18"/>
      <c r="N597" s="19"/>
      <c r="O597" s="18"/>
      <c r="P597" s="19"/>
      <c r="Q597" s="18"/>
      <c r="R597" s="19"/>
      <c r="S597" s="18"/>
      <c r="T597" s="19"/>
      <c r="U597" s="18"/>
      <c r="V597" s="14"/>
    </row>
    <row r="598">
      <c r="A598" s="28"/>
      <c r="B598" s="19"/>
      <c r="C598" s="18"/>
      <c r="D598" s="19"/>
      <c r="E598" s="18"/>
      <c r="F598" s="19"/>
      <c r="G598" s="18"/>
      <c r="H598" s="19"/>
      <c r="I598" s="18"/>
      <c r="J598" s="19"/>
      <c r="K598" s="18"/>
      <c r="L598" s="19"/>
      <c r="M598" s="18"/>
      <c r="N598" s="19"/>
      <c r="O598" s="18"/>
      <c r="P598" s="19"/>
      <c r="Q598" s="18"/>
      <c r="R598" s="19"/>
      <c r="S598" s="18"/>
      <c r="T598" s="19"/>
      <c r="U598" s="18"/>
      <c r="V598" s="14"/>
    </row>
    <row r="599">
      <c r="A599" s="28"/>
      <c r="B599" s="19"/>
      <c r="C599" s="18"/>
      <c r="D599" s="19"/>
      <c r="E599" s="18"/>
      <c r="F599" s="19"/>
      <c r="G599" s="18"/>
      <c r="H599" s="19"/>
      <c r="I599" s="18"/>
      <c r="J599" s="19"/>
      <c r="K599" s="18"/>
      <c r="L599" s="19"/>
      <c r="M599" s="18"/>
      <c r="N599" s="19"/>
      <c r="O599" s="18"/>
      <c r="P599" s="19"/>
      <c r="Q599" s="18"/>
      <c r="R599" s="19"/>
      <c r="S599" s="18"/>
      <c r="T599" s="19"/>
      <c r="U599" s="18"/>
      <c r="V599" s="14"/>
    </row>
    <row r="600">
      <c r="A600" s="28"/>
      <c r="B600" s="19"/>
      <c r="C600" s="18"/>
      <c r="D600" s="19"/>
      <c r="E600" s="18"/>
      <c r="F600" s="19"/>
      <c r="G600" s="18"/>
      <c r="H600" s="19"/>
      <c r="I600" s="18"/>
      <c r="J600" s="19"/>
      <c r="K600" s="18"/>
      <c r="L600" s="19"/>
      <c r="M600" s="18"/>
      <c r="N600" s="19"/>
      <c r="O600" s="18"/>
      <c r="P600" s="19"/>
      <c r="Q600" s="18"/>
      <c r="R600" s="19"/>
      <c r="S600" s="18"/>
      <c r="T600" s="19"/>
      <c r="U600" s="18"/>
      <c r="V600" s="14"/>
    </row>
    <row r="601">
      <c r="A601" s="28"/>
      <c r="B601" s="19"/>
      <c r="C601" s="18"/>
      <c r="D601" s="19"/>
      <c r="E601" s="18"/>
      <c r="F601" s="19"/>
      <c r="G601" s="18"/>
      <c r="H601" s="19"/>
      <c r="I601" s="18"/>
      <c r="J601" s="19"/>
      <c r="K601" s="18"/>
      <c r="L601" s="19"/>
      <c r="M601" s="18"/>
      <c r="N601" s="19"/>
      <c r="O601" s="18"/>
      <c r="P601" s="19"/>
      <c r="Q601" s="18"/>
      <c r="R601" s="19"/>
      <c r="S601" s="18"/>
      <c r="T601" s="19"/>
      <c r="U601" s="18"/>
      <c r="V601" s="14"/>
    </row>
    <row r="602">
      <c r="A602" s="28"/>
      <c r="B602" s="19"/>
      <c r="C602" s="18"/>
      <c r="D602" s="19"/>
      <c r="E602" s="18"/>
      <c r="F602" s="19"/>
      <c r="G602" s="18"/>
      <c r="H602" s="19"/>
      <c r="I602" s="18"/>
      <c r="J602" s="19"/>
      <c r="K602" s="18"/>
      <c r="L602" s="19"/>
      <c r="M602" s="18"/>
      <c r="N602" s="19"/>
      <c r="O602" s="18"/>
      <c r="P602" s="19"/>
      <c r="Q602" s="18"/>
      <c r="R602" s="19"/>
      <c r="S602" s="18"/>
      <c r="T602" s="19"/>
      <c r="U602" s="18"/>
      <c r="V602" s="14"/>
    </row>
    <row r="603">
      <c r="A603" s="28"/>
      <c r="B603" s="19"/>
      <c r="C603" s="18"/>
      <c r="D603" s="19"/>
      <c r="E603" s="18"/>
      <c r="F603" s="19"/>
      <c r="G603" s="18"/>
      <c r="H603" s="19"/>
      <c r="I603" s="18"/>
      <c r="J603" s="19"/>
      <c r="K603" s="18"/>
      <c r="L603" s="19"/>
      <c r="M603" s="18"/>
      <c r="N603" s="19"/>
      <c r="O603" s="18"/>
      <c r="P603" s="19"/>
      <c r="Q603" s="18"/>
      <c r="R603" s="19"/>
      <c r="S603" s="18"/>
      <c r="T603" s="19"/>
      <c r="U603" s="18"/>
      <c r="V603" s="14"/>
    </row>
    <row r="604">
      <c r="A604" s="28"/>
      <c r="B604" s="19"/>
      <c r="C604" s="18"/>
      <c r="D604" s="19"/>
      <c r="E604" s="18"/>
      <c r="F604" s="19"/>
      <c r="G604" s="18"/>
      <c r="H604" s="19"/>
      <c r="I604" s="18"/>
      <c r="J604" s="19"/>
      <c r="K604" s="18"/>
      <c r="L604" s="19"/>
      <c r="M604" s="18"/>
      <c r="N604" s="19"/>
      <c r="O604" s="18"/>
      <c r="P604" s="19"/>
      <c r="Q604" s="18"/>
      <c r="R604" s="19"/>
      <c r="S604" s="18"/>
      <c r="T604" s="19"/>
      <c r="U604" s="18"/>
      <c r="V604" s="14"/>
    </row>
    <row r="605">
      <c r="A605" s="28"/>
      <c r="B605" s="19"/>
      <c r="C605" s="18"/>
      <c r="D605" s="19"/>
      <c r="E605" s="18"/>
      <c r="F605" s="19"/>
      <c r="G605" s="18"/>
      <c r="H605" s="19"/>
      <c r="I605" s="18"/>
      <c r="J605" s="19"/>
      <c r="K605" s="18"/>
      <c r="L605" s="19"/>
      <c r="M605" s="18"/>
      <c r="N605" s="19"/>
      <c r="O605" s="18"/>
      <c r="P605" s="19"/>
      <c r="Q605" s="18"/>
      <c r="R605" s="19"/>
      <c r="S605" s="18"/>
      <c r="T605" s="19"/>
      <c r="U605" s="18"/>
      <c r="V605" s="14"/>
    </row>
    <row r="606">
      <c r="A606" s="28"/>
      <c r="B606" s="19"/>
      <c r="C606" s="18"/>
      <c r="D606" s="19"/>
      <c r="E606" s="18"/>
      <c r="F606" s="19"/>
      <c r="G606" s="18"/>
      <c r="H606" s="19"/>
      <c r="I606" s="18"/>
      <c r="J606" s="19"/>
      <c r="K606" s="18"/>
      <c r="L606" s="19"/>
      <c r="M606" s="18"/>
      <c r="N606" s="19"/>
      <c r="O606" s="18"/>
      <c r="P606" s="19"/>
      <c r="Q606" s="18"/>
      <c r="R606" s="19"/>
      <c r="S606" s="18"/>
      <c r="T606" s="19"/>
      <c r="U606" s="18"/>
      <c r="V606" s="14"/>
    </row>
    <row r="607">
      <c r="A607" s="28"/>
      <c r="B607" s="19"/>
      <c r="C607" s="18"/>
      <c r="D607" s="19"/>
      <c r="E607" s="18"/>
      <c r="F607" s="19"/>
      <c r="G607" s="18"/>
      <c r="H607" s="19"/>
      <c r="I607" s="18"/>
      <c r="J607" s="19"/>
      <c r="K607" s="18"/>
      <c r="L607" s="19"/>
      <c r="M607" s="18"/>
      <c r="N607" s="19"/>
      <c r="O607" s="18"/>
      <c r="P607" s="19"/>
      <c r="Q607" s="18"/>
      <c r="R607" s="19"/>
      <c r="S607" s="18"/>
      <c r="T607" s="19"/>
      <c r="U607" s="18"/>
      <c r="V607" s="14"/>
    </row>
    <row r="608">
      <c r="A608" s="28"/>
      <c r="B608" s="19"/>
      <c r="C608" s="18"/>
      <c r="D608" s="19"/>
      <c r="E608" s="18"/>
      <c r="F608" s="19"/>
      <c r="G608" s="18"/>
      <c r="H608" s="19"/>
      <c r="I608" s="18"/>
      <c r="J608" s="19"/>
      <c r="K608" s="18"/>
      <c r="L608" s="19"/>
      <c r="M608" s="18"/>
      <c r="N608" s="19"/>
      <c r="O608" s="18"/>
      <c r="P608" s="19"/>
      <c r="Q608" s="18"/>
      <c r="R608" s="19"/>
      <c r="S608" s="18"/>
      <c r="T608" s="19"/>
      <c r="U608" s="18"/>
      <c r="V608" s="14"/>
    </row>
    <row r="609">
      <c r="A609" s="28"/>
      <c r="B609" s="19"/>
      <c r="C609" s="18"/>
      <c r="D609" s="19"/>
      <c r="E609" s="18"/>
      <c r="F609" s="19"/>
      <c r="G609" s="18"/>
      <c r="H609" s="19"/>
      <c r="I609" s="18"/>
      <c r="J609" s="19"/>
      <c r="K609" s="18"/>
      <c r="L609" s="19"/>
      <c r="M609" s="18"/>
      <c r="N609" s="19"/>
      <c r="O609" s="18"/>
      <c r="P609" s="19"/>
      <c r="Q609" s="18"/>
      <c r="R609" s="19"/>
      <c r="S609" s="18"/>
      <c r="T609" s="19"/>
      <c r="U609" s="18"/>
      <c r="V609" s="14"/>
    </row>
    <row r="610">
      <c r="A610" s="28"/>
      <c r="B610" s="19"/>
      <c r="C610" s="18"/>
      <c r="D610" s="19"/>
      <c r="E610" s="18"/>
      <c r="F610" s="19"/>
      <c r="G610" s="18"/>
      <c r="H610" s="19"/>
      <c r="I610" s="18"/>
      <c r="J610" s="19"/>
      <c r="K610" s="18"/>
      <c r="L610" s="19"/>
      <c r="M610" s="18"/>
      <c r="N610" s="19"/>
      <c r="O610" s="18"/>
      <c r="P610" s="19"/>
      <c r="Q610" s="18"/>
      <c r="R610" s="19"/>
      <c r="S610" s="18"/>
      <c r="T610" s="19"/>
      <c r="U610" s="18"/>
      <c r="V610" s="14"/>
    </row>
    <row r="611">
      <c r="A611" s="28"/>
      <c r="B611" s="19"/>
      <c r="C611" s="18"/>
      <c r="D611" s="19"/>
      <c r="E611" s="18"/>
      <c r="F611" s="19"/>
      <c r="G611" s="18"/>
      <c r="H611" s="19"/>
      <c r="I611" s="18"/>
      <c r="J611" s="19"/>
      <c r="K611" s="18"/>
      <c r="L611" s="19"/>
      <c r="M611" s="18"/>
      <c r="N611" s="19"/>
      <c r="O611" s="18"/>
      <c r="P611" s="19"/>
      <c r="Q611" s="18"/>
      <c r="R611" s="19"/>
      <c r="S611" s="18"/>
      <c r="T611" s="19"/>
      <c r="U611" s="18"/>
      <c r="V611" s="14"/>
    </row>
    <row r="612">
      <c r="A612" s="28"/>
      <c r="B612" s="19"/>
      <c r="C612" s="18"/>
      <c r="D612" s="19"/>
      <c r="E612" s="18"/>
      <c r="F612" s="19"/>
      <c r="G612" s="18"/>
      <c r="H612" s="19"/>
      <c r="I612" s="18"/>
      <c r="J612" s="19"/>
      <c r="K612" s="18"/>
      <c r="L612" s="19"/>
      <c r="M612" s="18"/>
      <c r="N612" s="19"/>
      <c r="O612" s="18"/>
      <c r="P612" s="19"/>
      <c r="Q612" s="18"/>
      <c r="R612" s="19"/>
      <c r="S612" s="18"/>
      <c r="T612" s="19"/>
      <c r="U612" s="18"/>
      <c r="V612" s="14"/>
    </row>
    <row r="613">
      <c r="A613" s="28"/>
      <c r="B613" s="19"/>
      <c r="C613" s="18"/>
      <c r="D613" s="19"/>
      <c r="E613" s="18"/>
      <c r="F613" s="19"/>
      <c r="G613" s="18"/>
      <c r="H613" s="19"/>
      <c r="I613" s="18"/>
      <c r="J613" s="19"/>
      <c r="K613" s="18"/>
      <c r="L613" s="19"/>
      <c r="M613" s="18"/>
      <c r="N613" s="19"/>
      <c r="O613" s="18"/>
      <c r="P613" s="19"/>
      <c r="Q613" s="18"/>
      <c r="R613" s="19"/>
      <c r="S613" s="18"/>
      <c r="T613" s="19"/>
      <c r="U613" s="18"/>
      <c r="V613" s="14"/>
    </row>
    <row r="614">
      <c r="A614" s="28"/>
      <c r="B614" s="19"/>
      <c r="C614" s="18"/>
      <c r="D614" s="19"/>
      <c r="E614" s="18"/>
      <c r="F614" s="19"/>
      <c r="G614" s="18"/>
      <c r="H614" s="19"/>
      <c r="I614" s="18"/>
      <c r="J614" s="19"/>
      <c r="K614" s="18"/>
      <c r="L614" s="19"/>
      <c r="M614" s="18"/>
      <c r="N614" s="19"/>
      <c r="O614" s="18"/>
      <c r="P614" s="19"/>
      <c r="Q614" s="18"/>
      <c r="R614" s="19"/>
      <c r="S614" s="18"/>
      <c r="T614" s="19"/>
      <c r="U614" s="18"/>
      <c r="V614" s="14"/>
    </row>
    <row r="615">
      <c r="A615" s="28"/>
      <c r="B615" s="19"/>
      <c r="C615" s="18"/>
      <c r="D615" s="19"/>
      <c r="E615" s="18"/>
      <c r="F615" s="19"/>
      <c r="G615" s="18"/>
      <c r="H615" s="19"/>
      <c r="I615" s="18"/>
      <c r="J615" s="19"/>
      <c r="K615" s="18"/>
      <c r="L615" s="19"/>
      <c r="M615" s="18"/>
      <c r="N615" s="19"/>
      <c r="O615" s="18"/>
      <c r="P615" s="19"/>
      <c r="Q615" s="18"/>
      <c r="R615" s="19"/>
      <c r="S615" s="18"/>
      <c r="T615" s="19"/>
      <c r="U615" s="18"/>
      <c r="V615" s="14"/>
    </row>
    <row r="616">
      <c r="A616" s="28"/>
      <c r="B616" s="19"/>
      <c r="C616" s="18"/>
      <c r="D616" s="19"/>
      <c r="E616" s="18"/>
      <c r="F616" s="19"/>
      <c r="G616" s="18"/>
      <c r="H616" s="19"/>
      <c r="I616" s="18"/>
      <c r="J616" s="19"/>
      <c r="K616" s="18"/>
      <c r="L616" s="19"/>
      <c r="M616" s="18"/>
      <c r="N616" s="19"/>
      <c r="O616" s="18"/>
      <c r="P616" s="19"/>
      <c r="Q616" s="18"/>
      <c r="R616" s="19"/>
      <c r="S616" s="18"/>
      <c r="T616" s="19"/>
      <c r="U616" s="18"/>
      <c r="V616" s="14"/>
    </row>
    <row r="617">
      <c r="A617" s="28"/>
      <c r="B617" s="19"/>
      <c r="C617" s="18"/>
      <c r="D617" s="19"/>
      <c r="E617" s="18"/>
      <c r="F617" s="19"/>
      <c r="G617" s="18"/>
      <c r="H617" s="19"/>
      <c r="I617" s="18"/>
      <c r="J617" s="19"/>
      <c r="K617" s="18"/>
      <c r="L617" s="19"/>
      <c r="M617" s="18"/>
      <c r="N617" s="19"/>
      <c r="O617" s="18"/>
      <c r="P617" s="19"/>
      <c r="Q617" s="18"/>
      <c r="R617" s="19"/>
      <c r="S617" s="18"/>
      <c r="T617" s="19"/>
      <c r="U617" s="18"/>
      <c r="V617" s="14"/>
    </row>
    <row r="618">
      <c r="A618" s="28"/>
      <c r="B618" s="19"/>
      <c r="C618" s="18"/>
      <c r="D618" s="19"/>
      <c r="E618" s="18"/>
      <c r="F618" s="19"/>
      <c r="G618" s="18"/>
      <c r="H618" s="19"/>
      <c r="I618" s="18"/>
      <c r="J618" s="19"/>
      <c r="K618" s="18"/>
      <c r="L618" s="19"/>
      <c r="M618" s="18"/>
      <c r="N618" s="19"/>
      <c r="O618" s="18"/>
      <c r="P618" s="19"/>
      <c r="Q618" s="18"/>
      <c r="R618" s="19"/>
      <c r="S618" s="18"/>
      <c r="T618" s="19"/>
      <c r="U618" s="18"/>
      <c r="V618" s="14"/>
    </row>
    <row r="619">
      <c r="A619" s="28"/>
      <c r="B619" s="19"/>
      <c r="C619" s="18"/>
      <c r="D619" s="19"/>
      <c r="E619" s="18"/>
      <c r="F619" s="19"/>
      <c r="G619" s="18"/>
      <c r="H619" s="19"/>
      <c r="I619" s="18"/>
      <c r="J619" s="19"/>
      <c r="K619" s="18"/>
      <c r="L619" s="19"/>
      <c r="M619" s="18"/>
      <c r="N619" s="19"/>
      <c r="O619" s="18"/>
      <c r="P619" s="19"/>
      <c r="Q619" s="18"/>
      <c r="R619" s="19"/>
      <c r="S619" s="18"/>
      <c r="T619" s="19"/>
      <c r="U619" s="18"/>
      <c r="V619" s="14"/>
    </row>
    <row r="620">
      <c r="A620" s="28"/>
      <c r="B620" s="19"/>
      <c r="C620" s="18"/>
      <c r="D620" s="19"/>
      <c r="E620" s="18"/>
      <c r="F620" s="19"/>
      <c r="G620" s="18"/>
      <c r="H620" s="19"/>
      <c r="I620" s="18"/>
      <c r="J620" s="19"/>
      <c r="K620" s="18"/>
      <c r="L620" s="19"/>
      <c r="M620" s="18"/>
      <c r="N620" s="19"/>
      <c r="O620" s="18"/>
      <c r="P620" s="19"/>
      <c r="Q620" s="18"/>
      <c r="R620" s="19"/>
      <c r="S620" s="18"/>
      <c r="T620" s="19"/>
      <c r="U620" s="18"/>
      <c r="V620" s="14"/>
    </row>
    <row r="621">
      <c r="A621" s="28"/>
      <c r="B621" s="19"/>
      <c r="C621" s="18"/>
      <c r="D621" s="19"/>
      <c r="E621" s="18"/>
      <c r="F621" s="19"/>
      <c r="G621" s="18"/>
      <c r="H621" s="19"/>
      <c r="I621" s="18"/>
      <c r="J621" s="19"/>
      <c r="K621" s="18"/>
      <c r="L621" s="19"/>
      <c r="M621" s="18"/>
      <c r="N621" s="19"/>
      <c r="O621" s="18"/>
      <c r="P621" s="19"/>
      <c r="Q621" s="18"/>
      <c r="R621" s="19"/>
      <c r="S621" s="18"/>
      <c r="T621" s="19"/>
      <c r="U621" s="18"/>
      <c r="V621" s="14"/>
    </row>
    <row r="622">
      <c r="A622" s="28"/>
      <c r="B622" s="19"/>
      <c r="C622" s="18"/>
      <c r="D622" s="19"/>
      <c r="E622" s="18"/>
      <c r="F622" s="19"/>
      <c r="G622" s="18"/>
      <c r="H622" s="19"/>
      <c r="I622" s="18"/>
      <c r="J622" s="19"/>
      <c r="K622" s="18"/>
      <c r="L622" s="19"/>
      <c r="M622" s="18"/>
      <c r="N622" s="19"/>
      <c r="O622" s="18"/>
      <c r="P622" s="19"/>
      <c r="Q622" s="18"/>
      <c r="R622" s="19"/>
      <c r="S622" s="18"/>
      <c r="T622" s="19"/>
      <c r="U622" s="18"/>
      <c r="V622" s="14"/>
    </row>
    <row r="623">
      <c r="A623" s="28"/>
      <c r="B623" s="19"/>
      <c r="C623" s="18"/>
      <c r="D623" s="19"/>
      <c r="E623" s="18"/>
      <c r="F623" s="19"/>
      <c r="G623" s="18"/>
      <c r="H623" s="19"/>
      <c r="I623" s="18"/>
      <c r="J623" s="19"/>
      <c r="K623" s="18"/>
      <c r="L623" s="19"/>
      <c r="M623" s="18"/>
      <c r="N623" s="19"/>
      <c r="O623" s="18"/>
      <c r="P623" s="19"/>
      <c r="Q623" s="18"/>
      <c r="R623" s="19"/>
      <c r="S623" s="18"/>
      <c r="T623" s="19"/>
      <c r="U623" s="18"/>
      <c r="V623" s="14"/>
    </row>
    <row r="624">
      <c r="A624" s="28"/>
      <c r="B624" s="19"/>
      <c r="C624" s="18"/>
      <c r="D624" s="19"/>
      <c r="E624" s="18"/>
      <c r="F624" s="19"/>
      <c r="G624" s="18"/>
      <c r="H624" s="19"/>
      <c r="I624" s="18"/>
      <c r="J624" s="19"/>
      <c r="K624" s="18"/>
      <c r="L624" s="19"/>
      <c r="M624" s="18"/>
      <c r="N624" s="19"/>
      <c r="O624" s="18"/>
      <c r="P624" s="19"/>
      <c r="Q624" s="18"/>
      <c r="R624" s="19"/>
      <c r="S624" s="18"/>
      <c r="T624" s="19"/>
      <c r="U624" s="18"/>
      <c r="V624" s="14"/>
    </row>
    <row r="625">
      <c r="A625" s="28"/>
      <c r="B625" s="19"/>
      <c r="C625" s="18"/>
      <c r="D625" s="19"/>
      <c r="E625" s="18"/>
      <c r="F625" s="19"/>
      <c r="G625" s="18"/>
      <c r="H625" s="19"/>
      <c r="I625" s="18"/>
      <c r="J625" s="19"/>
      <c r="K625" s="18"/>
      <c r="L625" s="19"/>
      <c r="M625" s="18"/>
      <c r="N625" s="19"/>
      <c r="O625" s="18"/>
      <c r="P625" s="19"/>
      <c r="Q625" s="18"/>
      <c r="R625" s="19"/>
      <c r="S625" s="18"/>
      <c r="T625" s="19"/>
      <c r="U625" s="18"/>
      <c r="V625" s="14"/>
    </row>
    <row r="626">
      <c r="A626" s="28"/>
      <c r="B626" s="19"/>
      <c r="C626" s="18"/>
      <c r="D626" s="19"/>
      <c r="E626" s="18"/>
      <c r="F626" s="19"/>
      <c r="G626" s="18"/>
      <c r="H626" s="19"/>
      <c r="I626" s="18"/>
      <c r="J626" s="19"/>
      <c r="K626" s="18"/>
      <c r="L626" s="19"/>
      <c r="M626" s="18"/>
      <c r="N626" s="19"/>
      <c r="O626" s="18"/>
      <c r="P626" s="19"/>
      <c r="Q626" s="18"/>
      <c r="R626" s="19"/>
      <c r="S626" s="18"/>
      <c r="T626" s="19"/>
      <c r="U626" s="18"/>
      <c r="V626" s="14"/>
    </row>
    <row r="627">
      <c r="A627" s="28"/>
      <c r="B627" s="19"/>
      <c r="C627" s="18"/>
      <c r="D627" s="19"/>
      <c r="E627" s="18"/>
      <c r="F627" s="19"/>
      <c r="G627" s="18"/>
      <c r="H627" s="19"/>
      <c r="I627" s="18"/>
      <c r="J627" s="19"/>
      <c r="K627" s="18"/>
      <c r="L627" s="19"/>
      <c r="M627" s="18"/>
      <c r="N627" s="19"/>
      <c r="O627" s="18"/>
      <c r="P627" s="19"/>
      <c r="Q627" s="18"/>
      <c r="R627" s="19"/>
      <c r="S627" s="18"/>
      <c r="T627" s="19"/>
      <c r="U627" s="18"/>
      <c r="V627" s="14"/>
    </row>
    <row r="628">
      <c r="A628" s="28"/>
      <c r="B628" s="19"/>
      <c r="C628" s="18"/>
      <c r="D628" s="19"/>
      <c r="E628" s="18"/>
      <c r="F628" s="19"/>
      <c r="G628" s="18"/>
      <c r="H628" s="19"/>
      <c r="I628" s="18"/>
      <c r="J628" s="19"/>
      <c r="K628" s="18"/>
      <c r="L628" s="19"/>
      <c r="M628" s="18"/>
      <c r="N628" s="19"/>
      <c r="O628" s="18"/>
      <c r="P628" s="19"/>
      <c r="Q628" s="18"/>
      <c r="R628" s="19"/>
      <c r="S628" s="18"/>
      <c r="T628" s="19"/>
      <c r="U628" s="18"/>
      <c r="V628" s="14"/>
    </row>
    <row r="629">
      <c r="A629" s="28"/>
      <c r="B629" s="19"/>
      <c r="C629" s="18"/>
      <c r="D629" s="19"/>
      <c r="E629" s="18"/>
      <c r="F629" s="19"/>
      <c r="G629" s="18"/>
      <c r="H629" s="19"/>
      <c r="I629" s="18"/>
      <c r="J629" s="19"/>
      <c r="K629" s="18"/>
      <c r="L629" s="19"/>
      <c r="M629" s="18"/>
      <c r="N629" s="19"/>
      <c r="O629" s="18"/>
      <c r="P629" s="19"/>
      <c r="Q629" s="18"/>
      <c r="R629" s="19"/>
      <c r="S629" s="18"/>
      <c r="T629" s="19"/>
      <c r="U629" s="18"/>
      <c r="V629" s="14"/>
    </row>
    <row r="630">
      <c r="A630" s="28"/>
      <c r="B630" s="19"/>
      <c r="C630" s="18"/>
      <c r="D630" s="19"/>
      <c r="E630" s="18"/>
      <c r="F630" s="19"/>
      <c r="G630" s="18"/>
      <c r="H630" s="19"/>
      <c r="I630" s="18"/>
      <c r="J630" s="19"/>
      <c r="K630" s="18"/>
      <c r="L630" s="19"/>
      <c r="M630" s="18"/>
      <c r="N630" s="19"/>
      <c r="O630" s="18"/>
      <c r="P630" s="19"/>
      <c r="Q630" s="18"/>
      <c r="R630" s="19"/>
      <c r="S630" s="18"/>
      <c r="T630" s="19"/>
      <c r="U630" s="18"/>
      <c r="V630" s="14"/>
    </row>
    <row r="631">
      <c r="A631" s="28"/>
      <c r="B631" s="19"/>
      <c r="C631" s="18"/>
      <c r="D631" s="19"/>
      <c r="E631" s="18"/>
      <c r="F631" s="19"/>
      <c r="G631" s="18"/>
      <c r="H631" s="19"/>
      <c r="I631" s="18"/>
      <c r="J631" s="19"/>
      <c r="K631" s="18"/>
      <c r="L631" s="19"/>
      <c r="M631" s="18"/>
      <c r="N631" s="19"/>
      <c r="O631" s="18"/>
      <c r="P631" s="19"/>
      <c r="Q631" s="18"/>
      <c r="R631" s="19"/>
      <c r="S631" s="18"/>
      <c r="T631" s="19"/>
      <c r="U631" s="18"/>
      <c r="V631" s="14"/>
    </row>
    <row r="632">
      <c r="A632" s="28"/>
      <c r="B632" s="19"/>
      <c r="C632" s="18"/>
      <c r="D632" s="19"/>
      <c r="E632" s="18"/>
      <c r="F632" s="19"/>
      <c r="G632" s="18"/>
      <c r="H632" s="19"/>
      <c r="I632" s="18"/>
      <c r="J632" s="19"/>
      <c r="K632" s="18"/>
      <c r="L632" s="19"/>
      <c r="M632" s="18"/>
      <c r="N632" s="19"/>
      <c r="O632" s="18"/>
      <c r="P632" s="19"/>
      <c r="Q632" s="18"/>
      <c r="R632" s="19"/>
      <c r="S632" s="18"/>
      <c r="T632" s="19"/>
      <c r="U632" s="18"/>
      <c r="V632" s="14"/>
    </row>
    <row r="633">
      <c r="A633" s="28"/>
      <c r="B633" s="19"/>
      <c r="C633" s="18"/>
      <c r="D633" s="19"/>
      <c r="E633" s="18"/>
      <c r="F633" s="19"/>
      <c r="G633" s="18"/>
      <c r="H633" s="19"/>
      <c r="I633" s="18"/>
      <c r="J633" s="19"/>
      <c r="K633" s="18"/>
      <c r="L633" s="19"/>
      <c r="M633" s="18"/>
      <c r="N633" s="19"/>
      <c r="O633" s="18"/>
      <c r="P633" s="19"/>
      <c r="Q633" s="18"/>
      <c r="R633" s="19"/>
      <c r="S633" s="18"/>
      <c r="T633" s="19"/>
      <c r="U633" s="18"/>
      <c r="V633" s="14"/>
    </row>
    <row r="634">
      <c r="A634" s="28"/>
      <c r="B634" s="19"/>
      <c r="C634" s="18"/>
      <c r="D634" s="19"/>
      <c r="E634" s="18"/>
      <c r="F634" s="19"/>
      <c r="G634" s="18"/>
      <c r="H634" s="19"/>
      <c r="I634" s="18"/>
      <c r="J634" s="19"/>
      <c r="K634" s="18"/>
      <c r="L634" s="19"/>
      <c r="M634" s="18"/>
      <c r="N634" s="19"/>
      <c r="O634" s="18"/>
      <c r="P634" s="19"/>
      <c r="Q634" s="18"/>
      <c r="R634" s="19"/>
      <c r="S634" s="18"/>
      <c r="T634" s="19"/>
      <c r="U634" s="18"/>
      <c r="V634" s="14"/>
    </row>
    <row r="635">
      <c r="A635" s="28"/>
      <c r="B635" s="19"/>
      <c r="C635" s="18"/>
      <c r="D635" s="19"/>
      <c r="E635" s="18"/>
      <c r="F635" s="19"/>
      <c r="G635" s="18"/>
      <c r="H635" s="19"/>
      <c r="I635" s="18"/>
      <c r="J635" s="19"/>
      <c r="K635" s="18"/>
      <c r="L635" s="19"/>
      <c r="M635" s="18"/>
      <c r="N635" s="19"/>
      <c r="O635" s="18"/>
      <c r="P635" s="19"/>
      <c r="Q635" s="18"/>
      <c r="R635" s="19"/>
      <c r="S635" s="18"/>
      <c r="T635" s="19"/>
      <c r="U635" s="18"/>
      <c r="V635" s="14"/>
    </row>
    <row r="636">
      <c r="A636" s="28"/>
      <c r="B636" s="19"/>
      <c r="C636" s="18"/>
      <c r="D636" s="19"/>
      <c r="E636" s="18"/>
      <c r="F636" s="19"/>
      <c r="G636" s="18"/>
      <c r="H636" s="19"/>
      <c r="I636" s="18"/>
      <c r="J636" s="19"/>
      <c r="K636" s="18"/>
      <c r="L636" s="19"/>
      <c r="M636" s="18"/>
      <c r="N636" s="19"/>
      <c r="O636" s="18"/>
      <c r="P636" s="19"/>
      <c r="Q636" s="18"/>
      <c r="R636" s="19"/>
      <c r="S636" s="18"/>
      <c r="T636" s="19"/>
      <c r="U636" s="18"/>
      <c r="V636" s="14"/>
    </row>
    <row r="637">
      <c r="A637" s="28"/>
      <c r="B637" s="19"/>
      <c r="C637" s="18"/>
      <c r="D637" s="19"/>
      <c r="E637" s="18"/>
      <c r="F637" s="19"/>
      <c r="G637" s="18"/>
      <c r="H637" s="19"/>
      <c r="I637" s="18"/>
      <c r="J637" s="19"/>
      <c r="K637" s="18"/>
      <c r="L637" s="19"/>
      <c r="M637" s="18"/>
      <c r="N637" s="19"/>
      <c r="O637" s="18"/>
      <c r="P637" s="19"/>
      <c r="Q637" s="18"/>
      <c r="R637" s="19"/>
      <c r="S637" s="18"/>
      <c r="T637" s="19"/>
      <c r="U637" s="18"/>
      <c r="V637" s="14"/>
    </row>
    <row r="638">
      <c r="A638" s="28"/>
      <c r="B638" s="19"/>
      <c r="C638" s="18"/>
      <c r="D638" s="19"/>
      <c r="E638" s="18"/>
      <c r="F638" s="19"/>
      <c r="G638" s="18"/>
      <c r="H638" s="19"/>
      <c r="I638" s="18"/>
      <c r="J638" s="19"/>
      <c r="K638" s="18"/>
      <c r="L638" s="19"/>
      <c r="M638" s="18"/>
      <c r="N638" s="19"/>
      <c r="O638" s="18"/>
      <c r="P638" s="19"/>
      <c r="Q638" s="18"/>
      <c r="R638" s="19"/>
      <c r="S638" s="18"/>
      <c r="T638" s="19"/>
      <c r="U638" s="18"/>
      <c r="V638" s="14"/>
    </row>
    <row r="639">
      <c r="A639" s="28"/>
      <c r="B639" s="19"/>
      <c r="C639" s="18"/>
      <c r="D639" s="19"/>
      <c r="E639" s="18"/>
      <c r="F639" s="19"/>
      <c r="G639" s="18"/>
      <c r="H639" s="19"/>
      <c r="I639" s="18"/>
      <c r="J639" s="19"/>
      <c r="K639" s="18"/>
      <c r="L639" s="19"/>
      <c r="M639" s="18"/>
      <c r="N639" s="19"/>
      <c r="O639" s="18"/>
      <c r="P639" s="19"/>
      <c r="Q639" s="18"/>
      <c r="R639" s="19"/>
      <c r="S639" s="18"/>
      <c r="T639" s="19"/>
      <c r="U639" s="18"/>
      <c r="V639" s="14"/>
    </row>
    <row r="640">
      <c r="A640" s="28"/>
      <c r="B640" s="19"/>
      <c r="C640" s="18"/>
      <c r="D640" s="19"/>
      <c r="E640" s="18"/>
      <c r="F640" s="19"/>
      <c r="G640" s="18"/>
      <c r="H640" s="19"/>
      <c r="I640" s="18"/>
      <c r="J640" s="19"/>
      <c r="K640" s="18"/>
      <c r="L640" s="19"/>
      <c r="M640" s="18"/>
      <c r="N640" s="19"/>
      <c r="O640" s="18"/>
      <c r="P640" s="19"/>
      <c r="Q640" s="18"/>
      <c r="R640" s="19"/>
      <c r="S640" s="18"/>
      <c r="T640" s="19"/>
      <c r="U640" s="18"/>
      <c r="V640" s="14"/>
    </row>
    <row r="641">
      <c r="A641" s="28"/>
      <c r="B641" s="19"/>
      <c r="C641" s="18"/>
      <c r="D641" s="19"/>
      <c r="E641" s="18"/>
      <c r="F641" s="19"/>
      <c r="G641" s="18"/>
      <c r="H641" s="19"/>
      <c r="I641" s="18"/>
      <c r="J641" s="19"/>
      <c r="K641" s="18"/>
      <c r="L641" s="19"/>
      <c r="M641" s="18"/>
      <c r="N641" s="19"/>
      <c r="O641" s="18"/>
      <c r="P641" s="19"/>
      <c r="Q641" s="18"/>
      <c r="R641" s="19"/>
      <c r="S641" s="18"/>
      <c r="T641" s="19"/>
      <c r="U641" s="18"/>
      <c r="V641" s="14"/>
    </row>
    <row r="642">
      <c r="A642" s="28"/>
      <c r="B642" s="19"/>
      <c r="C642" s="18"/>
      <c r="D642" s="19"/>
      <c r="E642" s="18"/>
      <c r="F642" s="19"/>
      <c r="G642" s="18"/>
      <c r="H642" s="19"/>
      <c r="I642" s="18"/>
      <c r="J642" s="19"/>
      <c r="K642" s="18"/>
      <c r="L642" s="19"/>
      <c r="M642" s="18"/>
      <c r="N642" s="19"/>
      <c r="O642" s="18"/>
      <c r="P642" s="19"/>
      <c r="Q642" s="18"/>
      <c r="R642" s="19"/>
      <c r="S642" s="18"/>
      <c r="T642" s="19"/>
      <c r="U642" s="18"/>
      <c r="V642" s="14"/>
    </row>
    <row r="643">
      <c r="A643" s="28"/>
      <c r="B643" s="19"/>
      <c r="C643" s="18"/>
      <c r="D643" s="19"/>
      <c r="E643" s="18"/>
      <c r="F643" s="19"/>
      <c r="G643" s="18"/>
      <c r="H643" s="19"/>
      <c r="I643" s="18"/>
      <c r="J643" s="19"/>
      <c r="K643" s="18"/>
      <c r="L643" s="19"/>
      <c r="M643" s="18"/>
      <c r="N643" s="19"/>
      <c r="O643" s="18"/>
      <c r="P643" s="19"/>
      <c r="Q643" s="18"/>
      <c r="R643" s="19"/>
      <c r="S643" s="18"/>
      <c r="T643" s="19"/>
      <c r="U643" s="18"/>
      <c r="V643" s="14"/>
    </row>
    <row r="644">
      <c r="A644" s="28"/>
      <c r="B644" s="19"/>
      <c r="C644" s="18"/>
      <c r="D644" s="19"/>
      <c r="E644" s="18"/>
      <c r="F644" s="19"/>
      <c r="G644" s="18"/>
      <c r="H644" s="19"/>
      <c r="I644" s="18"/>
      <c r="J644" s="19"/>
      <c r="K644" s="18"/>
      <c r="L644" s="19"/>
      <c r="M644" s="18"/>
      <c r="N644" s="19"/>
      <c r="O644" s="18"/>
      <c r="P644" s="19"/>
      <c r="Q644" s="18"/>
      <c r="R644" s="19"/>
      <c r="S644" s="18"/>
      <c r="T644" s="19"/>
      <c r="U644" s="18"/>
      <c r="V644" s="14"/>
    </row>
    <row r="645">
      <c r="A645" s="28"/>
      <c r="B645" s="19"/>
      <c r="C645" s="18"/>
      <c r="D645" s="19"/>
      <c r="E645" s="18"/>
      <c r="F645" s="19"/>
      <c r="G645" s="18"/>
      <c r="H645" s="19"/>
      <c r="I645" s="18"/>
      <c r="J645" s="19"/>
      <c r="K645" s="18"/>
      <c r="L645" s="19"/>
      <c r="M645" s="18"/>
      <c r="N645" s="19"/>
      <c r="O645" s="18"/>
      <c r="P645" s="19"/>
      <c r="Q645" s="18"/>
      <c r="R645" s="19"/>
      <c r="S645" s="18"/>
      <c r="T645" s="19"/>
      <c r="U645" s="18"/>
      <c r="V645" s="14"/>
    </row>
    <row r="646">
      <c r="A646" s="28"/>
      <c r="B646" s="19"/>
      <c r="C646" s="18"/>
      <c r="D646" s="19"/>
      <c r="E646" s="18"/>
      <c r="F646" s="19"/>
      <c r="G646" s="18"/>
      <c r="H646" s="19"/>
      <c r="I646" s="18"/>
      <c r="J646" s="19"/>
      <c r="K646" s="18"/>
      <c r="L646" s="19"/>
      <c r="M646" s="18"/>
      <c r="N646" s="19"/>
      <c r="O646" s="18"/>
      <c r="P646" s="19"/>
      <c r="Q646" s="18"/>
      <c r="R646" s="19"/>
      <c r="S646" s="18"/>
      <c r="T646" s="19"/>
      <c r="U646" s="18"/>
      <c r="V646" s="14"/>
    </row>
    <row r="647">
      <c r="A647" s="28"/>
      <c r="B647" s="19"/>
      <c r="C647" s="18"/>
      <c r="D647" s="19"/>
      <c r="E647" s="18"/>
      <c r="F647" s="19"/>
      <c r="G647" s="18"/>
      <c r="H647" s="19"/>
      <c r="I647" s="18"/>
      <c r="J647" s="19"/>
      <c r="K647" s="18"/>
      <c r="L647" s="19"/>
      <c r="M647" s="18"/>
      <c r="N647" s="19"/>
      <c r="O647" s="18"/>
      <c r="P647" s="19"/>
      <c r="Q647" s="18"/>
      <c r="R647" s="19"/>
      <c r="S647" s="18"/>
      <c r="T647" s="19"/>
      <c r="U647" s="18"/>
      <c r="V647" s="14"/>
    </row>
    <row r="648">
      <c r="A648" s="28"/>
      <c r="B648" s="19"/>
      <c r="C648" s="18"/>
      <c r="D648" s="19"/>
      <c r="E648" s="18"/>
      <c r="F648" s="19"/>
      <c r="G648" s="18"/>
      <c r="H648" s="19"/>
      <c r="I648" s="18"/>
      <c r="J648" s="19"/>
      <c r="K648" s="18"/>
      <c r="L648" s="19"/>
      <c r="M648" s="18"/>
      <c r="N648" s="19"/>
      <c r="O648" s="18"/>
      <c r="P648" s="19"/>
      <c r="Q648" s="18"/>
      <c r="R648" s="19"/>
      <c r="S648" s="18"/>
      <c r="T648" s="19"/>
      <c r="U648" s="18"/>
      <c r="V648" s="14"/>
    </row>
    <row r="649">
      <c r="A649" s="28"/>
      <c r="B649" s="19"/>
      <c r="C649" s="18"/>
      <c r="D649" s="19"/>
      <c r="E649" s="18"/>
      <c r="F649" s="19"/>
      <c r="G649" s="18"/>
      <c r="H649" s="19"/>
      <c r="I649" s="18"/>
      <c r="J649" s="19"/>
      <c r="K649" s="18"/>
      <c r="L649" s="19"/>
      <c r="M649" s="18"/>
      <c r="N649" s="19"/>
      <c r="O649" s="18"/>
      <c r="P649" s="19"/>
      <c r="Q649" s="18"/>
      <c r="R649" s="19"/>
      <c r="S649" s="18"/>
      <c r="T649" s="19"/>
      <c r="U649" s="18"/>
      <c r="V649" s="14"/>
    </row>
    <row r="650">
      <c r="A650" s="28"/>
      <c r="B650" s="19"/>
      <c r="C650" s="18"/>
      <c r="D650" s="19"/>
      <c r="E650" s="18"/>
      <c r="F650" s="19"/>
      <c r="G650" s="18"/>
      <c r="H650" s="19"/>
      <c r="I650" s="18"/>
      <c r="J650" s="19"/>
      <c r="K650" s="18"/>
      <c r="L650" s="19"/>
      <c r="M650" s="18"/>
      <c r="N650" s="19"/>
      <c r="O650" s="18"/>
      <c r="P650" s="19"/>
      <c r="Q650" s="18"/>
      <c r="R650" s="19"/>
      <c r="S650" s="18"/>
      <c r="T650" s="19"/>
      <c r="U650" s="18"/>
      <c r="V650" s="14"/>
    </row>
    <row r="651">
      <c r="A651" s="28"/>
      <c r="B651" s="19"/>
      <c r="C651" s="18"/>
      <c r="D651" s="19"/>
      <c r="E651" s="18"/>
      <c r="F651" s="19"/>
      <c r="G651" s="18"/>
      <c r="H651" s="19"/>
      <c r="I651" s="18"/>
      <c r="J651" s="19"/>
      <c r="K651" s="18"/>
      <c r="L651" s="19"/>
      <c r="M651" s="18"/>
      <c r="N651" s="19"/>
      <c r="O651" s="18"/>
      <c r="P651" s="19"/>
      <c r="Q651" s="18"/>
      <c r="R651" s="19"/>
      <c r="S651" s="18"/>
      <c r="T651" s="19"/>
      <c r="U651" s="18"/>
      <c r="V651" s="14"/>
    </row>
    <row r="652">
      <c r="A652" s="28"/>
      <c r="B652" s="19"/>
      <c r="C652" s="18"/>
      <c r="D652" s="19"/>
      <c r="E652" s="18"/>
      <c r="F652" s="19"/>
      <c r="G652" s="18"/>
      <c r="H652" s="19"/>
      <c r="I652" s="18"/>
      <c r="J652" s="19"/>
      <c r="K652" s="18"/>
      <c r="L652" s="19"/>
      <c r="M652" s="18"/>
      <c r="N652" s="19"/>
      <c r="O652" s="18"/>
      <c r="P652" s="19"/>
      <c r="Q652" s="18"/>
      <c r="R652" s="19"/>
      <c r="S652" s="18"/>
      <c r="T652" s="19"/>
      <c r="U652" s="18"/>
      <c r="V652" s="14"/>
    </row>
    <row r="653">
      <c r="A653" s="28"/>
      <c r="B653" s="19"/>
      <c r="C653" s="18"/>
      <c r="D653" s="19"/>
      <c r="E653" s="18"/>
      <c r="F653" s="19"/>
      <c r="G653" s="18"/>
      <c r="H653" s="19"/>
      <c r="I653" s="18"/>
      <c r="J653" s="19"/>
      <c r="K653" s="18"/>
      <c r="L653" s="19"/>
      <c r="M653" s="18"/>
      <c r="N653" s="19"/>
      <c r="O653" s="18"/>
      <c r="P653" s="19"/>
      <c r="Q653" s="18"/>
      <c r="R653" s="19"/>
      <c r="S653" s="18"/>
      <c r="T653" s="19"/>
      <c r="U653" s="18"/>
      <c r="V653" s="14"/>
    </row>
    <row r="654">
      <c r="A654" s="28"/>
      <c r="B654" s="19"/>
      <c r="C654" s="18"/>
      <c r="D654" s="19"/>
      <c r="E654" s="18"/>
      <c r="F654" s="19"/>
      <c r="G654" s="18"/>
      <c r="H654" s="19"/>
      <c r="I654" s="18"/>
      <c r="J654" s="19"/>
      <c r="K654" s="18"/>
      <c r="L654" s="19"/>
      <c r="M654" s="18"/>
      <c r="N654" s="19"/>
      <c r="O654" s="18"/>
      <c r="P654" s="19"/>
      <c r="Q654" s="18"/>
      <c r="R654" s="19"/>
      <c r="S654" s="18"/>
      <c r="T654" s="19"/>
      <c r="U654" s="18"/>
      <c r="V654" s="14"/>
    </row>
    <row r="655">
      <c r="A655" s="28"/>
      <c r="B655" s="19"/>
      <c r="C655" s="18"/>
      <c r="D655" s="19"/>
      <c r="E655" s="18"/>
      <c r="F655" s="19"/>
      <c r="G655" s="18"/>
      <c r="H655" s="19"/>
      <c r="I655" s="18"/>
      <c r="J655" s="19"/>
      <c r="K655" s="18"/>
      <c r="L655" s="19"/>
      <c r="M655" s="18"/>
      <c r="N655" s="19"/>
      <c r="O655" s="18"/>
      <c r="P655" s="19"/>
      <c r="Q655" s="18"/>
      <c r="R655" s="19"/>
      <c r="S655" s="18"/>
      <c r="T655" s="19"/>
      <c r="U655" s="18"/>
      <c r="V655" s="14"/>
    </row>
    <row r="656">
      <c r="A656" s="28"/>
      <c r="B656" s="19"/>
      <c r="C656" s="18"/>
      <c r="D656" s="19"/>
      <c r="E656" s="18"/>
      <c r="F656" s="19"/>
      <c r="G656" s="18"/>
      <c r="H656" s="19"/>
      <c r="I656" s="18"/>
      <c r="J656" s="19"/>
      <c r="K656" s="18"/>
      <c r="L656" s="19"/>
      <c r="M656" s="18"/>
      <c r="N656" s="19"/>
      <c r="O656" s="18"/>
      <c r="P656" s="19"/>
      <c r="Q656" s="18"/>
      <c r="R656" s="19"/>
      <c r="S656" s="18"/>
      <c r="T656" s="19"/>
      <c r="U656" s="18"/>
      <c r="V656" s="14"/>
    </row>
    <row r="657">
      <c r="A657" s="28"/>
      <c r="B657" s="19"/>
      <c r="C657" s="18"/>
      <c r="D657" s="19"/>
      <c r="E657" s="18"/>
      <c r="F657" s="19"/>
      <c r="G657" s="18"/>
      <c r="H657" s="19"/>
      <c r="I657" s="18"/>
      <c r="J657" s="19"/>
      <c r="K657" s="18"/>
      <c r="L657" s="19"/>
      <c r="M657" s="18"/>
      <c r="N657" s="19"/>
      <c r="O657" s="18"/>
      <c r="P657" s="19"/>
      <c r="Q657" s="18"/>
      <c r="R657" s="19"/>
      <c r="S657" s="18"/>
      <c r="T657" s="19"/>
      <c r="U657" s="18"/>
      <c r="V657" s="14"/>
    </row>
    <row r="658">
      <c r="A658" s="28"/>
      <c r="B658" s="19"/>
      <c r="C658" s="18"/>
      <c r="D658" s="19"/>
      <c r="E658" s="18"/>
      <c r="F658" s="19"/>
      <c r="G658" s="18"/>
      <c r="H658" s="19"/>
      <c r="I658" s="18"/>
      <c r="J658" s="19"/>
      <c r="K658" s="18"/>
      <c r="L658" s="19"/>
      <c r="M658" s="18"/>
      <c r="N658" s="19"/>
      <c r="O658" s="18"/>
      <c r="P658" s="19"/>
      <c r="Q658" s="18"/>
      <c r="R658" s="19"/>
      <c r="S658" s="18"/>
      <c r="T658" s="19"/>
      <c r="U658" s="18"/>
      <c r="V658" s="14"/>
    </row>
    <row r="659">
      <c r="A659" s="28"/>
      <c r="B659" s="19"/>
      <c r="C659" s="18"/>
      <c r="D659" s="19"/>
      <c r="E659" s="18"/>
      <c r="F659" s="19"/>
      <c r="G659" s="18"/>
      <c r="H659" s="19"/>
      <c r="I659" s="18"/>
      <c r="J659" s="19"/>
      <c r="K659" s="18"/>
      <c r="L659" s="19"/>
      <c r="M659" s="18"/>
      <c r="N659" s="19"/>
      <c r="O659" s="18"/>
      <c r="P659" s="19"/>
      <c r="Q659" s="18"/>
      <c r="R659" s="19"/>
      <c r="S659" s="18"/>
      <c r="T659" s="19"/>
      <c r="U659" s="18"/>
      <c r="V659" s="14"/>
    </row>
    <row r="660">
      <c r="A660" s="28"/>
      <c r="B660" s="19"/>
      <c r="C660" s="18"/>
      <c r="D660" s="19"/>
      <c r="E660" s="18"/>
      <c r="F660" s="19"/>
      <c r="G660" s="18"/>
      <c r="H660" s="19"/>
      <c r="I660" s="18"/>
      <c r="J660" s="19"/>
      <c r="K660" s="18"/>
      <c r="L660" s="19"/>
      <c r="M660" s="18"/>
      <c r="N660" s="19"/>
      <c r="O660" s="18"/>
      <c r="P660" s="19"/>
      <c r="Q660" s="18"/>
      <c r="R660" s="19"/>
      <c r="S660" s="18"/>
      <c r="T660" s="19"/>
      <c r="U660" s="18"/>
      <c r="V660" s="14"/>
    </row>
    <row r="661">
      <c r="A661" s="28"/>
      <c r="B661" s="19"/>
      <c r="C661" s="18"/>
      <c r="D661" s="19"/>
      <c r="E661" s="18"/>
      <c r="F661" s="19"/>
      <c r="G661" s="18"/>
      <c r="H661" s="19"/>
      <c r="I661" s="18"/>
      <c r="J661" s="19"/>
      <c r="K661" s="18"/>
      <c r="L661" s="19"/>
      <c r="M661" s="18"/>
      <c r="N661" s="19"/>
      <c r="O661" s="18"/>
      <c r="P661" s="19"/>
      <c r="Q661" s="18"/>
      <c r="R661" s="19"/>
      <c r="S661" s="18"/>
      <c r="T661" s="19"/>
      <c r="U661" s="18"/>
      <c r="V661" s="14"/>
    </row>
    <row r="662">
      <c r="A662" s="28"/>
      <c r="B662" s="19"/>
      <c r="C662" s="18"/>
      <c r="D662" s="19"/>
      <c r="E662" s="18"/>
      <c r="F662" s="19"/>
      <c r="G662" s="18"/>
      <c r="H662" s="19"/>
      <c r="I662" s="18"/>
      <c r="J662" s="19"/>
      <c r="K662" s="18"/>
      <c r="L662" s="19"/>
      <c r="M662" s="18"/>
      <c r="N662" s="19"/>
      <c r="O662" s="18"/>
      <c r="P662" s="19"/>
      <c r="Q662" s="18"/>
      <c r="R662" s="19"/>
      <c r="S662" s="18"/>
      <c r="T662" s="19"/>
      <c r="U662" s="18"/>
      <c r="V662" s="14"/>
    </row>
    <row r="663">
      <c r="A663" s="28"/>
      <c r="B663" s="19"/>
      <c r="C663" s="18"/>
      <c r="D663" s="19"/>
      <c r="E663" s="18"/>
      <c r="F663" s="19"/>
      <c r="G663" s="18"/>
      <c r="H663" s="19"/>
      <c r="I663" s="18"/>
      <c r="J663" s="19"/>
      <c r="K663" s="18"/>
      <c r="L663" s="19"/>
      <c r="M663" s="18"/>
      <c r="N663" s="19"/>
      <c r="O663" s="18"/>
      <c r="P663" s="19"/>
      <c r="Q663" s="18"/>
      <c r="R663" s="19"/>
      <c r="S663" s="18"/>
      <c r="T663" s="19"/>
      <c r="U663" s="18"/>
      <c r="V663" s="14"/>
    </row>
    <row r="664">
      <c r="A664" s="28"/>
      <c r="B664" s="19"/>
      <c r="C664" s="18"/>
      <c r="D664" s="19"/>
      <c r="E664" s="18"/>
      <c r="F664" s="19"/>
      <c r="G664" s="18"/>
      <c r="H664" s="19"/>
      <c r="I664" s="18"/>
      <c r="J664" s="19"/>
      <c r="K664" s="18"/>
      <c r="L664" s="19"/>
      <c r="M664" s="18"/>
      <c r="N664" s="19"/>
      <c r="O664" s="18"/>
      <c r="P664" s="19"/>
      <c r="Q664" s="18"/>
      <c r="R664" s="19"/>
      <c r="S664" s="18"/>
      <c r="T664" s="19"/>
      <c r="U664" s="18"/>
      <c r="V664" s="14"/>
    </row>
    <row r="665">
      <c r="A665" s="28"/>
      <c r="B665" s="19"/>
      <c r="C665" s="18"/>
      <c r="D665" s="19"/>
      <c r="E665" s="18"/>
      <c r="F665" s="19"/>
      <c r="G665" s="18"/>
      <c r="H665" s="19"/>
      <c r="I665" s="18"/>
      <c r="J665" s="19"/>
      <c r="K665" s="18"/>
      <c r="L665" s="19"/>
      <c r="M665" s="18"/>
      <c r="N665" s="19"/>
      <c r="O665" s="18"/>
      <c r="P665" s="19"/>
      <c r="Q665" s="18"/>
      <c r="R665" s="19"/>
      <c r="S665" s="18"/>
      <c r="T665" s="19"/>
      <c r="U665" s="18"/>
      <c r="V665" s="14"/>
    </row>
    <row r="666">
      <c r="A666" s="28"/>
      <c r="B666" s="19"/>
      <c r="C666" s="18"/>
      <c r="D666" s="19"/>
      <c r="E666" s="18"/>
      <c r="F666" s="19"/>
      <c r="G666" s="18"/>
      <c r="H666" s="19"/>
      <c r="I666" s="18"/>
      <c r="J666" s="19"/>
      <c r="K666" s="18"/>
      <c r="L666" s="19"/>
      <c r="M666" s="18"/>
      <c r="N666" s="19"/>
      <c r="O666" s="18"/>
      <c r="P666" s="19"/>
      <c r="Q666" s="18"/>
      <c r="R666" s="19"/>
      <c r="S666" s="18"/>
      <c r="T666" s="19"/>
      <c r="U666" s="18"/>
      <c r="V666" s="14"/>
    </row>
    <row r="667">
      <c r="A667" s="28"/>
      <c r="B667" s="19"/>
      <c r="C667" s="18"/>
      <c r="D667" s="19"/>
      <c r="E667" s="18"/>
      <c r="F667" s="19"/>
      <c r="G667" s="18"/>
      <c r="H667" s="19"/>
      <c r="I667" s="18"/>
      <c r="J667" s="19"/>
      <c r="K667" s="18"/>
      <c r="L667" s="19"/>
      <c r="M667" s="18"/>
      <c r="N667" s="19"/>
      <c r="O667" s="18"/>
      <c r="P667" s="19"/>
      <c r="Q667" s="18"/>
      <c r="R667" s="19"/>
      <c r="S667" s="18"/>
      <c r="T667" s="19"/>
      <c r="U667" s="18"/>
      <c r="V667" s="14"/>
    </row>
    <row r="668">
      <c r="A668" s="28"/>
      <c r="B668" s="19"/>
      <c r="C668" s="18"/>
      <c r="D668" s="19"/>
      <c r="E668" s="18"/>
      <c r="F668" s="19"/>
      <c r="G668" s="18"/>
      <c r="H668" s="19"/>
      <c r="I668" s="18"/>
      <c r="J668" s="19"/>
      <c r="K668" s="18"/>
      <c r="L668" s="19"/>
      <c r="M668" s="18"/>
      <c r="N668" s="19"/>
      <c r="O668" s="18"/>
      <c r="P668" s="19"/>
      <c r="Q668" s="18"/>
      <c r="R668" s="19"/>
      <c r="S668" s="18"/>
      <c r="T668" s="19"/>
      <c r="U668" s="18"/>
      <c r="V668" s="14"/>
    </row>
    <row r="669">
      <c r="A669" s="28"/>
      <c r="B669" s="19"/>
      <c r="C669" s="18"/>
      <c r="D669" s="19"/>
      <c r="E669" s="18"/>
      <c r="F669" s="19"/>
      <c r="G669" s="18"/>
      <c r="H669" s="19"/>
      <c r="I669" s="18"/>
      <c r="J669" s="19"/>
      <c r="K669" s="18"/>
      <c r="L669" s="19"/>
      <c r="M669" s="18"/>
      <c r="N669" s="19"/>
      <c r="O669" s="18"/>
      <c r="P669" s="19"/>
      <c r="Q669" s="18"/>
      <c r="R669" s="19"/>
      <c r="S669" s="18"/>
      <c r="T669" s="19"/>
      <c r="U669" s="18"/>
      <c r="V669" s="14"/>
    </row>
    <row r="670">
      <c r="A670" s="28"/>
      <c r="B670" s="19"/>
      <c r="C670" s="18"/>
      <c r="D670" s="19"/>
      <c r="E670" s="18"/>
      <c r="F670" s="19"/>
      <c r="G670" s="18"/>
      <c r="H670" s="19"/>
      <c r="I670" s="18"/>
      <c r="J670" s="19"/>
      <c r="K670" s="18"/>
      <c r="L670" s="19"/>
      <c r="M670" s="18"/>
      <c r="N670" s="19"/>
      <c r="O670" s="18"/>
      <c r="P670" s="19"/>
      <c r="Q670" s="18"/>
      <c r="R670" s="19"/>
      <c r="S670" s="18"/>
      <c r="T670" s="19"/>
      <c r="U670" s="18"/>
      <c r="V670" s="14"/>
    </row>
    <row r="671">
      <c r="A671" s="28"/>
      <c r="B671" s="19"/>
      <c r="C671" s="18"/>
      <c r="D671" s="19"/>
      <c r="E671" s="18"/>
      <c r="F671" s="19"/>
      <c r="G671" s="18"/>
      <c r="H671" s="19"/>
      <c r="I671" s="18"/>
      <c r="J671" s="19"/>
      <c r="K671" s="18"/>
      <c r="L671" s="19"/>
      <c r="M671" s="18"/>
      <c r="N671" s="19"/>
      <c r="O671" s="18"/>
      <c r="P671" s="19"/>
      <c r="Q671" s="18"/>
      <c r="R671" s="19"/>
      <c r="S671" s="18"/>
      <c r="T671" s="19"/>
      <c r="U671" s="18"/>
      <c r="V671" s="14"/>
    </row>
    <row r="672">
      <c r="A672" s="28"/>
      <c r="B672" s="19"/>
      <c r="C672" s="18"/>
      <c r="D672" s="19"/>
      <c r="E672" s="18"/>
      <c r="F672" s="19"/>
      <c r="G672" s="18"/>
      <c r="H672" s="19"/>
      <c r="I672" s="18"/>
      <c r="J672" s="19"/>
      <c r="K672" s="18"/>
      <c r="L672" s="19"/>
      <c r="M672" s="18"/>
      <c r="N672" s="19"/>
      <c r="O672" s="18"/>
      <c r="P672" s="19"/>
      <c r="Q672" s="18"/>
      <c r="R672" s="19"/>
      <c r="S672" s="18"/>
      <c r="T672" s="19"/>
      <c r="U672" s="18"/>
      <c r="V672" s="14"/>
    </row>
    <row r="673">
      <c r="A673" s="28"/>
      <c r="B673" s="19"/>
      <c r="C673" s="18"/>
      <c r="D673" s="19"/>
      <c r="E673" s="18"/>
      <c r="F673" s="19"/>
      <c r="G673" s="18"/>
      <c r="H673" s="19"/>
      <c r="I673" s="18"/>
      <c r="J673" s="19"/>
      <c r="K673" s="18"/>
      <c r="L673" s="19"/>
      <c r="M673" s="18"/>
      <c r="N673" s="19"/>
      <c r="O673" s="18"/>
      <c r="P673" s="19"/>
      <c r="Q673" s="18"/>
      <c r="R673" s="19"/>
      <c r="S673" s="18"/>
      <c r="T673" s="19"/>
      <c r="U673" s="18"/>
      <c r="V673" s="14"/>
    </row>
    <row r="674">
      <c r="A674" s="28"/>
      <c r="B674" s="19"/>
      <c r="C674" s="18"/>
      <c r="D674" s="19"/>
      <c r="E674" s="18"/>
      <c r="F674" s="19"/>
      <c r="G674" s="18"/>
      <c r="H674" s="19"/>
      <c r="I674" s="18"/>
      <c r="J674" s="19"/>
      <c r="K674" s="18"/>
      <c r="L674" s="19"/>
      <c r="M674" s="18"/>
      <c r="N674" s="19"/>
      <c r="O674" s="18"/>
      <c r="P674" s="19"/>
      <c r="Q674" s="18"/>
      <c r="R674" s="19"/>
      <c r="S674" s="18"/>
      <c r="T674" s="19"/>
      <c r="U674" s="18"/>
      <c r="V674" s="14"/>
    </row>
    <row r="675">
      <c r="A675" s="28"/>
      <c r="B675" s="19"/>
      <c r="C675" s="18"/>
      <c r="D675" s="19"/>
      <c r="E675" s="18"/>
      <c r="F675" s="19"/>
      <c r="G675" s="18"/>
      <c r="H675" s="19"/>
      <c r="I675" s="18"/>
      <c r="J675" s="19"/>
      <c r="K675" s="18"/>
      <c r="L675" s="19"/>
      <c r="M675" s="18"/>
      <c r="N675" s="19"/>
      <c r="O675" s="18"/>
      <c r="P675" s="19"/>
      <c r="Q675" s="18"/>
      <c r="R675" s="19"/>
      <c r="S675" s="18"/>
      <c r="T675" s="19"/>
      <c r="U675" s="18"/>
      <c r="V675" s="14"/>
    </row>
    <row r="676">
      <c r="A676" s="28"/>
      <c r="B676" s="19"/>
      <c r="C676" s="18"/>
      <c r="D676" s="19"/>
      <c r="E676" s="18"/>
      <c r="F676" s="19"/>
      <c r="G676" s="18"/>
      <c r="H676" s="19"/>
      <c r="I676" s="18"/>
      <c r="J676" s="19"/>
      <c r="K676" s="18"/>
      <c r="L676" s="19"/>
      <c r="M676" s="18"/>
      <c r="N676" s="19"/>
      <c r="O676" s="18"/>
      <c r="P676" s="19"/>
      <c r="Q676" s="18"/>
      <c r="R676" s="19"/>
      <c r="S676" s="18"/>
      <c r="T676" s="19"/>
      <c r="U676" s="18"/>
      <c r="V676" s="14"/>
    </row>
    <row r="677">
      <c r="A677" s="28"/>
      <c r="B677" s="19"/>
      <c r="C677" s="18"/>
      <c r="D677" s="19"/>
      <c r="E677" s="18"/>
      <c r="F677" s="19"/>
      <c r="G677" s="18"/>
      <c r="H677" s="19"/>
      <c r="I677" s="18"/>
      <c r="J677" s="19"/>
      <c r="K677" s="18"/>
      <c r="L677" s="19"/>
      <c r="M677" s="18"/>
      <c r="N677" s="19"/>
      <c r="O677" s="18"/>
      <c r="P677" s="19"/>
      <c r="Q677" s="18"/>
      <c r="R677" s="19"/>
      <c r="S677" s="18"/>
      <c r="T677" s="19"/>
      <c r="U677" s="18"/>
      <c r="V677" s="14"/>
    </row>
    <row r="678">
      <c r="A678" s="28"/>
      <c r="B678" s="19"/>
      <c r="C678" s="18"/>
      <c r="D678" s="19"/>
      <c r="E678" s="18"/>
      <c r="F678" s="19"/>
      <c r="G678" s="18"/>
      <c r="H678" s="19"/>
      <c r="I678" s="18"/>
      <c r="J678" s="19"/>
      <c r="K678" s="18"/>
      <c r="L678" s="19"/>
      <c r="M678" s="18"/>
      <c r="N678" s="19"/>
      <c r="O678" s="18"/>
      <c r="P678" s="19"/>
      <c r="Q678" s="18"/>
      <c r="R678" s="19"/>
      <c r="S678" s="18"/>
      <c r="T678" s="19"/>
      <c r="U678" s="18"/>
      <c r="V678" s="14"/>
    </row>
    <row r="679">
      <c r="A679" s="28"/>
      <c r="B679" s="19"/>
      <c r="C679" s="18"/>
      <c r="D679" s="19"/>
      <c r="E679" s="18"/>
      <c r="F679" s="19"/>
      <c r="G679" s="18"/>
      <c r="H679" s="19"/>
      <c r="I679" s="18"/>
      <c r="J679" s="19"/>
      <c r="K679" s="18"/>
      <c r="L679" s="19"/>
      <c r="M679" s="18"/>
      <c r="N679" s="19"/>
      <c r="O679" s="18"/>
      <c r="P679" s="19"/>
      <c r="Q679" s="18"/>
      <c r="R679" s="19"/>
      <c r="S679" s="18"/>
      <c r="T679" s="19"/>
      <c r="U679" s="18"/>
      <c r="V679" s="14"/>
    </row>
    <row r="680">
      <c r="A680" s="28"/>
      <c r="B680" s="19"/>
      <c r="C680" s="18"/>
      <c r="D680" s="19"/>
      <c r="E680" s="18"/>
      <c r="F680" s="19"/>
      <c r="G680" s="18"/>
      <c r="H680" s="19"/>
      <c r="I680" s="18"/>
      <c r="J680" s="19"/>
      <c r="K680" s="18"/>
      <c r="L680" s="19"/>
      <c r="M680" s="18"/>
      <c r="N680" s="19"/>
      <c r="O680" s="18"/>
      <c r="P680" s="19"/>
      <c r="Q680" s="18"/>
      <c r="R680" s="19"/>
      <c r="S680" s="18"/>
      <c r="T680" s="19"/>
      <c r="U680" s="18"/>
      <c r="V680" s="14"/>
    </row>
    <row r="681">
      <c r="A681" s="28"/>
      <c r="B681" s="19"/>
      <c r="C681" s="18"/>
      <c r="D681" s="19"/>
      <c r="E681" s="18"/>
      <c r="F681" s="19"/>
      <c r="G681" s="18"/>
      <c r="H681" s="19"/>
      <c r="I681" s="18"/>
      <c r="J681" s="19"/>
      <c r="K681" s="18"/>
      <c r="L681" s="19"/>
      <c r="M681" s="18"/>
      <c r="N681" s="19"/>
      <c r="O681" s="18"/>
      <c r="P681" s="19"/>
      <c r="Q681" s="18"/>
      <c r="R681" s="19"/>
      <c r="S681" s="18"/>
      <c r="T681" s="19"/>
      <c r="U681" s="18"/>
      <c r="V681" s="14"/>
    </row>
    <row r="682">
      <c r="A682" s="28"/>
      <c r="B682" s="19"/>
      <c r="C682" s="18"/>
      <c r="D682" s="19"/>
      <c r="E682" s="18"/>
      <c r="F682" s="19"/>
      <c r="G682" s="18"/>
      <c r="H682" s="19"/>
      <c r="I682" s="18"/>
      <c r="J682" s="19"/>
      <c r="K682" s="18"/>
      <c r="L682" s="19"/>
      <c r="M682" s="18"/>
      <c r="N682" s="19"/>
      <c r="O682" s="18"/>
      <c r="P682" s="19"/>
      <c r="Q682" s="18"/>
      <c r="R682" s="19"/>
      <c r="S682" s="18"/>
      <c r="T682" s="19"/>
      <c r="U682" s="18"/>
      <c r="V682" s="14"/>
    </row>
    <row r="683">
      <c r="A683" s="28"/>
      <c r="B683" s="19"/>
      <c r="C683" s="18"/>
      <c r="D683" s="19"/>
      <c r="E683" s="18"/>
      <c r="F683" s="19"/>
      <c r="G683" s="18"/>
      <c r="H683" s="19"/>
      <c r="I683" s="18"/>
      <c r="J683" s="19"/>
      <c r="K683" s="18"/>
      <c r="L683" s="19"/>
      <c r="M683" s="18"/>
      <c r="N683" s="19"/>
      <c r="O683" s="18"/>
      <c r="P683" s="19"/>
      <c r="Q683" s="18"/>
      <c r="R683" s="19"/>
      <c r="S683" s="18"/>
      <c r="T683" s="19"/>
      <c r="U683" s="18"/>
      <c r="V683" s="14"/>
    </row>
    <row r="684">
      <c r="A684" s="28"/>
      <c r="B684" s="19"/>
      <c r="C684" s="18"/>
      <c r="D684" s="19"/>
      <c r="E684" s="18"/>
      <c r="F684" s="19"/>
      <c r="G684" s="18"/>
      <c r="H684" s="19"/>
      <c r="I684" s="18"/>
      <c r="J684" s="19"/>
      <c r="K684" s="18"/>
      <c r="L684" s="19"/>
      <c r="M684" s="18"/>
      <c r="N684" s="19"/>
      <c r="O684" s="18"/>
      <c r="P684" s="19"/>
      <c r="Q684" s="18"/>
      <c r="R684" s="19"/>
      <c r="S684" s="18"/>
      <c r="T684" s="19"/>
      <c r="U684" s="18"/>
      <c r="V684" s="14"/>
    </row>
    <row r="685">
      <c r="A685" s="28"/>
      <c r="B685" s="19"/>
      <c r="C685" s="18"/>
      <c r="D685" s="19"/>
      <c r="E685" s="18"/>
      <c r="F685" s="19"/>
      <c r="G685" s="18"/>
      <c r="H685" s="19"/>
      <c r="I685" s="18"/>
      <c r="J685" s="19"/>
      <c r="K685" s="18"/>
      <c r="L685" s="19"/>
      <c r="M685" s="18"/>
      <c r="N685" s="19"/>
      <c r="O685" s="18"/>
      <c r="P685" s="19"/>
      <c r="Q685" s="18"/>
      <c r="R685" s="19"/>
      <c r="S685" s="18"/>
      <c r="T685" s="19"/>
      <c r="U685" s="18"/>
      <c r="V685" s="14"/>
    </row>
    <row r="686">
      <c r="A686" s="28"/>
      <c r="B686" s="19"/>
      <c r="C686" s="18"/>
      <c r="D686" s="19"/>
      <c r="E686" s="18"/>
      <c r="F686" s="19"/>
      <c r="G686" s="18"/>
      <c r="H686" s="19"/>
      <c r="I686" s="18"/>
      <c r="J686" s="19"/>
      <c r="K686" s="18"/>
      <c r="L686" s="19"/>
      <c r="M686" s="18"/>
      <c r="N686" s="19"/>
      <c r="O686" s="18"/>
      <c r="P686" s="19"/>
      <c r="Q686" s="18"/>
      <c r="R686" s="19"/>
      <c r="S686" s="18"/>
      <c r="T686" s="19"/>
      <c r="U686" s="18"/>
      <c r="V686" s="14"/>
    </row>
    <row r="687">
      <c r="A687" s="28"/>
      <c r="B687" s="19"/>
      <c r="C687" s="18"/>
      <c r="D687" s="19"/>
      <c r="E687" s="18"/>
      <c r="F687" s="19"/>
      <c r="G687" s="18"/>
      <c r="H687" s="19"/>
      <c r="I687" s="18"/>
      <c r="J687" s="19"/>
      <c r="K687" s="18"/>
      <c r="L687" s="19"/>
      <c r="M687" s="18"/>
      <c r="N687" s="19"/>
      <c r="O687" s="18"/>
      <c r="P687" s="19"/>
      <c r="Q687" s="18"/>
      <c r="R687" s="19"/>
      <c r="S687" s="18"/>
      <c r="T687" s="19"/>
      <c r="U687" s="18"/>
      <c r="V687" s="14"/>
    </row>
    <row r="688">
      <c r="A688" s="28"/>
      <c r="B688" s="19"/>
      <c r="C688" s="18"/>
      <c r="D688" s="19"/>
      <c r="E688" s="18"/>
      <c r="F688" s="19"/>
      <c r="G688" s="18"/>
      <c r="H688" s="19"/>
      <c r="I688" s="18"/>
      <c r="J688" s="19"/>
      <c r="K688" s="18"/>
      <c r="L688" s="19"/>
      <c r="M688" s="18"/>
      <c r="N688" s="19"/>
      <c r="O688" s="18"/>
      <c r="P688" s="19"/>
      <c r="Q688" s="18"/>
      <c r="R688" s="19"/>
      <c r="S688" s="18"/>
      <c r="T688" s="19"/>
      <c r="U688" s="18"/>
      <c r="V688" s="14"/>
    </row>
    <row r="689">
      <c r="A689" s="28"/>
      <c r="B689" s="19"/>
      <c r="C689" s="18"/>
      <c r="D689" s="19"/>
      <c r="E689" s="18"/>
      <c r="F689" s="19"/>
      <c r="G689" s="18"/>
      <c r="H689" s="19"/>
      <c r="I689" s="18"/>
      <c r="J689" s="19"/>
      <c r="K689" s="18"/>
      <c r="L689" s="19"/>
      <c r="M689" s="18"/>
      <c r="N689" s="19"/>
      <c r="O689" s="18"/>
      <c r="P689" s="19"/>
      <c r="Q689" s="18"/>
      <c r="R689" s="19"/>
      <c r="S689" s="18"/>
      <c r="T689" s="19"/>
      <c r="U689" s="18"/>
      <c r="V689" s="14"/>
    </row>
    <row r="690">
      <c r="A690" s="28"/>
      <c r="B690" s="19"/>
      <c r="C690" s="18"/>
      <c r="D690" s="19"/>
      <c r="E690" s="18"/>
      <c r="F690" s="19"/>
      <c r="G690" s="18"/>
      <c r="H690" s="19"/>
      <c r="I690" s="18"/>
      <c r="J690" s="19"/>
      <c r="K690" s="18"/>
      <c r="L690" s="19"/>
      <c r="M690" s="18"/>
      <c r="N690" s="19"/>
      <c r="O690" s="18"/>
      <c r="P690" s="19"/>
      <c r="Q690" s="18"/>
      <c r="R690" s="19"/>
      <c r="S690" s="18"/>
      <c r="T690" s="19"/>
      <c r="U690" s="18"/>
      <c r="V690" s="14"/>
    </row>
    <row r="691">
      <c r="A691" s="28"/>
      <c r="B691" s="19"/>
      <c r="C691" s="18"/>
      <c r="D691" s="19"/>
      <c r="E691" s="18"/>
      <c r="F691" s="19"/>
      <c r="G691" s="18"/>
      <c r="H691" s="19"/>
      <c r="I691" s="18"/>
      <c r="J691" s="19"/>
      <c r="K691" s="18"/>
      <c r="L691" s="19"/>
      <c r="M691" s="18"/>
      <c r="N691" s="19"/>
      <c r="O691" s="18"/>
      <c r="P691" s="19"/>
      <c r="Q691" s="18"/>
      <c r="R691" s="19"/>
      <c r="S691" s="18"/>
      <c r="T691" s="19"/>
      <c r="U691" s="18"/>
      <c r="V691" s="14"/>
    </row>
    <row r="692">
      <c r="A692" s="28"/>
      <c r="B692" s="19"/>
      <c r="C692" s="18"/>
      <c r="D692" s="19"/>
      <c r="E692" s="18"/>
      <c r="F692" s="19"/>
      <c r="G692" s="18"/>
      <c r="H692" s="19"/>
      <c r="I692" s="18"/>
      <c r="J692" s="19"/>
      <c r="K692" s="18"/>
      <c r="L692" s="19"/>
      <c r="M692" s="18"/>
      <c r="N692" s="19"/>
      <c r="O692" s="18"/>
      <c r="P692" s="19"/>
      <c r="Q692" s="18"/>
      <c r="R692" s="19"/>
      <c r="S692" s="18"/>
      <c r="T692" s="19"/>
      <c r="U692" s="18"/>
      <c r="V692" s="14"/>
    </row>
    <row r="693">
      <c r="A693" s="28"/>
      <c r="B693" s="19"/>
      <c r="C693" s="18"/>
      <c r="D693" s="19"/>
      <c r="E693" s="18"/>
      <c r="F693" s="19"/>
      <c r="G693" s="18"/>
      <c r="H693" s="19"/>
      <c r="I693" s="18"/>
      <c r="J693" s="19"/>
      <c r="K693" s="18"/>
      <c r="L693" s="19"/>
      <c r="M693" s="18"/>
      <c r="N693" s="19"/>
      <c r="O693" s="18"/>
      <c r="P693" s="19"/>
      <c r="Q693" s="18"/>
      <c r="R693" s="19"/>
      <c r="S693" s="18"/>
      <c r="T693" s="19"/>
      <c r="U693" s="18"/>
      <c r="V693" s="14"/>
    </row>
    <row r="694">
      <c r="A694" s="28"/>
      <c r="B694" s="19"/>
      <c r="C694" s="18"/>
      <c r="D694" s="19"/>
      <c r="E694" s="18"/>
      <c r="F694" s="19"/>
      <c r="G694" s="18"/>
      <c r="H694" s="19"/>
      <c r="I694" s="18"/>
      <c r="J694" s="19"/>
      <c r="K694" s="18"/>
      <c r="L694" s="19"/>
      <c r="M694" s="18"/>
      <c r="N694" s="19"/>
      <c r="O694" s="18"/>
      <c r="P694" s="19"/>
      <c r="Q694" s="18"/>
      <c r="R694" s="19"/>
      <c r="S694" s="18"/>
      <c r="T694" s="19"/>
      <c r="U694" s="18"/>
      <c r="V694" s="14"/>
    </row>
    <row r="695">
      <c r="A695" s="28"/>
      <c r="B695" s="19"/>
      <c r="C695" s="18"/>
      <c r="D695" s="19"/>
      <c r="E695" s="18"/>
      <c r="F695" s="19"/>
      <c r="G695" s="18"/>
      <c r="H695" s="19"/>
      <c r="I695" s="18"/>
      <c r="J695" s="19"/>
      <c r="K695" s="18"/>
      <c r="L695" s="19"/>
      <c r="M695" s="18"/>
      <c r="N695" s="19"/>
      <c r="O695" s="18"/>
      <c r="P695" s="19"/>
      <c r="Q695" s="18"/>
      <c r="R695" s="19"/>
      <c r="S695" s="18"/>
      <c r="T695" s="19"/>
      <c r="U695" s="18"/>
      <c r="V695" s="14"/>
    </row>
    <row r="696">
      <c r="A696" s="28"/>
      <c r="B696" s="19"/>
      <c r="C696" s="18"/>
      <c r="D696" s="19"/>
      <c r="E696" s="18"/>
      <c r="F696" s="19"/>
      <c r="G696" s="18"/>
      <c r="H696" s="19"/>
      <c r="I696" s="18"/>
      <c r="J696" s="19"/>
      <c r="K696" s="18"/>
      <c r="L696" s="19"/>
      <c r="M696" s="18"/>
      <c r="N696" s="19"/>
      <c r="O696" s="18"/>
      <c r="P696" s="19"/>
      <c r="Q696" s="18"/>
      <c r="R696" s="19"/>
      <c r="S696" s="18"/>
      <c r="T696" s="19"/>
      <c r="U696" s="18"/>
      <c r="V696" s="14"/>
    </row>
    <row r="697">
      <c r="A697" s="28"/>
      <c r="B697" s="19"/>
      <c r="C697" s="18"/>
      <c r="D697" s="19"/>
      <c r="E697" s="18"/>
      <c r="F697" s="19"/>
      <c r="G697" s="18"/>
      <c r="H697" s="19"/>
      <c r="I697" s="18"/>
      <c r="J697" s="19"/>
      <c r="K697" s="18"/>
      <c r="L697" s="19"/>
      <c r="M697" s="18"/>
      <c r="N697" s="19"/>
      <c r="O697" s="18"/>
      <c r="P697" s="19"/>
      <c r="Q697" s="18"/>
      <c r="R697" s="19"/>
      <c r="S697" s="18"/>
      <c r="T697" s="19"/>
      <c r="U697" s="18"/>
      <c r="V697" s="14"/>
    </row>
    <row r="698">
      <c r="A698" s="28"/>
      <c r="B698" s="19"/>
      <c r="C698" s="18"/>
      <c r="D698" s="19"/>
      <c r="E698" s="18"/>
      <c r="F698" s="19"/>
      <c r="G698" s="18"/>
      <c r="H698" s="19"/>
      <c r="I698" s="18"/>
      <c r="J698" s="19"/>
      <c r="K698" s="18"/>
      <c r="L698" s="19"/>
      <c r="M698" s="18"/>
      <c r="N698" s="19"/>
      <c r="O698" s="18"/>
      <c r="P698" s="19"/>
      <c r="Q698" s="18"/>
      <c r="R698" s="19"/>
      <c r="S698" s="18"/>
      <c r="T698" s="19"/>
      <c r="U698" s="18"/>
      <c r="V698" s="14"/>
    </row>
    <row r="699">
      <c r="A699" s="28"/>
      <c r="B699" s="19"/>
      <c r="C699" s="18"/>
      <c r="D699" s="19"/>
      <c r="E699" s="18"/>
      <c r="F699" s="19"/>
      <c r="G699" s="18"/>
      <c r="H699" s="19"/>
      <c r="I699" s="18"/>
      <c r="J699" s="19"/>
      <c r="K699" s="18"/>
      <c r="L699" s="19"/>
      <c r="M699" s="18"/>
      <c r="N699" s="19"/>
      <c r="O699" s="18"/>
      <c r="P699" s="19"/>
      <c r="Q699" s="18"/>
      <c r="R699" s="19"/>
      <c r="S699" s="18"/>
      <c r="T699" s="19"/>
      <c r="U699" s="18"/>
      <c r="V699" s="14"/>
    </row>
    <row r="700">
      <c r="A700" s="28"/>
      <c r="B700" s="19"/>
      <c r="C700" s="18"/>
      <c r="D700" s="19"/>
      <c r="E700" s="18"/>
      <c r="F700" s="19"/>
      <c r="G700" s="18"/>
      <c r="H700" s="19"/>
      <c r="I700" s="18"/>
      <c r="J700" s="19"/>
      <c r="K700" s="18"/>
      <c r="L700" s="19"/>
      <c r="M700" s="18"/>
      <c r="N700" s="19"/>
      <c r="O700" s="18"/>
      <c r="P700" s="19"/>
      <c r="Q700" s="18"/>
      <c r="R700" s="19"/>
      <c r="S700" s="18"/>
      <c r="T700" s="19"/>
      <c r="U700" s="18"/>
      <c r="V700" s="14"/>
    </row>
    <row r="701">
      <c r="A701" s="28"/>
      <c r="B701" s="19"/>
      <c r="C701" s="18"/>
      <c r="D701" s="19"/>
      <c r="E701" s="18"/>
      <c r="F701" s="19"/>
      <c r="G701" s="18"/>
      <c r="H701" s="19"/>
      <c r="I701" s="18"/>
      <c r="J701" s="19"/>
      <c r="K701" s="18"/>
      <c r="L701" s="19"/>
      <c r="M701" s="18"/>
      <c r="N701" s="19"/>
      <c r="O701" s="18"/>
      <c r="P701" s="19"/>
      <c r="Q701" s="18"/>
      <c r="R701" s="19"/>
      <c r="S701" s="18"/>
      <c r="T701" s="19"/>
      <c r="U701" s="18"/>
      <c r="V701" s="14"/>
    </row>
    <row r="702">
      <c r="A702" s="28"/>
      <c r="B702" s="19"/>
      <c r="C702" s="18"/>
      <c r="D702" s="19"/>
      <c r="E702" s="18"/>
      <c r="F702" s="19"/>
      <c r="G702" s="18"/>
      <c r="H702" s="19"/>
      <c r="I702" s="18"/>
      <c r="J702" s="19"/>
      <c r="K702" s="18"/>
      <c r="L702" s="19"/>
      <c r="M702" s="18"/>
      <c r="N702" s="19"/>
      <c r="O702" s="18"/>
      <c r="P702" s="19"/>
      <c r="Q702" s="18"/>
      <c r="R702" s="19"/>
      <c r="S702" s="18"/>
      <c r="T702" s="19"/>
      <c r="U702" s="18"/>
      <c r="V702" s="14"/>
    </row>
    <row r="703">
      <c r="A703" s="28"/>
      <c r="B703" s="19"/>
      <c r="C703" s="18"/>
      <c r="D703" s="19"/>
      <c r="E703" s="18"/>
      <c r="F703" s="19"/>
      <c r="G703" s="18"/>
      <c r="H703" s="19"/>
      <c r="I703" s="18"/>
      <c r="J703" s="19"/>
      <c r="K703" s="18"/>
      <c r="L703" s="19"/>
      <c r="M703" s="18"/>
      <c r="N703" s="19"/>
      <c r="O703" s="18"/>
      <c r="P703" s="19"/>
      <c r="Q703" s="18"/>
      <c r="R703" s="19"/>
      <c r="S703" s="18"/>
      <c r="T703" s="19"/>
      <c r="U703" s="18"/>
      <c r="V703" s="14"/>
    </row>
    <row r="704">
      <c r="A704" s="28"/>
      <c r="B704" s="19"/>
      <c r="C704" s="18"/>
      <c r="D704" s="19"/>
      <c r="E704" s="18"/>
      <c r="F704" s="19"/>
      <c r="G704" s="18"/>
      <c r="H704" s="19"/>
      <c r="I704" s="18"/>
      <c r="J704" s="19"/>
      <c r="K704" s="18"/>
      <c r="L704" s="19"/>
      <c r="M704" s="18"/>
      <c r="N704" s="19"/>
      <c r="O704" s="18"/>
      <c r="P704" s="19"/>
      <c r="Q704" s="18"/>
      <c r="R704" s="19"/>
      <c r="S704" s="18"/>
      <c r="T704" s="19"/>
      <c r="U704" s="18"/>
      <c r="V704" s="14"/>
    </row>
    <row r="705">
      <c r="A705" s="28"/>
      <c r="B705" s="19"/>
      <c r="C705" s="18"/>
      <c r="D705" s="19"/>
      <c r="E705" s="18"/>
      <c r="F705" s="19"/>
      <c r="G705" s="18"/>
      <c r="H705" s="19"/>
      <c r="I705" s="18"/>
      <c r="J705" s="19"/>
      <c r="K705" s="18"/>
      <c r="L705" s="19"/>
      <c r="M705" s="18"/>
      <c r="N705" s="19"/>
      <c r="O705" s="18"/>
      <c r="P705" s="19"/>
      <c r="Q705" s="18"/>
      <c r="R705" s="19"/>
      <c r="S705" s="18"/>
      <c r="T705" s="19"/>
      <c r="U705" s="18"/>
      <c r="V705" s="14"/>
    </row>
    <row r="706">
      <c r="A706" s="28"/>
      <c r="B706" s="19"/>
      <c r="C706" s="18"/>
      <c r="D706" s="19"/>
      <c r="E706" s="18"/>
      <c r="F706" s="19"/>
      <c r="G706" s="18"/>
      <c r="H706" s="19"/>
      <c r="I706" s="18"/>
      <c r="J706" s="19"/>
      <c r="K706" s="18"/>
      <c r="L706" s="19"/>
      <c r="M706" s="18"/>
      <c r="N706" s="19"/>
      <c r="O706" s="18"/>
      <c r="P706" s="19"/>
      <c r="Q706" s="18"/>
      <c r="R706" s="19"/>
      <c r="S706" s="18"/>
      <c r="T706" s="19"/>
      <c r="U706" s="18"/>
      <c r="V706" s="14"/>
    </row>
    <row r="707">
      <c r="A707" s="28"/>
      <c r="B707" s="19"/>
      <c r="C707" s="18"/>
      <c r="D707" s="19"/>
      <c r="E707" s="18"/>
      <c r="F707" s="19"/>
      <c r="G707" s="18"/>
      <c r="H707" s="19"/>
      <c r="I707" s="18"/>
      <c r="J707" s="19"/>
      <c r="K707" s="18"/>
      <c r="L707" s="19"/>
      <c r="M707" s="18"/>
      <c r="N707" s="19"/>
      <c r="O707" s="18"/>
      <c r="P707" s="19"/>
      <c r="Q707" s="18"/>
      <c r="R707" s="19"/>
      <c r="S707" s="18"/>
      <c r="T707" s="19"/>
      <c r="U707" s="18"/>
      <c r="V707" s="14"/>
    </row>
    <row r="708">
      <c r="A708" s="28"/>
      <c r="B708" s="19"/>
      <c r="C708" s="18"/>
      <c r="D708" s="19"/>
      <c r="E708" s="18"/>
      <c r="F708" s="19"/>
      <c r="G708" s="18"/>
      <c r="H708" s="19"/>
      <c r="I708" s="18"/>
      <c r="J708" s="19"/>
      <c r="K708" s="18"/>
      <c r="L708" s="19"/>
      <c r="M708" s="18"/>
      <c r="N708" s="19"/>
      <c r="O708" s="18"/>
      <c r="P708" s="19"/>
      <c r="Q708" s="18"/>
      <c r="R708" s="19"/>
      <c r="S708" s="18"/>
      <c r="T708" s="19"/>
      <c r="U708" s="18"/>
      <c r="V708" s="14"/>
    </row>
    <row r="709">
      <c r="A709" s="28"/>
      <c r="B709" s="19"/>
      <c r="C709" s="18"/>
      <c r="D709" s="19"/>
      <c r="E709" s="18"/>
      <c r="F709" s="19"/>
      <c r="G709" s="18"/>
      <c r="H709" s="19"/>
      <c r="I709" s="18"/>
      <c r="J709" s="19"/>
      <c r="K709" s="18"/>
      <c r="L709" s="19"/>
      <c r="M709" s="18"/>
      <c r="N709" s="19"/>
      <c r="O709" s="18"/>
      <c r="P709" s="19"/>
      <c r="Q709" s="18"/>
      <c r="R709" s="19"/>
      <c r="S709" s="18"/>
      <c r="T709" s="19"/>
      <c r="U709" s="18"/>
      <c r="V709" s="14"/>
    </row>
    <row r="710">
      <c r="A710" s="28"/>
      <c r="B710" s="19"/>
      <c r="C710" s="18"/>
      <c r="D710" s="19"/>
      <c r="E710" s="18"/>
      <c r="F710" s="19"/>
      <c r="G710" s="18"/>
      <c r="H710" s="19"/>
      <c r="I710" s="18"/>
      <c r="J710" s="19"/>
      <c r="K710" s="18"/>
      <c r="L710" s="19"/>
      <c r="M710" s="18"/>
      <c r="N710" s="19"/>
      <c r="O710" s="18"/>
      <c r="P710" s="19"/>
      <c r="Q710" s="18"/>
      <c r="R710" s="19"/>
      <c r="S710" s="18"/>
      <c r="T710" s="19"/>
      <c r="U710" s="18"/>
      <c r="V710" s="14"/>
    </row>
    <row r="711">
      <c r="A711" s="28"/>
      <c r="B711" s="19"/>
      <c r="C711" s="18"/>
      <c r="D711" s="19"/>
      <c r="E711" s="18"/>
      <c r="F711" s="19"/>
      <c r="G711" s="18"/>
      <c r="H711" s="19"/>
      <c r="I711" s="18"/>
      <c r="J711" s="19"/>
      <c r="K711" s="18"/>
      <c r="L711" s="19"/>
      <c r="M711" s="18"/>
      <c r="N711" s="19"/>
      <c r="O711" s="18"/>
      <c r="P711" s="19"/>
      <c r="Q711" s="18"/>
      <c r="R711" s="19"/>
      <c r="S711" s="18"/>
      <c r="T711" s="19"/>
      <c r="U711" s="18"/>
      <c r="V711" s="14"/>
    </row>
    <row r="712">
      <c r="A712" s="28"/>
      <c r="B712" s="19"/>
      <c r="C712" s="18"/>
      <c r="D712" s="19"/>
      <c r="E712" s="18"/>
      <c r="F712" s="19"/>
      <c r="G712" s="18"/>
      <c r="H712" s="19"/>
      <c r="I712" s="18"/>
      <c r="J712" s="19"/>
      <c r="K712" s="18"/>
      <c r="L712" s="19"/>
      <c r="M712" s="18"/>
      <c r="N712" s="19"/>
      <c r="O712" s="18"/>
      <c r="P712" s="19"/>
      <c r="Q712" s="18"/>
      <c r="R712" s="19"/>
      <c r="S712" s="18"/>
      <c r="T712" s="19"/>
      <c r="U712" s="18"/>
      <c r="V712" s="14"/>
    </row>
    <row r="713">
      <c r="A713" s="28"/>
      <c r="B713" s="19"/>
      <c r="C713" s="18"/>
      <c r="D713" s="19"/>
      <c r="E713" s="18"/>
      <c r="F713" s="19"/>
      <c r="G713" s="18"/>
      <c r="H713" s="19"/>
      <c r="I713" s="18"/>
      <c r="J713" s="19"/>
      <c r="K713" s="18"/>
      <c r="L713" s="19"/>
      <c r="M713" s="18"/>
      <c r="N713" s="19"/>
      <c r="O713" s="18"/>
      <c r="P713" s="19"/>
      <c r="Q713" s="18"/>
      <c r="R713" s="19"/>
      <c r="S713" s="18"/>
      <c r="T713" s="19"/>
      <c r="U713" s="18"/>
      <c r="V713" s="14"/>
    </row>
    <row r="714">
      <c r="A714" s="28"/>
      <c r="B714" s="19"/>
      <c r="C714" s="18"/>
      <c r="D714" s="19"/>
      <c r="E714" s="18"/>
      <c r="F714" s="19"/>
      <c r="G714" s="18"/>
      <c r="H714" s="19"/>
      <c r="I714" s="18"/>
      <c r="J714" s="19"/>
      <c r="K714" s="18"/>
      <c r="L714" s="19"/>
      <c r="M714" s="18"/>
      <c r="N714" s="19"/>
      <c r="O714" s="18"/>
      <c r="P714" s="19"/>
      <c r="Q714" s="18"/>
      <c r="R714" s="19"/>
      <c r="S714" s="18"/>
      <c r="T714" s="19"/>
      <c r="U714" s="18"/>
      <c r="V714" s="14"/>
    </row>
    <row r="715">
      <c r="A715" s="28"/>
      <c r="B715" s="19"/>
      <c r="C715" s="18"/>
      <c r="D715" s="19"/>
      <c r="E715" s="18"/>
      <c r="F715" s="19"/>
      <c r="G715" s="18"/>
      <c r="H715" s="19"/>
      <c r="I715" s="18"/>
      <c r="J715" s="19"/>
      <c r="K715" s="18"/>
      <c r="L715" s="19"/>
      <c r="M715" s="18"/>
      <c r="N715" s="19"/>
      <c r="O715" s="18"/>
      <c r="P715" s="19"/>
      <c r="Q715" s="18"/>
      <c r="R715" s="19"/>
      <c r="S715" s="18"/>
      <c r="T715" s="19"/>
      <c r="U715" s="18"/>
      <c r="V715" s="14"/>
    </row>
    <row r="716">
      <c r="A716" s="28"/>
      <c r="B716" s="19"/>
      <c r="C716" s="18"/>
      <c r="D716" s="19"/>
      <c r="E716" s="18"/>
      <c r="F716" s="19"/>
      <c r="G716" s="18"/>
      <c r="H716" s="19"/>
      <c r="I716" s="18"/>
      <c r="J716" s="19"/>
      <c r="K716" s="18"/>
      <c r="L716" s="19"/>
      <c r="M716" s="18"/>
      <c r="N716" s="19"/>
      <c r="O716" s="18"/>
      <c r="P716" s="19"/>
      <c r="Q716" s="18"/>
      <c r="R716" s="19"/>
      <c r="S716" s="18"/>
      <c r="T716" s="19"/>
      <c r="U716" s="18"/>
      <c r="V716" s="14"/>
    </row>
    <row r="717">
      <c r="A717" s="28"/>
      <c r="B717" s="19"/>
      <c r="C717" s="18"/>
      <c r="D717" s="19"/>
      <c r="E717" s="18"/>
      <c r="F717" s="19"/>
      <c r="G717" s="18"/>
      <c r="H717" s="19"/>
      <c r="I717" s="18"/>
      <c r="J717" s="19"/>
      <c r="K717" s="18"/>
      <c r="L717" s="19"/>
      <c r="M717" s="18"/>
      <c r="N717" s="19"/>
      <c r="O717" s="18"/>
      <c r="P717" s="19"/>
      <c r="Q717" s="18"/>
      <c r="R717" s="19"/>
      <c r="S717" s="18"/>
      <c r="T717" s="19"/>
      <c r="U717" s="18"/>
      <c r="V717" s="14"/>
    </row>
    <row r="718">
      <c r="A718" s="28"/>
      <c r="B718" s="19"/>
      <c r="C718" s="18"/>
      <c r="D718" s="19"/>
      <c r="E718" s="18"/>
      <c r="F718" s="19"/>
      <c r="G718" s="18"/>
      <c r="H718" s="19"/>
      <c r="I718" s="18"/>
      <c r="J718" s="19"/>
      <c r="K718" s="18"/>
      <c r="L718" s="19"/>
      <c r="M718" s="18"/>
      <c r="N718" s="19"/>
      <c r="O718" s="18"/>
      <c r="P718" s="19"/>
      <c r="Q718" s="18"/>
      <c r="R718" s="19"/>
      <c r="S718" s="18"/>
      <c r="T718" s="19"/>
      <c r="U718" s="18"/>
      <c r="V718" s="14"/>
    </row>
    <row r="719">
      <c r="A719" s="28"/>
      <c r="B719" s="19"/>
      <c r="C719" s="18"/>
      <c r="D719" s="19"/>
      <c r="E719" s="18"/>
      <c r="F719" s="19"/>
      <c r="G719" s="18"/>
      <c r="H719" s="19"/>
      <c r="I719" s="18"/>
      <c r="J719" s="19"/>
      <c r="K719" s="18"/>
      <c r="L719" s="19"/>
      <c r="M719" s="18"/>
      <c r="N719" s="19"/>
      <c r="O719" s="18"/>
      <c r="P719" s="19"/>
      <c r="Q719" s="18"/>
      <c r="R719" s="19"/>
      <c r="S719" s="18"/>
      <c r="T719" s="19"/>
      <c r="U719" s="18"/>
      <c r="V719" s="14"/>
    </row>
    <row r="720">
      <c r="A720" s="28"/>
      <c r="B720" s="19"/>
      <c r="C720" s="18"/>
      <c r="D720" s="19"/>
      <c r="E720" s="18"/>
      <c r="F720" s="19"/>
      <c r="G720" s="18"/>
      <c r="H720" s="19"/>
      <c r="I720" s="18"/>
      <c r="J720" s="19"/>
      <c r="K720" s="18"/>
      <c r="L720" s="19"/>
      <c r="M720" s="18"/>
      <c r="N720" s="19"/>
      <c r="O720" s="18"/>
      <c r="P720" s="19"/>
      <c r="Q720" s="18"/>
      <c r="R720" s="19"/>
      <c r="S720" s="18"/>
      <c r="T720" s="19"/>
      <c r="U720" s="18"/>
      <c r="V720" s="14"/>
    </row>
    <row r="721">
      <c r="A721" s="28"/>
      <c r="B721" s="19"/>
      <c r="C721" s="18"/>
      <c r="D721" s="19"/>
      <c r="E721" s="18"/>
      <c r="F721" s="19"/>
      <c r="G721" s="18"/>
      <c r="H721" s="19"/>
      <c r="I721" s="18"/>
      <c r="J721" s="19"/>
      <c r="K721" s="18"/>
      <c r="L721" s="19"/>
      <c r="M721" s="18"/>
      <c r="N721" s="19"/>
      <c r="O721" s="18"/>
      <c r="P721" s="19"/>
      <c r="Q721" s="18"/>
      <c r="R721" s="19"/>
      <c r="S721" s="18"/>
      <c r="T721" s="19"/>
      <c r="U721" s="18"/>
      <c r="V721" s="14"/>
    </row>
    <row r="722">
      <c r="A722" s="28"/>
      <c r="B722" s="19"/>
      <c r="C722" s="18"/>
      <c r="D722" s="19"/>
      <c r="E722" s="18"/>
      <c r="F722" s="19"/>
      <c r="G722" s="18"/>
      <c r="H722" s="19"/>
      <c r="I722" s="18"/>
      <c r="J722" s="19"/>
      <c r="K722" s="18"/>
      <c r="L722" s="19"/>
      <c r="M722" s="18"/>
      <c r="N722" s="19"/>
      <c r="O722" s="18"/>
      <c r="P722" s="19"/>
      <c r="Q722" s="18"/>
      <c r="R722" s="19"/>
      <c r="S722" s="18"/>
      <c r="T722" s="19"/>
      <c r="U722" s="18"/>
      <c r="V722" s="14"/>
    </row>
    <row r="723">
      <c r="A723" s="28"/>
      <c r="B723" s="19"/>
      <c r="C723" s="18"/>
      <c r="D723" s="19"/>
      <c r="E723" s="18"/>
      <c r="F723" s="19"/>
      <c r="G723" s="18"/>
      <c r="H723" s="19"/>
      <c r="I723" s="18"/>
      <c r="J723" s="19"/>
      <c r="K723" s="18"/>
      <c r="L723" s="19"/>
      <c r="M723" s="18"/>
      <c r="N723" s="19"/>
      <c r="O723" s="18"/>
      <c r="P723" s="19"/>
      <c r="Q723" s="18"/>
      <c r="R723" s="19"/>
      <c r="S723" s="18"/>
      <c r="T723" s="19"/>
      <c r="U723" s="18"/>
      <c r="V723" s="14"/>
    </row>
    <row r="724">
      <c r="A724" s="28"/>
      <c r="B724" s="19"/>
      <c r="C724" s="18"/>
      <c r="D724" s="19"/>
      <c r="E724" s="18"/>
      <c r="F724" s="19"/>
      <c r="G724" s="18"/>
      <c r="H724" s="19"/>
      <c r="I724" s="18"/>
      <c r="J724" s="19"/>
      <c r="K724" s="18"/>
      <c r="L724" s="19"/>
      <c r="M724" s="18"/>
      <c r="N724" s="19"/>
      <c r="O724" s="18"/>
      <c r="P724" s="19"/>
      <c r="Q724" s="18"/>
      <c r="R724" s="19"/>
      <c r="S724" s="18"/>
      <c r="T724" s="19"/>
      <c r="U724" s="18"/>
      <c r="V724" s="14"/>
    </row>
    <row r="725">
      <c r="A725" s="28"/>
      <c r="B725" s="19"/>
      <c r="C725" s="18"/>
      <c r="D725" s="19"/>
      <c r="E725" s="18"/>
      <c r="F725" s="19"/>
      <c r="G725" s="18"/>
      <c r="H725" s="19"/>
      <c r="I725" s="18"/>
      <c r="J725" s="19"/>
      <c r="K725" s="18"/>
      <c r="L725" s="19"/>
      <c r="M725" s="18"/>
      <c r="N725" s="19"/>
      <c r="O725" s="18"/>
      <c r="P725" s="19"/>
      <c r="Q725" s="18"/>
      <c r="R725" s="19"/>
      <c r="S725" s="18"/>
      <c r="T725" s="19"/>
      <c r="U725" s="18"/>
      <c r="V725" s="14"/>
    </row>
    <row r="726">
      <c r="A726" s="28"/>
      <c r="B726" s="19"/>
      <c r="C726" s="18"/>
      <c r="D726" s="19"/>
      <c r="E726" s="18"/>
      <c r="F726" s="19"/>
      <c r="G726" s="18"/>
      <c r="H726" s="19"/>
      <c r="I726" s="18"/>
      <c r="J726" s="19"/>
      <c r="K726" s="18"/>
      <c r="L726" s="19"/>
      <c r="M726" s="18"/>
      <c r="N726" s="19"/>
      <c r="O726" s="18"/>
      <c r="P726" s="19"/>
      <c r="Q726" s="18"/>
      <c r="R726" s="19"/>
      <c r="S726" s="18"/>
      <c r="T726" s="19"/>
      <c r="U726" s="18"/>
      <c r="V726" s="14"/>
    </row>
    <row r="727">
      <c r="A727" s="28"/>
      <c r="B727" s="19"/>
      <c r="C727" s="18"/>
      <c r="D727" s="19"/>
      <c r="E727" s="18"/>
      <c r="F727" s="19"/>
      <c r="G727" s="18"/>
      <c r="H727" s="19"/>
      <c r="I727" s="18"/>
      <c r="J727" s="19"/>
      <c r="K727" s="18"/>
      <c r="L727" s="19"/>
      <c r="M727" s="18"/>
      <c r="N727" s="19"/>
      <c r="O727" s="18"/>
      <c r="P727" s="19"/>
      <c r="Q727" s="18"/>
      <c r="R727" s="19"/>
      <c r="S727" s="18"/>
      <c r="T727" s="19"/>
      <c r="U727" s="18"/>
      <c r="V727" s="14"/>
    </row>
    <row r="728">
      <c r="A728" s="28"/>
      <c r="B728" s="19"/>
      <c r="C728" s="18"/>
      <c r="D728" s="19"/>
      <c r="E728" s="18"/>
      <c r="F728" s="19"/>
      <c r="G728" s="18"/>
      <c r="H728" s="19"/>
      <c r="I728" s="18"/>
      <c r="J728" s="19"/>
      <c r="K728" s="18"/>
      <c r="L728" s="19"/>
      <c r="M728" s="18"/>
      <c r="N728" s="19"/>
      <c r="O728" s="18"/>
      <c r="P728" s="19"/>
      <c r="Q728" s="18"/>
      <c r="R728" s="19"/>
      <c r="S728" s="18"/>
      <c r="T728" s="19"/>
      <c r="U728" s="18"/>
      <c r="V728" s="14"/>
    </row>
    <row r="729">
      <c r="A729" s="28"/>
      <c r="B729" s="19"/>
      <c r="C729" s="18"/>
      <c r="D729" s="19"/>
      <c r="E729" s="18"/>
      <c r="F729" s="19"/>
      <c r="G729" s="18"/>
      <c r="H729" s="19"/>
      <c r="I729" s="18"/>
      <c r="J729" s="19"/>
      <c r="K729" s="18"/>
      <c r="L729" s="19"/>
      <c r="M729" s="18"/>
      <c r="N729" s="19"/>
      <c r="O729" s="18"/>
      <c r="P729" s="19"/>
      <c r="Q729" s="18"/>
      <c r="R729" s="19"/>
      <c r="S729" s="18"/>
      <c r="T729" s="19"/>
      <c r="U729" s="18"/>
      <c r="V729" s="14"/>
    </row>
    <row r="730">
      <c r="A730" s="28"/>
      <c r="B730" s="19"/>
      <c r="C730" s="18"/>
      <c r="D730" s="19"/>
      <c r="E730" s="18"/>
      <c r="F730" s="19"/>
      <c r="G730" s="18"/>
      <c r="H730" s="19"/>
      <c r="I730" s="18"/>
      <c r="J730" s="19"/>
      <c r="K730" s="18"/>
      <c r="L730" s="19"/>
      <c r="M730" s="18"/>
      <c r="N730" s="19"/>
      <c r="O730" s="18"/>
      <c r="P730" s="19"/>
      <c r="Q730" s="18"/>
      <c r="R730" s="19"/>
      <c r="S730" s="18"/>
      <c r="T730" s="19"/>
      <c r="U730" s="18"/>
      <c r="V730" s="14"/>
    </row>
    <row r="731">
      <c r="A731" s="28"/>
      <c r="B731" s="19"/>
      <c r="C731" s="18"/>
      <c r="D731" s="19"/>
      <c r="E731" s="18"/>
      <c r="F731" s="19"/>
      <c r="G731" s="18"/>
      <c r="H731" s="19"/>
      <c r="I731" s="18"/>
      <c r="J731" s="19"/>
      <c r="K731" s="18"/>
      <c r="L731" s="19"/>
      <c r="M731" s="18"/>
      <c r="N731" s="19"/>
      <c r="O731" s="18"/>
      <c r="P731" s="19"/>
      <c r="Q731" s="18"/>
      <c r="R731" s="19"/>
      <c r="S731" s="18"/>
      <c r="T731" s="19"/>
      <c r="U731" s="18"/>
      <c r="V731" s="14"/>
    </row>
    <row r="732">
      <c r="A732" s="28"/>
      <c r="B732" s="19"/>
      <c r="C732" s="18"/>
      <c r="D732" s="19"/>
      <c r="E732" s="18"/>
      <c r="F732" s="19"/>
      <c r="G732" s="18"/>
      <c r="H732" s="19"/>
      <c r="I732" s="18"/>
      <c r="J732" s="19"/>
      <c r="K732" s="18"/>
      <c r="L732" s="19"/>
      <c r="M732" s="18"/>
      <c r="N732" s="19"/>
      <c r="O732" s="18"/>
      <c r="P732" s="19"/>
      <c r="Q732" s="18"/>
      <c r="R732" s="19"/>
      <c r="S732" s="18"/>
      <c r="T732" s="19"/>
      <c r="U732" s="18"/>
      <c r="V732" s="14"/>
    </row>
    <row r="733">
      <c r="A733" s="28"/>
      <c r="B733" s="19"/>
      <c r="C733" s="18"/>
      <c r="D733" s="19"/>
      <c r="E733" s="18"/>
      <c r="F733" s="19"/>
      <c r="G733" s="18"/>
      <c r="H733" s="19"/>
      <c r="I733" s="18"/>
      <c r="J733" s="19"/>
      <c r="K733" s="18"/>
      <c r="L733" s="19"/>
      <c r="M733" s="18"/>
      <c r="N733" s="19"/>
      <c r="O733" s="18"/>
      <c r="P733" s="19"/>
      <c r="Q733" s="18"/>
      <c r="R733" s="19"/>
      <c r="S733" s="18"/>
      <c r="T733" s="19"/>
      <c r="U733" s="18"/>
      <c r="V733" s="14"/>
    </row>
    <row r="734">
      <c r="A734" s="28"/>
      <c r="B734" s="19"/>
      <c r="C734" s="18"/>
      <c r="D734" s="19"/>
      <c r="E734" s="18"/>
      <c r="F734" s="19"/>
      <c r="G734" s="18"/>
      <c r="H734" s="19"/>
      <c r="I734" s="18"/>
      <c r="J734" s="19"/>
      <c r="K734" s="18"/>
      <c r="L734" s="19"/>
      <c r="M734" s="18"/>
      <c r="N734" s="19"/>
      <c r="O734" s="18"/>
      <c r="P734" s="19"/>
      <c r="Q734" s="18"/>
      <c r="R734" s="19"/>
      <c r="S734" s="18"/>
      <c r="T734" s="19"/>
      <c r="U734" s="18"/>
      <c r="V734" s="14"/>
    </row>
    <row r="735">
      <c r="A735" s="28"/>
      <c r="B735" s="19"/>
      <c r="C735" s="18"/>
      <c r="D735" s="19"/>
      <c r="E735" s="18"/>
      <c r="F735" s="19"/>
      <c r="G735" s="18"/>
      <c r="H735" s="19"/>
      <c r="I735" s="18"/>
      <c r="J735" s="19"/>
      <c r="K735" s="18"/>
      <c r="L735" s="19"/>
      <c r="M735" s="18"/>
      <c r="N735" s="19"/>
      <c r="O735" s="18"/>
      <c r="P735" s="19"/>
      <c r="Q735" s="18"/>
      <c r="R735" s="19"/>
      <c r="S735" s="18"/>
      <c r="T735" s="19"/>
      <c r="U735" s="18"/>
      <c r="V735" s="14"/>
    </row>
    <row r="736">
      <c r="A736" s="28"/>
      <c r="B736" s="19"/>
      <c r="C736" s="18"/>
      <c r="D736" s="19"/>
      <c r="E736" s="18"/>
      <c r="F736" s="19"/>
      <c r="G736" s="18"/>
      <c r="H736" s="19"/>
      <c r="I736" s="18"/>
      <c r="J736" s="19"/>
      <c r="K736" s="18"/>
      <c r="L736" s="19"/>
      <c r="M736" s="18"/>
      <c r="N736" s="19"/>
      <c r="O736" s="18"/>
      <c r="P736" s="19"/>
      <c r="Q736" s="18"/>
      <c r="R736" s="19"/>
      <c r="S736" s="18"/>
      <c r="T736" s="19"/>
      <c r="U736" s="18"/>
      <c r="V736" s="14"/>
    </row>
    <row r="737">
      <c r="A737" s="28"/>
      <c r="B737" s="19"/>
      <c r="C737" s="18"/>
      <c r="D737" s="19"/>
      <c r="E737" s="18"/>
      <c r="F737" s="19"/>
      <c r="G737" s="18"/>
      <c r="H737" s="19"/>
      <c r="I737" s="18"/>
      <c r="J737" s="19"/>
      <c r="K737" s="18"/>
      <c r="L737" s="19"/>
      <c r="M737" s="18"/>
      <c r="N737" s="19"/>
      <c r="O737" s="18"/>
      <c r="P737" s="19"/>
      <c r="Q737" s="18"/>
      <c r="R737" s="19"/>
      <c r="S737" s="18"/>
      <c r="T737" s="19"/>
      <c r="U737" s="18"/>
      <c r="V737" s="14"/>
    </row>
    <row r="738">
      <c r="A738" s="28"/>
      <c r="B738" s="19"/>
      <c r="C738" s="18"/>
      <c r="D738" s="19"/>
      <c r="E738" s="18"/>
      <c r="F738" s="19"/>
      <c r="G738" s="18"/>
      <c r="H738" s="19"/>
      <c r="I738" s="18"/>
      <c r="J738" s="19"/>
      <c r="K738" s="18"/>
      <c r="L738" s="19"/>
      <c r="M738" s="18"/>
      <c r="N738" s="19"/>
      <c r="O738" s="18"/>
      <c r="P738" s="19"/>
      <c r="Q738" s="18"/>
      <c r="R738" s="19"/>
      <c r="S738" s="18"/>
      <c r="T738" s="19"/>
      <c r="U738" s="18"/>
      <c r="V738" s="14"/>
    </row>
    <row r="739">
      <c r="A739" s="28"/>
      <c r="B739" s="19"/>
      <c r="C739" s="18"/>
      <c r="D739" s="19"/>
      <c r="E739" s="18"/>
      <c r="F739" s="19"/>
      <c r="G739" s="18"/>
      <c r="H739" s="19"/>
      <c r="I739" s="18"/>
      <c r="J739" s="19"/>
      <c r="K739" s="18"/>
      <c r="L739" s="19"/>
      <c r="M739" s="18"/>
      <c r="N739" s="19"/>
      <c r="O739" s="18"/>
      <c r="P739" s="19"/>
      <c r="Q739" s="18"/>
      <c r="R739" s="19"/>
      <c r="S739" s="18"/>
      <c r="T739" s="19"/>
      <c r="U739" s="18"/>
      <c r="V739" s="14"/>
    </row>
    <row r="740">
      <c r="A740" s="28"/>
      <c r="B740" s="19"/>
      <c r="C740" s="18"/>
      <c r="D740" s="19"/>
      <c r="E740" s="18"/>
      <c r="F740" s="19"/>
      <c r="G740" s="18"/>
      <c r="H740" s="19"/>
      <c r="I740" s="18"/>
      <c r="J740" s="19"/>
      <c r="K740" s="18"/>
      <c r="L740" s="19"/>
      <c r="M740" s="18"/>
      <c r="N740" s="19"/>
      <c r="O740" s="18"/>
      <c r="P740" s="19"/>
      <c r="Q740" s="18"/>
      <c r="R740" s="19"/>
      <c r="S740" s="18"/>
      <c r="T740" s="19"/>
      <c r="U740" s="18"/>
      <c r="V740" s="14"/>
    </row>
    <row r="741">
      <c r="A741" s="28"/>
      <c r="B741" s="19"/>
      <c r="C741" s="18"/>
      <c r="D741" s="19"/>
      <c r="E741" s="18"/>
      <c r="F741" s="19"/>
      <c r="G741" s="18"/>
      <c r="H741" s="19"/>
      <c r="I741" s="18"/>
      <c r="J741" s="19"/>
      <c r="K741" s="18"/>
      <c r="L741" s="19"/>
      <c r="M741" s="18"/>
      <c r="N741" s="19"/>
      <c r="O741" s="18"/>
      <c r="P741" s="19"/>
      <c r="Q741" s="18"/>
      <c r="R741" s="19"/>
      <c r="S741" s="18"/>
      <c r="T741" s="19"/>
      <c r="U741" s="18"/>
      <c r="V741" s="14"/>
    </row>
    <row r="742">
      <c r="A742" s="28"/>
      <c r="B742" s="19"/>
      <c r="C742" s="18"/>
      <c r="D742" s="19"/>
      <c r="E742" s="18"/>
      <c r="F742" s="19"/>
      <c r="G742" s="18"/>
      <c r="H742" s="19"/>
      <c r="I742" s="18"/>
      <c r="J742" s="19"/>
      <c r="K742" s="18"/>
      <c r="L742" s="19"/>
      <c r="M742" s="18"/>
      <c r="N742" s="19"/>
      <c r="O742" s="18"/>
      <c r="P742" s="19"/>
      <c r="Q742" s="18"/>
      <c r="R742" s="19"/>
      <c r="S742" s="18"/>
      <c r="T742" s="19"/>
      <c r="U742" s="18"/>
      <c r="V742" s="14"/>
    </row>
    <row r="743">
      <c r="A743" s="28"/>
      <c r="B743" s="19"/>
      <c r="C743" s="18"/>
      <c r="D743" s="19"/>
      <c r="E743" s="18"/>
      <c r="F743" s="19"/>
      <c r="G743" s="18"/>
      <c r="H743" s="19"/>
      <c r="I743" s="18"/>
      <c r="J743" s="19"/>
      <c r="K743" s="18"/>
      <c r="L743" s="19"/>
      <c r="M743" s="18"/>
      <c r="N743" s="19"/>
      <c r="O743" s="18"/>
      <c r="P743" s="19"/>
      <c r="Q743" s="18"/>
      <c r="R743" s="19"/>
      <c r="S743" s="18"/>
      <c r="T743" s="19"/>
      <c r="U743" s="18"/>
      <c r="V743" s="14"/>
    </row>
    <row r="744">
      <c r="A744" s="28"/>
      <c r="B744" s="19"/>
      <c r="C744" s="18"/>
      <c r="D744" s="19"/>
      <c r="E744" s="18"/>
      <c r="F744" s="19"/>
      <c r="G744" s="18"/>
      <c r="H744" s="19"/>
      <c r="I744" s="18"/>
      <c r="J744" s="19"/>
      <c r="K744" s="18"/>
      <c r="L744" s="19"/>
      <c r="M744" s="18"/>
      <c r="N744" s="19"/>
      <c r="O744" s="18"/>
      <c r="P744" s="19"/>
      <c r="Q744" s="18"/>
      <c r="R744" s="19"/>
      <c r="S744" s="18"/>
      <c r="T744" s="19"/>
      <c r="U744" s="18"/>
      <c r="V744" s="14"/>
    </row>
    <row r="745">
      <c r="A745" s="28"/>
      <c r="B745" s="19"/>
      <c r="C745" s="18"/>
      <c r="D745" s="19"/>
      <c r="E745" s="18"/>
      <c r="F745" s="19"/>
      <c r="G745" s="18"/>
      <c r="H745" s="19"/>
      <c r="I745" s="18"/>
      <c r="J745" s="19"/>
      <c r="K745" s="18"/>
      <c r="L745" s="19"/>
      <c r="M745" s="18"/>
      <c r="N745" s="19"/>
      <c r="O745" s="18"/>
      <c r="P745" s="19"/>
      <c r="Q745" s="18"/>
      <c r="R745" s="19"/>
      <c r="S745" s="18"/>
      <c r="T745" s="19"/>
      <c r="U745" s="18"/>
      <c r="V745" s="14"/>
    </row>
    <row r="746">
      <c r="A746" s="28"/>
      <c r="B746" s="19"/>
      <c r="C746" s="18"/>
      <c r="D746" s="19"/>
      <c r="E746" s="18"/>
      <c r="F746" s="19"/>
      <c r="G746" s="18"/>
      <c r="H746" s="19"/>
      <c r="I746" s="18"/>
      <c r="J746" s="19"/>
      <c r="K746" s="18"/>
      <c r="L746" s="19"/>
      <c r="M746" s="18"/>
      <c r="N746" s="19"/>
      <c r="O746" s="18"/>
      <c r="P746" s="19"/>
      <c r="Q746" s="18"/>
      <c r="R746" s="19"/>
      <c r="S746" s="18"/>
      <c r="T746" s="19"/>
      <c r="U746" s="18"/>
      <c r="V746" s="14"/>
    </row>
    <row r="747">
      <c r="A747" s="28"/>
      <c r="B747" s="19"/>
      <c r="C747" s="18"/>
      <c r="D747" s="19"/>
      <c r="E747" s="18"/>
      <c r="F747" s="19"/>
      <c r="G747" s="18"/>
      <c r="H747" s="19"/>
      <c r="I747" s="18"/>
      <c r="J747" s="19"/>
      <c r="K747" s="18"/>
      <c r="L747" s="19"/>
      <c r="M747" s="18"/>
      <c r="N747" s="19"/>
      <c r="O747" s="18"/>
      <c r="P747" s="19"/>
      <c r="Q747" s="18"/>
      <c r="R747" s="19"/>
      <c r="S747" s="18"/>
      <c r="T747" s="19"/>
      <c r="U747" s="18"/>
      <c r="V747" s="14"/>
    </row>
    <row r="748">
      <c r="A748" s="28"/>
      <c r="B748" s="19"/>
      <c r="C748" s="18"/>
      <c r="D748" s="19"/>
      <c r="E748" s="18"/>
      <c r="F748" s="19"/>
      <c r="G748" s="18"/>
      <c r="H748" s="19"/>
      <c r="I748" s="18"/>
      <c r="J748" s="19"/>
      <c r="K748" s="18"/>
      <c r="L748" s="19"/>
      <c r="M748" s="18"/>
      <c r="N748" s="19"/>
      <c r="O748" s="18"/>
      <c r="P748" s="19"/>
      <c r="Q748" s="18"/>
      <c r="R748" s="19"/>
      <c r="S748" s="18"/>
      <c r="T748" s="19"/>
      <c r="U748" s="18"/>
      <c r="V748" s="14"/>
    </row>
    <row r="749">
      <c r="A749" s="28"/>
      <c r="B749" s="19"/>
      <c r="C749" s="18"/>
      <c r="D749" s="19"/>
      <c r="E749" s="18"/>
      <c r="F749" s="19"/>
      <c r="G749" s="18"/>
      <c r="H749" s="19"/>
      <c r="I749" s="18"/>
      <c r="J749" s="19"/>
      <c r="K749" s="18"/>
      <c r="L749" s="19"/>
      <c r="M749" s="18"/>
      <c r="N749" s="19"/>
      <c r="O749" s="18"/>
      <c r="P749" s="19"/>
      <c r="Q749" s="18"/>
      <c r="R749" s="19"/>
      <c r="S749" s="18"/>
      <c r="T749" s="19"/>
      <c r="U749" s="18"/>
      <c r="V749" s="14"/>
    </row>
    <row r="750">
      <c r="A750" s="28"/>
      <c r="B750" s="19"/>
      <c r="C750" s="18"/>
      <c r="D750" s="19"/>
      <c r="E750" s="18"/>
      <c r="F750" s="19"/>
      <c r="G750" s="18"/>
      <c r="H750" s="19"/>
      <c r="I750" s="18"/>
      <c r="J750" s="19"/>
      <c r="K750" s="18"/>
      <c r="L750" s="19"/>
      <c r="M750" s="18"/>
      <c r="N750" s="19"/>
      <c r="O750" s="18"/>
      <c r="P750" s="19"/>
      <c r="Q750" s="18"/>
      <c r="R750" s="19"/>
      <c r="S750" s="18"/>
      <c r="T750" s="19"/>
      <c r="U750" s="18"/>
      <c r="V750" s="14"/>
    </row>
    <row r="751">
      <c r="A751" s="28"/>
      <c r="B751" s="19"/>
      <c r="C751" s="18"/>
      <c r="D751" s="19"/>
      <c r="E751" s="18"/>
      <c r="F751" s="19"/>
      <c r="G751" s="18"/>
      <c r="H751" s="19"/>
      <c r="I751" s="18"/>
      <c r="J751" s="19"/>
      <c r="K751" s="18"/>
      <c r="L751" s="19"/>
      <c r="M751" s="18"/>
      <c r="N751" s="19"/>
      <c r="O751" s="18"/>
      <c r="P751" s="19"/>
      <c r="Q751" s="18"/>
      <c r="R751" s="19"/>
      <c r="S751" s="18"/>
      <c r="T751" s="19"/>
      <c r="U751" s="18"/>
      <c r="V751" s="14"/>
    </row>
    <row r="752">
      <c r="A752" s="28"/>
      <c r="B752" s="19"/>
      <c r="C752" s="18"/>
      <c r="D752" s="19"/>
      <c r="E752" s="18"/>
      <c r="F752" s="19"/>
      <c r="G752" s="18"/>
      <c r="H752" s="19"/>
      <c r="I752" s="18"/>
      <c r="J752" s="19"/>
      <c r="K752" s="18"/>
      <c r="L752" s="19"/>
      <c r="M752" s="18"/>
      <c r="N752" s="19"/>
      <c r="O752" s="18"/>
      <c r="P752" s="19"/>
      <c r="Q752" s="18"/>
      <c r="R752" s="19"/>
      <c r="S752" s="18"/>
      <c r="T752" s="19"/>
      <c r="U752" s="18"/>
      <c r="V752" s="14"/>
    </row>
    <row r="753">
      <c r="A753" s="28"/>
      <c r="B753" s="19"/>
      <c r="C753" s="18"/>
      <c r="D753" s="19"/>
      <c r="E753" s="18"/>
      <c r="F753" s="19"/>
      <c r="G753" s="18"/>
      <c r="H753" s="19"/>
      <c r="I753" s="18"/>
      <c r="J753" s="19"/>
      <c r="K753" s="18"/>
      <c r="L753" s="19"/>
      <c r="M753" s="18"/>
      <c r="N753" s="19"/>
      <c r="O753" s="18"/>
      <c r="P753" s="19"/>
      <c r="Q753" s="18"/>
      <c r="R753" s="19"/>
      <c r="S753" s="18"/>
      <c r="T753" s="19"/>
      <c r="U753" s="18"/>
      <c r="V753" s="14"/>
    </row>
    <row r="754">
      <c r="A754" s="28"/>
      <c r="B754" s="19"/>
      <c r="C754" s="18"/>
      <c r="D754" s="19"/>
      <c r="E754" s="18"/>
      <c r="F754" s="19"/>
      <c r="G754" s="18"/>
      <c r="H754" s="19"/>
      <c r="I754" s="18"/>
      <c r="J754" s="19"/>
      <c r="K754" s="18"/>
      <c r="L754" s="19"/>
      <c r="M754" s="18"/>
      <c r="N754" s="19"/>
      <c r="O754" s="18"/>
      <c r="P754" s="19"/>
      <c r="Q754" s="18"/>
      <c r="R754" s="19"/>
      <c r="S754" s="18"/>
      <c r="T754" s="19"/>
      <c r="U754" s="18"/>
      <c r="V754" s="14"/>
    </row>
    <row r="755">
      <c r="A755" s="28"/>
      <c r="B755" s="19"/>
      <c r="C755" s="18"/>
      <c r="D755" s="19"/>
      <c r="E755" s="18"/>
      <c r="F755" s="19"/>
      <c r="G755" s="18"/>
      <c r="H755" s="19"/>
      <c r="I755" s="18"/>
      <c r="J755" s="19"/>
      <c r="K755" s="18"/>
      <c r="L755" s="19"/>
      <c r="M755" s="18"/>
      <c r="N755" s="19"/>
      <c r="O755" s="18"/>
      <c r="P755" s="19"/>
      <c r="Q755" s="18"/>
      <c r="R755" s="19"/>
      <c r="S755" s="18"/>
      <c r="T755" s="19"/>
      <c r="U755" s="18"/>
      <c r="V755" s="14"/>
    </row>
    <row r="756">
      <c r="A756" s="28"/>
      <c r="B756" s="19"/>
      <c r="C756" s="18"/>
      <c r="D756" s="19"/>
      <c r="E756" s="18"/>
      <c r="F756" s="19"/>
      <c r="G756" s="18"/>
      <c r="H756" s="19"/>
      <c r="I756" s="18"/>
      <c r="J756" s="19"/>
      <c r="K756" s="18"/>
      <c r="L756" s="19"/>
      <c r="M756" s="18"/>
      <c r="N756" s="19"/>
      <c r="O756" s="18"/>
      <c r="P756" s="19"/>
      <c r="Q756" s="18"/>
      <c r="R756" s="19"/>
      <c r="S756" s="18"/>
      <c r="T756" s="19"/>
      <c r="U756" s="18"/>
      <c r="V756" s="14"/>
    </row>
    <row r="757">
      <c r="A757" s="28"/>
      <c r="B757" s="19"/>
      <c r="C757" s="18"/>
      <c r="D757" s="19"/>
      <c r="E757" s="18"/>
      <c r="F757" s="19"/>
      <c r="G757" s="18"/>
      <c r="H757" s="19"/>
      <c r="I757" s="18"/>
      <c r="J757" s="19"/>
      <c r="K757" s="18"/>
      <c r="L757" s="19"/>
      <c r="M757" s="18"/>
      <c r="N757" s="19"/>
      <c r="O757" s="18"/>
      <c r="P757" s="19"/>
      <c r="Q757" s="18"/>
      <c r="R757" s="19"/>
      <c r="S757" s="18"/>
      <c r="T757" s="19"/>
      <c r="U757" s="18"/>
      <c r="V757" s="14"/>
    </row>
    <row r="758">
      <c r="A758" s="28"/>
      <c r="B758" s="19"/>
      <c r="C758" s="18"/>
      <c r="D758" s="19"/>
      <c r="E758" s="18"/>
      <c r="F758" s="19"/>
      <c r="G758" s="18"/>
      <c r="H758" s="19"/>
      <c r="I758" s="18"/>
      <c r="J758" s="19"/>
      <c r="K758" s="18"/>
      <c r="L758" s="19"/>
      <c r="M758" s="18"/>
      <c r="N758" s="19"/>
      <c r="O758" s="18"/>
      <c r="P758" s="19"/>
      <c r="Q758" s="18"/>
      <c r="R758" s="19"/>
      <c r="S758" s="18"/>
      <c r="T758" s="19"/>
      <c r="U758" s="18"/>
      <c r="V758" s="14"/>
    </row>
    <row r="759">
      <c r="A759" s="28"/>
      <c r="B759" s="19"/>
      <c r="C759" s="18"/>
      <c r="D759" s="19"/>
      <c r="E759" s="18"/>
      <c r="F759" s="19"/>
      <c r="G759" s="18"/>
      <c r="H759" s="19"/>
      <c r="I759" s="18"/>
      <c r="J759" s="19"/>
      <c r="K759" s="18"/>
      <c r="L759" s="19"/>
      <c r="M759" s="18"/>
      <c r="N759" s="19"/>
      <c r="O759" s="18"/>
      <c r="P759" s="19"/>
      <c r="Q759" s="18"/>
      <c r="R759" s="19"/>
      <c r="S759" s="18"/>
      <c r="T759" s="19"/>
      <c r="U759" s="18"/>
      <c r="V759" s="14"/>
    </row>
    <row r="760">
      <c r="A760" s="28"/>
      <c r="B760" s="19"/>
      <c r="C760" s="18"/>
      <c r="D760" s="19"/>
      <c r="E760" s="18"/>
      <c r="F760" s="19"/>
      <c r="G760" s="18"/>
      <c r="H760" s="19"/>
      <c r="I760" s="18"/>
      <c r="J760" s="19"/>
      <c r="K760" s="18"/>
      <c r="L760" s="19"/>
      <c r="M760" s="18"/>
      <c r="N760" s="19"/>
      <c r="O760" s="18"/>
      <c r="P760" s="19"/>
      <c r="Q760" s="18"/>
      <c r="R760" s="19"/>
      <c r="S760" s="18"/>
      <c r="T760" s="19"/>
      <c r="U760" s="18"/>
      <c r="V760" s="14"/>
    </row>
    <row r="761">
      <c r="A761" s="28"/>
      <c r="B761" s="19"/>
      <c r="C761" s="18"/>
      <c r="D761" s="19"/>
      <c r="E761" s="18"/>
      <c r="F761" s="19"/>
      <c r="G761" s="18"/>
      <c r="H761" s="19"/>
      <c r="I761" s="18"/>
      <c r="J761" s="19"/>
      <c r="K761" s="18"/>
      <c r="L761" s="19"/>
      <c r="M761" s="18"/>
      <c r="N761" s="19"/>
      <c r="O761" s="18"/>
      <c r="P761" s="19"/>
      <c r="Q761" s="18"/>
      <c r="R761" s="19"/>
      <c r="S761" s="18"/>
      <c r="T761" s="19"/>
      <c r="U761" s="18"/>
      <c r="V761" s="14"/>
    </row>
    <row r="762">
      <c r="A762" s="28"/>
      <c r="B762" s="19"/>
      <c r="C762" s="18"/>
      <c r="D762" s="19"/>
      <c r="E762" s="18"/>
      <c r="F762" s="19"/>
      <c r="G762" s="18"/>
      <c r="H762" s="19"/>
      <c r="I762" s="18"/>
      <c r="J762" s="19"/>
      <c r="K762" s="18"/>
      <c r="L762" s="19"/>
      <c r="M762" s="18"/>
      <c r="N762" s="19"/>
      <c r="O762" s="18"/>
      <c r="P762" s="19"/>
      <c r="Q762" s="18"/>
      <c r="R762" s="19"/>
      <c r="S762" s="18"/>
      <c r="T762" s="19"/>
      <c r="U762" s="18"/>
      <c r="V762" s="14"/>
    </row>
    <row r="763">
      <c r="A763" s="28"/>
      <c r="B763" s="19"/>
      <c r="C763" s="18"/>
      <c r="D763" s="19"/>
      <c r="E763" s="18"/>
      <c r="F763" s="19"/>
      <c r="G763" s="18"/>
      <c r="H763" s="19"/>
      <c r="I763" s="18"/>
      <c r="J763" s="19"/>
      <c r="K763" s="18"/>
      <c r="L763" s="19"/>
      <c r="M763" s="18"/>
      <c r="N763" s="19"/>
      <c r="O763" s="18"/>
      <c r="P763" s="19"/>
      <c r="Q763" s="18"/>
      <c r="R763" s="19"/>
      <c r="S763" s="18"/>
      <c r="T763" s="19"/>
      <c r="U763" s="18"/>
      <c r="V763" s="14"/>
    </row>
    <row r="764">
      <c r="A764" s="28"/>
      <c r="B764" s="19"/>
      <c r="C764" s="18"/>
      <c r="D764" s="19"/>
      <c r="E764" s="18"/>
      <c r="F764" s="19"/>
      <c r="G764" s="18"/>
      <c r="H764" s="19"/>
      <c r="I764" s="18"/>
      <c r="J764" s="19"/>
      <c r="K764" s="18"/>
      <c r="L764" s="19"/>
      <c r="M764" s="18"/>
      <c r="N764" s="19"/>
      <c r="O764" s="18"/>
      <c r="P764" s="19"/>
      <c r="Q764" s="18"/>
      <c r="R764" s="19"/>
      <c r="S764" s="18"/>
      <c r="T764" s="19"/>
      <c r="U764" s="18"/>
      <c r="V764" s="14"/>
    </row>
    <row r="765">
      <c r="A765" s="28"/>
      <c r="B765" s="19"/>
      <c r="C765" s="18"/>
      <c r="D765" s="19"/>
      <c r="E765" s="18"/>
      <c r="F765" s="19"/>
      <c r="G765" s="18"/>
      <c r="H765" s="19"/>
      <c r="I765" s="18"/>
      <c r="J765" s="19"/>
      <c r="K765" s="18"/>
      <c r="L765" s="19"/>
      <c r="M765" s="18"/>
      <c r="N765" s="19"/>
      <c r="O765" s="18"/>
      <c r="P765" s="19"/>
      <c r="Q765" s="18"/>
      <c r="R765" s="19"/>
      <c r="S765" s="18"/>
      <c r="T765" s="19"/>
      <c r="U765" s="18"/>
      <c r="V765" s="14"/>
    </row>
    <row r="766">
      <c r="A766" s="28"/>
      <c r="B766" s="19"/>
      <c r="C766" s="18"/>
      <c r="D766" s="19"/>
      <c r="E766" s="18"/>
      <c r="F766" s="19"/>
      <c r="G766" s="18"/>
      <c r="H766" s="19"/>
      <c r="I766" s="18"/>
      <c r="J766" s="19"/>
      <c r="K766" s="18"/>
      <c r="L766" s="19"/>
      <c r="M766" s="18"/>
      <c r="N766" s="19"/>
      <c r="O766" s="18"/>
      <c r="P766" s="19"/>
      <c r="Q766" s="18"/>
      <c r="R766" s="19"/>
      <c r="S766" s="18"/>
      <c r="T766" s="19"/>
      <c r="U766" s="18"/>
      <c r="V766" s="14"/>
    </row>
    <row r="767">
      <c r="A767" s="28"/>
      <c r="B767" s="19"/>
      <c r="C767" s="18"/>
      <c r="D767" s="19"/>
      <c r="E767" s="18"/>
      <c r="F767" s="19"/>
      <c r="G767" s="18"/>
      <c r="H767" s="19"/>
      <c r="I767" s="18"/>
      <c r="J767" s="19"/>
      <c r="K767" s="18"/>
      <c r="L767" s="19"/>
      <c r="M767" s="18"/>
      <c r="N767" s="19"/>
      <c r="O767" s="18"/>
      <c r="P767" s="19"/>
      <c r="Q767" s="18"/>
      <c r="R767" s="19"/>
      <c r="S767" s="18"/>
      <c r="T767" s="19"/>
      <c r="U767" s="18"/>
      <c r="V767" s="14"/>
    </row>
    <row r="768">
      <c r="A768" s="28"/>
      <c r="B768" s="19"/>
      <c r="C768" s="18"/>
      <c r="D768" s="19"/>
      <c r="E768" s="18"/>
      <c r="F768" s="19"/>
      <c r="G768" s="18"/>
      <c r="H768" s="19"/>
      <c r="I768" s="18"/>
      <c r="J768" s="19"/>
      <c r="K768" s="18"/>
      <c r="L768" s="19"/>
      <c r="M768" s="18"/>
      <c r="N768" s="19"/>
      <c r="O768" s="18"/>
      <c r="P768" s="19"/>
      <c r="Q768" s="18"/>
      <c r="R768" s="19"/>
      <c r="S768" s="18"/>
      <c r="T768" s="19"/>
      <c r="U768" s="18"/>
      <c r="V768" s="14"/>
    </row>
    <row r="769">
      <c r="A769" s="28"/>
      <c r="B769" s="19"/>
      <c r="C769" s="18"/>
      <c r="D769" s="19"/>
      <c r="E769" s="18"/>
      <c r="F769" s="19"/>
      <c r="G769" s="18"/>
      <c r="H769" s="19"/>
      <c r="I769" s="18"/>
      <c r="J769" s="19"/>
      <c r="K769" s="18"/>
      <c r="L769" s="19"/>
      <c r="M769" s="18"/>
      <c r="N769" s="19"/>
      <c r="O769" s="18"/>
      <c r="P769" s="19"/>
      <c r="Q769" s="18"/>
      <c r="R769" s="19"/>
      <c r="S769" s="18"/>
      <c r="T769" s="19"/>
      <c r="U769" s="18"/>
      <c r="V769" s="14"/>
    </row>
    <row r="770">
      <c r="A770" s="28"/>
      <c r="B770" s="19"/>
      <c r="C770" s="18"/>
      <c r="D770" s="19"/>
      <c r="E770" s="18"/>
      <c r="F770" s="19"/>
      <c r="G770" s="18"/>
      <c r="H770" s="19"/>
      <c r="I770" s="18"/>
      <c r="J770" s="19"/>
      <c r="K770" s="18"/>
      <c r="L770" s="19"/>
      <c r="M770" s="18"/>
      <c r="N770" s="19"/>
      <c r="O770" s="18"/>
      <c r="P770" s="19"/>
      <c r="Q770" s="18"/>
      <c r="R770" s="19"/>
      <c r="S770" s="18"/>
      <c r="T770" s="19"/>
      <c r="U770" s="18"/>
      <c r="V770" s="14"/>
    </row>
    <row r="771">
      <c r="A771" s="28"/>
      <c r="B771" s="19"/>
      <c r="C771" s="18"/>
      <c r="D771" s="19"/>
      <c r="E771" s="18"/>
      <c r="F771" s="19"/>
      <c r="G771" s="18"/>
      <c r="H771" s="19"/>
      <c r="I771" s="18"/>
      <c r="J771" s="19"/>
      <c r="K771" s="18"/>
      <c r="L771" s="19"/>
      <c r="M771" s="18"/>
      <c r="N771" s="19"/>
      <c r="O771" s="18"/>
      <c r="P771" s="19"/>
      <c r="Q771" s="18"/>
      <c r="R771" s="19"/>
      <c r="S771" s="18"/>
      <c r="T771" s="19"/>
      <c r="U771" s="18"/>
      <c r="V771" s="14"/>
    </row>
    <row r="772">
      <c r="A772" s="28"/>
      <c r="B772" s="19"/>
      <c r="C772" s="18"/>
      <c r="D772" s="19"/>
      <c r="E772" s="18"/>
      <c r="F772" s="19"/>
      <c r="G772" s="18"/>
      <c r="H772" s="19"/>
      <c r="I772" s="18"/>
      <c r="J772" s="19"/>
      <c r="K772" s="18"/>
      <c r="L772" s="19"/>
      <c r="M772" s="18"/>
      <c r="N772" s="19"/>
      <c r="O772" s="18"/>
      <c r="P772" s="19"/>
      <c r="Q772" s="18"/>
      <c r="R772" s="19"/>
      <c r="S772" s="18"/>
      <c r="T772" s="19"/>
      <c r="U772" s="18"/>
      <c r="V772" s="14"/>
    </row>
    <row r="773">
      <c r="A773" s="28"/>
      <c r="B773" s="19"/>
      <c r="C773" s="18"/>
      <c r="D773" s="19"/>
      <c r="E773" s="18"/>
      <c r="F773" s="19"/>
      <c r="G773" s="18"/>
      <c r="H773" s="19"/>
      <c r="I773" s="18"/>
      <c r="J773" s="19"/>
      <c r="K773" s="18"/>
      <c r="L773" s="19"/>
      <c r="M773" s="18"/>
      <c r="N773" s="19"/>
      <c r="O773" s="18"/>
      <c r="P773" s="19"/>
      <c r="Q773" s="18"/>
      <c r="R773" s="19"/>
      <c r="S773" s="18"/>
      <c r="T773" s="19"/>
      <c r="U773" s="18"/>
      <c r="V773" s="14"/>
    </row>
    <row r="774">
      <c r="A774" s="28"/>
      <c r="B774" s="19"/>
      <c r="C774" s="18"/>
      <c r="D774" s="19"/>
      <c r="E774" s="18"/>
      <c r="F774" s="19"/>
      <c r="G774" s="18"/>
      <c r="H774" s="19"/>
      <c r="I774" s="18"/>
      <c r="J774" s="19"/>
      <c r="K774" s="18"/>
      <c r="L774" s="19"/>
      <c r="M774" s="18"/>
      <c r="N774" s="19"/>
      <c r="O774" s="18"/>
      <c r="P774" s="19"/>
      <c r="Q774" s="18"/>
      <c r="R774" s="19"/>
      <c r="S774" s="18"/>
      <c r="T774" s="19"/>
      <c r="U774" s="18"/>
      <c r="V774" s="14"/>
    </row>
    <row r="775">
      <c r="A775" s="28"/>
      <c r="B775" s="19"/>
      <c r="C775" s="18"/>
      <c r="D775" s="19"/>
      <c r="E775" s="18"/>
      <c r="F775" s="19"/>
      <c r="G775" s="18"/>
      <c r="H775" s="19"/>
      <c r="I775" s="18"/>
      <c r="J775" s="19"/>
      <c r="K775" s="18"/>
      <c r="L775" s="19"/>
      <c r="M775" s="18"/>
      <c r="N775" s="19"/>
      <c r="O775" s="18"/>
      <c r="P775" s="19"/>
      <c r="Q775" s="18"/>
      <c r="R775" s="19"/>
      <c r="S775" s="18"/>
      <c r="T775" s="19"/>
      <c r="U775" s="18"/>
      <c r="V775" s="14"/>
    </row>
    <row r="776">
      <c r="A776" s="28"/>
      <c r="B776" s="19"/>
      <c r="C776" s="18"/>
      <c r="D776" s="19"/>
      <c r="E776" s="18"/>
      <c r="F776" s="19"/>
      <c r="G776" s="18"/>
      <c r="H776" s="19"/>
      <c r="I776" s="18"/>
      <c r="J776" s="19"/>
      <c r="K776" s="18"/>
      <c r="L776" s="19"/>
      <c r="M776" s="18"/>
      <c r="N776" s="19"/>
      <c r="O776" s="18"/>
      <c r="P776" s="19"/>
      <c r="Q776" s="18"/>
      <c r="R776" s="19"/>
      <c r="S776" s="18"/>
      <c r="T776" s="19"/>
      <c r="U776" s="18"/>
      <c r="V776" s="14"/>
    </row>
    <row r="777">
      <c r="A777" s="28"/>
      <c r="B777" s="19"/>
      <c r="C777" s="18"/>
      <c r="D777" s="19"/>
      <c r="E777" s="18"/>
      <c r="F777" s="19"/>
      <c r="G777" s="18"/>
      <c r="H777" s="19"/>
      <c r="I777" s="18"/>
      <c r="J777" s="19"/>
      <c r="K777" s="18"/>
      <c r="L777" s="19"/>
      <c r="M777" s="18"/>
      <c r="N777" s="19"/>
      <c r="O777" s="18"/>
      <c r="P777" s="19"/>
      <c r="Q777" s="18"/>
      <c r="R777" s="19"/>
      <c r="S777" s="18"/>
      <c r="T777" s="19"/>
      <c r="U777" s="18"/>
      <c r="V777" s="14"/>
    </row>
    <row r="778">
      <c r="A778" s="28"/>
      <c r="B778" s="19"/>
      <c r="C778" s="18"/>
      <c r="D778" s="19"/>
      <c r="E778" s="18"/>
      <c r="F778" s="19"/>
      <c r="G778" s="18"/>
      <c r="H778" s="19"/>
      <c r="I778" s="18"/>
      <c r="J778" s="19"/>
      <c r="K778" s="18"/>
      <c r="L778" s="19"/>
      <c r="M778" s="18"/>
      <c r="N778" s="19"/>
      <c r="O778" s="18"/>
      <c r="P778" s="19"/>
      <c r="Q778" s="18"/>
      <c r="R778" s="19"/>
      <c r="S778" s="18"/>
      <c r="T778" s="19"/>
      <c r="U778" s="18"/>
      <c r="V778" s="14"/>
    </row>
    <row r="779">
      <c r="A779" s="28"/>
      <c r="B779" s="19"/>
      <c r="C779" s="18"/>
      <c r="D779" s="19"/>
      <c r="E779" s="18"/>
      <c r="F779" s="19"/>
      <c r="G779" s="18"/>
      <c r="H779" s="19"/>
      <c r="I779" s="18"/>
      <c r="J779" s="19"/>
      <c r="K779" s="18"/>
      <c r="L779" s="19"/>
      <c r="M779" s="18"/>
      <c r="N779" s="19"/>
      <c r="O779" s="18"/>
      <c r="P779" s="19"/>
      <c r="Q779" s="18"/>
      <c r="R779" s="19"/>
      <c r="S779" s="18"/>
      <c r="T779" s="19"/>
      <c r="U779" s="18"/>
      <c r="V779" s="14"/>
    </row>
    <row r="780">
      <c r="A780" s="28"/>
      <c r="B780" s="19"/>
      <c r="C780" s="18"/>
      <c r="D780" s="19"/>
      <c r="E780" s="18"/>
      <c r="F780" s="19"/>
      <c r="G780" s="18"/>
      <c r="H780" s="19"/>
      <c r="I780" s="18"/>
      <c r="J780" s="19"/>
      <c r="K780" s="18"/>
      <c r="L780" s="19"/>
      <c r="M780" s="18"/>
      <c r="N780" s="19"/>
      <c r="O780" s="18"/>
      <c r="P780" s="19"/>
      <c r="Q780" s="18"/>
      <c r="R780" s="19"/>
      <c r="S780" s="18"/>
      <c r="T780" s="19"/>
      <c r="U780" s="18"/>
      <c r="V780" s="14"/>
    </row>
    <row r="781">
      <c r="A781" s="28"/>
      <c r="B781" s="19"/>
      <c r="C781" s="18"/>
      <c r="D781" s="19"/>
      <c r="E781" s="18"/>
      <c r="F781" s="19"/>
      <c r="G781" s="18"/>
      <c r="H781" s="19"/>
      <c r="I781" s="18"/>
      <c r="J781" s="19"/>
      <c r="K781" s="18"/>
      <c r="L781" s="19"/>
      <c r="M781" s="18"/>
      <c r="N781" s="19"/>
      <c r="O781" s="18"/>
      <c r="P781" s="19"/>
      <c r="Q781" s="18"/>
      <c r="R781" s="19"/>
      <c r="S781" s="18"/>
      <c r="T781" s="19"/>
      <c r="U781" s="18"/>
      <c r="V781" s="14"/>
    </row>
    <row r="782">
      <c r="A782" s="28"/>
      <c r="B782" s="19"/>
      <c r="C782" s="18"/>
      <c r="D782" s="19"/>
      <c r="E782" s="18"/>
      <c r="F782" s="19"/>
      <c r="G782" s="18"/>
      <c r="H782" s="19"/>
      <c r="I782" s="18"/>
      <c r="J782" s="19"/>
      <c r="K782" s="18"/>
      <c r="L782" s="19"/>
      <c r="M782" s="18"/>
      <c r="N782" s="19"/>
      <c r="O782" s="18"/>
      <c r="P782" s="19"/>
      <c r="Q782" s="18"/>
      <c r="R782" s="19"/>
      <c r="S782" s="18"/>
      <c r="T782" s="19"/>
      <c r="U782" s="18"/>
      <c r="V782" s="14"/>
    </row>
    <row r="783">
      <c r="A783" s="28"/>
      <c r="B783" s="19"/>
      <c r="C783" s="18"/>
      <c r="D783" s="19"/>
      <c r="E783" s="18"/>
      <c r="F783" s="19"/>
      <c r="G783" s="18"/>
      <c r="H783" s="19"/>
      <c r="I783" s="18"/>
      <c r="J783" s="19"/>
      <c r="K783" s="18"/>
      <c r="L783" s="19"/>
      <c r="M783" s="18"/>
      <c r="N783" s="19"/>
      <c r="O783" s="18"/>
      <c r="P783" s="19"/>
      <c r="Q783" s="18"/>
      <c r="R783" s="19"/>
      <c r="S783" s="18"/>
      <c r="T783" s="19"/>
      <c r="U783" s="18"/>
      <c r="V783" s="14"/>
    </row>
    <row r="784">
      <c r="A784" s="28"/>
      <c r="B784" s="19"/>
      <c r="C784" s="18"/>
      <c r="D784" s="19"/>
      <c r="E784" s="18"/>
      <c r="F784" s="19"/>
      <c r="G784" s="18"/>
      <c r="H784" s="19"/>
      <c r="I784" s="18"/>
      <c r="J784" s="19"/>
      <c r="K784" s="18"/>
      <c r="L784" s="19"/>
      <c r="M784" s="18"/>
      <c r="N784" s="19"/>
      <c r="O784" s="18"/>
      <c r="P784" s="19"/>
      <c r="Q784" s="18"/>
      <c r="R784" s="19"/>
      <c r="S784" s="18"/>
      <c r="T784" s="19"/>
      <c r="U784" s="18"/>
      <c r="V784" s="14"/>
    </row>
    <row r="785">
      <c r="A785" s="28"/>
      <c r="B785" s="19"/>
      <c r="C785" s="18"/>
      <c r="D785" s="19"/>
      <c r="E785" s="18"/>
      <c r="F785" s="19"/>
      <c r="G785" s="18"/>
      <c r="H785" s="19"/>
      <c r="I785" s="18"/>
      <c r="J785" s="19"/>
      <c r="K785" s="18"/>
      <c r="L785" s="19"/>
      <c r="M785" s="18"/>
      <c r="N785" s="19"/>
      <c r="O785" s="18"/>
      <c r="P785" s="19"/>
      <c r="Q785" s="18"/>
      <c r="R785" s="19"/>
      <c r="S785" s="18"/>
      <c r="T785" s="19"/>
      <c r="U785" s="18"/>
      <c r="V785" s="14"/>
    </row>
    <row r="786">
      <c r="A786" s="28"/>
      <c r="B786" s="19"/>
      <c r="C786" s="18"/>
      <c r="D786" s="19"/>
      <c r="E786" s="18"/>
      <c r="F786" s="19"/>
      <c r="G786" s="18"/>
      <c r="H786" s="19"/>
      <c r="I786" s="18"/>
      <c r="J786" s="19"/>
      <c r="K786" s="18"/>
      <c r="L786" s="19"/>
      <c r="M786" s="18"/>
      <c r="N786" s="19"/>
      <c r="O786" s="18"/>
      <c r="P786" s="19"/>
      <c r="Q786" s="18"/>
      <c r="R786" s="19"/>
      <c r="S786" s="18"/>
      <c r="T786" s="19"/>
      <c r="U786" s="18"/>
      <c r="V786" s="14"/>
    </row>
    <row r="787">
      <c r="A787" s="28"/>
      <c r="B787" s="19"/>
      <c r="C787" s="18"/>
      <c r="D787" s="19"/>
      <c r="E787" s="18"/>
      <c r="F787" s="19"/>
      <c r="G787" s="18"/>
      <c r="H787" s="19"/>
      <c r="I787" s="18"/>
      <c r="J787" s="19"/>
      <c r="K787" s="18"/>
      <c r="L787" s="19"/>
      <c r="M787" s="18"/>
      <c r="N787" s="19"/>
      <c r="O787" s="18"/>
      <c r="P787" s="19"/>
      <c r="Q787" s="18"/>
      <c r="R787" s="19"/>
      <c r="S787" s="18"/>
      <c r="T787" s="19"/>
      <c r="U787" s="18"/>
      <c r="V787" s="14"/>
    </row>
    <row r="788">
      <c r="A788" s="28"/>
      <c r="B788" s="19"/>
      <c r="C788" s="18"/>
      <c r="D788" s="19"/>
      <c r="E788" s="18"/>
      <c r="F788" s="19"/>
      <c r="G788" s="18"/>
      <c r="H788" s="19"/>
      <c r="I788" s="18"/>
      <c r="J788" s="19"/>
      <c r="K788" s="18"/>
      <c r="L788" s="19"/>
      <c r="M788" s="18"/>
      <c r="N788" s="19"/>
      <c r="O788" s="18"/>
      <c r="P788" s="19"/>
      <c r="Q788" s="18"/>
      <c r="R788" s="19"/>
      <c r="S788" s="18"/>
      <c r="T788" s="19"/>
      <c r="U788" s="18"/>
      <c r="V788" s="14"/>
    </row>
    <row r="789">
      <c r="A789" s="28"/>
      <c r="B789" s="19"/>
      <c r="C789" s="18"/>
      <c r="D789" s="19"/>
      <c r="E789" s="18"/>
      <c r="F789" s="19"/>
      <c r="G789" s="18"/>
      <c r="H789" s="19"/>
      <c r="I789" s="18"/>
      <c r="J789" s="19"/>
      <c r="K789" s="18"/>
      <c r="L789" s="19"/>
      <c r="M789" s="18"/>
      <c r="N789" s="19"/>
      <c r="O789" s="18"/>
      <c r="P789" s="19"/>
      <c r="Q789" s="18"/>
      <c r="R789" s="19"/>
      <c r="S789" s="18"/>
      <c r="T789" s="19"/>
      <c r="U789" s="18"/>
      <c r="V789" s="14"/>
    </row>
    <row r="790">
      <c r="A790" s="28"/>
      <c r="B790" s="19"/>
      <c r="C790" s="18"/>
      <c r="D790" s="19"/>
      <c r="E790" s="18"/>
      <c r="F790" s="19"/>
      <c r="G790" s="18"/>
      <c r="H790" s="19"/>
      <c r="I790" s="18"/>
      <c r="J790" s="19"/>
      <c r="K790" s="18"/>
      <c r="L790" s="19"/>
      <c r="M790" s="18"/>
      <c r="N790" s="19"/>
      <c r="O790" s="18"/>
      <c r="P790" s="19"/>
      <c r="Q790" s="18"/>
      <c r="R790" s="19"/>
      <c r="S790" s="18"/>
      <c r="T790" s="19"/>
      <c r="U790" s="18"/>
      <c r="V790" s="14"/>
    </row>
    <row r="791">
      <c r="A791" s="28"/>
      <c r="B791" s="19"/>
      <c r="C791" s="18"/>
      <c r="D791" s="19"/>
      <c r="E791" s="18"/>
      <c r="F791" s="19"/>
      <c r="G791" s="18"/>
      <c r="H791" s="19"/>
      <c r="I791" s="18"/>
      <c r="J791" s="19"/>
      <c r="K791" s="18"/>
      <c r="L791" s="19"/>
      <c r="M791" s="18"/>
      <c r="N791" s="19"/>
      <c r="O791" s="18"/>
      <c r="P791" s="19"/>
      <c r="Q791" s="18"/>
      <c r="R791" s="19"/>
      <c r="S791" s="18"/>
      <c r="T791" s="19"/>
      <c r="U791" s="18"/>
      <c r="V791" s="14"/>
    </row>
    <row r="792">
      <c r="A792" s="28"/>
      <c r="B792" s="19"/>
      <c r="C792" s="18"/>
      <c r="D792" s="19"/>
      <c r="E792" s="18"/>
      <c r="F792" s="19"/>
      <c r="G792" s="18"/>
      <c r="H792" s="19"/>
      <c r="I792" s="18"/>
      <c r="J792" s="19"/>
      <c r="K792" s="18"/>
      <c r="L792" s="19"/>
      <c r="M792" s="18"/>
      <c r="N792" s="19"/>
      <c r="O792" s="18"/>
      <c r="P792" s="19"/>
      <c r="Q792" s="18"/>
      <c r="R792" s="19"/>
      <c r="S792" s="18"/>
      <c r="T792" s="19"/>
      <c r="U792" s="18"/>
      <c r="V792" s="14"/>
    </row>
    <row r="793">
      <c r="A793" s="28"/>
      <c r="B793" s="19"/>
      <c r="C793" s="18"/>
      <c r="D793" s="19"/>
      <c r="E793" s="18"/>
      <c r="F793" s="19"/>
      <c r="G793" s="18"/>
      <c r="H793" s="19"/>
      <c r="I793" s="18"/>
      <c r="J793" s="19"/>
      <c r="K793" s="18"/>
      <c r="L793" s="19"/>
      <c r="M793" s="18"/>
      <c r="N793" s="19"/>
      <c r="O793" s="18"/>
      <c r="P793" s="19"/>
      <c r="Q793" s="18"/>
      <c r="R793" s="19"/>
      <c r="S793" s="18"/>
      <c r="T793" s="19"/>
      <c r="U793" s="18"/>
      <c r="V793" s="14"/>
    </row>
    <row r="794">
      <c r="A794" s="28"/>
      <c r="B794" s="19"/>
      <c r="C794" s="18"/>
      <c r="D794" s="19"/>
      <c r="E794" s="18"/>
      <c r="F794" s="19"/>
      <c r="G794" s="18"/>
      <c r="H794" s="19"/>
      <c r="I794" s="18"/>
      <c r="J794" s="19"/>
      <c r="K794" s="18"/>
      <c r="L794" s="19"/>
      <c r="M794" s="18"/>
      <c r="N794" s="19"/>
      <c r="O794" s="18"/>
      <c r="P794" s="19"/>
      <c r="Q794" s="18"/>
      <c r="R794" s="19"/>
      <c r="S794" s="18"/>
      <c r="T794" s="19"/>
      <c r="U794" s="18"/>
      <c r="V794" s="14"/>
    </row>
    <row r="795">
      <c r="A795" s="28"/>
      <c r="B795" s="19"/>
      <c r="C795" s="18"/>
      <c r="D795" s="19"/>
      <c r="E795" s="18"/>
      <c r="F795" s="19"/>
      <c r="G795" s="18"/>
      <c r="H795" s="19"/>
      <c r="I795" s="18"/>
      <c r="J795" s="19"/>
      <c r="K795" s="18"/>
      <c r="L795" s="19"/>
      <c r="M795" s="18"/>
      <c r="N795" s="19"/>
      <c r="O795" s="18"/>
      <c r="P795" s="19"/>
      <c r="Q795" s="18"/>
      <c r="R795" s="19"/>
      <c r="S795" s="18"/>
      <c r="T795" s="19"/>
      <c r="U795" s="18"/>
      <c r="V795" s="14"/>
    </row>
    <row r="796">
      <c r="A796" s="28"/>
      <c r="B796" s="19"/>
      <c r="C796" s="18"/>
      <c r="D796" s="19"/>
      <c r="E796" s="18"/>
      <c r="F796" s="19"/>
      <c r="G796" s="18"/>
      <c r="H796" s="19"/>
      <c r="I796" s="18"/>
      <c r="J796" s="19"/>
      <c r="K796" s="18"/>
      <c r="L796" s="19"/>
      <c r="M796" s="18"/>
      <c r="N796" s="19"/>
      <c r="O796" s="18"/>
      <c r="P796" s="19"/>
      <c r="Q796" s="18"/>
      <c r="R796" s="19"/>
      <c r="S796" s="18"/>
      <c r="T796" s="19"/>
      <c r="U796" s="18"/>
      <c r="V796" s="14"/>
    </row>
    <row r="797">
      <c r="A797" s="28"/>
      <c r="B797" s="19"/>
      <c r="C797" s="18"/>
      <c r="D797" s="19"/>
      <c r="E797" s="18"/>
      <c r="F797" s="19"/>
      <c r="G797" s="18"/>
      <c r="H797" s="19"/>
      <c r="I797" s="18"/>
      <c r="J797" s="19"/>
      <c r="K797" s="18"/>
      <c r="L797" s="19"/>
      <c r="M797" s="18"/>
      <c r="N797" s="19"/>
      <c r="O797" s="18"/>
      <c r="P797" s="19"/>
      <c r="Q797" s="18"/>
      <c r="R797" s="19"/>
      <c r="S797" s="18"/>
      <c r="T797" s="19"/>
      <c r="U797" s="18"/>
      <c r="V797" s="14"/>
    </row>
    <row r="798">
      <c r="A798" s="28"/>
      <c r="B798" s="19"/>
      <c r="C798" s="18"/>
      <c r="D798" s="19"/>
      <c r="E798" s="18"/>
      <c r="F798" s="19"/>
      <c r="G798" s="18"/>
      <c r="H798" s="19"/>
      <c r="I798" s="18"/>
      <c r="J798" s="19"/>
      <c r="K798" s="18"/>
      <c r="L798" s="19"/>
      <c r="M798" s="18"/>
      <c r="N798" s="19"/>
      <c r="O798" s="18"/>
      <c r="P798" s="19"/>
      <c r="Q798" s="18"/>
      <c r="R798" s="19"/>
      <c r="S798" s="18"/>
      <c r="T798" s="19"/>
      <c r="U798" s="18"/>
      <c r="V798" s="14"/>
    </row>
    <row r="799">
      <c r="A799" s="28"/>
      <c r="B799" s="19"/>
      <c r="C799" s="18"/>
      <c r="D799" s="19"/>
      <c r="E799" s="18"/>
      <c r="F799" s="19"/>
      <c r="G799" s="18"/>
      <c r="H799" s="19"/>
      <c r="I799" s="18"/>
      <c r="J799" s="19"/>
      <c r="K799" s="18"/>
      <c r="L799" s="19"/>
      <c r="M799" s="18"/>
      <c r="N799" s="19"/>
      <c r="O799" s="18"/>
      <c r="P799" s="19"/>
      <c r="Q799" s="18"/>
      <c r="R799" s="19"/>
      <c r="S799" s="18"/>
      <c r="T799" s="19"/>
      <c r="U799" s="18"/>
      <c r="V799" s="14"/>
    </row>
    <row r="800">
      <c r="A800" s="28"/>
      <c r="B800" s="19"/>
      <c r="C800" s="18"/>
      <c r="D800" s="19"/>
      <c r="E800" s="18"/>
      <c r="F800" s="19"/>
      <c r="G800" s="18"/>
      <c r="H800" s="19"/>
      <c r="I800" s="18"/>
      <c r="J800" s="19"/>
      <c r="K800" s="18"/>
      <c r="L800" s="19"/>
      <c r="M800" s="18"/>
      <c r="N800" s="19"/>
      <c r="O800" s="18"/>
      <c r="P800" s="19"/>
      <c r="Q800" s="18"/>
      <c r="R800" s="19"/>
      <c r="S800" s="18"/>
      <c r="T800" s="19"/>
      <c r="U800" s="18"/>
      <c r="V800" s="14"/>
    </row>
    <row r="801">
      <c r="A801" s="28"/>
      <c r="B801" s="19"/>
      <c r="C801" s="18"/>
      <c r="D801" s="19"/>
      <c r="E801" s="18"/>
      <c r="F801" s="19"/>
      <c r="G801" s="18"/>
      <c r="H801" s="19"/>
      <c r="I801" s="18"/>
      <c r="J801" s="19"/>
      <c r="K801" s="18"/>
      <c r="L801" s="19"/>
      <c r="M801" s="18"/>
      <c r="N801" s="19"/>
      <c r="O801" s="18"/>
      <c r="P801" s="19"/>
      <c r="Q801" s="18"/>
      <c r="R801" s="19"/>
      <c r="S801" s="18"/>
      <c r="T801" s="19"/>
      <c r="U801" s="18"/>
      <c r="V801" s="14"/>
    </row>
    <row r="802">
      <c r="A802" s="28"/>
      <c r="B802" s="19"/>
      <c r="C802" s="18"/>
      <c r="D802" s="19"/>
      <c r="E802" s="18"/>
      <c r="F802" s="19"/>
      <c r="G802" s="18"/>
      <c r="H802" s="19"/>
      <c r="I802" s="18"/>
      <c r="J802" s="19"/>
      <c r="K802" s="18"/>
      <c r="L802" s="19"/>
      <c r="M802" s="18"/>
      <c r="N802" s="19"/>
      <c r="O802" s="18"/>
      <c r="P802" s="19"/>
      <c r="Q802" s="18"/>
      <c r="R802" s="19"/>
      <c r="S802" s="18"/>
      <c r="T802" s="19"/>
      <c r="U802" s="18"/>
      <c r="V802" s="14"/>
    </row>
    <row r="803">
      <c r="A803" s="28"/>
      <c r="B803" s="19"/>
      <c r="C803" s="18"/>
      <c r="D803" s="19"/>
      <c r="E803" s="18"/>
      <c r="F803" s="19"/>
      <c r="G803" s="18"/>
      <c r="H803" s="19"/>
      <c r="I803" s="18"/>
      <c r="J803" s="19"/>
      <c r="K803" s="18"/>
      <c r="L803" s="19"/>
      <c r="M803" s="18"/>
      <c r="N803" s="19"/>
      <c r="O803" s="18"/>
      <c r="P803" s="19"/>
      <c r="Q803" s="18"/>
      <c r="R803" s="19"/>
      <c r="S803" s="18"/>
      <c r="T803" s="19"/>
      <c r="U803" s="18"/>
      <c r="V803" s="14"/>
    </row>
    <row r="804">
      <c r="A804" s="28"/>
      <c r="B804" s="19"/>
      <c r="C804" s="18"/>
      <c r="D804" s="19"/>
      <c r="E804" s="18"/>
      <c r="F804" s="19"/>
      <c r="G804" s="18"/>
      <c r="H804" s="19"/>
      <c r="I804" s="18"/>
      <c r="J804" s="19"/>
      <c r="K804" s="18"/>
      <c r="L804" s="19"/>
      <c r="M804" s="18"/>
      <c r="N804" s="19"/>
      <c r="O804" s="18"/>
      <c r="P804" s="19"/>
      <c r="Q804" s="18"/>
      <c r="R804" s="19"/>
      <c r="S804" s="18"/>
      <c r="T804" s="19"/>
      <c r="U804" s="18"/>
      <c r="V804" s="14"/>
    </row>
    <row r="805">
      <c r="A805" s="28"/>
      <c r="B805" s="19"/>
      <c r="C805" s="18"/>
      <c r="D805" s="19"/>
      <c r="E805" s="18"/>
      <c r="F805" s="19"/>
      <c r="G805" s="18"/>
      <c r="H805" s="19"/>
      <c r="I805" s="18"/>
      <c r="J805" s="19"/>
      <c r="K805" s="18"/>
      <c r="L805" s="19"/>
      <c r="M805" s="18"/>
      <c r="N805" s="19"/>
      <c r="O805" s="18"/>
      <c r="P805" s="19"/>
      <c r="Q805" s="18"/>
      <c r="R805" s="19"/>
      <c r="S805" s="18"/>
      <c r="T805" s="19"/>
      <c r="U805" s="18"/>
      <c r="V805" s="14"/>
    </row>
    <row r="806">
      <c r="A806" s="28"/>
      <c r="B806" s="19"/>
      <c r="C806" s="18"/>
      <c r="D806" s="19"/>
      <c r="E806" s="18"/>
      <c r="F806" s="19"/>
      <c r="G806" s="18"/>
      <c r="H806" s="19"/>
      <c r="I806" s="18"/>
      <c r="J806" s="19"/>
      <c r="K806" s="18"/>
      <c r="L806" s="19"/>
      <c r="M806" s="18"/>
      <c r="N806" s="19"/>
      <c r="O806" s="18"/>
      <c r="P806" s="19"/>
      <c r="Q806" s="18"/>
      <c r="R806" s="19"/>
      <c r="S806" s="18"/>
      <c r="T806" s="19"/>
      <c r="U806" s="18"/>
      <c r="V806" s="14"/>
    </row>
    <row r="807">
      <c r="A807" s="28"/>
      <c r="B807" s="19"/>
      <c r="C807" s="18"/>
      <c r="D807" s="19"/>
      <c r="E807" s="18"/>
      <c r="F807" s="19"/>
      <c r="G807" s="18"/>
      <c r="H807" s="19"/>
      <c r="I807" s="18"/>
      <c r="J807" s="19"/>
      <c r="K807" s="18"/>
      <c r="L807" s="19"/>
      <c r="M807" s="18"/>
      <c r="N807" s="19"/>
      <c r="O807" s="18"/>
      <c r="P807" s="19"/>
      <c r="Q807" s="18"/>
      <c r="R807" s="19"/>
      <c r="S807" s="18"/>
      <c r="T807" s="19"/>
      <c r="U807" s="18"/>
      <c r="V807" s="14"/>
    </row>
    <row r="808">
      <c r="A808" s="28"/>
      <c r="B808" s="19"/>
      <c r="C808" s="18"/>
      <c r="D808" s="19"/>
      <c r="E808" s="18"/>
      <c r="F808" s="19"/>
      <c r="G808" s="18"/>
      <c r="H808" s="19"/>
      <c r="I808" s="18"/>
      <c r="J808" s="19"/>
      <c r="K808" s="18"/>
      <c r="L808" s="19"/>
      <c r="M808" s="18"/>
      <c r="N808" s="19"/>
      <c r="O808" s="18"/>
      <c r="P808" s="19"/>
      <c r="Q808" s="18"/>
      <c r="R808" s="19"/>
      <c r="S808" s="18"/>
      <c r="T808" s="19"/>
      <c r="U808" s="18"/>
      <c r="V808" s="14"/>
    </row>
    <row r="809">
      <c r="A809" s="28"/>
      <c r="B809" s="19"/>
      <c r="C809" s="18"/>
      <c r="D809" s="19"/>
      <c r="E809" s="18"/>
      <c r="F809" s="19"/>
      <c r="G809" s="18"/>
      <c r="H809" s="19"/>
      <c r="I809" s="18"/>
      <c r="J809" s="19"/>
      <c r="K809" s="18"/>
      <c r="L809" s="19"/>
      <c r="M809" s="18"/>
      <c r="N809" s="19"/>
      <c r="O809" s="18"/>
      <c r="P809" s="19"/>
      <c r="Q809" s="18"/>
      <c r="R809" s="19"/>
      <c r="S809" s="18"/>
      <c r="T809" s="19"/>
      <c r="U809" s="18"/>
      <c r="V809" s="14"/>
    </row>
    <row r="810">
      <c r="A810" s="28"/>
      <c r="B810" s="19"/>
      <c r="C810" s="18"/>
      <c r="D810" s="19"/>
      <c r="E810" s="18"/>
      <c r="F810" s="19"/>
      <c r="G810" s="18"/>
      <c r="H810" s="19"/>
      <c r="I810" s="18"/>
      <c r="J810" s="19"/>
      <c r="K810" s="18"/>
      <c r="L810" s="19"/>
      <c r="M810" s="18"/>
      <c r="N810" s="19"/>
      <c r="O810" s="18"/>
      <c r="P810" s="19"/>
      <c r="Q810" s="18"/>
      <c r="R810" s="19"/>
      <c r="S810" s="18"/>
      <c r="T810" s="19"/>
      <c r="U810" s="18"/>
      <c r="V810" s="14"/>
    </row>
    <row r="811">
      <c r="A811" s="28"/>
      <c r="B811" s="19"/>
      <c r="C811" s="18"/>
      <c r="D811" s="19"/>
      <c r="E811" s="18"/>
      <c r="F811" s="19"/>
      <c r="G811" s="18"/>
      <c r="H811" s="19"/>
      <c r="I811" s="18"/>
      <c r="J811" s="19"/>
      <c r="K811" s="18"/>
      <c r="L811" s="19"/>
      <c r="M811" s="18"/>
      <c r="N811" s="19"/>
      <c r="O811" s="18"/>
      <c r="P811" s="19"/>
      <c r="Q811" s="18"/>
      <c r="R811" s="19"/>
      <c r="S811" s="18"/>
      <c r="T811" s="19"/>
      <c r="U811" s="18"/>
      <c r="V811" s="14"/>
    </row>
    <row r="812">
      <c r="A812" s="28"/>
      <c r="B812" s="19"/>
      <c r="C812" s="18"/>
      <c r="D812" s="19"/>
      <c r="E812" s="18"/>
      <c r="F812" s="19"/>
      <c r="G812" s="18"/>
      <c r="H812" s="19"/>
      <c r="I812" s="18"/>
      <c r="J812" s="19"/>
      <c r="K812" s="18"/>
      <c r="L812" s="19"/>
      <c r="M812" s="18"/>
      <c r="N812" s="19"/>
      <c r="O812" s="18"/>
      <c r="P812" s="19"/>
      <c r="Q812" s="18"/>
      <c r="R812" s="19"/>
      <c r="S812" s="18"/>
      <c r="T812" s="19"/>
      <c r="U812" s="18"/>
      <c r="V812" s="14"/>
    </row>
    <row r="813">
      <c r="A813" s="28"/>
      <c r="B813" s="19"/>
      <c r="C813" s="18"/>
      <c r="D813" s="19"/>
      <c r="E813" s="18"/>
      <c r="F813" s="19"/>
      <c r="G813" s="18"/>
      <c r="H813" s="19"/>
      <c r="I813" s="18"/>
      <c r="J813" s="19"/>
      <c r="K813" s="18"/>
      <c r="L813" s="19"/>
      <c r="M813" s="18"/>
      <c r="N813" s="19"/>
      <c r="O813" s="18"/>
      <c r="P813" s="19"/>
      <c r="Q813" s="18"/>
      <c r="R813" s="19"/>
      <c r="S813" s="18"/>
      <c r="T813" s="19"/>
      <c r="U813" s="18"/>
      <c r="V813" s="14"/>
    </row>
    <row r="814">
      <c r="A814" s="28"/>
      <c r="B814" s="19"/>
      <c r="C814" s="18"/>
      <c r="D814" s="19"/>
      <c r="E814" s="18"/>
      <c r="F814" s="19"/>
      <c r="G814" s="18"/>
      <c r="H814" s="19"/>
      <c r="I814" s="18"/>
      <c r="J814" s="19"/>
      <c r="K814" s="18"/>
      <c r="L814" s="19"/>
      <c r="M814" s="18"/>
      <c r="N814" s="19"/>
      <c r="O814" s="18"/>
      <c r="P814" s="19"/>
      <c r="Q814" s="18"/>
      <c r="R814" s="19"/>
      <c r="S814" s="18"/>
      <c r="T814" s="19"/>
      <c r="U814" s="18"/>
      <c r="V814" s="14"/>
    </row>
    <row r="815">
      <c r="A815" s="28"/>
      <c r="B815" s="19"/>
      <c r="C815" s="18"/>
      <c r="D815" s="19"/>
      <c r="E815" s="18"/>
      <c r="F815" s="19"/>
      <c r="G815" s="18"/>
      <c r="H815" s="19"/>
      <c r="I815" s="18"/>
      <c r="J815" s="19"/>
      <c r="K815" s="18"/>
      <c r="L815" s="19"/>
      <c r="M815" s="18"/>
      <c r="N815" s="19"/>
      <c r="O815" s="18"/>
      <c r="P815" s="19"/>
      <c r="Q815" s="18"/>
      <c r="R815" s="19"/>
      <c r="S815" s="18"/>
      <c r="T815" s="19"/>
      <c r="U815" s="18"/>
      <c r="V815" s="14"/>
    </row>
    <row r="816">
      <c r="A816" s="28"/>
      <c r="B816" s="19"/>
      <c r="C816" s="18"/>
      <c r="D816" s="19"/>
      <c r="E816" s="18"/>
      <c r="F816" s="19"/>
      <c r="G816" s="18"/>
      <c r="H816" s="19"/>
      <c r="I816" s="18"/>
      <c r="J816" s="19"/>
      <c r="K816" s="18"/>
      <c r="L816" s="19"/>
      <c r="M816" s="18"/>
      <c r="N816" s="19"/>
      <c r="O816" s="18"/>
      <c r="P816" s="19"/>
      <c r="Q816" s="18"/>
      <c r="R816" s="19"/>
      <c r="S816" s="18"/>
      <c r="T816" s="19"/>
      <c r="U816" s="18"/>
      <c r="V816" s="14"/>
    </row>
    <row r="817">
      <c r="A817" s="28"/>
      <c r="B817" s="19"/>
      <c r="C817" s="18"/>
      <c r="D817" s="19"/>
      <c r="E817" s="18"/>
      <c r="F817" s="19"/>
      <c r="G817" s="18"/>
      <c r="H817" s="19"/>
      <c r="I817" s="18"/>
      <c r="J817" s="19"/>
      <c r="K817" s="18"/>
      <c r="L817" s="19"/>
      <c r="M817" s="18"/>
      <c r="N817" s="19"/>
      <c r="O817" s="18"/>
      <c r="P817" s="19"/>
      <c r="Q817" s="18"/>
      <c r="R817" s="19"/>
      <c r="S817" s="18"/>
      <c r="T817" s="19"/>
      <c r="U817" s="18"/>
      <c r="V817" s="14"/>
    </row>
    <row r="818">
      <c r="A818" s="28"/>
      <c r="B818" s="19"/>
      <c r="C818" s="18"/>
      <c r="D818" s="19"/>
      <c r="E818" s="18"/>
      <c r="F818" s="19"/>
      <c r="G818" s="18"/>
      <c r="H818" s="19"/>
      <c r="I818" s="18"/>
      <c r="J818" s="19"/>
      <c r="K818" s="18"/>
      <c r="L818" s="19"/>
      <c r="M818" s="18"/>
      <c r="N818" s="19"/>
      <c r="O818" s="18"/>
      <c r="P818" s="19"/>
      <c r="Q818" s="18"/>
      <c r="R818" s="19"/>
      <c r="S818" s="18"/>
      <c r="T818" s="19"/>
      <c r="U818" s="18"/>
      <c r="V818" s="14"/>
    </row>
    <row r="819">
      <c r="A819" s="28"/>
      <c r="B819" s="19"/>
      <c r="C819" s="18"/>
      <c r="D819" s="19"/>
      <c r="E819" s="18"/>
      <c r="F819" s="19"/>
      <c r="G819" s="18"/>
      <c r="H819" s="19"/>
      <c r="I819" s="18"/>
      <c r="J819" s="19"/>
      <c r="K819" s="18"/>
      <c r="L819" s="19"/>
      <c r="M819" s="18"/>
      <c r="N819" s="19"/>
      <c r="O819" s="18"/>
      <c r="P819" s="19"/>
      <c r="Q819" s="18"/>
      <c r="R819" s="19"/>
      <c r="S819" s="18"/>
      <c r="T819" s="19"/>
      <c r="U819" s="18"/>
      <c r="V819" s="14"/>
    </row>
    <row r="820">
      <c r="A820" s="28"/>
      <c r="B820" s="19"/>
      <c r="C820" s="18"/>
      <c r="D820" s="19"/>
      <c r="E820" s="18"/>
      <c r="F820" s="19"/>
      <c r="G820" s="18"/>
      <c r="H820" s="19"/>
      <c r="I820" s="18"/>
      <c r="J820" s="19"/>
      <c r="K820" s="18"/>
      <c r="L820" s="19"/>
      <c r="M820" s="18"/>
      <c r="N820" s="19"/>
      <c r="O820" s="18"/>
      <c r="P820" s="19"/>
      <c r="Q820" s="18"/>
      <c r="R820" s="19"/>
      <c r="S820" s="18"/>
      <c r="T820" s="19"/>
      <c r="U820" s="18"/>
      <c r="V820" s="14"/>
    </row>
    <row r="821">
      <c r="A821" s="28"/>
      <c r="B821" s="19"/>
      <c r="C821" s="18"/>
      <c r="D821" s="19"/>
      <c r="E821" s="18"/>
      <c r="F821" s="19"/>
      <c r="G821" s="18"/>
      <c r="H821" s="19"/>
      <c r="I821" s="18"/>
      <c r="J821" s="19"/>
      <c r="K821" s="18"/>
      <c r="L821" s="19"/>
      <c r="M821" s="18"/>
      <c r="N821" s="19"/>
      <c r="O821" s="18"/>
      <c r="P821" s="19"/>
      <c r="Q821" s="18"/>
      <c r="R821" s="19"/>
      <c r="S821" s="18"/>
      <c r="T821" s="19"/>
      <c r="U821" s="18"/>
      <c r="V821" s="14"/>
    </row>
    <row r="822">
      <c r="A822" s="28"/>
      <c r="B822" s="19"/>
      <c r="C822" s="18"/>
      <c r="D822" s="19"/>
      <c r="E822" s="18"/>
      <c r="F822" s="19"/>
      <c r="G822" s="18"/>
      <c r="H822" s="19"/>
      <c r="I822" s="18"/>
      <c r="J822" s="19"/>
      <c r="K822" s="18"/>
      <c r="L822" s="19"/>
      <c r="M822" s="18"/>
      <c r="N822" s="19"/>
      <c r="O822" s="18"/>
      <c r="P822" s="19"/>
      <c r="Q822" s="18"/>
      <c r="R822" s="19"/>
      <c r="S822" s="18"/>
      <c r="T822" s="19"/>
      <c r="U822" s="18"/>
      <c r="V822" s="14"/>
    </row>
    <row r="823">
      <c r="A823" s="28"/>
      <c r="B823" s="19"/>
      <c r="C823" s="18"/>
      <c r="D823" s="19"/>
      <c r="E823" s="18"/>
      <c r="F823" s="19"/>
      <c r="G823" s="18"/>
      <c r="H823" s="19"/>
      <c r="I823" s="18"/>
      <c r="J823" s="19"/>
      <c r="K823" s="18"/>
      <c r="L823" s="19"/>
      <c r="M823" s="18"/>
      <c r="N823" s="19"/>
      <c r="O823" s="18"/>
      <c r="P823" s="19"/>
      <c r="Q823" s="18"/>
      <c r="R823" s="19"/>
      <c r="S823" s="18"/>
      <c r="T823" s="19"/>
      <c r="U823" s="18"/>
      <c r="V823" s="14"/>
    </row>
    <row r="824">
      <c r="A824" s="28"/>
      <c r="B824" s="19"/>
      <c r="C824" s="18"/>
      <c r="D824" s="19"/>
      <c r="E824" s="18"/>
      <c r="F824" s="19"/>
      <c r="G824" s="18"/>
      <c r="H824" s="19"/>
      <c r="I824" s="18"/>
      <c r="J824" s="19"/>
      <c r="K824" s="18"/>
      <c r="L824" s="19"/>
      <c r="M824" s="18"/>
      <c r="N824" s="19"/>
      <c r="O824" s="18"/>
      <c r="P824" s="19"/>
      <c r="Q824" s="18"/>
      <c r="R824" s="19"/>
      <c r="S824" s="18"/>
      <c r="T824" s="19"/>
      <c r="U824" s="18"/>
      <c r="V824" s="14"/>
    </row>
    <row r="825">
      <c r="A825" s="28"/>
      <c r="B825" s="19"/>
      <c r="C825" s="18"/>
      <c r="D825" s="19"/>
      <c r="E825" s="18"/>
      <c r="F825" s="19"/>
      <c r="G825" s="18"/>
      <c r="H825" s="19"/>
      <c r="I825" s="18"/>
      <c r="J825" s="19"/>
      <c r="K825" s="18"/>
      <c r="L825" s="19"/>
      <c r="M825" s="18"/>
      <c r="N825" s="19"/>
      <c r="O825" s="18"/>
      <c r="P825" s="19"/>
      <c r="Q825" s="18"/>
      <c r="R825" s="19"/>
      <c r="S825" s="18"/>
      <c r="T825" s="19"/>
      <c r="U825" s="18"/>
      <c r="V825" s="14"/>
    </row>
    <row r="826">
      <c r="A826" s="28"/>
      <c r="B826" s="19"/>
      <c r="C826" s="18"/>
      <c r="D826" s="19"/>
      <c r="E826" s="18"/>
      <c r="F826" s="19"/>
      <c r="G826" s="18"/>
      <c r="H826" s="19"/>
      <c r="I826" s="18"/>
      <c r="J826" s="19"/>
      <c r="K826" s="18"/>
      <c r="L826" s="19"/>
      <c r="M826" s="18"/>
      <c r="N826" s="19"/>
      <c r="O826" s="18"/>
      <c r="P826" s="19"/>
      <c r="Q826" s="18"/>
      <c r="R826" s="19"/>
      <c r="S826" s="18"/>
      <c r="T826" s="19"/>
      <c r="U826" s="18"/>
      <c r="V826" s="14"/>
    </row>
    <row r="827">
      <c r="A827" s="28"/>
      <c r="B827" s="19"/>
      <c r="C827" s="18"/>
      <c r="D827" s="19"/>
      <c r="E827" s="18"/>
      <c r="F827" s="19"/>
      <c r="G827" s="18"/>
      <c r="H827" s="19"/>
      <c r="I827" s="18"/>
      <c r="J827" s="19"/>
      <c r="K827" s="18"/>
      <c r="L827" s="19"/>
      <c r="M827" s="18"/>
      <c r="N827" s="19"/>
      <c r="O827" s="18"/>
      <c r="P827" s="19"/>
      <c r="Q827" s="18"/>
      <c r="R827" s="19"/>
      <c r="S827" s="18"/>
      <c r="T827" s="19"/>
      <c r="U827" s="18"/>
      <c r="V827" s="14"/>
    </row>
    <row r="828">
      <c r="A828" s="28"/>
      <c r="B828" s="19"/>
      <c r="C828" s="18"/>
      <c r="D828" s="19"/>
      <c r="E828" s="18"/>
      <c r="F828" s="19"/>
      <c r="G828" s="18"/>
      <c r="H828" s="19"/>
      <c r="I828" s="18"/>
      <c r="J828" s="19"/>
      <c r="K828" s="18"/>
      <c r="L828" s="19"/>
      <c r="M828" s="18"/>
      <c r="N828" s="19"/>
      <c r="O828" s="18"/>
      <c r="P828" s="19"/>
      <c r="Q828" s="18"/>
      <c r="R828" s="19"/>
      <c r="S828" s="18"/>
      <c r="T828" s="19"/>
      <c r="U828" s="18"/>
      <c r="V828" s="14"/>
    </row>
    <row r="829">
      <c r="A829" s="28"/>
      <c r="B829" s="19"/>
      <c r="C829" s="18"/>
      <c r="D829" s="19"/>
      <c r="E829" s="18"/>
      <c r="F829" s="19"/>
      <c r="G829" s="18"/>
      <c r="H829" s="19"/>
      <c r="I829" s="18"/>
      <c r="J829" s="19"/>
      <c r="K829" s="18"/>
      <c r="L829" s="19"/>
      <c r="M829" s="18"/>
      <c r="N829" s="19"/>
      <c r="O829" s="18"/>
      <c r="P829" s="19"/>
      <c r="Q829" s="18"/>
      <c r="R829" s="19"/>
      <c r="S829" s="18"/>
      <c r="T829" s="19"/>
      <c r="U829" s="18"/>
      <c r="V829" s="14"/>
    </row>
    <row r="830">
      <c r="A830" s="28"/>
      <c r="B830" s="19"/>
      <c r="C830" s="18"/>
      <c r="D830" s="19"/>
      <c r="E830" s="18"/>
      <c r="F830" s="19"/>
      <c r="G830" s="18"/>
      <c r="H830" s="19"/>
      <c r="I830" s="18"/>
      <c r="J830" s="19"/>
      <c r="K830" s="18"/>
      <c r="L830" s="19"/>
      <c r="M830" s="18"/>
      <c r="N830" s="19"/>
      <c r="O830" s="18"/>
      <c r="P830" s="19"/>
      <c r="Q830" s="18"/>
      <c r="R830" s="19"/>
      <c r="S830" s="18"/>
      <c r="T830" s="19"/>
      <c r="U830" s="18"/>
      <c r="V830" s="14"/>
    </row>
    <row r="831">
      <c r="A831" s="28"/>
      <c r="B831" s="19"/>
      <c r="C831" s="18"/>
      <c r="D831" s="19"/>
      <c r="E831" s="18"/>
      <c r="F831" s="19"/>
      <c r="G831" s="18"/>
      <c r="H831" s="19"/>
      <c r="I831" s="18"/>
      <c r="J831" s="19"/>
      <c r="K831" s="18"/>
      <c r="L831" s="19"/>
      <c r="M831" s="18"/>
      <c r="N831" s="19"/>
      <c r="O831" s="18"/>
      <c r="P831" s="19"/>
      <c r="Q831" s="18"/>
      <c r="R831" s="19"/>
      <c r="S831" s="18"/>
      <c r="T831" s="19"/>
      <c r="U831" s="18"/>
      <c r="V831" s="14"/>
    </row>
    <row r="832">
      <c r="A832" s="28"/>
      <c r="B832" s="19"/>
      <c r="C832" s="18"/>
      <c r="D832" s="19"/>
      <c r="E832" s="18"/>
      <c r="F832" s="19"/>
      <c r="G832" s="18"/>
      <c r="H832" s="19"/>
      <c r="I832" s="18"/>
      <c r="J832" s="19"/>
      <c r="K832" s="18"/>
      <c r="L832" s="19"/>
      <c r="M832" s="18"/>
      <c r="N832" s="19"/>
      <c r="O832" s="18"/>
      <c r="P832" s="19"/>
      <c r="Q832" s="18"/>
      <c r="R832" s="19"/>
      <c r="S832" s="18"/>
      <c r="T832" s="19"/>
      <c r="U832" s="18"/>
      <c r="V832" s="14"/>
    </row>
    <row r="833">
      <c r="A833" s="28"/>
      <c r="B833" s="19"/>
      <c r="C833" s="18"/>
      <c r="D833" s="19"/>
      <c r="E833" s="18"/>
      <c r="F833" s="19"/>
      <c r="G833" s="18"/>
      <c r="H833" s="19"/>
      <c r="I833" s="18"/>
      <c r="J833" s="19"/>
      <c r="K833" s="18"/>
      <c r="L833" s="19"/>
      <c r="M833" s="18"/>
      <c r="N833" s="19"/>
      <c r="O833" s="18"/>
      <c r="P833" s="19"/>
      <c r="Q833" s="18"/>
      <c r="R833" s="19"/>
      <c r="S833" s="18"/>
      <c r="T833" s="19"/>
      <c r="U833" s="18"/>
      <c r="V833" s="14"/>
    </row>
    <row r="834">
      <c r="A834" s="28"/>
      <c r="B834" s="19"/>
      <c r="C834" s="18"/>
      <c r="D834" s="19"/>
      <c r="E834" s="18"/>
      <c r="F834" s="19"/>
      <c r="G834" s="18"/>
      <c r="H834" s="19"/>
      <c r="I834" s="18"/>
      <c r="J834" s="19"/>
      <c r="K834" s="18"/>
      <c r="L834" s="19"/>
      <c r="M834" s="18"/>
      <c r="N834" s="19"/>
      <c r="O834" s="18"/>
      <c r="P834" s="19"/>
      <c r="Q834" s="18"/>
      <c r="R834" s="19"/>
      <c r="S834" s="18"/>
      <c r="T834" s="19"/>
      <c r="U834" s="18"/>
      <c r="V834" s="14"/>
    </row>
    <row r="835">
      <c r="A835" s="28"/>
      <c r="B835" s="19"/>
      <c r="C835" s="18"/>
      <c r="D835" s="19"/>
      <c r="E835" s="18"/>
      <c r="F835" s="19"/>
      <c r="G835" s="18"/>
      <c r="H835" s="19"/>
      <c r="I835" s="18"/>
      <c r="J835" s="19"/>
      <c r="K835" s="18"/>
      <c r="L835" s="19"/>
      <c r="M835" s="18"/>
      <c r="N835" s="19"/>
      <c r="O835" s="18"/>
      <c r="P835" s="19"/>
      <c r="Q835" s="18"/>
      <c r="R835" s="19"/>
      <c r="S835" s="18"/>
      <c r="T835" s="19"/>
      <c r="U835" s="18"/>
      <c r="V835" s="14"/>
    </row>
    <row r="836">
      <c r="A836" s="28"/>
      <c r="B836" s="19"/>
      <c r="C836" s="18"/>
      <c r="D836" s="19"/>
      <c r="E836" s="18"/>
      <c r="F836" s="19"/>
      <c r="G836" s="18"/>
      <c r="H836" s="19"/>
      <c r="I836" s="18"/>
      <c r="J836" s="19"/>
      <c r="K836" s="18"/>
      <c r="L836" s="19"/>
      <c r="M836" s="18"/>
      <c r="N836" s="19"/>
      <c r="O836" s="18"/>
      <c r="P836" s="19"/>
      <c r="Q836" s="18"/>
      <c r="R836" s="19"/>
      <c r="S836" s="18"/>
      <c r="T836" s="19"/>
      <c r="U836" s="18"/>
      <c r="V836" s="14"/>
    </row>
    <row r="837">
      <c r="A837" s="28"/>
      <c r="B837" s="19"/>
      <c r="C837" s="18"/>
      <c r="D837" s="19"/>
      <c r="E837" s="18"/>
      <c r="F837" s="19"/>
      <c r="G837" s="18"/>
      <c r="H837" s="19"/>
      <c r="I837" s="18"/>
      <c r="J837" s="19"/>
      <c r="K837" s="18"/>
      <c r="L837" s="19"/>
      <c r="M837" s="18"/>
      <c r="N837" s="19"/>
      <c r="O837" s="18"/>
      <c r="P837" s="19"/>
      <c r="Q837" s="18"/>
      <c r="R837" s="19"/>
      <c r="S837" s="18"/>
      <c r="T837" s="19"/>
      <c r="U837" s="18"/>
      <c r="V837" s="14"/>
    </row>
    <row r="838">
      <c r="A838" s="28"/>
      <c r="B838" s="19"/>
      <c r="C838" s="18"/>
      <c r="D838" s="19"/>
      <c r="E838" s="18"/>
      <c r="F838" s="19"/>
      <c r="G838" s="18"/>
      <c r="H838" s="19"/>
      <c r="I838" s="18"/>
      <c r="J838" s="19"/>
      <c r="K838" s="18"/>
      <c r="L838" s="19"/>
      <c r="M838" s="18"/>
      <c r="N838" s="19"/>
      <c r="O838" s="18"/>
      <c r="P838" s="19"/>
      <c r="Q838" s="18"/>
      <c r="R838" s="19"/>
      <c r="S838" s="18"/>
      <c r="T838" s="19"/>
      <c r="U838" s="18"/>
      <c r="V838" s="14"/>
    </row>
    <row r="839">
      <c r="A839" s="28"/>
      <c r="B839" s="19"/>
      <c r="C839" s="18"/>
      <c r="D839" s="19"/>
      <c r="E839" s="18"/>
      <c r="F839" s="19"/>
      <c r="G839" s="18"/>
      <c r="H839" s="19"/>
      <c r="I839" s="18"/>
      <c r="J839" s="19"/>
      <c r="K839" s="18"/>
      <c r="L839" s="19"/>
      <c r="M839" s="18"/>
      <c r="N839" s="19"/>
      <c r="O839" s="18"/>
      <c r="P839" s="19"/>
      <c r="Q839" s="18"/>
      <c r="R839" s="19"/>
      <c r="S839" s="18"/>
      <c r="T839" s="19"/>
      <c r="U839" s="18"/>
      <c r="V839" s="14"/>
    </row>
    <row r="840">
      <c r="A840" s="28"/>
      <c r="B840" s="19"/>
      <c r="C840" s="18"/>
      <c r="D840" s="19"/>
      <c r="E840" s="18"/>
      <c r="F840" s="19"/>
      <c r="G840" s="18"/>
      <c r="H840" s="19"/>
      <c r="I840" s="18"/>
      <c r="J840" s="19"/>
      <c r="K840" s="18"/>
      <c r="L840" s="19"/>
      <c r="M840" s="18"/>
      <c r="N840" s="19"/>
      <c r="O840" s="18"/>
      <c r="P840" s="19"/>
      <c r="Q840" s="18"/>
      <c r="R840" s="19"/>
      <c r="S840" s="18"/>
      <c r="T840" s="19"/>
      <c r="U840" s="18"/>
      <c r="V840" s="14"/>
    </row>
    <row r="841">
      <c r="A841" s="28"/>
      <c r="B841" s="19"/>
      <c r="C841" s="18"/>
      <c r="D841" s="19"/>
      <c r="E841" s="18"/>
      <c r="F841" s="19"/>
      <c r="G841" s="18"/>
      <c r="H841" s="19"/>
      <c r="I841" s="18"/>
      <c r="J841" s="19"/>
      <c r="K841" s="18"/>
      <c r="L841" s="19"/>
      <c r="M841" s="18"/>
      <c r="N841" s="19"/>
      <c r="O841" s="18"/>
      <c r="P841" s="19"/>
      <c r="Q841" s="18"/>
      <c r="R841" s="19"/>
      <c r="S841" s="18"/>
      <c r="T841" s="19"/>
      <c r="U841" s="18"/>
      <c r="V841" s="14"/>
    </row>
    <row r="842">
      <c r="A842" s="28"/>
      <c r="B842" s="19"/>
      <c r="C842" s="18"/>
      <c r="D842" s="19"/>
      <c r="E842" s="18"/>
      <c r="F842" s="19"/>
      <c r="G842" s="18"/>
      <c r="H842" s="19"/>
      <c r="I842" s="18"/>
      <c r="J842" s="19"/>
      <c r="K842" s="18"/>
      <c r="L842" s="19"/>
      <c r="M842" s="18"/>
      <c r="N842" s="19"/>
      <c r="O842" s="18"/>
      <c r="P842" s="19"/>
      <c r="Q842" s="18"/>
      <c r="R842" s="19"/>
      <c r="S842" s="18"/>
      <c r="T842" s="19"/>
      <c r="U842" s="18"/>
      <c r="V842" s="14"/>
    </row>
    <row r="843">
      <c r="A843" s="28"/>
      <c r="B843" s="19"/>
      <c r="C843" s="18"/>
      <c r="D843" s="19"/>
      <c r="E843" s="18"/>
      <c r="F843" s="19"/>
      <c r="G843" s="18"/>
      <c r="H843" s="19"/>
      <c r="I843" s="18"/>
      <c r="J843" s="19"/>
      <c r="K843" s="18"/>
      <c r="L843" s="19"/>
      <c r="M843" s="18"/>
      <c r="N843" s="19"/>
      <c r="O843" s="18"/>
      <c r="P843" s="19"/>
      <c r="Q843" s="18"/>
      <c r="R843" s="19"/>
      <c r="S843" s="18"/>
      <c r="T843" s="19"/>
      <c r="U843" s="18"/>
      <c r="V843" s="14"/>
    </row>
    <row r="844">
      <c r="A844" s="28"/>
      <c r="B844" s="19"/>
      <c r="C844" s="18"/>
      <c r="D844" s="19"/>
      <c r="E844" s="18"/>
      <c r="F844" s="19"/>
      <c r="G844" s="18"/>
      <c r="H844" s="19"/>
      <c r="I844" s="18"/>
      <c r="J844" s="19"/>
      <c r="K844" s="18"/>
      <c r="L844" s="19"/>
      <c r="M844" s="18"/>
      <c r="N844" s="19"/>
      <c r="O844" s="18"/>
      <c r="P844" s="19"/>
      <c r="Q844" s="18"/>
      <c r="R844" s="19"/>
      <c r="S844" s="18"/>
      <c r="T844" s="19"/>
      <c r="U844" s="18"/>
      <c r="V844" s="14"/>
    </row>
    <row r="845">
      <c r="A845" s="28"/>
      <c r="B845" s="19"/>
      <c r="C845" s="18"/>
      <c r="D845" s="19"/>
      <c r="E845" s="18"/>
      <c r="F845" s="19"/>
      <c r="G845" s="18"/>
      <c r="H845" s="19"/>
      <c r="I845" s="18"/>
      <c r="J845" s="19"/>
      <c r="K845" s="18"/>
      <c r="L845" s="19"/>
      <c r="M845" s="18"/>
      <c r="N845" s="19"/>
      <c r="O845" s="18"/>
      <c r="P845" s="19"/>
      <c r="Q845" s="18"/>
      <c r="R845" s="19"/>
      <c r="S845" s="18"/>
      <c r="T845" s="19"/>
      <c r="U845" s="18"/>
      <c r="V845" s="14"/>
    </row>
    <row r="846">
      <c r="A846" s="28"/>
      <c r="B846" s="19"/>
      <c r="C846" s="18"/>
      <c r="D846" s="19"/>
      <c r="E846" s="18"/>
      <c r="F846" s="19"/>
      <c r="G846" s="18"/>
      <c r="H846" s="19"/>
      <c r="I846" s="18"/>
      <c r="J846" s="19"/>
      <c r="K846" s="18"/>
      <c r="L846" s="19"/>
      <c r="M846" s="18"/>
      <c r="N846" s="19"/>
      <c r="O846" s="18"/>
      <c r="P846" s="19"/>
      <c r="Q846" s="18"/>
      <c r="R846" s="19"/>
      <c r="S846" s="18"/>
      <c r="T846" s="19"/>
      <c r="U846" s="18"/>
      <c r="V846" s="14"/>
    </row>
    <row r="847">
      <c r="A847" s="28"/>
      <c r="B847" s="19"/>
      <c r="C847" s="18"/>
      <c r="D847" s="19"/>
      <c r="E847" s="18"/>
      <c r="F847" s="19"/>
      <c r="G847" s="18"/>
      <c r="H847" s="19"/>
      <c r="I847" s="18"/>
      <c r="J847" s="19"/>
      <c r="K847" s="18"/>
      <c r="L847" s="19"/>
      <c r="M847" s="18"/>
      <c r="N847" s="19"/>
      <c r="O847" s="18"/>
      <c r="P847" s="19"/>
      <c r="Q847" s="18"/>
      <c r="R847" s="19"/>
      <c r="S847" s="18"/>
      <c r="T847" s="19"/>
      <c r="U847" s="18"/>
      <c r="V847" s="14"/>
    </row>
    <row r="848">
      <c r="A848" s="28"/>
      <c r="B848" s="19"/>
      <c r="C848" s="18"/>
      <c r="D848" s="19"/>
      <c r="E848" s="18"/>
      <c r="F848" s="19"/>
      <c r="G848" s="18"/>
      <c r="H848" s="19"/>
      <c r="I848" s="18"/>
      <c r="J848" s="19"/>
      <c r="K848" s="18"/>
      <c r="L848" s="19"/>
      <c r="M848" s="18"/>
      <c r="N848" s="19"/>
      <c r="O848" s="18"/>
      <c r="P848" s="19"/>
      <c r="Q848" s="18"/>
      <c r="R848" s="19"/>
      <c r="S848" s="18"/>
      <c r="T848" s="19"/>
      <c r="U848" s="18"/>
      <c r="V848" s="14"/>
    </row>
    <row r="849">
      <c r="A849" s="28"/>
      <c r="B849" s="19"/>
      <c r="C849" s="18"/>
      <c r="D849" s="19"/>
      <c r="E849" s="18"/>
      <c r="F849" s="19"/>
      <c r="G849" s="18"/>
      <c r="H849" s="19"/>
      <c r="I849" s="18"/>
      <c r="J849" s="19"/>
      <c r="K849" s="18"/>
      <c r="L849" s="19"/>
      <c r="M849" s="18"/>
      <c r="N849" s="19"/>
      <c r="O849" s="18"/>
      <c r="P849" s="19"/>
      <c r="Q849" s="18"/>
      <c r="R849" s="19"/>
      <c r="S849" s="18"/>
      <c r="T849" s="19"/>
      <c r="U849" s="18"/>
      <c r="V849" s="14"/>
    </row>
    <row r="850">
      <c r="A850" s="28"/>
      <c r="B850" s="19"/>
      <c r="C850" s="18"/>
      <c r="D850" s="19"/>
      <c r="E850" s="18"/>
      <c r="F850" s="19"/>
      <c r="G850" s="18"/>
      <c r="H850" s="19"/>
      <c r="I850" s="18"/>
      <c r="J850" s="19"/>
      <c r="K850" s="18"/>
      <c r="L850" s="19"/>
      <c r="M850" s="18"/>
      <c r="N850" s="19"/>
      <c r="O850" s="18"/>
      <c r="P850" s="19"/>
      <c r="Q850" s="18"/>
      <c r="R850" s="19"/>
      <c r="S850" s="18"/>
      <c r="T850" s="19"/>
      <c r="U850" s="18"/>
      <c r="V850" s="14"/>
    </row>
    <row r="851">
      <c r="A851" s="28"/>
      <c r="B851" s="19"/>
      <c r="C851" s="18"/>
      <c r="D851" s="19"/>
      <c r="E851" s="18"/>
      <c r="F851" s="19"/>
      <c r="G851" s="18"/>
      <c r="H851" s="19"/>
      <c r="I851" s="18"/>
      <c r="J851" s="19"/>
      <c r="K851" s="18"/>
      <c r="L851" s="19"/>
      <c r="M851" s="18"/>
      <c r="N851" s="19"/>
      <c r="O851" s="18"/>
      <c r="P851" s="19"/>
      <c r="Q851" s="18"/>
      <c r="R851" s="19"/>
      <c r="S851" s="18"/>
      <c r="T851" s="19"/>
      <c r="U851" s="18"/>
      <c r="V851" s="14"/>
    </row>
    <row r="852">
      <c r="A852" s="28"/>
      <c r="B852" s="19"/>
      <c r="C852" s="18"/>
      <c r="D852" s="19"/>
      <c r="E852" s="18"/>
      <c r="F852" s="19"/>
      <c r="G852" s="18"/>
      <c r="H852" s="19"/>
      <c r="I852" s="18"/>
      <c r="J852" s="19"/>
      <c r="K852" s="18"/>
      <c r="L852" s="19"/>
      <c r="M852" s="18"/>
      <c r="N852" s="19"/>
      <c r="O852" s="18"/>
      <c r="P852" s="19"/>
      <c r="Q852" s="18"/>
      <c r="R852" s="19"/>
      <c r="S852" s="18"/>
      <c r="T852" s="19"/>
      <c r="U852" s="18"/>
      <c r="V852" s="14"/>
    </row>
    <row r="853">
      <c r="A853" s="28"/>
      <c r="B853" s="19"/>
      <c r="C853" s="18"/>
      <c r="D853" s="19"/>
      <c r="E853" s="18"/>
      <c r="F853" s="19"/>
      <c r="G853" s="18"/>
      <c r="H853" s="19"/>
      <c r="I853" s="18"/>
      <c r="J853" s="19"/>
      <c r="K853" s="18"/>
      <c r="L853" s="19"/>
      <c r="M853" s="18"/>
      <c r="N853" s="19"/>
      <c r="O853" s="18"/>
      <c r="P853" s="19"/>
      <c r="Q853" s="18"/>
      <c r="R853" s="19"/>
      <c r="S853" s="18"/>
      <c r="T853" s="19"/>
      <c r="U853" s="18"/>
      <c r="V853" s="14"/>
    </row>
    <row r="854">
      <c r="A854" s="28"/>
      <c r="B854" s="19"/>
      <c r="C854" s="18"/>
      <c r="D854" s="19"/>
      <c r="E854" s="18"/>
      <c r="F854" s="19"/>
      <c r="G854" s="18"/>
      <c r="H854" s="19"/>
      <c r="I854" s="18"/>
      <c r="J854" s="19"/>
      <c r="K854" s="18"/>
      <c r="L854" s="19"/>
      <c r="M854" s="18"/>
      <c r="N854" s="19"/>
      <c r="O854" s="18"/>
      <c r="P854" s="19"/>
      <c r="Q854" s="18"/>
      <c r="R854" s="19"/>
      <c r="S854" s="18"/>
      <c r="T854" s="19"/>
      <c r="U854" s="18"/>
      <c r="V854" s="14"/>
    </row>
    <row r="855">
      <c r="A855" s="28"/>
      <c r="B855" s="19"/>
      <c r="C855" s="18"/>
      <c r="D855" s="19"/>
      <c r="E855" s="18"/>
      <c r="F855" s="19"/>
      <c r="G855" s="18"/>
      <c r="H855" s="19"/>
      <c r="I855" s="18"/>
      <c r="J855" s="19"/>
      <c r="K855" s="18"/>
      <c r="L855" s="19"/>
      <c r="M855" s="18"/>
      <c r="N855" s="19"/>
      <c r="O855" s="18"/>
      <c r="P855" s="19"/>
      <c r="Q855" s="18"/>
      <c r="R855" s="19"/>
      <c r="S855" s="18"/>
      <c r="T855" s="19"/>
      <c r="U855" s="18"/>
      <c r="V855" s="14"/>
    </row>
    <row r="856">
      <c r="A856" s="28"/>
      <c r="B856" s="19"/>
      <c r="C856" s="18"/>
      <c r="D856" s="19"/>
      <c r="E856" s="18"/>
      <c r="F856" s="19"/>
      <c r="G856" s="18"/>
      <c r="H856" s="19"/>
      <c r="I856" s="18"/>
      <c r="J856" s="19"/>
      <c r="K856" s="18"/>
      <c r="L856" s="19"/>
      <c r="M856" s="18"/>
      <c r="N856" s="19"/>
      <c r="O856" s="18"/>
      <c r="P856" s="19"/>
      <c r="Q856" s="18"/>
      <c r="R856" s="19"/>
      <c r="S856" s="18"/>
      <c r="T856" s="19"/>
      <c r="U856" s="18"/>
      <c r="V856" s="14"/>
    </row>
    <row r="857">
      <c r="A857" s="28"/>
      <c r="B857" s="19"/>
      <c r="C857" s="18"/>
      <c r="D857" s="19"/>
      <c r="E857" s="18"/>
      <c r="F857" s="19"/>
      <c r="G857" s="18"/>
      <c r="H857" s="19"/>
      <c r="I857" s="18"/>
      <c r="J857" s="19"/>
      <c r="K857" s="18"/>
      <c r="L857" s="19"/>
      <c r="M857" s="18"/>
      <c r="N857" s="19"/>
      <c r="O857" s="18"/>
      <c r="P857" s="19"/>
      <c r="Q857" s="18"/>
      <c r="R857" s="19"/>
      <c r="S857" s="18"/>
      <c r="T857" s="19"/>
      <c r="U857" s="18"/>
      <c r="V857" s="14"/>
    </row>
    <row r="858">
      <c r="A858" s="28"/>
      <c r="B858" s="19"/>
      <c r="C858" s="18"/>
      <c r="D858" s="19"/>
      <c r="E858" s="18"/>
      <c r="F858" s="19"/>
      <c r="G858" s="18"/>
      <c r="H858" s="19"/>
      <c r="I858" s="18"/>
      <c r="J858" s="19"/>
      <c r="K858" s="18"/>
      <c r="L858" s="19"/>
      <c r="M858" s="18"/>
      <c r="N858" s="19"/>
      <c r="O858" s="18"/>
      <c r="P858" s="19"/>
      <c r="Q858" s="18"/>
      <c r="R858" s="19"/>
      <c r="S858" s="18"/>
      <c r="T858" s="19"/>
      <c r="U858" s="18"/>
      <c r="V858" s="14"/>
    </row>
    <row r="859">
      <c r="A859" s="28"/>
      <c r="B859" s="19"/>
      <c r="C859" s="18"/>
      <c r="D859" s="19"/>
      <c r="E859" s="18"/>
      <c r="F859" s="19"/>
      <c r="G859" s="18"/>
      <c r="H859" s="19"/>
      <c r="I859" s="18"/>
      <c r="J859" s="19"/>
      <c r="K859" s="18"/>
      <c r="L859" s="19"/>
      <c r="M859" s="18"/>
      <c r="N859" s="19"/>
      <c r="O859" s="18"/>
      <c r="P859" s="19"/>
      <c r="Q859" s="18"/>
      <c r="R859" s="19"/>
      <c r="S859" s="18"/>
      <c r="T859" s="19"/>
      <c r="U859" s="18"/>
      <c r="V859" s="14"/>
    </row>
    <row r="860">
      <c r="A860" s="28"/>
      <c r="B860" s="19"/>
      <c r="C860" s="18"/>
      <c r="D860" s="19"/>
      <c r="E860" s="18"/>
      <c r="F860" s="19"/>
      <c r="G860" s="18"/>
      <c r="H860" s="19"/>
      <c r="I860" s="18"/>
      <c r="J860" s="19"/>
      <c r="K860" s="18"/>
      <c r="L860" s="19"/>
      <c r="M860" s="18"/>
      <c r="N860" s="19"/>
      <c r="O860" s="18"/>
      <c r="P860" s="19"/>
      <c r="Q860" s="18"/>
      <c r="R860" s="19"/>
      <c r="S860" s="18"/>
      <c r="T860" s="19"/>
      <c r="U860" s="18"/>
      <c r="V860" s="14"/>
    </row>
    <row r="861">
      <c r="A861" s="28"/>
      <c r="B861" s="19"/>
      <c r="C861" s="18"/>
      <c r="D861" s="19"/>
      <c r="E861" s="18"/>
      <c r="F861" s="19"/>
      <c r="G861" s="18"/>
      <c r="H861" s="19"/>
      <c r="I861" s="18"/>
      <c r="J861" s="19"/>
      <c r="K861" s="18"/>
      <c r="L861" s="19"/>
      <c r="M861" s="18"/>
      <c r="N861" s="19"/>
      <c r="O861" s="18"/>
      <c r="P861" s="19"/>
      <c r="Q861" s="18"/>
      <c r="R861" s="19"/>
      <c r="S861" s="18"/>
      <c r="T861" s="19"/>
      <c r="U861" s="18"/>
      <c r="V861" s="14"/>
    </row>
    <row r="862">
      <c r="A862" s="28"/>
      <c r="B862" s="19"/>
      <c r="C862" s="18"/>
      <c r="D862" s="19"/>
      <c r="E862" s="18"/>
      <c r="F862" s="19"/>
      <c r="G862" s="18"/>
      <c r="H862" s="19"/>
      <c r="I862" s="18"/>
      <c r="J862" s="19"/>
      <c r="K862" s="18"/>
      <c r="L862" s="19"/>
      <c r="M862" s="18"/>
      <c r="N862" s="19"/>
      <c r="O862" s="18"/>
      <c r="P862" s="19"/>
      <c r="Q862" s="18"/>
      <c r="R862" s="19"/>
      <c r="S862" s="18"/>
      <c r="T862" s="19"/>
      <c r="U862" s="18"/>
      <c r="V862" s="14"/>
    </row>
    <row r="863">
      <c r="A863" s="28"/>
      <c r="B863" s="19"/>
      <c r="C863" s="18"/>
      <c r="D863" s="19"/>
      <c r="E863" s="18"/>
      <c r="F863" s="19"/>
      <c r="G863" s="18"/>
      <c r="H863" s="19"/>
      <c r="I863" s="18"/>
      <c r="J863" s="19"/>
      <c r="K863" s="18"/>
      <c r="L863" s="19"/>
      <c r="M863" s="18"/>
      <c r="N863" s="19"/>
      <c r="O863" s="18"/>
      <c r="P863" s="19"/>
      <c r="Q863" s="18"/>
      <c r="R863" s="19"/>
      <c r="S863" s="18"/>
      <c r="T863" s="19"/>
      <c r="U863" s="18"/>
      <c r="V863" s="14"/>
    </row>
    <row r="864">
      <c r="A864" s="28"/>
      <c r="B864" s="19"/>
      <c r="C864" s="18"/>
      <c r="D864" s="19"/>
      <c r="E864" s="18"/>
      <c r="F864" s="19"/>
      <c r="G864" s="18"/>
      <c r="H864" s="19"/>
      <c r="I864" s="18"/>
      <c r="J864" s="19"/>
      <c r="K864" s="18"/>
      <c r="L864" s="19"/>
      <c r="M864" s="18"/>
      <c r="N864" s="19"/>
      <c r="O864" s="18"/>
      <c r="P864" s="19"/>
      <c r="Q864" s="18"/>
      <c r="R864" s="19"/>
      <c r="S864" s="18"/>
      <c r="T864" s="19"/>
      <c r="U864" s="18"/>
      <c r="V864" s="14"/>
    </row>
    <row r="865">
      <c r="A865" s="28"/>
      <c r="B865" s="19"/>
      <c r="C865" s="18"/>
      <c r="D865" s="19"/>
      <c r="E865" s="18"/>
      <c r="F865" s="19"/>
      <c r="G865" s="18"/>
      <c r="H865" s="19"/>
      <c r="I865" s="18"/>
      <c r="J865" s="19"/>
      <c r="K865" s="18"/>
      <c r="L865" s="19"/>
      <c r="M865" s="18"/>
      <c r="N865" s="19"/>
      <c r="O865" s="18"/>
      <c r="P865" s="19"/>
      <c r="Q865" s="18"/>
      <c r="R865" s="19"/>
      <c r="S865" s="18"/>
      <c r="T865" s="19"/>
      <c r="U865" s="18"/>
      <c r="V865" s="14"/>
    </row>
    <row r="866">
      <c r="A866" s="28"/>
      <c r="B866" s="19"/>
      <c r="C866" s="18"/>
      <c r="D866" s="19"/>
      <c r="E866" s="18"/>
      <c r="F866" s="19"/>
      <c r="G866" s="18"/>
      <c r="H866" s="19"/>
      <c r="I866" s="18"/>
      <c r="J866" s="19"/>
      <c r="K866" s="18"/>
      <c r="L866" s="19"/>
      <c r="M866" s="18"/>
      <c r="N866" s="19"/>
      <c r="O866" s="18"/>
      <c r="P866" s="19"/>
      <c r="Q866" s="18"/>
      <c r="R866" s="19"/>
      <c r="S866" s="18"/>
      <c r="T866" s="19"/>
      <c r="U866" s="18"/>
      <c r="V866" s="14"/>
    </row>
    <row r="867">
      <c r="A867" s="28"/>
      <c r="B867" s="19"/>
      <c r="C867" s="18"/>
      <c r="D867" s="19"/>
      <c r="E867" s="18"/>
      <c r="F867" s="19"/>
      <c r="G867" s="18"/>
      <c r="H867" s="19"/>
      <c r="I867" s="18"/>
      <c r="J867" s="19"/>
      <c r="K867" s="18"/>
      <c r="L867" s="19"/>
      <c r="M867" s="18"/>
      <c r="N867" s="19"/>
      <c r="O867" s="18"/>
      <c r="P867" s="19"/>
      <c r="Q867" s="18"/>
      <c r="R867" s="19"/>
      <c r="S867" s="18"/>
      <c r="T867" s="19"/>
      <c r="U867" s="18"/>
      <c r="V867" s="14"/>
    </row>
    <row r="868">
      <c r="A868" s="28"/>
      <c r="B868" s="19"/>
      <c r="C868" s="18"/>
      <c r="D868" s="19"/>
      <c r="E868" s="18"/>
      <c r="F868" s="19"/>
      <c r="G868" s="18"/>
      <c r="H868" s="19"/>
      <c r="I868" s="18"/>
      <c r="J868" s="19"/>
      <c r="K868" s="18"/>
      <c r="L868" s="19"/>
      <c r="M868" s="18"/>
      <c r="N868" s="19"/>
      <c r="O868" s="18"/>
      <c r="P868" s="19"/>
      <c r="Q868" s="18"/>
      <c r="R868" s="19"/>
      <c r="S868" s="18"/>
      <c r="T868" s="19"/>
      <c r="U868" s="18"/>
      <c r="V868" s="14"/>
    </row>
    <row r="869">
      <c r="A869" s="28"/>
      <c r="B869" s="19"/>
      <c r="C869" s="18"/>
      <c r="D869" s="19"/>
      <c r="E869" s="18"/>
      <c r="F869" s="19"/>
      <c r="G869" s="18"/>
      <c r="H869" s="19"/>
      <c r="I869" s="18"/>
      <c r="J869" s="19"/>
      <c r="K869" s="18"/>
      <c r="L869" s="19"/>
      <c r="M869" s="18"/>
      <c r="N869" s="19"/>
      <c r="O869" s="18"/>
      <c r="P869" s="19"/>
      <c r="Q869" s="18"/>
      <c r="R869" s="19"/>
      <c r="S869" s="18"/>
      <c r="T869" s="19"/>
      <c r="U869" s="18"/>
      <c r="V869" s="14"/>
    </row>
    <row r="870">
      <c r="A870" s="28"/>
      <c r="B870" s="19"/>
      <c r="C870" s="18"/>
      <c r="D870" s="19"/>
      <c r="E870" s="18"/>
      <c r="F870" s="19"/>
      <c r="G870" s="18"/>
      <c r="H870" s="19"/>
      <c r="I870" s="18"/>
      <c r="J870" s="19"/>
      <c r="K870" s="18"/>
      <c r="L870" s="19"/>
      <c r="M870" s="18"/>
      <c r="N870" s="19"/>
      <c r="O870" s="18"/>
      <c r="P870" s="19"/>
      <c r="Q870" s="18"/>
      <c r="R870" s="19"/>
      <c r="S870" s="18"/>
      <c r="T870" s="19"/>
      <c r="U870" s="18"/>
      <c r="V870" s="14"/>
    </row>
    <row r="871">
      <c r="A871" s="28"/>
      <c r="B871" s="19"/>
      <c r="C871" s="18"/>
      <c r="D871" s="19"/>
      <c r="E871" s="18"/>
      <c r="F871" s="19"/>
      <c r="G871" s="18"/>
      <c r="H871" s="19"/>
      <c r="I871" s="18"/>
      <c r="J871" s="19"/>
      <c r="K871" s="18"/>
      <c r="L871" s="19"/>
      <c r="M871" s="18"/>
      <c r="N871" s="19"/>
      <c r="O871" s="18"/>
      <c r="P871" s="19"/>
      <c r="Q871" s="18"/>
      <c r="R871" s="19"/>
      <c r="S871" s="18"/>
      <c r="T871" s="19"/>
      <c r="U871" s="18"/>
      <c r="V871" s="14"/>
    </row>
    <row r="872">
      <c r="A872" s="28"/>
      <c r="B872" s="19"/>
      <c r="C872" s="18"/>
      <c r="D872" s="19"/>
      <c r="E872" s="18"/>
      <c r="F872" s="19"/>
      <c r="G872" s="18"/>
      <c r="H872" s="19"/>
      <c r="I872" s="18"/>
      <c r="J872" s="19"/>
      <c r="K872" s="18"/>
      <c r="L872" s="19"/>
      <c r="M872" s="18"/>
      <c r="N872" s="19"/>
      <c r="O872" s="18"/>
      <c r="P872" s="19"/>
      <c r="Q872" s="18"/>
      <c r="R872" s="19"/>
      <c r="S872" s="18"/>
      <c r="T872" s="19"/>
      <c r="U872" s="18"/>
      <c r="V872" s="14"/>
    </row>
    <row r="873">
      <c r="A873" s="28"/>
      <c r="B873" s="19"/>
      <c r="C873" s="18"/>
      <c r="D873" s="19"/>
      <c r="E873" s="18"/>
      <c r="F873" s="19"/>
      <c r="G873" s="18"/>
      <c r="H873" s="19"/>
      <c r="I873" s="18"/>
      <c r="J873" s="19"/>
      <c r="K873" s="18"/>
      <c r="L873" s="19"/>
      <c r="M873" s="18"/>
      <c r="N873" s="19"/>
      <c r="O873" s="18"/>
      <c r="P873" s="19"/>
      <c r="Q873" s="18"/>
      <c r="R873" s="19"/>
      <c r="S873" s="18"/>
      <c r="T873" s="19"/>
      <c r="U873" s="18"/>
      <c r="V873" s="14"/>
    </row>
    <row r="874">
      <c r="A874" s="28"/>
      <c r="B874" s="19"/>
      <c r="C874" s="18"/>
      <c r="D874" s="19"/>
      <c r="E874" s="18"/>
      <c r="F874" s="19"/>
      <c r="G874" s="18"/>
      <c r="H874" s="19"/>
      <c r="I874" s="18"/>
      <c r="J874" s="19"/>
      <c r="K874" s="18"/>
      <c r="L874" s="19"/>
      <c r="M874" s="18"/>
      <c r="N874" s="19"/>
      <c r="O874" s="18"/>
      <c r="P874" s="19"/>
      <c r="Q874" s="18"/>
      <c r="R874" s="19"/>
      <c r="S874" s="18"/>
      <c r="T874" s="19"/>
      <c r="U874" s="18"/>
      <c r="V874" s="14"/>
    </row>
    <row r="875">
      <c r="A875" s="28"/>
      <c r="B875" s="19"/>
      <c r="C875" s="18"/>
      <c r="D875" s="19"/>
      <c r="E875" s="18"/>
      <c r="F875" s="19"/>
      <c r="G875" s="18"/>
      <c r="H875" s="19"/>
      <c r="I875" s="18"/>
      <c r="J875" s="19"/>
      <c r="K875" s="18"/>
      <c r="L875" s="19"/>
      <c r="M875" s="18"/>
      <c r="N875" s="19"/>
      <c r="O875" s="18"/>
      <c r="P875" s="19"/>
      <c r="Q875" s="18"/>
      <c r="R875" s="19"/>
      <c r="S875" s="18"/>
      <c r="T875" s="19"/>
      <c r="U875" s="18"/>
      <c r="V875" s="14"/>
    </row>
    <row r="876">
      <c r="A876" s="28"/>
      <c r="B876" s="19"/>
      <c r="C876" s="18"/>
      <c r="D876" s="19"/>
      <c r="E876" s="18"/>
      <c r="F876" s="19"/>
      <c r="G876" s="18"/>
      <c r="H876" s="19"/>
      <c r="I876" s="18"/>
      <c r="J876" s="19"/>
      <c r="K876" s="18"/>
      <c r="L876" s="19"/>
      <c r="M876" s="18"/>
      <c r="N876" s="19"/>
      <c r="O876" s="18"/>
      <c r="P876" s="19"/>
      <c r="Q876" s="18"/>
      <c r="R876" s="19"/>
      <c r="S876" s="18"/>
      <c r="T876" s="19"/>
      <c r="U876" s="18"/>
      <c r="V876" s="14"/>
    </row>
    <row r="877">
      <c r="A877" s="28"/>
      <c r="B877" s="19"/>
      <c r="C877" s="18"/>
      <c r="D877" s="19"/>
      <c r="E877" s="18"/>
      <c r="F877" s="19"/>
      <c r="G877" s="18"/>
      <c r="H877" s="19"/>
      <c r="I877" s="18"/>
      <c r="J877" s="19"/>
      <c r="K877" s="18"/>
      <c r="L877" s="19"/>
      <c r="M877" s="18"/>
      <c r="N877" s="19"/>
      <c r="O877" s="18"/>
      <c r="P877" s="19"/>
      <c r="Q877" s="18"/>
      <c r="R877" s="19"/>
      <c r="S877" s="18"/>
      <c r="T877" s="19"/>
      <c r="U877" s="18"/>
      <c r="V877" s="14"/>
    </row>
    <row r="878">
      <c r="A878" s="28"/>
      <c r="B878" s="19"/>
      <c r="C878" s="18"/>
      <c r="D878" s="19"/>
      <c r="E878" s="18"/>
      <c r="F878" s="19"/>
      <c r="G878" s="18"/>
      <c r="H878" s="19"/>
      <c r="I878" s="18"/>
      <c r="J878" s="19"/>
      <c r="K878" s="18"/>
      <c r="L878" s="19"/>
      <c r="M878" s="18"/>
      <c r="N878" s="19"/>
      <c r="O878" s="18"/>
      <c r="P878" s="19"/>
      <c r="Q878" s="18"/>
      <c r="R878" s="19"/>
      <c r="S878" s="18"/>
      <c r="T878" s="19"/>
      <c r="U878" s="18"/>
      <c r="V878" s="14"/>
    </row>
    <row r="879">
      <c r="A879" s="28"/>
      <c r="B879" s="19"/>
      <c r="C879" s="18"/>
      <c r="D879" s="19"/>
      <c r="E879" s="18"/>
      <c r="F879" s="19"/>
      <c r="G879" s="18"/>
      <c r="H879" s="19"/>
      <c r="I879" s="18"/>
      <c r="J879" s="19"/>
      <c r="K879" s="18"/>
      <c r="L879" s="19"/>
      <c r="M879" s="18"/>
      <c r="N879" s="19"/>
      <c r="O879" s="18"/>
      <c r="P879" s="19"/>
      <c r="Q879" s="18"/>
      <c r="R879" s="19"/>
      <c r="S879" s="18"/>
      <c r="T879" s="19"/>
      <c r="U879" s="18"/>
      <c r="V879" s="14"/>
    </row>
    <row r="880">
      <c r="A880" s="28"/>
      <c r="B880" s="19"/>
      <c r="C880" s="18"/>
      <c r="D880" s="19"/>
      <c r="E880" s="18"/>
      <c r="F880" s="19"/>
      <c r="G880" s="18"/>
      <c r="H880" s="19"/>
      <c r="I880" s="18"/>
      <c r="J880" s="19"/>
      <c r="K880" s="18"/>
      <c r="L880" s="19"/>
      <c r="M880" s="18"/>
      <c r="N880" s="19"/>
      <c r="O880" s="18"/>
      <c r="P880" s="19"/>
      <c r="Q880" s="18"/>
      <c r="R880" s="19"/>
      <c r="S880" s="18"/>
      <c r="T880" s="19"/>
      <c r="U880" s="18"/>
      <c r="V880" s="14"/>
    </row>
    <row r="881">
      <c r="A881" s="28"/>
      <c r="B881" s="19"/>
      <c r="C881" s="18"/>
      <c r="D881" s="19"/>
      <c r="E881" s="18"/>
      <c r="F881" s="19"/>
      <c r="G881" s="18"/>
      <c r="H881" s="19"/>
      <c r="I881" s="18"/>
      <c r="J881" s="19"/>
      <c r="K881" s="18"/>
      <c r="L881" s="19"/>
      <c r="M881" s="18"/>
      <c r="N881" s="19"/>
      <c r="O881" s="18"/>
      <c r="P881" s="19"/>
      <c r="Q881" s="18"/>
      <c r="R881" s="19"/>
      <c r="S881" s="18"/>
      <c r="T881" s="19"/>
      <c r="U881" s="18"/>
      <c r="V881" s="14"/>
    </row>
    <row r="882">
      <c r="A882" s="28"/>
      <c r="B882" s="19"/>
      <c r="C882" s="18"/>
      <c r="D882" s="19"/>
      <c r="E882" s="18"/>
      <c r="F882" s="19"/>
      <c r="G882" s="18"/>
      <c r="H882" s="19"/>
      <c r="I882" s="18"/>
      <c r="J882" s="19"/>
      <c r="K882" s="18"/>
      <c r="L882" s="19"/>
      <c r="M882" s="18"/>
      <c r="N882" s="19"/>
      <c r="O882" s="18"/>
      <c r="P882" s="19"/>
      <c r="Q882" s="18"/>
      <c r="R882" s="19"/>
      <c r="S882" s="18"/>
      <c r="T882" s="19"/>
      <c r="U882" s="18"/>
      <c r="V882" s="14"/>
    </row>
    <row r="883">
      <c r="A883" s="28"/>
      <c r="B883" s="19"/>
      <c r="C883" s="18"/>
      <c r="D883" s="19"/>
      <c r="E883" s="18"/>
      <c r="F883" s="19"/>
      <c r="G883" s="18"/>
      <c r="H883" s="19"/>
      <c r="I883" s="18"/>
      <c r="J883" s="19"/>
      <c r="K883" s="18"/>
      <c r="L883" s="19"/>
      <c r="M883" s="18"/>
      <c r="N883" s="19"/>
      <c r="O883" s="18"/>
      <c r="P883" s="19"/>
      <c r="Q883" s="18"/>
      <c r="R883" s="19"/>
      <c r="S883" s="18"/>
      <c r="T883" s="19"/>
      <c r="U883" s="18"/>
      <c r="V883" s="14"/>
    </row>
    <row r="884">
      <c r="A884" s="28"/>
      <c r="B884" s="19"/>
      <c r="C884" s="18"/>
      <c r="D884" s="19"/>
      <c r="E884" s="18"/>
      <c r="F884" s="19"/>
      <c r="G884" s="18"/>
      <c r="H884" s="19"/>
      <c r="I884" s="18"/>
      <c r="J884" s="19"/>
      <c r="K884" s="18"/>
      <c r="L884" s="19"/>
      <c r="M884" s="18"/>
      <c r="N884" s="19"/>
      <c r="O884" s="18"/>
      <c r="P884" s="19"/>
      <c r="Q884" s="18"/>
      <c r="R884" s="19"/>
      <c r="S884" s="18"/>
      <c r="T884" s="19"/>
      <c r="U884" s="18"/>
      <c r="V884" s="14"/>
    </row>
    <row r="885">
      <c r="A885" s="28"/>
      <c r="B885" s="19"/>
      <c r="C885" s="18"/>
      <c r="D885" s="19"/>
      <c r="E885" s="18"/>
      <c r="F885" s="19"/>
      <c r="G885" s="18"/>
      <c r="H885" s="19"/>
      <c r="I885" s="18"/>
      <c r="J885" s="19"/>
      <c r="K885" s="18"/>
      <c r="L885" s="19"/>
      <c r="M885" s="18"/>
      <c r="N885" s="19"/>
      <c r="O885" s="18"/>
      <c r="P885" s="19"/>
      <c r="Q885" s="18"/>
      <c r="R885" s="19"/>
      <c r="S885" s="18"/>
      <c r="T885" s="19"/>
      <c r="U885" s="18"/>
      <c r="V885" s="14"/>
    </row>
    <row r="886">
      <c r="A886" s="28"/>
      <c r="B886" s="19"/>
      <c r="C886" s="18"/>
      <c r="D886" s="19"/>
      <c r="E886" s="18"/>
      <c r="F886" s="19"/>
      <c r="G886" s="18"/>
      <c r="H886" s="19"/>
      <c r="I886" s="18"/>
      <c r="J886" s="19"/>
      <c r="K886" s="18"/>
      <c r="L886" s="19"/>
      <c r="M886" s="18"/>
      <c r="N886" s="19"/>
      <c r="O886" s="18"/>
      <c r="P886" s="19"/>
      <c r="Q886" s="18"/>
      <c r="R886" s="19"/>
      <c r="S886" s="18"/>
      <c r="T886" s="19"/>
      <c r="U886" s="18"/>
      <c r="V886" s="14"/>
    </row>
    <row r="887">
      <c r="A887" s="28"/>
      <c r="B887" s="19"/>
      <c r="C887" s="18"/>
      <c r="D887" s="19"/>
      <c r="E887" s="18"/>
      <c r="F887" s="19"/>
      <c r="G887" s="18"/>
      <c r="H887" s="19"/>
      <c r="I887" s="18"/>
      <c r="J887" s="19"/>
      <c r="K887" s="18"/>
      <c r="L887" s="19"/>
      <c r="M887" s="18"/>
      <c r="N887" s="19"/>
      <c r="O887" s="18"/>
      <c r="P887" s="19"/>
      <c r="Q887" s="18"/>
      <c r="R887" s="19"/>
      <c r="S887" s="18"/>
      <c r="T887" s="19"/>
      <c r="U887" s="18"/>
      <c r="V887" s="14"/>
    </row>
    <row r="888">
      <c r="A888" s="28"/>
      <c r="B888" s="19"/>
      <c r="C888" s="18"/>
      <c r="D888" s="19"/>
      <c r="E888" s="18"/>
      <c r="F888" s="19"/>
      <c r="G888" s="18"/>
      <c r="H888" s="19"/>
      <c r="I888" s="18"/>
      <c r="J888" s="19"/>
      <c r="K888" s="18"/>
      <c r="L888" s="19"/>
      <c r="M888" s="18"/>
      <c r="N888" s="19"/>
      <c r="O888" s="18"/>
      <c r="P888" s="19"/>
      <c r="Q888" s="18"/>
      <c r="R888" s="19"/>
      <c r="S888" s="18"/>
      <c r="T888" s="19"/>
      <c r="U888" s="18"/>
      <c r="V888" s="14"/>
    </row>
    <row r="889">
      <c r="A889" s="28"/>
      <c r="B889" s="19"/>
      <c r="C889" s="18"/>
      <c r="D889" s="19"/>
      <c r="E889" s="18"/>
      <c r="F889" s="19"/>
      <c r="G889" s="18"/>
      <c r="H889" s="19"/>
      <c r="I889" s="18"/>
      <c r="J889" s="19"/>
      <c r="K889" s="18"/>
      <c r="L889" s="19"/>
      <c r="M889" s="18"/>
      <c r="N889" s="19"/>
      <c r="O889" s="18"/>
      <c r="P889" s="19"/>
      <c r="Q889" s="18"/>
      <c r="R889" s="19"/>
      <c r="S889" s="18"/>
      <c r="T889" s="19"/>
      <c r="U889" s="18"/>
      <c r="V889" s="14"/>
    </row>
    <row r="890">
      <c r="A890" s="28"/>
      <c r="B890" s="19"/>
      <c r="C890" s="18"/>
      <c r="D890" s="19"/>
      <c r="E890" s="18"/>
      <c r="F890" s="19"/>
      <c r="G890" s="18"/>
      <c r="H890" s="19"/>
      <c r="I890" s="18"/>
      <c r="J890" s="19"/>
      <c r="K890" s="18"/>
      <c r="L890" s="19"/>
      <c r="M890" s="18"/>
      <c r="N890" s="19"/>
      <c r="O890" s="18"/>
      <c r="P890" s="19"/>
      <c r="Q890" s="18"/>
      <c r="R890" s="19"/>
      <c r="S890" s="18"/>
      <c r="T890" s="19"/>
      <c r="U890" s="18"/>
      <c r="V890" s="14"/>
    </row>
    <row r="891">
      <c r="A891" s="28"/>
      <c r="B891" s="19"/>
      <c r="C891" s="18"/>
      <c r="D891" s="19"/>
      <c r="E891" s="18"/>
      <c r="F891" s="19"/>
      <c r="G891" s="18"/>
      <c r="H891" s="19"/>
      <c r="I891" s="18"/>
      <c r="J891" s="19"/>
      <c r="K891" s="18"/>
      <c r="L891" s="19"/>
      <c r="M891" s="18"/>
      <c r="N891" s="19"/>
      <c r="O891" s="18"/>
      <c r="P891" s="19"/>
      <c r="Q891" s="18"/>
      <c r="R891" s="19"/>
      <c r="S891" s="18"/>
      <c r="T891" s="19"/>
      <c r="U891" s="18"/>
      <c r="V891" s="14"/>
    </row>
    <row r="892">
      <c r="A892" s="28"/>
      <c r="B892" s="19"/>
      <c r="C892" s="18"/>
      <c r="D892" s="19"/>
      <c r="E892" s="18"/>
      <c r="F892" s="19"/>
      <c r="G892" s="18"/>
      <c r="H892" s="19"/>
      <c r="I892" s="18"/>
      <c r="J892" s="19"/>
      <c r="K892" s="18"/>
      <c r="L892" s="19"/>
      <c r="M892" s="18"/>
      <c r="N892" s="19"/>
      <c r="O892" s="18"/>
      <c r="P892" s="19"/>
      <c r="Q892" s="18"/>
      <c r="R892" s="19"/>
      <c r="S892" s="18"/>
      <c r="T892" s="19"/>
      <c r="U892" s="18"/>
      <c r="V892" s="14"/>
    </row>
    <row r="893">
      <c r="A893" s="28"/>
      <c r="B893" s="19"/>
      <c r="C893" s="18"/>
      <c r="D893" s="19"/>
      <c r="E893" s="18"/>
      <c r="F893" s="19"/>
      <c r="G893" s="18"/>
      <c r="H893" s="19"/>
      <c r="I893" s="18"/>
      <c r="J893" s="19"/>
      <c r="K893" s="18"/>
      <c r="L893" s="19"/>
      <c r="M893" s="18"/>
      <c r="N893" s="19"/>
      <c r="O893" s="18"/>
      <c r="P893" s="19"/>
      <c r="Q893" s="18"/>
      <c r="R893" s="19"/>
      <c r="S893" s="18"/>
      <c r="T893" s="19"/>
      <c r="U893" s="18"/>
      <c r="V893" s="14"/>
    </row>
    <row r="894">
      <c r="A894" s="28"/>
      <c r="B894" s="19"/>
      <c r="C894" s="18"/>
      <c r="D894" s="19"/>
      <c r="E894" s="18"/>
      <c r="F894" s="19"/>
      <c r="G894" s="18"/>
      <c r="H894" s="19"/>
      <c r="I894" s="18"/>
      <c r="J894" s="19"/>
      <c r="K894" s="18"/>
      <c r="L894" s="19"/>
      <c r="M894" s="18"/>
      <c r="N894" s="19"/>
      <c r="O894" s="18"/>
      <c r="P894" s="19"/>
      <c r="Q894" s="18"/>
      <c r="R894" s="19"/>
      <c r="S894" s="18"/>
      <c r="T894" s="19"/>
      <c r="U894" s="18"/>
      <c r="V894" s="14"/>
    </row>
    <row r="895">
      <c r="A895" s="28"/>
      <c r="B895" s="19"/>
      <c r="C895" s="18"/>
      <c r="D895" s="19"/>
      <c r="E895" s="18"/>
      <c r="F895" s="19"/>
      <c r="G895" s="18"/>
      <c r="H895" s="19"/>
      <c r="I895" s="18"/>
      <c r="J895" s="19"/>
      <c r="K895" s="18"/>
      <c r="L895" s="19"/>
      <c r="M895" s="18"/>
      <c r="N895" s="19"/>
      <c r="O895" s="18"/>
      <c r="P895" s="19"/>
      <c r="Q895" s="18"/>
      <c r="R895" s="19"/>
      <c r="S895" s="18"/>
      <c r="T895" s="19"/>
      <c r="U895" s="18"/>
      <c r="V895" s="14"/>
    </row>
    <row r="896">
      <c r="A896" s="28"/>
      <c r="B896" s="19"/>
      <c r="C896" s="18"/>
      <c r="D896" s="19"/>
      <c r="E896" s="18"/>
      <c r="F896" s="19"/>
      <c r="G896" s="18"/>
      <c r="H896" s="19"/>
      <c r="I896" s="18"/>
      <c r="J896" s="19"/>
      <c r="K896" s="18"/>
      <c r="L896" s="19"/>
      <c r="M896" s="18"/>
      <c r="N896" s="19"/>
      <c r="O896" s="18"/>
      <c r="P896" s="19"/>
      <c r="Q896" s="18"/>
      <c r="R896" s="19"/>
      <c r="S896" s="18"/>
      <c r="T896" s="19"/>
      <c r="U896" s="18"/>
      <c r="V896" s="14"/>
    </row>
    <row r="897">
      <c r="A897" s="28"/>
      <c r="B897" s="19"/>
      <c r="C897" s="18"/>
      <c r="D897" s="19"/>
      <c r="E897" s="18"/>
      <c r="F897" s="19"/>
      <c r="G897" s="18"/>
      <c r="H897" s="19"/>
      <c r="I897" s="18"/>
      <c r="J897" s="19"/>
      <c r="K897" s="18"/>
      <c r="L897" s="19"/>
      <c r="M897" s="18"/>
      <c r="N897" s="19"/>
      <c r="O897" s="18"/>
      <c r="P897" s="19"/>
      <c r="Q897" s="18"/>
      <c r="R897" s="19"/>
      <c r="S897" s="18"/>
      <c r="T897" s="19"/>
      <c r="U897" s="18"/>
      <c r="V897" s="14"/>
    </row>
    <row r="898">
      <c r="A898" s="28"/>
      <c r="B898" s="19"/>
      <c r="C898" s="18"/>
      <c r="D898" s="19"/>
      <c r="E898" s="18"/>
      <c r="F898" s="19"/>
      <c r="G898" s="18"/>
      <c r="H898" s="19"/>
      <c r="I898" s="18"/>
      <c r="J898" s="19"/>
      <c r="K898" s="18"/>
      <c r="L898" s="19"/>
      <c r="M898" s="18"/>
      <c r="N898" s="19"/>
      <c r="O898" s="18"/>
      <c r="P898" s="19"/>
      <c r="Q898" s="18"/>
      <c r="R898" s="19"/>
      <c r="S898" s="18"/>
      <c r="T898" s="19"/>
      <c r="U898" s="18"/>
      <c r="V898" s="14"/>
    </row>
    <row r="899">
      <c r="A899" s="28"/>
      <c r="B899" s="19"/>
      <c r="C899" s="18"/>
      <c r="D899" s="19"/>
      <c r="E899" s="18"/>
      <c r="F899" s="19"/>
      <c r="G899" s="18"/>
      <c r="H899" s="19"/>
      <c r="I899" s="18"/>
      <c r="J899" s="19"/>
      <c r="K899" s="18"/>
      <c r="L899" s="19"/>
      <c r="M899" s="18"/>
      <c r="N899" s="19"/>
      <c r="O899" s="18"/>
      <c r="P899" s="19"/>
      <c r="Q899" s="18"/>
      <c r="R899" s="19"/>
      <c r="S899" s="18"/>
      <c r="T899" s="19"/>
      <c r="U899" s="18"/>
      <c r="V899" s="14"/>
    </row>
    <row r="900">
      <c r="A900" s="28"/>
      <c r="B900" s="19"/>
      <c r="C900" s="18"/>
      <c r="D900" s="19"/>
      <c r="E900" s="18"/>
      <c r="F900" s="19"/>
      <c r="G900" s="18"/>
      <c r="H900" s="19"/>
      <c r="I900" s="18"/>
      <c r="J900" s="19"/>
      <c r="K900" s="18"/>
      <c r="L900" s="19"/>
      <c r="M900" s="18"/>
      <c r="N900" s="19"/>
      <c r="O900" s="18"/>
      <c r="P900" s="19"/>
      <c r="Q900" s="18"/>
      <c r="R900" s="19"/>
      <c r="S900" s="18"/>
      <c r="T900" s="19"/>
      <c r="U900" s="18"/>
      <c r="V900" s="14"/>
    </row>
    <row r="901">
      <c r="A901" s="28"/>
      <c r="B901" s="19"/>
      <c r="C901" s="18"/>
      <c r="D901" s="19"/>
      <c r="E901" s="18"/>
      <c r="F901" s="19"/>
      <c r="G901" s="18"/>
      <c r="H901" s="19"/>
      <c r="I901" s="18"/>
      <c r="J901" s="19"/>
      <c r="K901" s="18"/>
      <c r="L901" s="19"/>
      <c r="M901" s="18"/>
      <c r="N901" s="19"/>
      <c r="O901" s="18"/>
      <c r="P901" s="19"/>
      <c r="Q901" s="18"/>
      <c r="R901" s="19"/>
      <c r="S901" s="18"/>
      <c r="T901" s="19"/>
      <c r="U901" s="18"/>
      <c r="V901" s="14"/>
    </row>
    <row r="902">
      <c r="A902" s="28"/>
      <c r="B902" s="19"/>
      <c r="C902" s="18"/>
      <c r="D902" s="19"/>
      <c r="E902" s="18"/>
      <c r="F902" s="19"/>
      <c r="G902" s="18"/>
      <c r="H902" s="19"/>
      <c r="I902" s="18"/>
      <c r="J902" s="19"/>
      <c r="K902" s="18"/>
      <c r="L902" s="19"/>
      <c r="M902" s="18"/>
      <c r="N902" s="19"/>
      <c r="O902" s="18"/>
      <c r="P902" s="19"/>
      <c r="Q902" s="18"/>
      <c r="R902" s="19"/>
      <c r="S902" s="18"/>
      <c r="T902" s="19"/>
      <c r="U902" s="18"/>
      <c r="V902" s="14"/>
    </row>
    <row r="903">
      <c r="A903" s="28"/>
      <c r="B903" s="19"/>
      <c r="C903" s="18"/>
      <c r="D903" s="19"/>
      <c r="E903" s="18"/>
      <c r="F903" s="19"/>
      <c r="G903" s="18"/>
      <c r="H903" s="19"/>
      <c r="I903" s="18"/>
      <c r="J903" s="19"/>
      <c r="K903" s="18"/>
      <c r="L903" s="19"/>
      <c r="M903" s="18"/>
      <c r="N903" s="19"/>
      <c r="O903" s="18"/>
      <c r="P903" s="19"/>
      <c r="Q903" s="18"/>
      <c r="R903" s="19"/>
      <c r="S903" s="18"/>
      <c r="T903" s="19"/>
      <c r="U903" s="18"/>
      <c r="V903" s="14"/>
    </row>
    <row r="904">
      <c r="A904" s="28"/>
      <c r="B904" s="19"/>
      <c r="C904" s="18"/>
      <c r="D904" s="19"/>
      <c r="E904" s="18"/>
      <c r="F904" s="19"/>
      <c r="G904" s="18"/>
      <c r="H904" s="19"/>
      <c r="I904" s="18"/>
      <c r="J904" s="19"/>
      <c r="K904" s="18"/>
      <c r="L904" s="19"/>
      <c r="M904" s="18"/>
      <c r="N904" s="19"/>
      <c r="O904" s="18"/>
      <c r="P904" s="19"/>
      <c r="Q904" s="18"/>
      <c r="R904" s="19"/>
      <c r="S904" s="18"/>
      <c r="T904" s="19"/>
      <c r="U904" s="18"/>
      <c r="V904" s="14"/>
    </row>
    <row r="905">
      <c r="A905" s="28"/>
      <c r="B905" s="19"/>
      <c r="C905" s="18"/>
      <c r="D905" s="19"/>
      <c r="E905" s="18"/>
      <c r="F905" s="19"/>
      <c r="G905" s="18"/>
      <c r="H905" s="19"/>
      <c r="I905" s="18"/>
      <c r="J905" s="19"/>
      <c r="K905" s="18"/>
      <c r="L905" s="19"/>
      <c r="M905" s="18"/>
      <c r="N905" s="19"/>
      <c r="O905" s="18"/>
      <c r="P905" s="19"/>
      <c r="Q905" s="18"/>
      <c r="R905" s="19"/>
      <c r="S905" s="18"/>
      <c r="T905" s="19"/>
      <c r="U905" s="18"/>
      <c r="V905" s="14"/>
    </row>
    <row r="906">
      <c r="A906" s="28"/>
      <c r="B906" s="19"/>
      <c r="C906" s="18"/>
      <c r="D906" s="19"/>
      <c r="E906" s="18"/>
      <c r="F906" s="19"/>
      <c r="G906" s="18"/>
      <c r="H906" s="19"/>
      <c r="I906" s="18"/>
      <c r="J906" s="19"/>
      <c r="K906" s="18"/>
      <c r="L906" s="19"/>
      <c r="M906" s="18"/>
      <c r="N906" s="19"/>
      <c r="O906" s="18"/>
      <c r="P906" s="19"/>
      <c r="Q906" s="18"/>
      <c r="R906" s="19"/>
      <c r="S906" s="18"/>
      <c r="T906" s="19"/>
      <c r="U906" s="18"/>
      <c r="V906" s="14"/>
    </row>
    <row r="907">
      <c r="A907" s="28"/>
      <c r="B907" s="19"/>
      <c r="C907" s="18"/>
      <c r="D907" s="19"/>
      <c r="E907" s="18"/>
      <c r="F907" s="19"/>
      <c r="G907" s="18"/>
      <c r="H907" s="19"/>
      <c r="I907" s="18"/>
      <c r="J907" s="19"/>
      <c r="K907" s="18"/>
      <c r="L907" s="19"/>
      <c r="M907" s="18"/>
      <c r="N907" s="19"/>
      <c r="O907" s="18"/>
      <c r="P907" s="19"/>
      <c r="Q907" s="18"/>
      <c r="R907" s="19"/>
      <c r="S907" s="18"/>
      <c r="T907" s="19"/>
      <c r="U907" s="18"/>
      <c r="V907" s="14"/>
    </row>
    <row r="908">
      <c r="A908" s="28"/>
      <c r="B908" s="19"/>
      <c r="C908" s="18"/>
      <c r="D908" s="19"/>
      <c r="E908" s="18"/>
      <c r="F908" s="19"/>
      <c r="G908" s="18"/>
      <c r="H908" s="19"/>
      <c r="I908" s="18"/>
      <c r="J908" s="19"/>
      <c r="K908" s="18"/>
      <c r="L908" s="19"/>
      <c r="M908" s="18"/>
      <c r="N908" s="19"/>
      <c r="O908" s="18"/>
      <c r="P908" s="19"/>
      <c r="Q908" s="18"/>
      <c r="R908" s="19"/>
      <c r="S908" s="18"/>
      <c r="T908" s="19"/>
      <c r="U908" s="18"/>
      <c r="V908" s="14"/>
    </row>
    <row r="909">
      <c r="A909" s="28"/>
      <c r="B909" s="19"/>
      <c r="C909" s="18"/>
      <c r="D909" s="19"/>
      <c r="E909" s="18"/>
      <c r="F909" s="19"/>
      <c r="G909" s="18"/>
      <c r="H909" s="19"/>
      <c r="I909" s="18"/>
      <c r="J909" s="19"/>
      <c r="K909" s="18"/>
      <c r="L909" s="19"/>
      <c r="M909" s="18"/>
      <c r="N909" s="19"/>
      <c r="O909" s="18"/>
      <c r="P909" s="19"/>
      <c r="Q909" s="18"/>
      <c r="R909" s="19"/>
      <c r="S909" s="18"/>
      <c r="T909" s="19"/>
      <c r="U909" s="18"/>
      <c r="V909" s="14"/>
    </row>
    <row r="910">
      <c r="A910" s="28"/>
      <c r="B910" s="19"/>
      <c r="C910" s="18"/>
      <c r="D910" s="19"/>
      <c r="E910" s="18"/>
      <c r="F910" s="19"/>
      <c r="G910" s="18"/>
      <c r="H910" s="19"/>
      <c r="I910" s="18"/>
      <c r="J910" s="19"/>
      <c r="K910" s="18"/>
      <c r="L910" s="19"/>
      <c r="M910" s="18"/>
      <c r="N910" s="19"/>
      <c r="O910" s="18"/>
      <c r="P910" s="19"/>
      <c r="Q910" s="18"/>
      <c r="R910" s="19"/>
      <c r="S910" s="18"/>
      <c r="T910" s="19"/>
      <c r="U910" s="18"/>
      <c r="V910" s="14"/>
    </row>
    <row r="911">
      <c r="A911" s="28"/>
      <c r="B911" s="19"/>
      <c r="C911" s="18"/>
      <c r="D911" s="19"/>
      <c r="E911" s="18"/>
      <c r="F911" s="19"/>
      <c r="G911" s="18"/>
      <c r="H911" s="19"/>
      <c r="I911" s="18"/>
      <c r="J911" s="19"/>
      <c r="K911" s="18"/>
      <c r="L911" s="19"/>
      <c r="M911" s="18"/>
      <c r="N911" s="19"/>
      <c r="O911" s="18"/>
      <c r="P911" s="19"/>
      <c r="Q911" s="18"/>
      <c r="R911" s="19"/>
      <c r="S911" s="18"/>
      <c r="T911" s="19"/>
      <c r="U911" s="18"/>
      <c r="V911" s="14"/>
    </row>
    <row r="912">
      <c r="A912" s="28"/>
      <c r="B912" s="19"/>
      <c r="C912" s="18"/>
      <c r="D912" s="19"/>
      <c r="E912" s="18"/>
      <c r="F912" s="19"/>
      <c r="G912" s="18"/>
      <c r="H912" s="19"/>
      <c r="I912" s="18"/>
      <c r="J912" s="19"/>
      <c r="K912" s="18"/>
      <c r="L912" s="19"/>
      <c r="M912" s="18"/>
      <c r="N912" s="19"/>
      <c r="O912" s="18"/>
      <c r="P912" s="19"/>
      <c r="Q912" s="18"/>
      <c r="R912" s="19"/>
      <c r="S912" s="18"/>
      <c r="T912" s="19"/>
      <c r="U912" s="18"/>
      <c r="V912" s="14"/>
    </row>
    <row r="913">
      <c r="A913" s="28"/>
      <c r="B913" s="19"/>
      <c r="C913" s="18"/>
      <c r="D913" s="19"/>
      <c r="E913" s="18"/>
      <c r="F913" s="19"/>
      <c r="G913" s="18"/>
      <c r="H913" s="19"/>
      <c r="I913" s="18"/>
      <c r="J913" s="19"/>
      <c r="K913" s="18"/>
      <c r="L913" s="19"/>
      <c r="M913" s="18"/>
      <c r="N913" s="19"/>
      <c r="O913" s="18"/>
      <c r="P913" s="19"/>
      <c r="Q913" s="18"/>
      <c r="R913" s="19"/>
      <c r="S913" s="18"/>
      <c r="T913" s="19"/>
      <c r="U913" s="18"/>
      <c r="V913" s="14"/>
    </row>
    <row r="914">
      <c r="A914" s="28"/>
      <c r="B914" s="19"/>
      <c r="C914" s="18"/>
      <c r="D914" s="19"/>
      <c r="E914" s="18"/>
      <c r="F914" s="19"/>
      <c r="G914" s="18"/>
      <c r="H914" s="19"/>
      <c r="I914" s="18"/>
      <c r="J914" s="19"/>
      <c r="K914" s="18"/>
      <c r="L914" s="19"/>
      <c r="M914" s="18"/>
      <c r="N914" s="19"/>
      <c r="O914" s="18"/>
      <c r="P914" s="19"/>
      <c r="Q914" s="18"/>
      <c r="R914" s="19"/>
      <c r="S914" s="18"/>
      <c r="T914" s="19"/>
      <c r="U914" s="18"/>
      <c r="V914" s="14"/>
    </row>
    <row r="915">
      <c r="A915" s="28"/>
      <c r="B915" s="19"/>
      <c r="C915" s="18"/>
      <c r="D915" s="19"/>
      <c r="E915" s="18"/>
      <c r="F915" s="19"/>
      <c r="G915" s="18"/>
      <c r="H915" s="19"/>
      <c r="I915" s="18"/>
      <c r="J915" s="19"/>
      <c r="K915" s="18"/>
      <c r="L915" s="19"/>
      <c r="M915" s="18"/>
      <c r="N915" s="19"/>
      <c r="O915" s="18"/>
      <c r="P915" s="19"/>
      <c r="Q915" s="18"/>
      <c r="R915" s="19"/>
      <c r="S915" s="18"/>
      <c r="T915" s="19"/>
      <c r="U915" s="18"/>
      <c r="V915" s="14"/>
    </row>
    <row r="916">
      <c r="A916" s="28"/>
      <c r="B916" s="19"/>
      <c r="C916" s="18"/>
      <c r="D916" s="19"/>
      <c r="E916" s="18"/>
      <c r="F916" s="19"/>
      <c r="G916" s="18"/>
      <c r="H916" s="19"/>
      <c r="I916" s="18"/>
      <c r="J916" s="19"/>
      <c r="K916" s="18"/>
      <c r="L916" s="19"/>
      <c r="M916" s="18"/>
      <c r="N916" s="19"/>
      <c r="O916" s="18"/>
      <c r="P916" s="19"/>
      <c r="Q916" s="18"/>
      <c r="R916" s="19"/>
      <c r="S916" s="18"/>
      <c r="T916" s="19"/>
      <c r="U916" s="18"/>
      <c r="V916" s="14"/>
    </row>
    <row r="917">
      <c r="A917" s="28"/>
      <c r="B917" s="19"/>
      <c r="C917" s="18"/>
      <c r="D917" s="19"/>
      <c r="E917" s="18"/>
      <c r="F917" s="19"/>
      <c r="G917" s="18"/>
      <c r="H917" s="19"/>
      <c r="I917" s="18"/>
      <c r="J917" s="19"/>
      <c r="K917" s="18"/>
      <c r="L917" s="19"/>
      <c r="M917" s="18"/>
      <c r="N917" s="19"/>
      <c r="O917" s="18"/>
      <c r="P917" s="19"/>
      <c r="Q917" s="18"/>
      <c r="R917" s="19"/>
      <c r="S917" s="18"/>
      <c r="T917" s="19"/>
      <c r="U917" s="18"/>
      <c r="V917" s="14"/>
    </row>
    <row r="918">
      <c r="A918" s="28"/>
      <c r="B918" s="19"/>
      <c r="C918" s="18"/>
      <c r="D918" s="19"/>
      <c r="E918" s="18"/>
      <c r="F918" s="19"/>
      <c r="G918" s="18"/>
      <c r="H918" s="19"/>
      <c r="I918" s="18"/>
      <c r="J918" s="19"/>
      <c r="K918" s="18"/>
      <c r="L918" s="19"/>
      <c r="M918" s="18"/>
      <c r="N918" s="19"/>
      <c r="O918" s="18"/>
      <c r="P918" s="19"/>
      <c r="Q918" s="18"/>
      <c r="R918" s="19"/>
      <c r="S918" s="18"/>
      <c r="T918" s="19"/>
      <c r="U918" s="18"/>
      <c r="V918" s="14"/>
    </row>
    <row r="919">
      <c r="A919" s="28"/>
      <c r="B919" s="19"/>
      <c r="C919" s="18"/>
      <c r="D919" s="19"/>
      <c r="E919" s="18"/>
      <c r="F919" s="19"/>
      <c r="G919" s="18"/>
      <c r="H919" s="19"/>
      <c r="I919" s="18"/>
      <c r="J919" s="19"/>
      <c r="K919" s="18"/>
      <c r="L919" s="19"/>
      <c r="M919" s="18"/>
      <c r="N919" s="19"/>
      <c r="O919" s="18"/>
      <c r="P919" s="19"/>
      <c r="Q919" s="18"/>
      <c r="R919" s="19"/>
      <c r="S919" s="18"/>
      <c r="T919" s="19"/>
      <c r="U919" s="18"/>
      <c r="V919" s="14"/>
    </row>
    <row r="920">
      <c r="A920" s="28"/>
      <c r="B920" s="19"/>
      <c r="C920" s="18"/>
      <c r="D920" s="19"/>
      <c r="E920" s="18"/>
      <c r="F920" s="19"/>
      <c r="G920" s="18"/>
      <c r="H920" s="19"/>
      <c r="I920" s="18"/>
      <c r="J920" s="19"/>
      <c r="K920" s="18"/>
      <c r="L920" s="19"/>
      <c r="M920" s="18"/>
      <c r="N920" s="19"/>
      <c r="O920" s="18"/>
      <c r="P920" s="19"/>
      <c r="Q920" s="18"/>
      <c r="R920" s="19"/>
      <c r="S920" s="18"/>
      <c r="T920" s="19"/>
      <c r="U920" s="18"/>
      <c r="V920" s="14"/>
    </row>
    <row r="921">
      <c r="A921" s="28"/>
      <c r="B921" s="19"/>
      <c r="C921" s="18"/>
      <c r="D921" s="19"/>
      <c r="E921" s="18"/>
      <c r="F921" s="19"/>
      <c r="G921" s="18"/>
      <c r="H921" s="19"/>
      <c r="I921" s="18"/>
      <c r="J921" s="19"/>
      <c r="K921" s="18"/>
      <c r="L921" s="19"/>
      <c r="M921" s="18"/>
      <c r="N921" s="19"/>
      <c r="O921" s="18"/>
      <c r="P921" s="19"/>
      <c r="Q921" s="18"/>
      <c r="R921" s="19"/>
      <c r="S921" s="18"/>
      <c r="T921" s="19"/>
      <c r="U921" s="18"/>
      <c r="V921" s="14"/>
    </row>
    <row r="922">
      <c r="A922" s="28"/>
      <c r="B922" s="19"/>
      <c r="C922" s="18"/>
      <c r="D922" s="19"/>
      <c r="E922" s="18"/>
      <c r="F922" s="19"/>
      <c r="G922" s="18"/>
      <c r="H922" s="19"/>
      <c r="I922" s="18"/>
      <c r="J922" s="19"/>
      <c r="K922" s="18"/>
      <c r="L922" s="19"/>
      <c r="M922" s="18"/>
      <c r="N922" s="19"/>
      <c r="O922" s="18"/>
      <c r="P922" s="19"/>
      <c r="Q922" s="18"/>
      <c r="R922" s="19"/>
      <c r="S922" s="18"/>
      <c r="T922" s="19"/>
      <c r="U922" s="18"/>
      <c r="V922" s="14"/>
    </row>
    <row r="923">
      <c r="A923" s="28"/>
      <c r="B923" s="19"/>
      <c r="C923" s="18"/>
      <c r="D923" s="19"/>
      <c r="E923" s="18"/>
      <c r="F923" s="19"/>
      <c r="G923" s="18"/>
      <c r="H923" s="19"/>
      <c r="I923" s="18"/>
      <c r="J923" s="19"/>
      <c r="K923" s="18"/>
      <c r="L923" s="19"/>
      <c r="M923" s="18"/>
      <c r="N923" s="19"/>
      <c r="O923" s="18"/>
      <c r="P923" s="19"/>
      <c r="Q923" s="18"/>
      <c r="R923" s="19"/>
      <c r="S923" s="18"/>
      <c r="T923" s="19"/>
      <c r="U923" s="18"/>
      <c r="V923" s="14"/>
    </row>
    <row r="924">
      <c r="A924" s="28"/>
      <c r="B924" s="19"/>
      <c r="C924" s="18"/>
      <c r="D924" s="19"/>
      <c r="E924" s="18"/>
      <c r="F924" s="19"/>
      <c r="G924" s="18"/>
      <c r="H924" s="19"/>
      <c r="I924" s="18"/>
      <c r="J924" s="19"/>
      <c r="K924" s="18"/>
      <c r="L924" s="19"/>
      <c r="M924" s="18"/>
      <c r="N924" s="19"/>
      <c r="O924" s="18"/>
      <c r="P924" s="19"/>
      <c r="Q924" s="18"/>
      <c r="R924" s="19"/>
      <c r="S924" s="18"/>
      <c r="T924" s="19"/>
      <c r="U924" s="18"/>
      <c r="V924" s="14"/>
    </row>
    <row r="925">
      <c r="A925" s="28"/>
      <c r="B925" s="19"/>
      <c r="C925" s="18"/>
      <c r="D925" s="19"/>
      <c r="E925" s="18"/>
      <c r="F925" s="19"/>
      <c r="G925" s="18"/>
      <c r="H925" s="19"/>
      <c r="I925" s="18"/>
      <c r="J925" s="19"/>
      <c r="K925" s="18"/>
      <c r="L925" s="19"/>
      <c r="M925" s="18"/>
      <c r="N925" s="19"/>
      <c r="O925" s="18"/>
      <c r="P925" s="19"/>
      <c r="Q925" s="18"/>
      <c r="R925" s="19"/>
      <c r="S925" s="18"/>
      <c r="T925" s="19"/>
      <c r="U925" s="18"/>
      <c r="V925" s="14"/>
    </row>
    <row r="926">
      <c r="A926" s="28"/>
      <c r="B926" s="19"/>
      <c r="C926" s="18"/>
      <c r="D926" s="19"/>
      <c r="E926" s="18"/>
      <c r="F926" s="19"/>
      <c r="G926" s="18"/>
      <c r="H926" s="19"/>
      <c r="I926" s="18"/>
      <c r="J926" s="19"/>
      <c r="K926" s="18"/>
      <c r="L926" s="19"/>
      <c r="M926" s="18"/>
      <c r="N926" s="19"/>
      <c r="O926" s="18"/>
      <c r="P926" s="19"/>
      <c r="Q926" s="18"/>
      <c r="R926" s="19"/>
      <c r="S926" s="18"/>
      <c r="T926" s="19"/>
      <c r="U926" s="18"/>
      <c r="V926" s="14"/>
    </row>
    <row r="927">
      <c r="A927" s="28"/>
      <c r="B927" s="19"/>
      <c r="C927" s="18"/>
      <c r="D927" s="19"/>
      <c r="E927" s="18"/>
      <c r="F927" s="19"/>
      <c r="G927" s="18"/>
      <c r="H927" s="19"/>
      <c r="I927" s="18"/>
      <c r="J927" s="19"/>
      <c r="K927" s="18"/>
      <c r="L927" s="19"/>
      <c r="M927" s="18"/>
      <c r="N927" s="19"/>
      <c r="O927" s="18"/>
      <c r="P927" s="19"/>
      <c r="Q927" s="18"/>
      <c r="R927" s="19"/>
      <c r="S927" s="18"/>
      <c r="T927" s="19"/>
      <c r="U927" s="18"/>
      <c r="V927" s="14"/>
    </row>
    <row r="928">
      <c r="A928" s="28"/>
      <c r="B928" s="19"/>
      <c r="C928" s="18"/>
      <c r="D928" s="19"/>
      <c r="E928" s="18"/>
      <c r="F928" s="19"/>
      <c r="G928" s="18"/>
      <c r="H928" s="19"/>
      <c r="I928" s="18"/>
      <c r="J928" s="19"/>
      <c r="K928" s="18"/>
      <c r="L928" s="19"/>
      <c r="M928" s="18"/>
      <c r="N928" s="19"/>
      <c r="O928" s="18"/>
      <c r="P928" s="19"/>
      <c r="Q928" s="18"/>
      <c r="R928" s="19"/>
      <c r="S928" s="18"/>
      <c r="T928" s="19"/>
      <c r="U928" s="18"/>
      <c r="V928" s="14"/>
    </row>
    <row r="929">
      <c r="A929" s="28"/>
      <c r="B929" s="19"/>
      <c r="C929" s="18"/>
      <c r="D929" s="19"/>
      <c r="E929" s="18"/>
      <c r="F929" s="19"/>
      <c r="G929" s="18"/>
      <c r="H929" s="19"/>
      <c r="I929" s="18"/>
      <c r="J929" s="19"/>
      <c r="K929" s="18"/>
      <c r="L929" s="19"/>
      <c r="M929" s="18"/>
      <c r="N929" s="19"/>
      <c r="O929" s="18"/>
      <c r="P929" s="19"/>
      <c r="Q929" s="18"/>
      <c r="R929" s="19"/>
      <c r="S929" s="18"/>
      <c r="T929" s="19"/>
      <c r="U929" s="18"/>
      <c r="V929" s="14"/>
    </row>
    <row r="930">
      <c r="A930" s="28"/>
      <c r="B930" s="19"/>
      <c r="C930" s="18"/>
      <c r="D930" s="19"/>
      <c r="E930" s="18"/>
      <c r="F930" s="19"/>
      <c r="G930" s="18"/>
      <c r="H930" s="19"/>
      <c r="I930" s="18"/>
      <c r="J930" s="19"/>
      <c r="K930" s="18"/>
      <c r="L930" s="19"/>
      <c r="M930" s="18"/>
      <c r="N930" s="19"/>
      <c r="O930" s="18"/>
      <c r="P930" s="19"/>
      <c r="Q930" s="18"/>
      <c r="R930" s="19"/>
      <c r="S930" s="18"/>
      <c r="T930" s="19"/>
      <c r="U930" s="18"/>
      <c r="V930" s="14"/>
    </row>
    <row r="931">
      <c r="A931" s="28"/>
      <c r="B931" s="19"/>
      <c r="C931" s="18"/>
      <c r="D931" s="19"/>
      <c r="E931" s="18"/>
      <c r="F931" s="19"/>
      <c r="G931" s="18"/>
      <c r="H931" s="19"/>
      <c r="I931" s="18"/>
      <c r="J931" s="19"/>
      <c r="K931" s="18"/>
      <c r="L931" s="19"/>
      <c r="M931" s="18"/>
      <c r="N931" s="19"/>
      <c r="O931" s="18"/>
      <c r="P931" s="19"/>
      <c r="Q931" s="18"/>
      <c r="R931" s="19"/>
      <c r="S931" s="18"/>
      <c r="T931" s="19"/>
      <c r="U931" s="18"/>
      <c r="V931" s="14"/>
    </row>
    <row r="932">
      <c r="A932" s="28"/>
      <c r="B932" s="19"/>
      <c r="C932" s="18"/>
      <c r="D932" s="19"/>
      <c r="E932" s="18"/>
      <c r="F932" s="19"/>
      <c r="G932" s="18"/>
      <c r="H932" s="19"/>
      <c r="I932" s="18"/>
      <c r="J932" s="19"/>
      <c r="K932" s="18"/>
      <c r="L932" s="19"/>
      <c r="M932" s="18"/>
      <c r="N932" s="19"/>
      <c r="O932" s="18"/>
      <c r="P932" s="19"/>
      <c r="Q932" s="18"/>
      <c r="R932" s="19"/>
      <c r="S932" s="18"/>
      <c r="T932" s="19"/>
      <c r="U932" s="18"/>
      <c r="V932" s="14"/>
    </row>
    <row r="933">
      <c r="A933" s="28"/>
      <c r="B933" s="19"/>
      <c r="C933" s="18"/>
      <c r="D933" s="19"/>
      <c r="E933" s="18"/>
      <c r="F933" s="19"/>
      <c r="G933" s="18"/>
      <c r="H933" s="19"/>
      <c r="I933" s="18"/>
      <c r="J933" s="19"/>
      <c r="K933" s="18"/>
      <c r="L933" s="19"/>
      <c r="M933" s="18"/>
      <c r="N933" s="19"/>
      <c r="O933" s="18"/>
      <c r="P933" s="19"/>
      <c r="Q933" s="18"/>
      <c r="R933" s="19"/>
      <c r="S933" s="18"/>
      <c r="T933" s="19"/>
      <c r="U933" s="18"/>
      <c r="V933" s="14"/>
    </row>
    <row r="934">
      <c r="A934" s="28"/>
      <c r="B934" s="19"/>
      <c r="C934" s="18"/>
      <c r="D934" s="19"/>
      <c r="E934" s="18"/>
      <c r="F934" s="19"/>
      <c r="G934" s="18"/>
      <c r="H934" s="19"/>
      <c r="I934" s="18"/>
      <c r="J934" s="19"/>
      <c r="K934" s="18"/>
      <c r="L934" s="19"/>
      <c r="M934" s="18"/>
      <c r="N934" s="19"/>
      <c r="O934" s="18"/>
      <c r="P934" s="19"/>
      <c r="Q934" s="18"/>
      <c r="R934" s="19"/>
      <c r="S934" s="18"/>
      <c r="T934" s="19"/>
      <c r="U934" s="18"/>
      <c r="V934" s="14"/>
    </row>
    <row r="935">
      <c r="A935" s="28"/>
      <c r="B935" s="19"/>
      <c r="C935" s="18"/>
      <c r="D935" s="19"/>
      <c r="E935" s="18"/>
      <c r="F935" s="19"/>
      <c r="G935" s="18"/>
      <c r="H935" s="19"/>
      <c r="I935" s="18"/>
      <c r="J935" s="19"/>
      <c r="K935" s="18"/>
      <c r="L935" s="19"/>
      <c r="M935" s="18"/>
      <c r="N935" s="19"/>
      <c r="O935" s="18"/>
      <c r="P935" s="19"/>
      <c r="Q935" s="18"/>
      <c r="R935" s="19"/>
      <c r="S935" s="18"/>
      <c r="T935" s="19"/>
      <c r="U935" s="18"/>
      <c r="V935" s="14"/>
    </row>
    <row r="936">
      <c r="A936" s="28"/>
      <c r="B936" s="19"/>
      <c r="C936" s="18"/>
      <c r="D936" s="19"/>
      <c r="E936" s="18"/>
      <c r="F936" s="19"/>
      <c r="G936" s="18"/>
      <c r="H936" s="19"/>
      <c r="I936" s="18"/>
      <c r="J936" s="19"/>
      <c r="K936" s="18"/>
      <c r="L936" s="19"/>
      <c r="M936" s="18"/>
      <c r="N936" s="19"/>
      <c r="O936" s="18"/>
      <c r="P936" s="19"/>
      <c r="Q936" s="18"/>
      <c r="R936" s="19"/>
      <c r="S936" s="18"/>
      <c r="T936" s="19"/>
      <c r="U936" s="18"/>
      <c r="V936" s="14"/>
    </row>
    <row r="937">
      <c r="A937" s="28"/>
      <c r="B937" s="19"/>
      <c r="C937" s="18"/>
      <c r="D937" s="19"/>
      <c r="E937" s="18"/>
      <c r="F937" s="19"/>
      <c r="G937" s="18"/>
      <c r="H937" s="19"/>
      <c r="I937" s="18"/>
      <c r="J937" s="19"/>
      <c r="K937" s="18"/>
      <c r="L937" s="19"/>
      <c r="M937" s="18"/>
      <c r="N937" s="19"/>
      <c r="O937" s="18"/>
      <c r="P937" s="19"/>
      <c r="Q937" s="18"/>
      <c r="R937" s="19"/>
      <c r="S937" s="18"/>
      <c r="T937" s="19"/>
      <c r="U937" s="18"/>
      <c r="V937" s="14"/>
    </row>
    <row r="938">
      <c r="A938" s="28"/>
      <c r="B938" s="19"/>
      <c r="C938" s="18"/>
      <c r="D938" s="19"/>
      <c r="E938" s="18"/>
      <c r="F938" s="19"/>
      <c r="G938" s="18"/>
      <c r="H938" s="19"/>
      <c r="I938" s="18"/>
      <c r="J938" s="19"/>
      <c r="K938" s="18"/>
      <c r="L938" s="19"/>
      <c r="M938" s="18"/>
      <c r="N938" s="19"/>
      <c r="O938" s="18"/>
      <c r="P938" s="19"/>
      <c r="Q938" s="18"/>
      <c r="R938" s="19"/>
      <c r="S938" s="18"/>
      <c r="T938" s="19"/>
      <c r="U938" s="18"/>
      <c r="V938" s="14"/>
    </row>
    <row r="939">
      <c r="A939" s="28"/>
      <c r="B939" s="19"/>
      <c r="C939" s="18"/>
      <c r="D939" s="19"/>
      <c r="E939" s="18"/>
      <c r="F939" s="19"/>
      <c r="G939" s="18"/>
      <c r="H939" s="19"/>
      <c r="I939" s="18"/>
      <c r="J939" s="19"/>
      <c r="K939" s="18"/>
      <c r="L939" s="19"/>
      <c r="M939" s="18"/>
      <c r="N939" s="19"/>
      <c r="O939" s="18"/>
      <c r="P939" s="19"/>
      <c r="Q939" s="18"/>
      <c r="R939" s="19"/>
      <c r="S939" s="18"/>
      <c r="T939" s="19"/>
      <c r="U939" s="18"/>
      <c r="V939" s="14"/>
    </row>
    <row r="940">
      <c r="A940" s="28"/>
      <c r="B940" s="19"/>
      <c r="C940" s="18"/>
      <c r="D940" s="19"/>
      <c r="E940" s="18"/>
      <c r="F940" s="19"/>
      <c r="G940" s="18"/>
      <c r="H940" s="19"/>
      <c r="I940" s="18"/>
      <c r="J940" s="19"/>
      <c r="K940" s="18"/>
      <c r="L940" s="19"/>
      <c r="M940" s="18"/>
      <c r="N940" s="19"/>
      <c r="O940" s="18"/>
      <c r="P940" s="19"/>
      <c r="Q940" s="18"/>
      <c r="R940" s="19"/>
      <c r="S940" s="18"/>
      <c r="T940" s="19"/>
      <c r="U940" s="18"/>
      <c r="V940" s="14"/>
    </row>
    <row r="941">
      <c r="A941" s="28"/>
      <c r="B941" s="19"/>
      <c r="C941" s="18"/>
      <c r="D941" s="19"/>
      <c r="E941" s="18"/>
      <c r="F941" s="19"/>
      <c r="G941" s="18"/>
      <c r="H941" s="19"/>
      <c r="I941" s="18"/>
      <c r="J941" s="19"/>
      <c r="K941" s="18"/>
      <c r="L941" s="19"/>
      <c r="M941" s="18"/>
      <c r="N941" s="19"/>
      <c r="O941" s="18"/>
      <c r="P941" s="19"/>
      <c r="Q941" s="18"/>
      <c r="R941" s="19"/>
      <c r="S941" s="18"/>
      <c r="T941" s="19"/>
      <c r="U941" s="18"/>
      <c r="V941" s="14"/>
    </row>
    <row r="942">
      <c r="A942" s="28"/>
      <c r="B942" s="19"/>
      <c r="C942" s="18"/>
      <c r="D942" s="19"/>
      <c r="E942" s="18"/>
      <c r="F942" s="19"/>
      <c r="G942" s="18"/>
      <c r="H942" s="19"/>
      <c r="I942" s="18"/>
      <c r="J942" s="19"/>
      <c r="K942" s="18"/>
      <c r="L942" s="19"/>
      <c r="M942" s="18"/>
      <c r="N942" s="19"/>
      <c r="O942" s="18"/>
      <c r="P942" s="19"/>
      <c r="Q942" s="18"/>
      <c r="R942" s="19"/>
      <c r="S942" s="18"/>
      <c r="T942" s="19"/>
      <c r="U942" s="18"/>
      <c r="V942" s="14"/>
    </row>
    <row r="943">
      <c r="A943" s="28"/>
      <c r="B943" s="19"/>
      <c r="C943" s="18"/>
      <c r="D943" s="19"/>
      <c r="E943" s="18"/>
      <c r="F943" s="19"/>
      <c r="G943" s="18"/>
      <c r="H943" s="19"/>
      <c r="I943" s="18"/>
      <c r="J943" s="19"/>
      <c r="K943" s="18"/>
      <c r="L943" s="19"/>
      <c r="M943" s="18"/>
      <c r="N943" s="19"/>
      <c r="O943" s="18"/>
      <c r="P943" s="19"/>
      <c r="Q943" s="18"/>
      <c r="R943" s="19"/>
      <c r="S943" s="18"/>
      <c r="T943" s="19"/>
      <c r="U943" s="18"/>
      <c r="V943" s="14"/>
    </row>
    <row r="944">
      <c r="A944" s="28"/>
      <c r="B944" s="19"/>
      <c r="C944" s="18"/>
      <c r="D944" s="19"/>
      <c r="E944" s="18"/>
      <c r="F944" s="19"/>
      <c r="G944" s="18"/>
      <c r="H944" s="19"/>
      <c r="I944" s="18"/>
      <c r="J944" s="19"/>
      <c r="K944" s="18"/>
      <c r="L944" s="19"/>
      <c r="M944" s="18"/>
      <c r="N944" s="19"/>
      <c r="O944" s="18"/>
      <c r="P944" s="19"/>
      <c r="Q944" s="18"/>
      <c r="R944" s="19"/>
      <c r="S944" s="18"/>
      <c r="T944" s="19"/>
      <c r="U944" s="18"/>
      <c r="V944" s="14"/>
    </row>
    <row r="945">
      <c r="A945" s="28"/>
      <c r="B945" s="19"/>
      <c r="C945" s="18"/>
      <c r="D945" s="19"/>
      <c r="E945" s="18"/>
      <c r="F945" s="19"/>
      <c r="G945" s="18"/>
      <c r="H945" s="19"/>
      <c r="I945" s="18"/>
      <c r="J945" s="19"/>
      <c r="K945" s="18"/>
      <c r="L945" s="19"/>
      <c r="M945" s="18"/>
      <c r="N945" s="19"/>
      <c r="O945" s="18"/>
      <c r="P945" s="19"/>
      <c r="Q945" s="18"/>
      <c r="R945" s="19"/>
      <c r="S945" s="18"/>
      <c r="T945" s="19"/>
      <c r="U945" s="18"/>
      <c r="V945" s="14"/>
    </row>
    <row r="946">
      <c r="A946" s="28"/>
      <c r="B946" s="19"/>
      <c r="C946" s="18"/>
      <c r="D946" s="19"/>
      <c r="E946" s="18"/>
      <c r="F946" s="19"/>
      <c r="G946" s="18"/>
      <c r="H946" s="19"/>
      <c r="I946" s="18"/>
      <c r="J946" s="19"/>
      <c r="K946" s="18"/>
      <c r="L946" s="19"/>
      <c r="M946" s="18"/>
      <c r="N946" s="19"/>
      <c r="O946" s="18"/>
      <c r="P946" s="19"/>
      <c r="Q946" s="18"/>
      <c r="R946" s="19"/>
      <c r="S946" s="18"/>
      <c r="T946" s="19"/>
      <c r="U946" s="18"/>
      <c r="V946" s="14"/>
    </row>
    <row r="947">
      <c r="A947" s="28"/>
      <c r="B947" s="19"/>
      <c r="C947" s="18"/>
      <c r="D947" s="19"/>
      <c r="E947" s="18"/>
      <c r="F947" s="19"/>
      <c r="G947" s="18"/>
      <c r="H947" s="19"/>
      <c r="I947" s="18"/>
      <c r="J947" s="19"/>
      <c r="K947" s="18"/>
      <c r="L947" s="19"/>
      <c r="M947" s="18"/>
      <c r="N947" s="19"/>
      <c r="O947" s="18"/>
      <c r="P947" s="19"/>
      <c r="Q947" s="18"/>
      <c r="R947" s="19"/>
      <c r="S947" s="18"/>
      <c r="T947" s="19"/>
      <c r="U947" s="18"/>
      <c r="V947" s="14"/>
    </row>
    <row r="948">
      <c r="A948" s="28"/>
      <c r="B948" s="19"/>
      <c r="C948" s="18"/>
      <c r="D948" s="19"/>
      <c r="E948" s="18"/>
      <c r="F948" s="19"/>
      <c r="G948" s="18"/>
      <c r="H948" s="19"/>
      <c r="I948" s="18"/>
      <c r="J948" s="19"/>
      <c r="K948" s="18"/>
      <c r="L948" s="19"/>
      <c r="M948" s="18"/>
      <c r="N948" s="19"/>
      <c r="O948" s="18"/>
      <c r="P948" s="19"/>
      <c r="Q948" s="18"/>
      <c r="R948" s="19"/>
      <c r="S948" s="18"/>
      <c r="T948" s="19"/>
      <c r="U948" s="18"/>
      <c r="V948" s="14"/>
    </row>
    <row r="949">
      <c r="A949" s="28"/>
      <c r="B949" s="19"/>
      <c r="C949" s="18"/>
      <c r="D949" s="19"/>
      <c r="E949" s="18"/>
      <c r="F949" s="19"/>
      <c r="G949" s="18"/>
      <c r="H949" s="19"/>
      <c r="I949" s="18"/>
      <c r="J949" s="19"/>
      <c r="K949" s="18"/>
      <c r="L949" s="19"/>
      <c r="M949" s="18"/>
      <c r="N949" s="19"/>
      <c r="O949" s="18"/>
      <c r="P949" s="19"/>
      <c r="Q949" s="18"/>
      <c r="R949" s="19"/>
      <c r="S949" s="18"/>
      <c r="T949" s="19"/>
      <c r="U949" s="18"/>
      <c r="V949" s="14"/>
    </row>
    <row r="950">
      <c r="A950" s="28"/>
      <c r="B950" s="19"/>
      <c r="C950" s="18"/>
      <c r="D950" s="19"/>
      <c r="E950" s="18"/>
      <c r="F950" s="19"/>
      <c r="G950" s="18"/>
      <c r="H950" s="19"/>
      <c r="I950" s="18"/>
      <c r="J950" s="19"/>
      <c r="K950" s="18"/>
      <c r="L950" s="19"/>
      <c r="M950" s="18"/>
      <c r="N950" s="19"/>
      <c r="O950" s="18"/>
      <c r="P950" s="19"/>
      <c r="Q950" s="18"/>
      <c r="R950" s="19"/>
      <c r="S950" s="18"/>
      <c r="T950" s="19"/>
      <c r="U950" s="18"/>
      <c r="V950" s="14"/>
    </row>
    <row r="951">
      <c r="A951" s="28"/>
      <c r="B951" s="19"/>
      <c r="C951" s="18"/>
      <c r="D951" s="19"/>
      <c r="E951" s="18"/>
      <c r="F951" s="19"/>
      <c r="G951" s="18"/>
      <c r="H951" s="19"/>
      <c r="I951" s="18"/>
      <c r="J951" s="19"/>
      <c r="K951" s="18"/>
      <c r="L951" s="19"/>
      <c r="M951" s="18"/>
      <c r="N951" s="19"/>
      <c r="O951" s="18"/>
      <c r="P951" s="19"/>
      <c r="Q951" s="18"/>
      <c r="R951" s="19"/>
      <c r="S951" s="18"/>
      <c r="T951" s="19"/>
      <c r="U951" s="18"/>
      <c r="V951" s="14"/>
    </row>
    <row r="952">
      <c r="A952" s="28"/>
      <c r="B952" s="19"/>
      <c r="C952" s="18"/>
      <c r="D952" s="19"/>
      <c r="E952" s="18"/>
      <c r="F952" s="19"/>
      <c r="G952" s="18"/>
      <c r="H952" s="19"/>
      <c r="I952" s="18"/>
      <c r="J952" s="19"/>
      <c r="K952" s="18"/>
      <c r="L952" s="19"/>
      <c r="M952" s="18"/>
      <c r="N952" s="19"/>
      <c r="O952" s="18"/>
      <c r="P952" s="19"/>
      <c r="Q952" s="18"/>
      <c r="R952" s="19"/>
      <c r="S952" s="18"/>
      <c r="T952" s="19"/>
      <c r="U952" s="18"/>
      <c r="V952" s="14"/>
    </row>
    <row r="953">
      <c r="A953" s="28"/>
      <c r="B953" s="19"/>
      <c r="C953" s="18"/>
      <c r="D953" s="19"/>
      <c r="E953" s="18"/>
      <c r="F953" s="19"/>
      <c r="G953" s="18"/>
      <c r="H953" s="19"/>
      <c r="I953" s="18"/>
      <c r="J953" s="19"/>
      <c r="K953" s="18"/>
      <c r="L953" s="19"/>
      <c r="M953" s="18"/>
      <c r="N953" s="19"/>
      <c r="O953" s="18"/>
      <c r="P953" s="19"/>
      <c r="Q953" s="18"/>
      <c r="R953" s="19"/>
      <c r="S953" s="18"/>
      <c r="T953" s="19"/>
      <c r="U953" s="18"/>
      <c r="V953" s="14"/>
    </row>
    <row r="954">
      <c r="A954" s="28"/>
      <c r="B954" s="19"/>
      <c r="C954" s="18"/>
      <c r="D954" s="19"/>
      <c r="E954" s="18"/>
      <c r="F954" s="19"/>
      <c r="G954" s="18"/>
      <c r="H954" s="19"/>
      <c r="I954" s="18"/>
      <c r="J954" s="19"/>
      <c r="K954" s="18"/>
      <c r="L954" s="19"/>
      <c r="M954" s="18"/>
      <c r="N954" s="19"/>
      <c r="O954" s="18"/>
      <c r="P954" s="19"/>
      <c r="Q954" s="18"/>
      <c r="R954" s="19"/>
      <c r="S954" s="18"/>
      <c r="T954" s="19"/>
      <c r="U954" s="18"/>
      <c r="V954" s="14"/>
    </row>
    <row r="955">
      <c r="A955" s="28"/>
      <c r="B955" s="19"/>
      <c r="C955" s="18"/>
      <c r="D955" s="19"/>
      <c r="E955" s="18"/>
      <c r="F955" s="19"/>
      <c r="G955" s="18"/>
      <c r="H955" s="19"/>
      <c r="I955" s="18"/>
      <c r="J955" s="19"/>
      <c r="K955" s="18"/>
      <c r="L955" s="19"/>
      <c r="M955" s="18"/>
      <c r="N955" s="19"/>
      <c r="O955" s="18"/>
      <c r="P955" s="19"/>
      <c r="Q955" s="18"/>
      <c r="R955" s="19"/>
      <c r="S955" s="18"/>
      <c r="T955" s="19"/>
      <c r="U955" s="18"/>
      <c r="V955" s="14"/>
    </row>
    <row r="956">
      <c r="A956" s="28"/>
      <c r="B956" s="19"/>
      <c r="C956" s="18"/>
      <c r="D956" s="19"/>
      <c r="E956" s="18"/>
      <c r="F956" s="19"/>
      <c r="G956" s="18"/>
      <c r="H956" s="19"/>
      <c r="I956" s="18"/>
      <c r="J956" s="19"/>
      <c r="K956" s="18"/>
      <c r="L956" s="19"/>
      <c r="M956" s="18"/>
      <c r="N956" s="19"/>
      <c r="O956" s="18"/>
      <c r="P956" s="19"/>
      <c r="Q956" s="18"/>
      <c r="R956" s="19"/>
      <c r="S956" s="18"/>
      <c r="T956" s="19"/>
      <c r="U956" s="18"/>
      <c r="V956" s="14"/>
    </row>
    <row r="957">
      <c r="A957" s="28"/>
      <c r="B957" s="19"/>
      <c r="C957" s="18"/>
      <c r="D957" s="19"/>
      <c r="E957" s="18"/>
      <c r="F957" s="19"/>
      <c r="G957" s="18"/>
      <c r="H957" s="19"/>
      <c r="I957" s="18"/>
      <c r="J957" s="19"/>
      <c r="K957" s="18"/>
      <c r="L957" s="19"/>
      <c r="M957" s="18"/>
      <c r="N957" s="19"/>
      <c r="O957" s="18"/>
      <c r="P957" s="19"/>
      <c r="Q957" s="18"/>
      <c r="R957" s="19"/>
      <c r="S957" s="18"/>
      <c r="T957" s="19"/>
      <c r="U957" s="18"/>
      <c r="V957" s="14"/>
    </row>
    <row r="958">
      <c r="A958" s="28"/>
      <c r="B958" s="19"/>
      <c r="C958" s="18"/>
      <c r="D958" s="19"/>
      <c r="E958" s="18"/>
      <c r="F958" s="19"/>
      <c r="G958" s="18"/>
      <c r="H958" s="19"/>
      <c r="I958" s="18"/>
      <c r="J958" s="19"/>
      <c r="K958" s="18"/>
      <c r="L958" s="19"/>
      <c r="M958" s="18"/>
      <c r="N958" s="19"/>
      <c r="O958" s="18"/>
      <c r="P958" s="19"/>
      <c r="Q958" s="18"/>
      <c r="R958" s="19"/>
      <c r="S958" s="18"/>
      <c r="T958" s="19"/>
      <c r="U958" s="18"/>
      <c r="V958" s="14"/>
    </row>
    <row r="959">
      <c r="A959" s="28"/>
      <c r="B959" s="19"/>
      <c r="C959" s="18"/>
      <c r="D959" s="19"/>
      <c r="E959" s="18"/>
      <c r="F959" s="19"/>
      <c r="G959" s="18"/>
      <c r="H959" s="19"/>
      <c r="I959" s="18"/>
      <c r="J959" s="19"/>
      <c r="K959" s="18"/>
      <c r="L959" s="19"/>
      <c r="M959" s="18"/>
      <c r="N959" s="19"/>
      <c r="O959" s="18"/>
      <c r="P959" s="19"/>
      <c r="Q959" s="18"/>
      <c r="R959" s="19"/>
      <c r="S959" s="18"/>
      <c r="T959" s="19"/>
      <c r="U959" s="18"/>
      <c r="V959" s="14"/>
    </row>
    <row r="960">
      <c r="A960" s="28"/>
      <c r="B960" s="19"/>
      <c r="C960" s="18"/>
      <c r="D960" s="19"/>
      <c r="E960" s="18"/>
      <c r="F960" s="19"/>
      <c r="G960" s="18"/>
      <c r="H960" s="19"/>
      <c r="I960" s="18"/>
      <c r="J960" s="19"/>
      <c r="K960" s="18"/>
      <c r="L960" s="19"/>
      <c r="M960" s="18"/>
      <c r="N960" s="19"/>
      <c r="O960" s="18"/>
      <c r="P960" s="19"/>
      <c r="Q960" s="18"/>
      <c r="R960" s="19"/>
      <c r="S960" s="18"/>
      <c r="T960" s="19"/>
      <c r="U960" s="18"/>
      <c r="V960" s="14"/>
    </row>
    <row r="961">
      <c r="A961" s="28"/>
      <c r="B961" s="19"/>
      <c r="C961" s="18"/>
      <c r="D961" s="19"/>
      <c r="E961" s="18"/>
      <c r="F961" s="19"/>
      <c r="G961" s="18"/>
      <c r="H961" s="19"/>
      <c r="I961" s="18"/>
      <c r="J961" s="19"/>
      <c r="K961" s="18"/>
      <c r="L961" s="19"/>
      <c r="M961" s="18"/>
      <c r="N961" s="19"/>
      <c r="O961" s="18"/>
      <c r="P961" s="19"/>
      <c r="Q961" s="18"/>
      <c r="R961" s="19"/>
      <c r="S961" s="18"/>
      <c r="T961" s="19"/>
      <c r="U961" s="18"/>
      <c r="V961" s="14"/>
    </row>
    <row r="962">
      <c r="A962" s="28"/>
      <c r="B962" s="19"/>
      <c r="C962" s="18"/>
      <c r="D962" s="19"/>
      <c r="E962" s="18"/>
      <c r="F962" s="19"/>
      <c r="G962" s="18"/>
      <c r="H962" s="19"/>
      <c r="I962" s="18"/>
      <c r="J962" s="19"/>
      <c r="K962" s="18"/>
      <c r="L962" s="19"/>
      <c r="M962" s="18"/>
      <c r="N962" s="19"/>
      <c r="O962" s="18"/>
      <c r="P962" s="19"/>
      <c r="Q962" s="18"/>
      <c r="R962" s="19"/>
      <c r="S962" s="18"/>
      <c r="T962" s="19"/>
      <c r="U962" s="18"/>
      <c r="V962" s="14"/>
    </row>
    <row r="963">
      <c r="A963" s="28"/>
      <c r="B963" s="19"/>
      <c r="C963" s="18"/>
      <c r="D963" s="19"/>
      <c r="E963" s="18"/>
      <c r="F963" s="19"/>
      <c r="G963" s="18"/>
      <c r="H963" s="19"/>
      <c r="I963" s="18"/>
      <c r="J963" s="19"/>
      <c r="K963" s="18"/>
      <c r="L963" s="19"/>
      <c r="M963" s="18"/>
      <c r="N963" s="19"/>
      <c r="O963" s="18"/>
      <c r="P963" s="19"/>
      <c r="Q963" s="18"/>
      <c r="R963" s="19"/>
      <c r="S963" s="18"/>
      <c r="T963" s="19"/>
      <c r="U963" s="18"/>
      <c r="V963" s="14"/>
    </row>
    <row r="964">
      <c r="A964" s="28"/>
      <c r="B964" s="19"/>
      <c r="C964" s="18"/>
      <c r="D964" s="19"/>
      <c r="E964" s="18"/>
      <c r="F964" s="19"/>
      <c r="G964" s="18"/>
      <c r="H964" s="19"/>
      <c r="I964" s="18"/>
      <c r="J964" s="19"/>
      <c r="K964" s="18"/>
      <c r="L964" s="19"/>
      <c r="M964" s="18"/>
      <c r="N964" s="19"/>
      <c r="O964" s="18"/>
      <c r="P964" s="19"/>
      <c r="Q964" s="18"/>
      <c r="R964" s="19"/>
      <c r="S964" s="18"/>
      <c r="T964" s="19"/>
      <c r="U964" s="18"/>
      <c r="V964" s="14"/>
    </row>
    <row r="965">
      <c r="A965" s="28"/>
      <c r="B965" s="19"/>
      <c r="C965" s="18"/>
      <c r="D965" s="19"/>
      <c r="E965" s="18"/>
      <c r="F965" s="19"/>
      <c r="G965" s="18"/>
      <c r="H965" s="19"/>
      <c r="I965" s="18"/>
      <c r="J965" s="19"/>
      <c r="K965" s="18"/>
      <c r="L965" s="19"/>
      <c r="M965" s="18"/>
      <c r="N965" s="19"/>
      <c r="O965" s="18"/>
      <c r="P965" s="19"/>
      <c r="Q965" s="18"/>
      <c r="R965" s="19"/>
      <c r="S965" s="18"/>
      <c r="T965" s="19"/>
      <c r="U965" s="18"/>
      <c r="V965" s="14"/>
    </row>
    <row r="966">
      <c r="A966" s="28"/>
      <c r="B966" s="19"/>
      <c r="C966" s="18"/>
      <c r="D966" s="19"/>
      <c r="E966" s="18"/>
      <c r="F966" s="19"/>
      <c r="G966" s="18"/>
      <c r="H966" s="19"/>
      <c r="I966" s="18"/>
      <c r="J966" s="19"/>
      <c r="K966" s="18"/>
      <c r="L966" s="19"/>
      <c r="M966" s="18"/>
      <c r="N966" s="19"/>
      <c r="O966" s="18"/>
      <c r="P966" s="19"/>
      <c r="Q966" s="18"/>
      <c r="R966" s="19"/>
      <c r="S966" s="18"/>
      <c r="T966" s="19"/>
      <c r="U966" s="18"/>
      <c r="V966" s="14"/>
    </row>
    <row r="967">
      <c r="A967" s="28"/>
      <c r="B967" s="19"/>
      <c r="C967" s="18"/>
      <c r="D967" s="19"/>
      <c r="E967" s="18"/>
      <c r="F967" s="19"/>
      <c r="G967" s="18"/>
      <c r="H967" s="19"/>
      <c r="I967" s="18"/>
      <c r="J967" s="19"/>
      <c r="K967" s="18"/>
      <c r="L967" s="19"/>
      <c r="M967" s="18"/>
      <c r="N967" s="19"/>
      <c r="O967" s="18"/>
      <c r="P967" s="19"/>
      <c r="Q967" s="18"/>
      <c r="R967" s="19"/>
      <c r="S967" s="18"/>
      <c r="T967" s="19"/>
      <c r="U967" s="18"/>
      <c r="V967" s="14"/>
    </row>
    <row r="968">
      <c r="A968" s="28"/>
      <c r="B968" s="19"/>
      <c r="C968" s="18"/>
      <c r="D968" s="19"/>
      <c r="E968" s="18"/>
      <c r="F968" s="19"/>
      <c r="G968" s="18"/>
      <c r="H968" s="19"/>
      <c r="I968" s="18"/>
      <c r="J968" s="19"/>
      <c r="K968" s="18"/>
      <c r="L968" s="19"/>
      <c r="M968" s="18"/>
      <c r="N968" s="19"/>
      <c r="O968" s="18"/>
      <c r="P968" s="19"/>
      <c r="Q968" s="18"/>
      <c r="R968" s="19"/>
      <c r="S968" s="18"/>
      <c r="T968" s="19"/>
      <c r="U968" s="18"/>
      <c r="V968" s="14"/>
    </row>
    <row r="969">
      <c r="A969" s="28"/>
      <c r="B969" s="19"/>
      <c r="C969" s="18"/>
      <c r="D969" s="19"/>
      <c r="E969" s="18"/>
      <c r="F969" s="19"/>
      <c r="G969" s="18"/>
      <c r="H969" s="19"/>
      <c r="I969" s="18"/>
      <c r="J969" s="19"/>
      <c r="K969" s="18"/>
      <c r="L969" s="19"/>
      <c r="M969" s="18"/>
      <c r="N969" s="19"/>
      <c r="O969" s="18"/>
      <c r="P969" s="19"/>
      <c r="Q969" s="18"/>
      <c r="R969" s="19"/>
      <c r="S969" s="18"/>
      <c r="T969" s="19"/>
      <c r="U969" s="18"/>
      <c r="V969" s="14"/>
    </row>
    <row r="970">
      <c r="A970" s="28"/>
      <c r="B970" s="19"/>
      <c r="C970" s="18"/>
      <c r="D970" s="19"/>
      <c r="E970" s="18"/>
      <c r="F970" s="19"/>
      <c r="G970" s="18"/>
      <c r="H970" s="19"/>
      <c r="I970" s="18"/>
      <c r="J970" s="19"/>
      <c r="K970" s="18"/>
      <c r="L970" s="19"/>
      <c r="M970" s="18"/>
      <c r="N970" s="19"/>
      <c r="O970" s="18"/>
      <c r="P970" s="19"/>
      <c r="Q970" s="18"/>
      <c r="R970" s="19"/>
      <c r="S970" s="18"/>
      <c r="T970" s="19"/>
      <c r="U970" s="18"/>
      <c r="V970" s="14"/>
    </row>
    <row r="971">
      <c r="A971" s="28"/>
      <c r="B971" s="19"/>
      <c r="C971" s="18"/>
      <c r="D971" s="19"/>
      <c r="E971" s="18"/>
      <c r="F971" s="19"/>
      <c r="G971" s="18"/>
      <c r="H971" s="19"/>
      <c r="I971" s="18"/>
      <c r="J971" s="19"/>
      <c r="K971" s="18"/>
      <c r="L971" s="19"/>
      <c r="M971" s="18"/>
      <c r="N971" s="19"/>
      <c r="O971" s="18"/>
      <c r="P971" s="19"/>
      <c r="Q971" s="18"/>
      <c r="R971" s="19"/>
      <c r="S971" s="18"/>
      <c r="T971" s="19"/>
      <c r="U971" s="18"/>
      <c r="V971" s="14"/>
    </row>
    <row r="972">
      <c r="A972" s="28"/>
      <c r="B972" s="19"/>
      <c r="C972" s="18"/>
      <c r="D972" s="19"/>
      <c r="E972" s="18"/>
      <c r="F972" s="19"/>
      <c r="G972" s="18"/>
      <c r="H972" s="19"/>
      <c r="I972" s="18"/>
      <c r="J972" s="19"/>
      <c r="K972" s="18"/>
      <c r="L972" s="19"/>
      <c r="M972" s="18"/>
      <c r="N972" s="19"/>
      <c r="O972" s="18"/>
      <c r="P972" s="19"/>
      <c r="Q972" s="18"/>
      <c r="R972" s="19"/>
      <c r="S972" s="18"/>
      <c r="T972" s="19"/>
      <c r="U972" s="18"/>
      <c r="V972" s="14"/>
    </row>
    <row r="973">
      <c r="A973" s="28"/>
      <c r="B973" s="19"/>
      <c r="C973" s="18"/>
      <c r="D973" s="19"/>
      <c r="E973" s="18"/>
      <c r="F973" s="19"/>
      <c r="G973" s="18"/>
      <c r="H973" s="19"/>
      <c r="I973" s="18"/>
      <c r="J973" s="19"/>
      <c r="K973" s="18"/>
      <c r="L973" s="19"/>
      <c r="M973" s="18"/>
      <c r="N973" s="19"/>
      <c r="O973" s="18"/>
      <c r="P973" s="19"/>
      <c r="Q973" s="18"/>
      <c r="R973" s="19"/>
      <c r="S973" s="18"/>
      <c r="T973" s="19"/>
      <c r="U973" s="18"/>
      <c r="V973" s="14"/>
    </row>
    <row r="974">
      <c r="A974" s="28"/>
      <c r="B974" s="19"/>
      <c r="C974" s="18"/>
      <c r="D974" s="19"/>
      <c r="E974" s="18"/>
      <c r="F974" s="19"/>
      <c r="G974" s="18"/>
      <c r="H974" s="19"/>
      <c r="I974" s="18"/>
      <c r="J974" s="19"/>
      <c r="K974" s="18"/>
      <c r="L974" s="19"/>
      <c r="M974" s="18"/>
      <c r="N974" s="19"/>
      <c r="O974" s="18"/>
      <c r="P974" s="19"/>
      <c r="Q974" s="18"/>
      <c r="R974" s="19"/>
      <c r="S974" s="18"/>
      <c r="T974" s="19"/>
      <c r="U974" s="18"/>
      <c r="V974" s="14"/>
    </row>
    <row r="975">
      <c r="A975" s="28"/>
      <c r="B975" s="19"/>
      <c r="C975" s="18"/>
      <c r="D975" s="19"/>
      <c r="E975" s="18"/>
      <c r="F975" s="19"/>
      <c r="G975" s="18"/>
      <c r="H975" s="19"/>
      <c r="I975" s="18"/>
      <c r="J975" s="19"/>
      <c r="K975" s="18"/>
      <c r="L975" s="19"/>
      <c r="M975" s="18"/>
      <c r="N975" s="19"/>
      <c r="O975" s="18"/>
      <c r="P975" s="19"/>
      <c r="Q975" s="18"/>
      <c r="R975" s="19"/>
      <c r="S975" s="18"/>
      <c r="T975" s="19"/>
      <c r="U975" s="18"/>
      <c r="V975" s="14"/>
    </row>
    <row r="976">
      <c r="A976" s="28"/>
      <c r="B976" s="19"/>
      <c r="C976" s="18"/>
      <c r="D976" s="19"/>
      <c r="E976" s="18"/>
      <c r="F976" s="19"/>
      <c r="G976" s="18"/>
      <c r="H976" s="19"/>
      <c r="I976" s="18"/>
      <c r="J976" s="19"/>
      <c r="K976" s="18"/>
      <c r="L976" s="19"/>
      <c r="M976" s="18"/>
      <c r="N976" s="19"/>
      <c r="O976" s="18"/>
      <c r="P976" s="19"/>
      <c r="Q976" s="18"/>
      <c r="R976" s="19"/>
      <c r="S976" s="18"/>
      <c r="T976" s="19"/>
      <c r="U976" s="18"/>
      <c r="V976" s="14"/>
    </row>
    <row r="977">
      <c r="A977" s="28"/>
      <c r="B977" s="19"/>
      <c r="C977" s="18"/>
      <c r="D977" s="19"/>
      <c r="E977" s="18"/>
      <c r="F977" s="19"/>
      <c r="G977" s="18"/>
      <c r="H977" s="19"/>
      <c r="I977" s="18"/>
      <c r="J977" s="19"/>
      <c r="K977" s="18"/>
      <c r="L977" s="19"/>
      <c r="M977" s="18"/>
      <c r="N977" s="19"/>
      <c r="O977" s="18"/>
      <c r="P977" s="19"/>
      <c r="Q977" s="18"/>
      <c r="R977" s="19"/>
      <c r="S977" s="18"/>
      <c r="T977" s="19"/>
      <c r="U977" s="18"/>
      <c r="V977" s="14"/>
    </row>
    <row r="978">
      <c r="A978" s="28"/>
      <c r="B978" s="19"/>
      <c r="C978" s="18"/>
      <c r="D978" s="19"/>
      <c r="E978" s="18"/>
      <c r="F978" s="19"/>
      <c r="G978" s="18"/>
      <c r="H978" s="19"/>
      <c r="I978" s="18"/>
      <c r="J978" s="19"/>
      <c r="K978" s="18"/>
      <c r="L978" s="19"/>
      <c r="M978" s="18"/>
      <c r="N978" s="19"/>
      <c r="O978" s="18"/>
      <c r="P978" s="19"/>
      <c r="Q978" s="18"/>
      <c r="R978" s="19"/>
      <c r="S978" s="18"/>
      <c r="T978" s="19"/>
      <c r="U978" s="18"/>
      <c r="V978" s="14"/>
    </row>
    <row r="979">
      <c r="A979" s="28"/>
      <c r="B979" s="19"/>
      <c r="C979" s="18"/>
      <c r="D979" s="19"/>
      <c r="E979" s="18"/>
      <c r="F979" s="19"/>
      <c r="G979" s="18"/>
      <c r="H979" s="19"/>
      <c r="I979" s="18"/>
      <c r="J979" s="19"/>
      <c r="K979" s="18"/>
      <c r="L979" s="19"/>
      <c r="M979" s="18"/>
      <c r="N979" s="19"/>
      <c r="O979" s="18"/>
      <c r="P979" s="19"/>
      <c r="Q979" s="18"/>
      <c r="R979" s="19"/>
      <c r="S979" s="18"/>
      <c r="T979" s="19"/>
      <c r="U979" s="18"/>
      <c r="V979" s="14"/>
    </row>
    <row r="980">
      <c r="A980" s="28"/>
      <c r="B980" s="19"/>
      <c r="C980" s="18"/>
      <c r="D980" s="19"/>
      <c r="E980" s="18"/>
      <c r="F980" s="19"/>
      <c r="G980" s="18"/>
      <c r="H980" s="19"/>
      <c r="I980" s="18"/>
      <c r="J980" s="19"/>
      <c r="K980" s="18"/>
      <c r="L980" s="19"/>
      <c r="M980" s="18"/>
      <c r="N980" s="19"/>
      <c r="O980" s="18"/>
      <c r="P980" s="19"/>
      <c r="Q980" s="18"/>
      <c r="R980" s="19"/>
      <c r="S980" s="18"/>
      <c r="T980" s="19"/>
      <c r="U980" s="18"/>
      <c r="V980" s="14"/>
    </row>
    <row r="981">
      <c r="A981" s="28"/>
      <c r="B981" s="19"/>
      <c r="C981" s="18"/>
      <c r="D981" s="19"/>
      <c r="E981" s="18"/>
      <c r="F981" s="19"/>
      <c r="G981" s="18"/>
      <c r="H981" s="19"/>
      <c r="I981" s="18"/>
      <c r="J981" s="19"/>
      <c r="K981" s="18"/>
      <c r="L981" s="19"/>
      <c r="M981" s="18"/>
      <c r="N981" s="19"/>
      <c r="O981" s="18"/>
      <c r="P981" s="19"/>
      <c r="Q981" s="18"/>
      <c r="R981" s="19"/>
      <c r="S981" s="18"/>
      <c r="T981" s="19"/>
      <c r="U981" s="18"/>
      <c r="V981" s="14"/>
    </row>
    <row r="982">
      <c r="A982" s="28"/>
      <c r="B982" s="19"/>
      <c r="C982" s="18"/>
      <c r="D982" s="19"/>
      <c r="E982" s="18"/>
      <c r="F982" s="19"/>
      <c r="G982" s="18"/>
      <c r="H982" s="19"/>
      <c r="I982" s="18"/>
      <c r="J982" s="19"/>
      <c r="K982" s="18"/>
      <c r="L982" s="19"/>
      <c r="M982" s="18"/>
      <c r="N982" s="19"/>
      <c r="O982" s="18"/>
      <c r="P982" s="19"/>
      <c r="Q982" s="18"/>
      <c r="R982" s="19"/>
      <c r="S982" s="18"/>
      <c r="T982" s="19"/>
      <c r="U982" s="18"/>
      <c r="V982" s="14"/>
    </row>
    <row r="983">
      <c r="A983" s="28"/>
      <c r="B983" s="19"/>
      <c r="C983" s="18"/>
      <c r="D983" s="19"/>
      <c r="E983" s="18"/>
      <c r="F983" s="19"/>
      <c r="G983" s="18"/>
      <c r="H983" s="19"/>
      <c r="I983" s="18"/>
      <c r="J983" s="19"/>
      <c r="K983" s="18"/>
      <c r="L983" s="19"/>
      <c r="M983" s="18"/>
      <c r="N983" s="19"/>
      <c r="O983" s="18"/>
      <c r="P983" s="19"/>
      <c r="Q983" s="18"/>
      <c r="R983" s="19"/>
      <c r="S983" s="18"/>
      <c r="T983" s="19"/>
      <c r="U983" s="18"/>
      <c r="V983" s="14"/>
    </row>
    <row r="984">
      <c r="A984" s="28"/>
      <c r="B984" s="19"/>
      <c r="C984" s="18"/>
      <c r="D984" s="19"/>
      <c r="E984" s="18"/>
      <c r="F984" s="19"/>
      <c r="G984" s="18"/>
      <c r="H984" s="19"/>
      <c r="I984" s="18"/>
      <c r="J984" s="19"/>
      <c r="K984" s="18"/>
      <c r="L984" s="19"/>
      <c r="M984" s="18"/>
      <c r="N984" s="19"/>
      <c r="O984" s="18"/>
      <c r="P984" s="19"/>
      <c r="Q984" s="18"/>
      <c r="R984" s="19"/>
      <c r="S984" s="18"/>
      <c r="T984" s="19"/>
      <c r="U984" s="18"/>
      <c r="V984" s="14"/>
    </row>
    <row r="985">
      <c r="A985" s="28"/>
      <c r="B985" s="19"/>
      <c r="C985" s="18"/>
      <c r="D985" s="19"/>
      <c r="E985" s="18"/>
      <c r="F985" s="19"/>
      <c r="G985" s="18"/>
      <c r="H985" s="19"/>
      <c r="I985" s="18"/>
      <c r="J985" s="19"/>
      <c r="K985" s="18"/>
      <c r="L985" s="19"/>
      <c r="M985" s="18"/>
      <c r="N985" s="19"/>
      <c r="O985" s="18"/>
      <c r="P985" s="19"/>
      <c r="Q985" s="18"/>
      <c r="R985" s="19"/>
      <c r="S985" s="18"/>
      <c r="T985" s="19"/>
      <c r="U985" s="18"/>
      <c r="V985" s="14"/>
    </row>
    <row r="986">
      <c r="A986" s="28"/>
      <c r="B986" s="19"/>
      <c r="C986" s="18"/>
      <c r="D986" s="19"/>
      <c r="E986" s="18"/>
      <c r="F986" s="19"/>
      <c r="G986" s="18"/>
      <c r="H986" s="19"/>
      <c r="I986" s="18"/>
      <c r="J986" s="19"/>
      <c r="K986" s="18"/>
      <c r="L986" s="19"/>
      <c r="M986" s="18"/>
      <c r="N986" s="19"/>
      <c r="O986" s="18"/>
      <c r="P986" s="19"/>
      <c r="Q986" s="18"/>
      <c r="R986" s="19"/>
      <c r="S986" s="18"/>
      <c r="T986" s="19"/>
      <c r="U986" s="18"/>
      <c r="V986" s="14"/>
    </row>
    <row r="987">
      <c r="A987" s="28"/>
      <c r="B987" s="19"/>
      <c r="C987" s="18"/>
      <c r="D987" s="19"/>
      <c r="E987" s="18"/>
      <c r="F987" s="19"/>
      <c r="G987" s="18"/>
      <c r="H987" s="19"/>
      <c r="I987" s="18"/>
      <c r="J987" s="19"/>
      <c r="K987" s="18"/>
      <c r="L987" s="19"/>
      <c r="M987" s="18"/>
      <c r="N987" s="19"/>
      <c r="O987" s="18"/>
      <c r="P987" s="19"/>
      <c r="Q987" s="18"/>
      <c r="R987" s="19"/>
      <c r="S987" s="18"/>
      <c r="T987" s="19"/>
      <c r="U987" s="18"/>
      <c r="V987" s="14"/>
    </row>
    <row r="988">
      <c r="A988" s="28"/>
      <c r="B988" s="19"/>
      <c r="C988" s="18"/>
      <c r="D988" s="19"/>
      <c r="E988" s="18"/>
      <c r="F988" s="19"/>
      <c r="G988" s="18"/>
      <c r="H988" s="19"/>
      <c r="I988" s="18"/>
      <c r="J988" s="19"/>
      <c r="K988" s="18"/>
      <c r="L988" s="19"/>
      <c r="M988" s="18"/>
      <c r="N988" s="19"/>
      <c r="O988" s="18"/>
      <c r="P988" s="19"/>
      <c r="Q988" s="18"/>
      <c r="R988" s="19"/>
      <c r="S988" s="18"/>
      <c r="T988" s="19"/>
      <c r="U988" s="18"/>
      <c r="V988" s="14"/>
    </row>
    <row r="989">
      <c r="A989" s="28"/>
      <c r="B989" s="19"/>
      <c r="C989" s="18"/>
      <c r="D989" s="19"/>
      <c r="E989" s="18"/>
      <c r="F989" s="19"/>
      <c r="G989" s="18"/>
      <c r="H989" s="19"/>
      <c r="I989" s="18"/>
      <c r="J989" s="19"/>
      <c r="K989" s="18"/>
      <c r="L989" s="19"/>
      <c r="M989" s="18"/>
      <c r="N989" s="19"/>
      <c r="O989" s="18"/>
      <c r="P989" s="19"/>
      <c r="Q989" s="18"/>
      <c r="R989" s="19"/>
      <c r="S989" s="18"/>
      <c r="T989" s="19"/>
      <c r="U989" s="18"/>
      <c r="V989" s="14"/>
    </row>
    <row r="990">
      <c r="A990" s="28"/>
      <c r="B990" s="19"/>
      <c r="C990" s="18"/>
      <c r="D990" s="19"/>
      <c r="E990" s="18"/>
      <c r="F990" s="19"/>
      <c r="G990" s="18"/>
      <c r="H990" s="19"/>
      <c r="I990" s="18"/>
      <c r="J990" s="19"/>
      <c r="K990" s="18"/>
      <c r="L990" s="19"/>
      <c r="M990" s="18"/>
      <c r="N990" s="19"/>
      <c r="O990" s="18"/>
      <c r="P990" s="19"/>
      <c r="Q990" s="18"/>
      <c r="R990" s="19"/>
      <c r="S990" s="18"/>
      <c r="T990" s="19"/>
      <c r="U990" s="18"/>
      <c r="V990" s="14"/>
    </row>
    <row r="991">
      <c r="A991" s="28"/>
      <c r="B991" s="19"/>
      <c r="C991" s="18"/>
      <c r="D991" s="19"/>
      <c r="E991" s="18"/>
      <c r="F991" s="19"/>
      <c r="G991" s="18"/>
      <c r="H991" s="19"/>
      <c r="I991" s="18"/>
      <c r="J991" s="19"/>
      <c r="K991" s="18"/>
      <c r="L991" s="19"/>
      <c r="M991" s="18"/>
      <c r="N991" s="19"/>
      <c r="O991" s="18"/>
      <c r="P991" s="19"/>
      <c r="Q991" s="18"/>
      <c r="R991" s="19"/>
      <c r="S991" s="18"/>
      <c r="T991" s="19"/>
      <c r="U991" s="18"/>
      <c r="V991" s="14"/>
    </row>
    <row r="992">
      <c r="A992" s="28"/>
      <c r="B992" s="19"/>
      <c r="C992" s="18"/>
      <c r="D992" s="19"/>
      <c r="E992" s="18"/>
      <c r="F992" s="19"/>
      <c r="G992" s="18"/>
      <c r="H992" s="19"/>
      <c r="I992" s="18"/>
      <c r="J992" s="19"/>
      <c r="K992" s="18"/>
      <c r="L992" s="19"/>
      <c r="M992" s="18"/>
      <c r="N992" s="19"/>
      <c r="O992" s="18"/>
      <c r="P992" s="19"/>
      <c r="Q992" s="18"/>
      <c r="R992" s="19"/>
      <c r="S992" s="18"/>
      <c r="T992" s="19"/>
      <c r="U992" s="18"/>
      <c r="V992" s="14"/>
    </row>
    <row r="993">
      <c r="A993" s="28"/>
      <c r="B993" s="19"/>
      <c r="C993" s="18"/>
      <c r="D993" s="19"/>
      <c r="E993" s="18"/>
      <c r="F993" s="19"/>
      <c r="G993" s="18"/>
      <c r="H993" s="19"/>
      <c r="I993" s="18"/>
      <c r="J993" s="19"/>
      <c r="K993" s="18"/>
      <c r="L993" s="19"/>
      <c r="M993" s="18"/>
      <c r="N993" s="19"/>
      <c r="O993" s="18"/>
      <c r="P993" s="19"/>
      <c r="Q993" s="18"/>
      <c r="R993" s="19"/>
      <c r="S993" s="18"/>
      <c r="T993" s="19"/>
      <c r="U993" s="18"/>
      <c r="V993" s="14"/>
    </row>
    <row r="994">
      <c r="A994" s="28"/>
      <c r="B994" s="19"/>
      <c r="C994" s="18"/>
      <c r="D994" s="19"/>
      <c r="E994" s="18"/>
      <c r="F994" s="19"/>
      <c r="G994" s="18"/>
      <c r="H994" s="19"/>
      <c r="I994" s="18"/>
      <c r="J994" s="19"/>
      <c r="K994" s="18"/>
      <c r="L994" s="19"/>
      <c r="M994" s="18"/>
      <c r="N994" s="19"/>
      <c r="O994" s="18"/>
      <c r="P994" s="19"/>
      <c r="Q994" s="18"/>
      <c r="R994" s="19"/>
      <c r="S994" s="18"/>
      <c r="T994" s="19"/>
      <c r="U994" s="18"/>
      <c r="V994" s="14"/>
    </row>
    <row r="995">
      <c r="A995" s="28"/>
      <c r="B995" s="19"/>
      <c r="C995" s="18"/>
      <c r="D995" s="19"/>
      <c r="E995" s="18"/>
      <c r="F995" s="19"/>
      <c r="G995" s="18"/>
      <c r="H995" s="19"/>
      <c r="I995" s="18"/>
      <c r="J995" s="19"/>
      <c r="K995" s="18"/>
      <c r="L995" s="19"/>
      <c r="M995" s="18"/>
      <c r="N995" s="19"/>
      <c r="O995" s="18"/>
      <c r="P995" s="19"/>
      <c r="Q995" s="18"/>
      <c r="R995" s="19"/>
      <c r="S995" s="18"/>
      <c r="T995" s="19"/>
      <c r="U995" s="18"/>
      <c r="V995" s="14"/>
    </row>
    <row r="996">
      <c r="A996" s="28"/>
      <c r="B996" s="19"/>
      <c r="C996" s="18"/>
      <c r="D996" s="19"/>
      <c r="E996" s="18"/>
      <c r="F996" s="19"/>
      <c r="G996" s="18"/>
      <c r="H996" s="19"/>
      <c r="I996" s="18"/>
      <c r="J996" s="19"/>
      <c r="K996" s="18"/>
      <c r="L996" s="19"/>
      <c r="M996" s="18"/>
      <c r="N996" s="19"/>
      <c r="O996" s="18"/>
      <c r="P996" s="19"/>
      <c r="Q996" s="18"/>
      <c r="R996" s="19"/>
      <c r="S996" s="18"/>
      <c r="T996" s="19"/>
      <c r="U996" s="18"/>
      <c r="V996" s="14"/>
    </row>
    <row r="997">
      <c r="A997" s="28"/>
      <c r="B997" s="19"/>
      <c r="C997" s="18"/>
      <c r="D997" s="19"/>
      <c r="E997" s="18"/>
      <c r="F997" s="19"/>
      <c r="G997" s="18"/>
      <c r="H997" s="19"/>
      <c r="I997" s="18"/>
      <c r="J997" s="19"/>
      <c r="K997" s="18"/>
      <c r="L997" s="19"/>
      <c r="M997" s="18"/>
      <c r="N997" s="19"/>
      <c r="O997" s="18"/>
      <c r="P997" s="19"/>
      <c r="Q997" s="18"/>
      <c r="R997" s="19"/>
      <c r="S997" s="18"/>
      <c r="T997" s="19"/>
      <c r="U997" s="18"/>
      <c r="V997" s="14"/>
    </row>
    <row r="998">
      <c r="A998" s="28"/>
      <c r="B998" s="19"/>
      <c r="C998" s="18"/>
      <c r="D998" s="19"/>
      <c r="E998" s="18"/>
      <c r="F998" s="19"/>
      <c r="G998" s="18"/>
      <c r="H998" s="19"/>
      <c r="I998" s="18"/>
      <c r="J998" s="19"/>
      <c r="K998" s="18"/>
      <c r="L998" s="19"/>
      <c r="M998" s="18"/>
      <c r="N998" s="19"/>
      <c r="O998" s="18"/>
      <c r="P998" s="19"/>
      <c r="Q998" s="18"/>
      <c r="R998" s="19"/>
      <c r="S998" s="18"/>
      <c r="T998" s="19"/>
      <c r="U998" s="18"/>
      <c r="V998" s="14"/>
    </row>
    <row r="999">
      <c r="A999" s="28"/>
      <c r="B999" s="19"/>
      <c r="C999" s="18"/>
      <c r="D999" s="19"/>
      <c r="E999" s="18"/>
      <c r="F999" s="19"/>
      <c r="G999" s="18"/>
      <c r="H999" s="19"/>
      <c r="I999" s="18"/>
      <c r="J999" s="19"/>
      <c r="K999" s="18"/>
      <c r="L999" s="19"/>
      <c r="M999" s="18"/>
      <c r="N999" s="19"/>
      <c r="O999" s="18"/>
      <c r="P999" s="19"/>
      <c r="Q999" s="18"/>
      <c r="R999" s="19"/>
      <c r="S999" s="18"/>
      <c r="T999" s="19"/>
      <c r="U999" s="18"/>
      <c r="V999" s="14"/>
    </row>
    <row r="1000">
      <c r="A1000" s="28"/>
      <c r="B1000" s="19"/>
      <c r="C1000" s="18"/>
      <c r="D1000" s="19"/>
      <c r="E1000" s="18"/>
      <c r="F1000" s="19"/>
      <c r="G1000" s="18"/>
      <c r="H1000" s="19"/>
      <c r="I1000" s="18"/>
      <c r="J1000" s="19"/>
      <c r="K1000" s="18"/>
      <c r="L1000" s="19"/>
      <c r="M1000" s="18"/>
      <c r="N1000" s="19"/>
      <c r="O1000" s="18"/>
      <c r="P1000" s="19"/>
      <c r="Q1000" s="18"/>
      <c r="R1000" s="19"/>
      <c r="S1000" s="18"/>
      <c r="T1000" s="19"/>
      <c r="U1000" s="18"/>
      <c r="V1000" s="14"/>
    </row>
  </sheetData>
  <mergeCells count="10">
    <mergeCell ref="P1:Q1"/>
    <mergeCell ref="R1:S1"/>
    <mergeCell ref="T1:U1"/>
    <mergeCell ref="B1:C1"/>
    <mergeCell ref="D1:E1"/>
    <mergeCell ref="F1:G1"/>
    <mergeCell ref="H1:I1"/>
    <mergeCell ref="J1:K1"/>
    <mergeCell ref="L1:M1"/>
    <mergeCell ref="N1:O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20.25"/>
  </cols>
  <sheetData>
    <row r="1">
      <c r="A1" s="43" t="s">
        <v>223</v>
      </c>
      <c r="B1" s="44" t="s">
        <v>224</v>
      </c>
      <c r="C1" s="43" t="s">
        <v>225</v>
      </c>
      <c r="D1" s="43" t="s">
        <v>226</v>
      </c>
    </row>
    <row r="2">
      <c r="A2" s="41" t="s">
        <v>1</v>
      </c>
    </row>
    <row r="3">
      <c r="B3" s="41" t="s">
        <v>227</v>
      </c>
      <c r="C3" s="41" t="s">
        <v>228</v>
      </c>
    </row>
    <row r="4">
      <c r="B4" s="41" t="s">
        <v>229</v>
      </c>
      <c r="C4" s="41" t="s">
        <v>230</v>
      </c>
    </row>
    <row r="5">
      <c r="B5" s="41" t="s">
        <v>231</v>
      </c>
      <c r="C5" s="41" t="s">
        <v>230</v>
      </c>
    </row>
    <row r="6">
      <c r="B6" s="41" t="s">
        <v>232</v>
      </c>
      <c r="C6" s="41" t="s">
        <v>230</v>
      </c>
      <c r="D6" s="41" t="s">
        <v>233</v>
      </c>
    </row>
    <row r="7">
      <c r="B7" s="41" t="s">
        <v>234</v>
      </c>
      <c r="C7" s="41" t="s">
        <v>230</v>
      </c>
      <c r="D7" s="41" t="s">
        <v>235</v>
      </c>
    </row>
    <row r="8">
      <c r="B8" s="41" t="s">
        <v>236</v>
      </c>
      <c r="C8" s="41" t="s">
        <v>230</v>
      </c>
      <c r="D8" s="41" t="s">
        <v>237</v>
      </c>
    </row>
    <row r="9">
      <c r="B9" s="41" t="s">
        <v>238</v>
      </c>
      <c r="C9" s="41" t="s">
        <v>230</v>
      </c>
      <c r="D9" s="41" t="s">
        <v>239</v>
      </c>
    </row>
    <row r="10">
      <c r="B10" s="41" t="s">
        <v>240</v>
      </c>
      <c r="C10" s="41" t="s">
        <v>241</v>
      </c>
      <c r="D10" s="41" t="s">
        <v>242</v>
      </c>
    </row>
    <row r="11">
      <c r="B11" s="41" t="s">
        <v>243</v>
      </c>
      <c r="C11" s="41" t="s">
        <v>230</v>
      </c>
    </row>
    <row r="12">
      <c r="B12" s="41" t="s">
        <v>244</v>
      </c>
      <c r="C12" s="41" t="s">
        <v>245</v>
      </c>
      <c r="D12" s="41" t="s">
        <v>246</v>
      </c>
    </row>
    <row r="13">
      <c r="B13" s="41" t="s">
        <v>247</v>
      </c>
      <c r="C13" s="41" t="s">
        <v>248</v>
      </c>
      <c r="D13" s="41" t="s">
        <v>249</v>
      </c>
    </row>
    <row r="14">
      <c r="B14" s="41" t="s">
        <v>250</v>
      </c>
      <c r="C14" s="41" t="s">
        <v>251</v>
      </c>
    </row>
    <row r="16">
      <c r="A16" s="41" t="s">
        <v>252</v>
      </c>
      <c r="B16" s="41" t="s">
        <v>253</v>
      </c>
      <c r="C16" s="41" t="s">
        <v>254</v>
      </c>
      <c r="D16" s="41" t="s">
        <v>255</v>
      </c>
    </row>
    <row r="17">
      <c r="B17" s="41" t="s">
        <v>247</v>
      </c>
      <c r="C17" s="41" t="s">
        <v>248</v>
      </c>
      <c r="D17" s="41" t="s">
        <v>249</v>
      </c>
    </row>
    <row r="18">
      <c r="B18" s="41" t="s">
        <v>256</v>
      </c>
      <c r="C18" s="41" t="s">
        <v>257</v>
      </c>
    </row>
    <row r="19">
      <c r="B19" s="41" t="s">
        <v>258</v>
      </c>
      <c r="C19" s="41" t="s">
        <v>248</v>
      </c>
    </row>
    <row r="20">
      <c r="B20" s="41" t="s">
        <v>259</v>
      </c>
      <c r="C20" s="41" t="s">
        <v>260</v>
      </c>
    </row>
    <row r="21">
      <c r="B21" s="41" t="s">
        <v>240</v>
      </c>
      <c r="C21" s="41" t="s">
        <v>254</v>
      </c>
      <c r="D21" s="41" t="s">
        <v>261</v>
      </c>
    </row>
    <row r="23">
      <c r="A23" s="41" t="s">
        <v>3</v>
      </c>
    </row>
    <row r="24">
      <c r="A24" s="41" t="s">
        <v>262</v>
      </c>
      <c r="B24" s="41" t="s">
        <v>263</v>
      </c>
      <c r="C24" s="41" t="s">
        <v>230</v>
      </c>
    </row>
    <row r="25">
      <c r="B25" s="41" t="s">
        <v>259</v>
      </c>
      <c r="C25" s="41" t="s">
        <v>248</v>
      </c>
      <c r="D25" s="41" t="s">
        <v>264</v>
      </c>
    </row>
    <row r="26">
      <c r="B26" s="41" t="s">
        <v>265</v>
      </c>
      <c r="C26" s="41" t="s">
        <v>230</v>
      </c>
    </row>
    <row r="27">
      <c r="A27" s="41" t="s">
        <v>266</v>
      </c>
      <c r="B27" s="41" t="s">
        <v>267</v>
      </c>
      <c r="C27" s="41" t="s">
        <v>230</v>
      </c>
    </row>
    <row r="28">
      <c r="B28" s="41" t="s">
        <v>268</v>
      </c>
      <c r="C28" s="41" t="s">
        <v>230</v>
      </c>
    </row>
    <row r="29">
      <c r="B29" s="41" t="s">
        <v>269</v>
      </c>
      <c r="C29" s="41" t="s">
        <v>230</v>
      </c>
    </row>
    <row r="30">
      <c r="B30" s="41" t="s">
        <v>270</v>
      </c>
      <c r="C30" s="41" t="s">
        <v>271</v>
      </c>
    </row>
    <row r="31">
      <c r="B31" s="41" t="s">
        <v>272</v>
      </c>
      <c r="C31" s="41" t="s">
        <v>254</v>
      </c>
    </row>
    <row r="32">
      <c r="B32" s="41" t="s">
        <v>273</v>
      </c>
      <c r="C32" s="41" t="s">
        <v>230</v>
      </c>
    </row>
    <row r="33">
      <c r="B33" s="41" t="s">
        <v>274</v>
      </c>
      <c r="C33" s="41" t="s">
        <v>230</v>
      </c>
    </row>
    <row r="34">
      <c r="A34" s="41" t="s">
        <v>275</v>
      </c>
      <c r="B34" s="41" t="s">
        <v>276</v>
      </c>
      <c r="C34" s="41" t="s">
        <v>277</v>
      </c>
    </row>
    <row r="35">
      <c r="B35" s="41" t="s">
        <v>272</v>
      </c>
      <c r="C35" s="41" t="s">
        <v>254</v>
      </c>
    </row>
    <row r="36">
      <c r="B36" s="41" t="s">
        <v>263</v>
      </c>
      <c r="C36" s="41" t="s">
        <v>230</v>
      </c>
    </row>
    <row r="37">
      <c r="B37" s="41" t="s">
        <v>259</v>
      </c>
      <c r="C37" s="41" t="s">
        <v>278</v>
      </c>
    </row>
    <row r="38">
      <c r="A38" s="41" t="s">
        <v>279</v>
      </c>
      <c r="B38" s="41" t="s">
        <v>259</v>
      </c>
      <c r="C38" s="41" t="s">
        <v>277</v>
      </c>
    </row>
    <row r="39">
      <c r="B39" s="41" t="s">
        <v>9</v>
      </c>
      <c r="C39" s="41" t="s">
        <v>230</v>
      </c>
    </row>
    <row r="40">
      <c r="B40" s="41" t="s">
        <v>280</v>
      </c>
      <c r="C40" s="41" t="s">
        <v>230</v>
      </c>
    </row>
    <row r="42">
      <c r="A42" s="41" t="s">
        <v>281</v>
      </c>
      <c r="B42" s="41" t="s">
        <v>282</v>
      </c>
    </row>
    <row r="43">
      <c r="B43" s="41" t="s">
        <v>283</v>
      </c>
      <c r="C43" s="41" t="s">
        <v>230</v>
      </c>
    </row>
    <row r="44">
      <c r="B44" s="41" t="s">
        <v>284</v>
      </c>
      <c r="C44" s="41" t="s">
        <v>230</v>
      </c>
    </row>
    <row r="45">
      <c r="B45" s="41" t="s">
        <v>285</v>
      </c>
      <c r="C45" s="41" t="s">
        <v>254</v>
      </c>
    </row>
    <row r="46">
      <c r="B46" s="41" t="s">
        <v>270</v>
      </c>
      <c r="C46" s="41" t="s">
        <v>286</v>
      </c>
    </row>
    <row r="47">
      <c r="B47" s="41" t="s">
        <v>287</v>
      </c>
      <c r="C47" s="41" t="s">
        <v>251</v>
      </c>
    </row>
    <row r="48">
      <c r="B48" s="41" t="s">
        <v>288</v>
      </c>
      <c r="C48" s="41" t="s">
        <v>230</v>
      </c>
    </row>
    <row r="49">
      <c r="B49" s="41" t="s">
        <v>289</v>
      </c>
      <c r="C49" s="41" t="s">
        <v>254</v>
      </c>
    </row>
    <row r="50">
      <c r="B50" s="41" t="s">
        <v>290</v>
      </c>
      <c r="C50" s="41" t="s">
        <v>230</v>
      </c>
    </row>
    <row r="52">
      <c r="A52" s="41" t="s">
        <v>291</v>
      </c>
    </row>
    <row r="53">
      <c r="A53" s="41" t="s">
        <v>292</v>
      </c>
      <c r="B53" s="41" t="s">
        <v>293</v>
      </c>
      <c r="C53" s="41" t="s">
        <v>230</v>
      </c>
    </row>
    <row r="54">
      <c r="B54" s="41" t="s">
        <v>270</v>
      </c>
      <c r="C54" s="41" t="s">
        <v>248</v>
      </c>
    </row>
    <row r="55">
      <c r="A55" s="41" t="s">
        <v>294</v>
      </c>
      <c r="B55" s="41" t="s">
        <v>240</v>
      </c>
      <c r="C55" s="41" t="s">
        <v>248</v>
      </c>
    </row>
    <row r="56">
      <c r="B56" s="41" t="s">
        <v>295</v>
      </c>
      <c r="C56" s="41" t="s">
        <v>251</v>
      </c>
    </row>
    <row r="57">
      <c r="B57" s="41" t="s">
        <v>232</v>
      </c>
      <c r="C57" s="41" t="s">
        <v>254</v>
      </c>
    </row>
    <row r="58">
      <c r="B58" s="41" t="s">
        <v>296</v>
      </c>
      <c r="C58" s="41" t="s">
        <v>230</v>
      </c>
    </row>
    <row r="59">
      <c r="B59" s="41" t="s">
        <v>270</v>
      </c>
      <c r="C59" s="41" t="s">
        <v>297</v>
      </c>
    </row>
    <row r="60">
      <c r="B60" s="41" t="s">
        <v>298</v>
      </c>
      <c r="C60" s="41" t="s">
        <v>230</v>
      </c>
    </row>
    <row r="62">
      <c r="A62" s="41" t="s">
        <v>6</v>
      </c>
    </row>
    <row r="63">
      <c r="A63" s="41" t="s">
        <v>299</v>
      </c>
      <c r="B63" s="41" t="s">
        <v>300</v>
      </c>
      <c r="C63" s="41" t="s">
        <v>254</v>
      </c>
    </row>
    <row r="64">
      <c r="B64" s="41" t="s">
        <v>301</v>
      </c>
      <c r="C64" s="41" t="s">
        <v>257</v>
      </c>
    </row>
    <row r="65">
      <c r="B65" s="41" t="s">
        <v>289</v>
      </c>
      <c r="C65" s="41" t="s">
        <v>248</v>
      </c>
    </row>
    <row r="66">
      <c r="B66" s="41" t="s">
        <v>270</v>
      </c>
      <c r="C66" s="41" t="s">
        <v>302</v>
      </c>
    </row>
    <row r="67">
      <c r="B67" s="41" t="s">
        <v>303</v>
      </c>
      <c r="C67" s="41" t="s">
        <v>230</v>
      </c>
    </row>
    <row r="68">
      <c r="B68" s="41" t="s">
        <v>304</v>
      </c>
      <c r="C68" s="41" t="s">
        <v>230</v>
      </c>
    </row>
    <row r="69">
      <c r="B69" s="41" t="s">
        <v>305</v>
      </c>
      <c r="C69" s="41" t="s">
        <v>230</v>
      </c>
    </row>
    <row r="70">
      <c r="B70" s="41" t="s">
        <v>306</v>
      </c>
      <c r="C70" s="41" t="s">
        <v>307</v>
      </c>
    </row>
    <row r="71">
      <c r="B71" s="41" t="s">
        <v>308</v>
      </c>
      <c r="C71" s="41" t="s">
        <v>230</v>
      </c>
    </row>
    <row r="72">
      <c r="B72" s="41" t="s">
        <v>309</v>
      </c>
      <c r="C72" s="41" t="s">
        <v>230</v>
      </c>
    </row>
    <row r="73">
      <c r="B73" s="41" t="s">
        <v>295</v>
      </c>
      <c r="C73" s="41" t="s">
        <v>277</v>
      </c>
    </row>
    <row r="74">
      <c r="B74" s="41" t="s">
        <v>310</v>
      </c>
      <c r="C74" s="41" t="s">
        <v>230</v>
      </c>
    </row>
    <row r="75">
      <c r="B75" s="41" t="s">
        <v>311</v>
      </c>
      <c r="C75" s="41" t="s">
        <v>312</v>
      </c>
    </row>
    <row r="76">
      <c r="B76" s="41" t="s">
        <v>313</v>
      </c>
      <c r="C76" s="41" t="s">
        <v>230</v>
      </c>
    </row>
    <row r="77">
      <c r="B77" s="41" t="s">
        <v>314</v>
      </c>
      <c r="C77" s="41" t="s">
        <v>230</v>
      </c>
    </row>
    <row r="78">
      <c r="B78" s="41" t="s">
        <v>315</v>
      </c>
      <c r="C78" s="41" t="s">
        <v>230</v>
      </c>
    </row>
    <row r="79">
      <c r="B79" s="41" t="s">
        <v>9</v>
      </c>
      <c r="C79" s="41" t="s">
        <v>248</v>
      </c>
    </row>
    <row r="80">
      <c r="B80" s="41" t="s">
        <v>316</v>
      </c>
      <c r="C80" s="41" t="s">
        <v>254</v>
      </c>
    </row>
    <row r="81">
      <c r="B81" s="41" t="s">
        <v>317</v>
      </c>
      <c r="C81" s="41" t="s">
        <v>230</v>
      </c>
    </row>
    <row r="82">
      <c r="B82" s="41" t="s">
        <v>318</v>
      </c>
      <c r="C82" s="41" t="s">
        <v>230</v>
      </c>
    </row>
    <row r="84">
      <c r="A84" s="41" t="s">
        <v>319</v>
      </c>
    </row>
    <row r="85">
      <c r="B85" s="41" t="s">
        <v>320</v>
      </c>
      <c r="C85" s="41" t="s">
        <v>230</v>
      </c>
    </row>
    <row r="86">
      <c r="B86" s="41" t="s">
        <v>321</v>
      </c>
      <c r="C86" s="41" t="s">
        <v>230</v>
      </c>
    </row>
    <row r="87">
      <c r="B87" s="41" t="s">
        <v>322</v>
      </c>
      <c r="C87" s="41" t="s">
        <v>230</v>
      </c>
    </row>
    <row r="88">
      <c r="B88" s="41" t="s">
        <v>323</v>
      </c>
      <c r="C88" s="41" t="s">
        <v>230</v>
      </c>
      <c r="D88" s="41" t="s">
        <v>324</v>
      </c>
    </row>
    <row r="89">
      <c r="B89" s="41" t="s">
        <v>267</v>
      </c>
      <c r="C89" s="41" t="s">
        <v>230</v>
      </c>
    </row>
    <row r="90">
      <c r="B90" s="41" t="s">
        <v>325</v>
      </c>
      <c r="C90" s="41" t="s">
        <v>254</v>
      </c>
    </row>
    <row r="91">
      <c r="B91" s="41" t="s">
        <v>295</v>
      </c>
      <c r="C91" s="41" t="s">
        <v>271</v>
      </c>
    </row>
    <row r="92">
      <c r="B92" s="41" t="s">
        <v>270</v>
      </c>
      <c r="C92" s="41" t="s">
        <v>326</v>
      </c>
    </row>
    <row r="93">
      <c r="B93" s="41" t="s">
        <v>289</v>
      </c>
      <c r="C93" s="41" t="s">
        <v>254</v>
      </c>
    </row>
    <row r="94">
      <c r="B94" s="41" t="s">
        <v>327</v>
      </c>
      <c r="C94" s="41" t="s">
        <v>230</v>
      </c>
    </row>
    <row r="95">
      <c r="B95" s="41" t="s">
        <v>328</v>
      </c>
      <c r="C95" s="41" t="s">
        <v>230</v>
      </c>
    </row>
    <row r="96">
      <c r="B96" s="41" t="s">
        <v>329</v>
      </c>
      <c r="C96" s="41" t="s">
        <v>230</v>
      </c>
    </row>
    <row r="97">
      <c r="B97" s="41" t="s">
        <v>330</v>
      </c>
      <c r="C97" s="41" t="s">
        <v>230</v>
      </c>
      <c r="D97" s="41" t="s">
        <v>331</v>
      </c>
    </row>
    <row r="98">
      <c r="B98" s="41" t="s">
        <v>332</v>
      </c>
      <c r="C98" s="41" t="s">
        <v>230</v>
      </c>
    </row>
    <row r="100">
      <c r="A100" s="41" t="s">
        <v>333</v>
      </c>
    </row>
    <row r="101">
      <c r="B101" s="41" t="s">
        <v>315</v>
      </c>
      <c r="C101" s="41" t="s">
        <v>254</v>
      </c>
      <c r="D101" s="41" t="s">
        <v>334</v>
      </c>
    </row>
    <row r="102">
      <c r="B102" s="41" t="s">
        <v>285</v>
      </c>
      <c r="C102" s="41" t="s">
        <v>230</v>
      </c>
      <c r="D102" s="41" t="s">
        <v>335</v>
      </c>
    </row>
    <row r="103">
      <c r="B103" s="41" t="s">
        <v>269</v>
      </c>
      <c r="C103" s="41" t="s">
        <v>230</v>
      </c>
      <c r="E103" s="45" t="s">
        <v>336</v>
      </c>
    </row>
    <row r="104">
      <c r="B104" s="41" t="s">
        <v>288</v>
      </c>
      <c r="C104" s="41" t="s">
        <v>230</v>
      </c>
    </row>
    <row r="105">
      <c r="B105" s="41" t="s">
        <v>337</v>
      </c>
      <c r="C105" s="41" t="s">
        <v>230</v>
      </c>
      <c r="D105" s="41" t="s">
        <v>338</v>
      </c>
    </row>
    <row r="106">
      <c r="B106" s="41" t="s">
        <v>300</v>
      </c>
      <c r="C106" s="41" t="s">
        <v>254</v>
      </c>
    </row>
    <row r="107">
      <c r="B107" s="41" t="s">
        <v>339</v>
      </c>
      <c r="C107" s="41" t="s">
        <v>230</v>
      </c>
    </row>
    <row r="108">
      <c r="B108" s="41" t="s">
        <v>270</v>
      </c>
      <c r="C108" s="41" t="s">
        <v>340</v>
      </c>
    </row>
    <row r="109">
      <c r="B109" s="41" t="s">
        <v>341</v>
      </c>
      <c r="C109" s="41" t="s">
        <v>230</v>
      </c>
    </row>
    <row r="111">
      <c r="C111" s="46"/>
    </row>
    <row r="112">
      <c r="C112" s="46"/>
    </row>
    <row r="113">
      <c r="C113" s="46"/>
    </row>
    <row r="114">
      <c r="C114" s="46"/>
    </row>
    <row r="115">
      <c r="C115" s="46"/>
    </row>
    <row r="116">
      <c r="C116" s="46"/>
    </row>
    <row r="117">
      <c r="C117" s="46"/>
    </row>
    <row r="118">
      <c r="C118" s="46"/>
    </row>
    <row r="119">
      <c r="C119" s="46"/>
    </row>
    <row r="120">
      <c r="C120" s="46"/>
    </row>
    <row r="121">
      <c r="C121" s="46"/>
    </row>
    <row r="122">
      <c r="C122" s="46"/>
    </row>
    <row r="123">
      <c r="C123" s="46"/>
    </row>
    <row r="124">
      <c r="C124" s="46"/>
    </row>
    <row r="125">
      <c r="C125" s="46"/>
    </row>
    <row r="126">
      <c r="C126" s="46"/>
    </row>
    <row r="127">
      <c r="C127" s="46"/>
    </row>
    <row r="128">
      <c r="C128" s="46"/>
    </row>
    <row r="129">
      <c r="C129" s="46"/>
    </row>
    <row r="130">
      <c r="C130" s="46"/>
    </row>
    <row r="131">
      <c r="C131" s="46"/>
    </row>
    <row r="132">
      <c r="C132" s="46"/>
    </row>
    <row r="133">
      <c r="C133" s="46"/>
    </row>
    <row r="134">
      <c r="C134" s="46"/>
    </row>
    <row r="135">
      <c r="C135" s="46"/>
    </row>
    <row r="136">
      <c r="C136" s="46"/>
    </row>
    <row r="137">
      <c r="C137" s="46"/>
    </row>
    <row r="138">
      <c r="C138" s="46"/>
    </row>
    <row r="139">
      <c r="C139" s="46"/>
    </row>
    <row r="140">
      <c r="C140" s="46"/>
    </row>
    <row r="141">
      <c r="C141" s="46"/>
    </row>
    <row r="142">
      <c r="C142" s="46"/>
    </row>
    <row r="143">
      <c r="C143" s="46"/>
    </row>
    <row r="144">
      <c r="C144" s="46"/>
    </row>
    <row r="145">
      <c r="C145" s="46"/>
    </row>
    <row r="146">
      <c r="C146" s="46"/>
    </row>
    <row r="147">
      <c r="C147" s="46"/>
    </row>
    <row r="148">
      <c r="C148" s="46"/>
    </row>
    <row r="149">
      <c r="C149" s="46"/>
    </row>
    <row r="150">
      <c r="C150" s="46"/>
    </row>
    <row r="151">
      <c r="C151" s="46"/>
    </row>
    <row r="152">
      <c r="C152" s="46"/>
    </row>
    <row r="153">
      <c r="C153" s="46"/>
    </row>
    <row r="154">
      <c r="C154" s="46"/>
    </row>
    <row r="155">
      <c r="C155" s="46"/>
    </row>
    <row r="156">
      <c r="C156" s="46"/>
    </row>
    <row r="157">
      <c r="C157" s="46"/>
    </row>
    <row r="158">
      <c r="C158" s="46"/>
    </row>
    <row r="159">
      <c r="C159" s="46"/>
    </row>
    <row r="160">
      <c r="C160" s="46"/>
    </row>
    <row r="161">
      <c r="C161" s="46"/>
    </row>
    <row r="162">
      <c r="C162" s="46"/>
    </row>
    <row r="163">
      <c r="C163" s="46"/>
    </row>
    <row r="164">
      <c r="C164" s="46"/>
    </row>
    <row r="165">
      <c r="C165" s="46"/>
    </row>
    <row r="166">
      <c r="C166" s="46"/>
    </row>
    <row r="167">
      <c r="C167" s="46"/>
    </row>
    <row r="168">
      <c r="C168" s="46"/>
    </row>
    <row r="169">
      <c r="C169" s="46"/>
    </row>
    <row r="170">
      <c r="C170" s="46"/>
    </row>
    <row r="171">
      <c r="C171" s="46"/>
    </row>
    <row r="172">
      <c r="C172" s="46"/>
    </row>
    <row r="173">
      <c r="C173" s="46"/>
    </row>
    <row r="174">
      <c r="C174" s="46"/>
    </row>
    <row r="175">
      <c r="C175" s="46"/>
    </row>
    <row r="176">
      <c r="C176" s="46"/>
    </row>
    <row r="177">
      <c r="C177" s="46"/>
    </row>
    <row r="178">
      <c r="C178" s="46"/>
    </row>
    <row r="179">
      <c r="C179" s="46"/>
    </row>
    <row r="180">
      <c r="C180" s="46"/>
    </row>
    <row r="181">
      <c r="C181" s="46"/>
    </row>
    <row r="182">
      <c r="C182" s="46"/>
    </row>
    <row r="183">
      <c r="C183" s="46"/>
    </row>
    <row r="184">
      <c r="C184" s="46"/>
    </row>
    <row r="185">
      <c r="C185" s="46"/>
    </row>
    <row r="186">
      <c r="C186" s="46"/>
    </row>
    <row r="187">
      <c r="C187" s="46"/>
    </row>
    <row r="188">
      <c r="C188" s="46"/>
    </row>
    <row r="189">
      <c r="C189" s="46"/>
    </row>
    <row r="190">
      <c r="C190" s="46"/>
    </row>
    <row r="191">
      <c r="C191" s="46"/>
    </row>
    <row r="192">
      <c r="C192" s="46"/>
    </row>
    <row r="193">
      <c r="C193" s="46"/>
    </row>
    <row r="194">
      <c r="C194" s="46"/>
    </row>
    <row r="195">
      <c r="C195" s="46"/>
    </row>
    <row r="196">
      <c r="C196" s="46"/>
    </row>
    <row r="197">
      <c r="C197" s="46"/>
    </row>
    <row r="198">
      <c r="C198" s="46"/>
    </row>
    <row r="199">
      <c r="C199" s="46"/>
    </row>
    <row r="200">
      <c r="C200" s="46"/>
    </row>
    <row r="201">
      <c r="C201" s="46"/>
    </row>
    <row r="202">
      <c r="C202" s="46"/>
    </row>
    <row r="203">
      <c r="C203" s="46"/>
    </row>
    <row r="204">
      <c r="C204" s="46"/>
    </row>
    <row r="205">
      <c r="C205" s="46"/>
    </row>
    <row r="206">
      <c r="C206" s="46"/>
    </row>
    <row r="207">
      <c r="C207" s="46"/>
    </row>
    <row r="208">
      <c r="C208" s="46"/>
    </row>
    <row r="209">
      <c r="C209" s="46"/>
    </row>
    <row r="210">
      <c r="C210" s="46"/>
    </row>
    <row r="211">
      <c r="C211" s="46"/>
    </row>
    <row r="212">
      <c r="C212" s="46"/>
    </row>
    <row r="213">
      <c r="C213" s="46"/>
    </row>
    <row r="214">
      <c r="C214" s="46"/>
    </row>
    <row r="215">
      <c r="C215" s="46"/>
    </row>
    <row r="216">
      <c r="C216" s="46"/>
    </row>
    <row r="217">
      <c r="C217" s="46"/>
    </row>
    <row r="218">
      <c r="C218" s="46"/>
    </row>
    <row r="219">
      <c r="C219" s="46"/>
    </row>
    <row r="220">
      <c r="C220" s="46"/>
    </row>
    <row r="221">
      <c r="C221" s="46"/>
    </row>
    <row r="222">
      <c r="C222" s="46"/>
    </row>
    <row r="223">
      <c r="C223" s="46"/>
    </row>
    <row r="224">
      <c r="C224" s="46"/>
    </row>
    <row r="225">
      <c r="C225" s="46"/>
    </row>
    <row r="226">
      <c r="C226" s="46"/>
    </row>
    <row r="227">
      <c r="C227" s="46"/>
    </row>
    <row r="228">
      <c r="C228" s="46"/>
    </row>
    <row r="229">
      <c r="C229" s="46"/>
    </row>
    <row r="230">
      <c r="C230" s="46"/>
    </row>
    <row r="231">
      <c r="C231" s="46"/>
    </row>
    <row r="232">
      <c r="C232" s="46"/>
    </row>
    <row r="233">
      <c r="C233" s="46"/>
    </row>
    <row r="234">
      <c r="C234" s="46"/>
    </row>
    <row r="235">
      <c r="C235" s="46"/>
    </row>
    <row r="236">
      <c r="C236" s="46"/>
    </row>
    <row r="237">
      <c r="C237" s="46"/>
    </row>
    <row r="238">
      <c r="C238" s="46"/>
    </row>
    <row r="239">
      <c r="C239" s="46"/>
    </row>
    <row r="240">
      <c r="C240" s="46"/>
    </row>
    <row r="241">
      <c r="C241" s="46"/>
    </row>
    <row r="242">
      <c r="C242" s="46"/>
    </row>
    <row r="243">
      <c r="C243" s="46"/>
    </row>
    <row r="244">
      <c r="C244" s="46"/>
    </row>
    <row r="245">
      <c r="C245" s="46"/>
    </row>
    <row r="246">
      <c r="C246" s="46"/>
    </row>
    <row r="247">
      <c r="C247" s="46"/>
    </row>
    <row r="248">
      <c r="C248" s="46"/>
    </row>
    <row r="249">
      <c r="C249" s="46"/>
    </row>
    <row r="250">
      <c r="C250" s="46"/>
    </row>
    <row r="251">
      <c r="C251" s="46"/>
    </row>
    <row r="252">
      <c r="C252" s="46"/>
    </row>
    <row r="253">
      <c r="C253" s="46"/>
    </row>
    <row r="254">
      <c r="C254" s="46"/>
    </row>
    <row r="255">
      <c r="C255" s="46"/>
    </row>
    <row r="256">
      <c r="C256" s="46"/>
    </row>
    <row r="257">
      <c r="C257" s="46"/>
    </row>
    <row r="258">
      <c r="C258" s="46"/>
    </row>
    <row r="259">
      <c r="C259" s="46"/>
    </row>
    <row r="260">
      <c r="C260" s="46"/>
    </row>
    <row r="261">
      <c r="C261" s="46"/>
    </row>
    <row r="262">
      <c r="C262" s="46"/>
    </row>
    <row r="263">
      <c r="C263" s="46"/>
    </row>
    <row r="264">
      <c r="C264" s="46"/>
    </row>
    <row r="265">
      <c r="C265" s="46"/>
    </row>
    <row r="266">
      <c r="C266" s="46"/>
    </row>
    <row r="267">
      <c r="C267" s="46"/>
    </row>
    <row r="268">
      <c r="C268" s="46"/>
    </row>
    <row r="269">
      <c r="C269" s="46"/>
    </row>
    <row r="270">
      <c r="C270" s="46"/>
    </row>
    <row r="271">
      <c r="C271" s="46"/>
    </row>
    <row r="272">
      <c r="C272" s="46"/>
    </row>
    <row r="273">
      <c r="C273" s="46"/>
    </row>
    <row r="274">
      <c r="C274" s="46"/>
    </row>
    <row r="275">
      <c r="C275" s="46"/>
    </row>
    <row r="276">
      <c r="C276" s="46"/>
    </row>
    <row r="277">
      <c r="C277" s="46"/>
    </row>
    <row r="278">
      <c r="C278" s="46"/>
    </row>
    <row r="279">
      <c r="C279" s="46"/>
    </row>
    <row r="280">
      <c r="C280" s="46"/>
    </row>
    <row r="281">
      <c r="C281" s="46"/>
    </row>
    <row r="282">
      <c r="C282" s="46"/>
    </row>
    <row r="283">
      <c r="C283" s="46"/>
    </row>
    <row r="284">
      <c r="C284" s="46"/>
    </row>
    <row r="285">
      <c r="C285" s="46"/>
    </row>
    <row r="286">
      <c r="C286" s="46"/>
    </row>
    <row r="287">
      <c r="C287" s="46"/>
    </row>
    <row r="288">
      <c r="C288" s="46"/>
    </row>
    <row r="289">
      <c r="C289" s="46"/>
    </row>
    <row r="290">
      <c r="C290" s="46"/>
    </row>
    <row r="291">
      <c r="C291" s="46"/>
    </row>
    <row r="292">
      <c r="C292" s="46"/>
    </row>
    <row r="293">
      <c r="C293" s="46"/>
    </row>
    <row r="294">
      <c r="C294" s="46"/>
    </row>
    <row r="295">
      <c r="C295" s="46"/>
    </row>
    <row r="296">
      <c r="C296" s="46"/>
    </row>
    <row r="297">
      <c r="C297" s="46"/>
    </row>
    <row r="298">
      <c r="C298" s="46"/>
    </row>
    <row r="299">
      <c r="C299" s="46"/>
    </row>
    <row r="300">
      <c r="C300" s="46"/>
    </row>
    <row r="301">
      <c r="C301" s="46"/>
    </row>
    <row r="302">
      <c r="C302" s="46"/>
    </row>
    <row r="303">
      <c r="C303" s="46"/>
    </row>
    <row r="304">
      <c r="C304" s="46"/>
    </row>
    <row r="305">
      <c r="C305" s="46"/>
    </row>
    <row r="306">
      <c r="C306" s="46"/>
    </row>
    <row r="307">
      <c r="C307" s="46"/>
    </row>
    <row r="308">
      <c r="C308" s="46"/>
    </row>
    <row r="309">
      <c r="C309" s="46"/>
    </row>
    <row r="310">
      <c r="C310" s="46"/>
    </row>
    <row r="311">
      <c r="C311" s="46"/>
    </row>
    <row r="312">
      <c r="C312" s="46"/>
    </row>
    <row r="313">
      <c r="C313" s="46"/>
    </row>
    <row r="314">
      <c r="C314" s="46"/>
    </row>
    <row r="315">
      <c r="C315" s="46"/>
    </row>
    <row r="316">
      <c r="C316" s="46"/>
    </row>
    <row r="317">
      <c r="C317" s="46"/>
    </row>
    <row r="318">
      <c r="C318" s="46"/>
    </row>
    <row r="319">
      <c r="C319" s="46"/>
    </row>
    <row r="320">
      <c r="C320" s="46"/>
    </row>
    <row r="321">
      <c r="C321" s="46"/>
    </row>
    <row r="322">
      <c r="C322" s="46"/>
    </row>
    <row r="323">
      <c r="C323" s="46"/>
    </row>
    <row r="324">
      <c r="C324" s="46"/>
    </row>
    <row r="325">
      <c r="C325" s="46"/>
    </row>
    <row r="326">
      <c r="C326" s="46"/>
    </row>
    <row r="327">
      <c r="C327" s="46"/>
    </row>
    <row r="328">
      <c r="C328" s="46"/>
    </row>
    <row r="329">
      <c r="C329" s="46"/>
    </row>
    <row r="330">
      <c r="C330" s="46"/>
    </row>
    <row r="331">
      <c r="C331" s="46"/>
    </row>
    <row r="332">
      <c r="C332" s="46"/>
    </row>
    <row r="333">
      <c r="C333" s="46"/>
    </row>
    <row r="334">
      <c r="C334" s="46"/>
    </row>
    <row r="335">
      <c r="C335" s="46"/>
    </row>
    <row r="336">
      <c r="C336" s="46"/>
    </row>
    <row r="337">
      <c r="C337" s="46"/>
    </row>
    <row r="338">
      <c r="C338" s="46"/>
    </row>
    <row r="339">
      <c r="C339" s="46"/>
    </row>
    <row r="340">
      <c r="C340" s="46"/>
    </row>
    <row r="341">
      <c r="C341" s="46"/>
    </row>
    <row r="342">
      <c r="C342" s="46"/>
    </row>
    <row r="343">
      <c r="C343" s="46"/>
    </row>
    <row r="344">
      <c r="C344" s="46"/>
    </row>
    <row r="345">
      <c r="C345" s="46"/>
    </row>
    <row r="346">
      <c r="C346" s="46"/>
    </row>
    <row r="347">
      <c r="C347" s="46"/>
    </row>
    <row r="348">
      <c r="C348" s="46"/>
    </row>
    <row r="349">
      <c r="C349" s="46"/>
    </row>
    <row r="350">
      <c r="C350" s="46"/>
    </row>
    <row r="351">
      <c r="C351" s="46"/>
    </row>
    <row r="352">
      <c r="C352" s="46"/>
    </row>
    <row r="353">
      <c r="C353" s="46"/>
    </row>
    <row r="354">
      <c r="C354" s="46"/>
    </row>
    <row r="355">
      <c r="C355" s="46"/>
    </row>
    <row r="356">
      <c r="C356" s="46"/>
    </row>
    <row r="357">
      <c r="C357" s="46"/>
    </row>
    <row r="358">
      <c r="C358" s="46"/>
    </row>
    <row r="359">
      <c r="C359" s="46"/>
    </row>
    <row r="360">
      <c r="C360" s="46"/>
    </row>
    <row r="361">
      <c r="C361" s="46"/>
    </row>
    <row r="362">
      <c r="C362" s="46"/>
    </row>
    <row r="363">
      <c r="C363" s="46"/>
    </row>
    <row r="364">
      <c r="C364" s="46"/>
    </row>
    <row r="365">
      <c r="C365" s="46"/>
    </row>
    <row r="366">
      <c r="C366" s="46"/>
    </row>
    <row r="367">
      <c r="C367" s="46"/>
    </row>
    <row r="368">
      <c r="C368" s="46"/>
    </row>
    <row r="369">
      <c r="C369" s="46"/>
    </row>
    <row r="370">
      <c r="C370" s="46"/>
    </row>
    <row r="371">
      <c r="C371" s="46"/>
    </row>
    <row r="372">
      <c r="C372" s="46"/>
    </row>
    <row r="373">
      <c r="C373" s="46"/>
    </row>
    <row r="374">
      <c r="C374" s="46"/>
    </row>
    <row r="375">
      <c r="C375" s="46"/>
    </row>
    <row r="376">
      <c r="C376" s="46"/>
    </row>
    <row r="377">
      <c r="C377" s="46"/>
    </row>
    <row r="378">
      <c r="C378" s="46"/>
    </row>
    <row r="379">
      <c r="C379" s="46"/>
    </row>
    <row r="380">
      <c r="C380" s="46"/>
    </row>
    <row r="381">
      <c r="C381" s="46"/>
    </row>
    <row r="382">
      <c r="C382" s="46"/>
    </row>
    <row r="383">
      <c r="C383" s="46"/>
    </row>
    <row r="384">
      <c r="C384" s="46"/>
    </row>
    <row r="385">
      <c r="C385" s="46"/>
    </row>
    <row r="386">
      <c r="C386" s="46"/>
    </row>
    <row r="387">
      <c r="C387" s="46"/>
    </row>
    <row r="388">
      <c r="C388" s="46"/>
    </row>
    <row r="389">
      <c r="C389" s="46"/>
    </row>
    <row r="390">
      <c r="C390" s="46"/>
    </row>
    <row r="391">
      <c r="C391" s="46"/>
    </row>
    <row r="392">
      <c r="C392" s="46"/>
    </row>
    <row r="393">
      <c r="C393" s="46"/>
    </row>
    <row r="394">
      <c r="C394" s="46"/>
    </row>
    <row r="395">
      <c r="C395" s="46"/>
    </row>
    <row r="396">
      <c r="C396" s="46"/>
    </row>
    <row r="397">
      <c r="C397" s="46"/>
    </row>
    <row r="398">
      <c r="C398" s="46"/>
    </row>
    <row r="399">
      <c r="C399" s="46"/>
    </row>
    <row r="400">
      <c r="C400" s="46"/>
    </row>
    <row r="401">
      <c r="C401" s="46"/>
    </row>
    <row r="402">
      <c r="C402" s="46"/>
    </row>
    <row r="403">
      <c r="C403" s="46"/>
    </row>
    <row r="404">
      <c r="C404" s="46"/>
    </row>
    <row r="405">
      <c r="C405" s="46"/>
    </row>
    <row r="406">
      <c r="C406" s="46"/>
    </row>
    <row r="407">
      <c r="C407" s="46"/>
    </row>
    <row r="408">
      <c r="C408" s="46"/>
    </row>
    <row r="409">
      <c r="C409" s="46"/>
    </row>
    <row r="410">
      <c r="C410" s="46"/>
    </row>
    <row r="411">
      <c r="C411" s="46"/>
    </row>
    <row r="412">
      <c r="C412" s="46"/>
    </row>
    <row r="413">
      <c r="C413" s="46"/>
    </row>
    <row r="414">
      <c r="C414" s="46"/>
    </row>
    <row r="415">
      <c r="C415" s="46"/>
    </row>
    <row r="416">
      <c r="C416" s="46"/>
    </row>
    <row r="417">
      <c r="C417" s="46"/>
    </row>
    <row r="418">
      <c r="C418" s="46"/>
    </row>
    <row r="419">
      <c r="C419" s="46"/>
    </row>
    <row r="420">
      <c r="C420" s="46"/>
    </row>
    <row r="421">
      <c r="C421" s="46"/>
    </row>
    <row r="422">
      <c r="C422" s="46"/>
    </row>
    <row r="423">
      <c r="C423" s="46"/>
    </row>
    <row r="424">
      <c r="C424" s="46"/>
    </row>
    <row r="425">
      <c r="C425" s="46"/>
    </row>
    <row r="426">
      <c r="C426" s="46"/>
    </row>
    <row r="427">
      <c r="C427" s="46"/>
    </row>
    <row r="428">
      <c r="C428" s="46"/>
    </row>
    <row r="429">
      <c r="C429" s="46"/>
    </row>
    <row r="430">
      <c r="C430" s="46"/>
    </row>
    <row r="431">
      <c r="C431" s="46"/>
    </row>
    <row r="432">
      <c r="C432" s="46"/>
    </row>
    <row r="433">
      <c r="C433" s="46"/>
    </row>
    <row r="434">
      <c r="C434" s="46"/>
    </row>
    <row r="435">
      <c r="C435" s="46"/>
    </row>
    <row r="436">
      <c r="C436" s="46"/>
    </row>
    <row r="437">
      <c r="C437" s="46"/>
    </row>
    <row r="438">
      <c r="C438" s="46"/>
    </row>
    <row r="439">
      <c r="C439" s="46"/>
    </row>
    <row r="440">
      <c r="C440" s="46"/>
    </row>
    <row r="441">
      <c r="C441" s="46"/>
    </row>
    <row r="442">
      <c r="C442" s="46"/>
    </row>
    <row r="443">
      <c r="C443" s="46"/>
    </row>
    <row r="444">
      <c r="C444" s="46"/>
    </row>
    <row r="445">
      <c r="C445" s="46"/>
    </row>
    <row r="446">
      <c r="C446" s="46"/>
    </row>
    <row r="447">
      <c r="C447" s="46"/>
    </row>
    <row r="448">
      <c r="C448" s="46"/>
    </row>
    <row r="449">
      <c r="C449" s="46"/>
    </row>
    <row r="450">
      <c r="C450" s="46"/>
    </row>
    <row r="451">
      <c r="C451" s="46"/>
    </row>
    <row r="452">
      <c r="C452" s="46"/>
    </row>
    <row r="453">
      <c r="C453" s="46"/>
    </row>
    <row r="454">
      <c r="C454" s="46"/>
    </row>
    <row r="455">
      <c r="C455" s="46"/>
    </row>
    <row r="456">
      <c r="C456" s="46"/>
    </row>
    <row r="457">
      <c r="C457" s="46"/>
    </row>
    <row r="458">
      <c r="C458" s="46"/>
    </row>
    <row r="459">
      <c r="C459" s="46"/>
    </row>
    <row r="460">
      <c r="C460" s="46"/>
    </row>
    <row r="461">
      <c r="C461" s="46"/>
    </row>
    <row r="462">
      <c r="C462" s="46"/>
    </row>
    <row r="463">
      <c r="C463" s="46"/>
    </row>
    <row r="464">
      <c r="C464" s="46"/>
    </row>
    <row r="465">
      <c r="C465" s="46"/>
    </row>
    <row r="466">
      <c r="C466" s="46"/>
    </row>
    <row r="467">
      <c r="C467" s="46"/>
    </row>
    <row r="468">
      <c r="C468" s="46"/>
    </row>
    <row r="469">
      <c r="C469" s="46"/>
    </row>
    <row r="470">
      <c r="C470" s="46"/>
    </row>
    <row r="471">
      <c r="C471" s="46"/>
    </row>
    <row r="472">
      <c r="C472" s="46"/>
    </row>
    <row r="473">
      <c r="C473" s="46"/>
    </row>
    <row r="474">
      <c r="C474" s="46"/>
    </row>
    <row r="475">
      <c r="C475" s="46"/>
    </row>
    <row r="476">
      <c r="C476" s="46"/>
    </row>
    <row r="477">
      <c r="C477" s="46"/>
    </row>
    <row r="478">
      <c r="C478" s="46"/>
    </row>
    <row r="479">
      <c r="C479" s="46"/>
    </row>
    <row r="480">
      <c r="C480" s="46"/>
    </row>
    <row r="481">
      <c r="C481" s="46"/>
    </row>
    <row r="482">
      <c r="C482" s="46"/>
    </row>
    <row r="483">
      <c r="C483" s="46"/>
    </row>
    <row r="484">
      <c r="C484" s="46"/>
    </row>
    <row r="485">
      <c r="C485" s="46"/>
    </row>
    <row r="486">
      <c r="C486" s="46"/>
    </row>
    <row r="487">
      <c r="C487" s="46"/>
    </row>
    <row r="488">
      <c r="C488" s="46"/>
    </row>
    <row r="489">
      <c r="C489" s="46"/>
    </row>
    <row r="490">
      <c r="C490" s="46"/>
    </row>
    <row r="491">
      <c r="C491" s="46"/>
    </row>
    <row r="492">
      <c r="C492" s="46"/>
    </row>
    <row r="493">
      <c r="C493" s="46"/>
    </row>
    <row r="494">
      <c r="C494" s="46"/>
    </row>
    <row r="495">
      <c r="C495" s="46"/>
    </row>
    <row r="496">
      <c r="C496" s="46"/>
    </row>
    <row r="497">
      <c r="C497" s="46"/>
    </row>
    <row r="498">
      <c r="C498" s="46"/>
    </row>
    <row r="499">
      <c r="C499" s="46"/>
    </row>
    <row r="500">
      <c r="C500" s="46"/>
    </row>
    <row r="501">
      <c r="C501" s="46"/>
    </row>
    <row r="502">
      <c r="C502" s="46"/>
    </row>
    <row r="503">
      <c r="C503" s="46"/>
    </row>
    <row r="504">
      <c r="C504" s="46"/>
    </row>
    <row r="505">
      <c r="C505" s="46"/>
    </row>
    <row r="506">
      <c r="C506" s="46"/>
    </row>
    <row r="507">
      <c r="C507" s="46"/>
    </row>
    <row r="508">
      <c r="C508" s="46"/>
    </row>
    <row r="509">
      <c r="C509" s="46"/>
    </row>
    <row r="510">
      <c r="C510" s="46"/>
    </row>
    <row r="511">
      <c r="C511" s="46"/>
    </row>
    <row r="512">
      <c r="C512" s="46"/>
    </row>
    <row r="513">
      <c r="C513" s="46"/>
    </row>
    <row r="514">
      <c r="C514" s="46"/>
    </row>
    <row r="515">
      <c r="C515" s="46"/>
    </row>
    <row r="516">
      <c r="C516" s="46"/>
    </row>
    <row r="517">
      <c r="C517" s="46"/>
    </row>
    <row r="518">
      <c r="C518" s="46"/>
    </row>
    <row r="519">
      <c r="C519" s="46"/>
    </row>
    <row r="520">
      <c r="C520" s="46"/>
    </row>
    <row r="521">
      <c r="C521" s="46"/>
    </row>
    <row r="522">
      <c r="C522" s="46"/>
    </row>
    <row r="523">
      <c r="C523" s="46"/>
    </row>
    <row r="524">
      <c r="C524" s="46"/>
    </row>
    <row r="525">
      <c r="C525" s="46"/>
    </row>
    <row r="526">
      <c r="C526" s="46"/>
    </row>
    <row r="527">
      <c r="C527" s="46"/>
    </row>
    <row r="528">
      <c r="C528" s="46"/>
    </row>
    <row r="529">
      <c r="C529" s="46"/>
    </row>
    <row r="530">
      <c r="C530" s="46"/>
    </row>
    <row r="531">
      <c r="C531" s="46"/>
    </row>
    <row r="532">
      <c r="C532" s="46"/>
    </row>
    <row r="533">
      <c r="C533" s="46"/>
    </row>
    <row r="534">
      <c r="C534" s="46"/>
    </row>
    <row r="535">
      <c r="C535" s="46"/>
    </row>
    <row r="536">
      <c r="C536" s="46"/>
    </row>
    <row r="537">
      <c r="C537" s="46"/>
    </row>
    <row r="538">
      <c r="C538" s="46"/>
    </row>
    <row r="539">
      <c r="C539" s="46"/>
    </row>
    <row r="540">
      <c r="C540" s="46"/>
    </row>
    <row r="541">
      <c r="C541" s="46"/>
    </row>
    <row r="542">
      <c r="C542" s="46"/>
    </row>
    <row r="543">
      <c r="C543" s="46"/>
    </row>
    <row r="544">
      <c r="C544" s="46"/>
    </row>
    <row r="545">
      <c r="C545" s="46"/>
    </row>
    <row r="546">
      <c r="C546" s="46"/>
    </row>
    <row r="547">
      <c r="C547" s="46"/>
    </row>
    <row r="548">
      <c r="C548" s="46"/>
    </row>
    <row r="549">
      <c r="C549" s="46"/>
    </row>
    <row r="550">
      <c r="C550" s="46"/>
    </row>
    <row r="551">
      <c r="C551" s="46"/>
    </row>
    <row r="552">
      <c r="C552" s="46"/>
    </row>
    <row r="553">
      <c r="C553" s="46"/>
    </row>
    <row r="554">
      <c r="C554" s="46"/>
    </row>
    <row r="555">
      <c r="C555" s="46"/>
    </row>
    <row r="556">
      <c r="C556" s="46"/>
    </row>
    <row r="557">
      <c r="C557" s="46"/>
    </row>
    <row r="558">
      <c r="C558" s="46"/>
    </row>
    <row r="559">
      <c r="C559" s="46"/>
    </row>
    <row r="560">
      <c r="C560" s="46"/>
    </row>
    <row r="561">
      <c r="C561" s="46"/>
    </row>
    <row r="562">
      <c r="C562" s="46"/>
    </row>
    <row r="563">
      <c r="C563" s="46"/>
    </row>
    <row r="564">
      <c r="C564" s="46"/>
    </row>
    <row r="565">
      <c r="C565" s="46"/>
    </row>
    <row r="566">
      <c r="C566" s="46"/>
    </row>
    <row r="567">
      <c r="C567" s="46"/>
    </row>
    <row r="568">
      <c r="C568" s="46"/>
    </row>
    <row r="569">
      <c r="C569" s="46"/>
    </row>
    <row r="570">
      <c r="C570" s="46"/>
    </row>
    <row r="571">
      <c r="C571" s="46"/>
    </row>
    <row r="572">
      <c r="C572" s="46"/>
    </row>
    <row r="573">
      <c r="C573" s="46"/>
    </row>
    <row r="574">
      <c r="C574" s="46"/>
    </row>
    <row r="575">
      <c r="C575" s="46"/>
    </row>
    <row r="576">
      <c r="C576" s="46"/>
    </row>
    <row r="577">
      <c r="C577" s="46"/>
    </row>
    <row r="578">
      <c r="C578" s="46"/>
    </row>
    <row r="579">
      <c r="C579" s="46"/>
    </row>
    <row r="580">
      <c r="C580" s="46"/>
    </row>
    <row r="581">
      <c r="C581" s="46"/>
    </row>
    <row r="582">
      <c r="C582" s="46"/>
    </row>
    <row r="583">
      <c r="C583" s="46"/>
    </row>
    <row r="584">
      <c r="C584" s="46"/>
    </row>
    <row r="585">
      <c r="C585" s="46"/>
    </row>
    <row r="586">
      <c r="C586" s="46"/>
    </row>
    <row r="587">
      <c r="C587" s="46"/>
    </row>
    <row r="588">
      <c r="C588" s="46"/>
    </row>
    <row r="589">
      <c r="C589" s="46"/>
    </row>
    <row r="590">
      <c r="C590" s="46"/>
    </row>
    <row r="591">
      <c r="C591" s="46"/>
    </row>
    <row r="592">
      <c r="C592" s="46"/>
    </row>
    <row r="593">
      <c r="C593" s="46"/>
    </row>
    <row r="594">
      <c r="C594" s="46"/>
    </row>
    <row r="595">
      <c r="C595" s="46"/>
    </row>
    <row r="596">
      <c r="C596" s="46"/>
    </row>
    <row r="597">
      <c r="C597" s="46"/>
    </row>
    <row r="598">
      <c r="C598" s="46"/>
    </row>
    <row r="599">
      <c r="C599" s="46"/>
    </row>
    <row r="600">
      <c r="C600" s="46"/>
    </row>
    <row r="601">
      <c r="C601" s="46"/>
    </row>
    <row r="602">
      <c r="C602" s="46"/>
    </row>
    <row r="603">
      <c r="C603" s="46"/>
    </row>
    <row r="604">
      <c r="C604" s="46"/>
    </row>
    <row r="605">
      <c r="C605" s="46"/>
    </row>
    <row r="606">
      <c r="C606" s="46"/>
    </row>
    <row r="607">
      <c r="C607" s="46"/>
    </row>
    <row r="608">
      <c r="C608" s="46"/>
    </row>
    <row r="609">
      <c r="C609" s="46"/>
    </row>
    <row r="610">
      <c r="C610" s="46"/>
    </row>
    <row r="611">
      <c r="C611" s="46"/>
    </row>
    <row r="612">
      <c r="C612" s="46"/>
    </row>
    <row r="613">
      <c r="C613" s="46"/>
    </row>
    <row r="614">
      <c r="C614" s="46"/>
    </row>
    <row r="615">
      <c r="C615" s="46"/>
    </row>
    <row r="616">
      <c r="C616" s="46"/>
    </row>
    <row r="617">
      <c r="C617" s="46"/>
    </row>
    <row r="618">
      <c r="C618" s="46"/>
    </row>
    <row r="619">
      <c r="C619" s="46"/>
    </row>
    <row r="620">
      <c r="C620" s="46"/>
    </row>
    <row r="621">
      <c r="C621" s="46"/>
    </row>
    <row r="622">
      <c r="C622" s="46"/>
    </row>
    <row r="623">
      <c r="C623" s="46"/>
    </row>
    <row r="624">
      <c r="C624" s="46"/>
    </row>
    <row r="625">
      <c r="C625" s="46"/>
    </row>
    <row r="626">
      <c r="C626" s="46"/>
    </row>
    <row r="627">
      <c r="C627" s="46"/>
    </row>
    <row r="628">
      <c r="C628" s="46"/>
    </row>
    <row r="629">
      <c r="C629" s="46"/>
    </row>
    <row r="630">
      <c r="C630" s="46"/>
    </row>
    <row r="631">
      <c r="C631" s="46"/>
    </row>
    <row r="632">
      <c r="C632" s="46"/>
    </row>
    <row r="633">
      <c r="C633" s="46"/>
    </row>
    <row r="634">
      <c r="C634" s="46"/>
    </row>
    <row r="635">
      <c r="C635" s="46"/>
    </row>
    <row r="636">
      <c r="C636" s="46"/>
    </row>
    <row r="637">
      <c r="C637" s="46"/>
    </row>
    <row r="638">
      <c r="C638" s="46"/>
    </row>
    <row r="639">
      <c r="C639" s="46"/>
    </row>
    <row r="640">
      <c r="C640" s="46"/>
    </row>
    <row r="641">
      <c r="C641" s="46"/>
    </row>
    <row r="642">
      <c r="C642" s="46"/>
    </row>
    <row r="643">
      <c r="C643" s="46"/>
    </row>
    <row r="644">
      <c r="C644" s="46"/>
    </row>
    <row r="645">
      <c r="C645" s="46"/>
    </row>
    <row r="646">
      <c r="C646" s="46"/>
    </row>
    <row r="647">
      <c r="C647" s="46"/>
    </row>
    <row r="648">
      <c r="C648" s="46"/>
    </row>
    <row r="649">
      <c r="C649" s="46"/>
    </row>
    <row r="650">
      <c r="C650" s="46"/>
    </row>
    <row r="651">
      <c r="C651" s="46"/>
    </row>
    <row r="652">
      <c r="C652" s="46"/>
    </row>
    <row r="653">
      <c r="C653" s="46"/>
    </row>
    <row r="654">
      <c r="C654" s="46"/>
    </row>
    <row r="655">
      <c r="C655" s="46"/>
    </row>
    <row r="656">
      <c r="C656" s="46"/>
    </row>
    <row r="657">
      <c r="C657" s="46"/>
    </row>
    <row r="658">
      <c r="C658" s="46"/>
    </row>
    <row r="659">
      <c r="C659" s="46"/>
    </row>
    <row r="660">
      <c r="C660" s="46"/>
    </row>
    <row r="661">
      <c r="C661" s="46"/>
    </row>
    <row r="662">
      <c r="C662" s="46"/>
    </row>
    <row r="663">
      <c r="C663" s="46"/>
    </row>
    <row r="664">
      <c r="C664" s="46"/>
    </row>
    <row r="665">
      <c r="C665" s="46"/>
    </row>
    <row r="666">
      <c r="C666" s="46"/>
    </row>
    <row r="667">
      <c r="C667" s="46"/>
    </row>
    <row r="668">
      <c r="C668" s="46"/>
    </row>
    <row r="669">
      <c r="C669" s="46"/>
    </row>
    <row r="670">
      <c r="C670" s="46"/>
    </row>
    <row r="671">
      <c r="C671" s="46"/>
    </row>
    <row r="672">
      <c r="C672" s="46"/>
    </row>
    <row r="673">
      <c r="C673" s="46"/>
    </row>
    <row r="674">
      <c r="C674" s="46"/>
    </row>
    <row r="675">
      <c r="C675" s="46"/>
    </row>
    <row r="676">
      <c r="C676" s="46"/>
    </row>
    <row r="677">
      <c r="C677" s="46"/>
    </row>
    <row r="678">
      <c r="C678" s="46"/>
    </row>
    <row r="679">
      <c r="C679" s="46"/>
    </row>
    <row r="680">
      <c r="C680" s="46"/>
    </row>
    <row r="681">
      <c r="C681" s="46"/>
    </row>
    <row r="682">
      <c r="C682" s="46"/>
    </row>
    <row r="683">
      <c r="C683" s="46"/>
    </row>
    <row r="684">
      <c r="C684" s="46"/>
    </row>
    <row r="685">
      <c r="C685" s="46"/>
    </row>
    <row r="686">
      <c r="C686" s="46"/>
    </row>
    <row r="687">
      <c r="C687" s="46"/>
    </row>
    <row r="688">
      <c r="C688" s="46"/>
    </row>
    <row r="689">
      <c r="C689" s="46"/>
    </row>
    <row r="690">
      <c r="C690" s="46"/>
    </row>
    <row r="691">
      <c r="C691" s="46"/>
    </row>
    <row r="692">
      <c r="C692" s="46"/>
    </row>
    <row r="693">
      <c r="C693" s="46"/>
    </row>
    <row r="694">
      <c r="C694" s="46"/>
    </row>
    <row r="695">
      <c r="C695" s="46"/>
    </row>
    <row r="696">
      <c r="C696" s="46"/>
    </row>
    <row r="697">
      <c r="C697" s="46"/>
    </row>
    <row r="698">
      <c r="C698" s="46"/>
    </row>
    <row r="699">
      <c r="C699" s="46"/>
    </row>
    <row r="700">
      <c r="C700" s="46"/>
    </row>
    <row r="701">
      <c r="C701" s="46"/>
    </row>
    <row r="702">
      <c r="C702" s="46"/>
    </row>
    <row r="703">
      <c r="C703" s="46"/>
    </row>
    <row r="704">
      <c r="C704" s="46"/>
    </row>
    <row r="705">
      <c r="C705" s="46"/>
    </row>
    <row r="706">
      <c r="C706" s="46"/>
    </row>
    <row r="707">
      <c r="C707" s="46"/>
    </row>
    <row r="708">
      <c r="C708" s="46"/>
    </row>
    <row r="709">
      <c r="C709" s="46"/>
    </row>
    <row r="710">
      <c r="C710" s="46"/>
    </row>
    <row r="711">
      <c r="C711" s="46"/>
    </row>
    <row r="712">
      <c r="C712" s="46"/>
    </row>
    <row r="713">
      <c r="C713" s="46"/>
    </row>
    <row r="714">
      <c r="C714" s="46"/>
    </row>
    <row r="715">
      <c r="C715" s="46"/>
    </row>
    <row r="716">
      <c r="C716" s="46"/>
    </row>
    <row r="717">
      <c r="C717" s="46"/>
    </row>
    <row r="718">
      <c r="C718" s="46"/>
    </row>
    <row r="719">
      <c r="C719" s="46"/>
    </row>
    <row r="720">
      <c r="C720" s="46"/>
    </row>
    <row r="721">
      <c r="C721" s="46"/>
    </row>
    <row r="722">
      <c r="C722" s="46"/>
    </row>
    <row r="723">
      <c r="C723" s="46"/>
    </row>
    <row r="724">
      <c r="C724" s="46"/>
    </row>
    <row r="725">
      <c r="C725" s="46"/>
    </row>
    <row r="726">
      <c r="C726" s="46"/>
    </row>
    <row r="727">
      <c r="C727" s="46"/>
    </row>
    <row r="728">
      <c r="C728" s="46"/>
    </row>
    <row r="729">
      <c r="C729" s="46"/>
    </row>
    <row r="730">
      <c r="C730" s="46"/>
    </row>
    <row r="731">
      <c r="C731" s="46"/>
    </row>
    <row r="732">
      <c r="C732" s="46"/>
    </row>
    <row r="733">
      <c r="C733" s="46"/>
    </row>
    <row r="734">
      <c r="C734" s="46"/>
    </row>
    <row r="735">
      <c r="C735" s="46"/>
    </row>
    <row r="736">
      <c r="C736" s="46"/>
    </row>
    <row r="737">
      <c r="C737" s="46"/>
    </row>
    <row r="738">
      <c r="C738" s="46"/>
    </row>
    <row r="739">
      <c r="C739" s="46"/>
    </row>
    <row r="740">
      <c r="C740" s="46"/>
    </row>
    <row r="741">
      <c r="C741" s="46"/>
    </row>
    <row r="742">
      <c r="C742" s="46"/>
    </row>
    <row r="743">
      <c r="C743" s="46"/>
    </row>
    <row r="744">
      <c r="C744" s="46"/>
    </row>
    <row r="745">
      <c r="C745" s="46"/>
    </row>
    <row r="746">
      <c r="C746" s="46"/>
    </row>
    <row r="747">
      <c r="C747" s="46"/>
    </row>
    <row r="748">
      <c r="C748" s="46"/>
    </row>
    <row r="749">
      <c r="C749" s="46"/>
    </row>
    <row r="750">
      <c r="C750" s="46"/>
    </row>
    <row r="751">
      <c r="C751" s="46"/>
    </row>
    <row r="752">
      <c r="C752" s="46"/>
    </row>
    <row r="753">
      <c r="C753" s="46"/>
    </row>
    <row r="754">
      <c r="C754" s="46"/>
    </row>
    <row r="755">
      <c r="C755" s="46"/>
    </row>
    <row r="756">
      <c r="C756" s="46"/>
    </row>
    <row r="757">
      <c r="C757" s="46"/>
    </row>
    <row r="758">
      <c r="C758" s="46"/>
    </row>
    <row r="759">
      <c r="C759" s="46"/>
    </row>
    <row r="760">
      <c r="C760" s="46"/>
    </row>
    <row r="761">
      <c r="C761" s="46"/>
    </row>
    <row r="762">
      <c r="C762" s="46"/>
    </row>
    <row r="763">
      <c r="C763" s="46"/>
    </row>
    <row r="764">
      <c r="C764" s="46"/>
    </row>
    <row r="765">
      <c r="C765" s="46"/>
    </row>
    <row r="766">
      <c r="C766" s="46"/>
    </row>
    <row r="767">
      <c r="C767" s="46"/>
    </row>
    <row r="768">
      <c r="C768" s="46"/>
    </row>
    <row r="769">
      <c r="C769" s="46"/>
    </row>
    <row r="770">
      <c r="C770" s="46"/>
    </row>
    <row r="771">
      <c r="C771" s="46"/>
    </row>
    <row r="772">
      <c r="C772" s="46"/>
    </row>
    <row r="773">
      <c r="C773" s="46"/>
    </row>
    <row r="774">
      <c r="C774" s="46"/>
    </row>
    <row r="775">
      <c r="C775" s="46"/>
    </row>
    <row r="776">
      <c r="C776" s="46"/>
    </row>
    <row r="777">
      <c r="C777" s="46"/>
    </row>
    <row r="778">
      <c r="C778" s="46"/>
    </row>
    <row r="779">
      <c r="C779" s="46"/>
    </row>
    <row r="780">
      <c r="C780" s="46"/>
    </row>
    <row r="781">
      <c r="C781" s="46"/>
    </row>
    <row r="782">
      <c r="C782" s="46"/>
    </row>
    <row r="783">
      <c r="C783" s="46"/>
    </row>
    <row r="784">
      <c r="C784" s="46"/>
    </row>
    <row r="785">
      <c r="C785" s="46"/>
    </row>
    <row r="786">
      <c r="C786" s="46"/>
    </row>
    <row r="787">
      <c r="C787" s="46"/>
    </row>
    <row r="788">
      <c r="C788" s="46"/>
    </row>
    <row r="789">
      <c r="C789" s="46"/>
    </row>
    <row r="790">
      <c r="C790" s="46"/>
    </row>
    <row r="791">
      <c r="C791" s="46"/>
    </row>
    <row r="792">
      <c r="C792" s="46"/>
    </row>
    <row r="793">
      <c r="C793" s="46"/>
    </row>
    <row r="794">
      <c r="C794" s="46"/>
    </row>
    <row r="795">
      <c r="C795" s="46"/>
    </row>
    <row r="796">
      <c r="C796" s="46"/>
    </row>
    <row r="797">
      <c r="C797" s="46"/>
    </row>
    <row r="798">
      <c r="C798" s="46"/>
    </row>
    <row r="799">
      <c r="C799" s="46"/>
    </row>
    <row r="800">
      <c r="C800" s="46"/>
    </row>
    <row r="801">
      <c r="C801" s="46"/>
    </row>
    <row r="802">
      <c r="C802" s="46"/>
    </row>
    <row r="803">
      <c r="C803" s="46"/>
    </row>
    <row r="804">
      <c r="C804" s="46"/>
    </row>
    <row r="805">
      <c r="C805" s="46"/>
    </row>
    <row r="806">
      <c r="C806" s="46"/>
    </row>
    <row r="807">
      <c r="C807" s="46"/>
    </row>
    <row r="808">
      <c r="C808" s="46"/>
    </row>
    <row r="809">
      <c r="C809" s="46"/>
    </row>
    <row r="810">
      <c r="C810" s="46"/>
    </row>
    <row r="811">
      <c r="C811" s="46"/>
    </row>
    <row r="812">
      <c r="C812" s="46"/>
    </row>
    <row r="813">
      <c r="C813" s="46"/>
    </row>
    <row r="814">
      <c r="C814" s="46"/>
    </row>
    <row r="815">
      <c r="C815" s="46"/>
    </row>
    <row r="816">
      <c r="C816" s="46"/>
    </row>
    <row r="817">
      <c r="C817" s="46"/>
    </row>
    <row r="818">
      <c r="C818" s="46"/>
    </row>
    <row r="819">
      <c r="C819" s="46"/>
    </row>
    <row r="820">
      <c r="C820" s="46"/>
    </row>
    <row r="821">
      <c r="C821" s="46"/>
    </row>
    <row r="822">
      <c r="C822" s="46"/>
    </row>
    <row r="823">
      <c r="C823" s="46"/>
    </row>
    <row r="824">
      <c r="C824" s="46"/>
    </row>
    <row r="825">
      <c r="C825" s="46"/>
    </row>
    <row r="826">
      <c r="C826" s="46"/>
    </row>
    <row r="827">
      <c r="C827" s="46"/>
    </row>
    <row r="828">
      <c r="C828" s="46"/>
    </row>
    <row r="829">
      <c r="C829" s="46"/>
    </row>
    <row r="830">
      <c r="C830" s="46"/>
    </row>
    <row r="831">
      <c r="C831" s="46"/>
    </row>
    <row r="832">
      <c r="C832" s="46"/>
    </row>
    <row r="833">
      <c r="C833" s="46"/>
    </row>
    <row r="834">
      <c r="C834" s="46"/>
    </row>
    <row r="835">
      <c r="C835" s="46"/>
    </row>
    <row r="836">
      <c r="C836" s="46"/>
    </row>
    <row r="837">
      <c r="C837" s="46"/>
    </row>
    <row r="838">
      <c r="C838" s="46"/>
    </row>
    <row r="839">
      <c r="C839" s="46"/>
    </row>
    <row r="840">
      <c r="C840" s="46"/>
    </row>
    <row r="841">
      <c r="C841" s="46"/>
    </row>
    <row r="842">
      <c r="C842" s="46"/>
    </row>
    <row r="843">
      <c r="C843" s="46"/>
    </row>
    <row r="844">
      <c r="C844" s="46"/>
    </row>
    <row r="845">
      <c r="C845" s="46"/>
    </row>
    <row r="846">
      <c r="C846" s="46"/>
    </row>
    <row r="847">
      <c r="C847" s="46"/>
    </row>
    <row r="848">
      <c r="C848" s="46"/>
    </row>
    <row r="849">
      <c r="C849" s="46"/>
    </row>
    <row r="850">
      <c r="C850" s="46"/>
    </row>
    <row r="851">
      <c r="C851" s="46"/>
    </row>
    <row r="852">
      <c r="C852" s="46"/>
    </row>
    <row r="853">
      <c r="C853" s="46"/>
    </row>
    <row r="854">
      <c r="C854" s="46"/>
    </row>
    <row r="855">
      <c r="C855" s="46"/>
    </row>
    <row r="856">
      <c r="C856" s="46"/>
    </row>
    <row r="857">
      <c r="C857" s="46"/>
    </row>
    <row r="858">
      <c r="C858" s="46"/>
    </row>
    <row r="859">
      <c r="C859" s="46"/>
    </row>
    <row r="860">
      <c r="C860" s="46"/>
    </row>
    <row r="861">
      <c r="C861" s="46"/>
    </row>
    <row r="862">
      <c r="C862" s="46"/>
    </row>
    <row r="863">
      <c r="C863" s="46"/>
    </row>
    <row r="864">
      <c r="C864" s="46"/>
    </row>
    <row r="865">
      <c r="C865" s="46"/>
    </row>
    <row r="866">
      <c r="C866" s="46"/>
    </row>
    <row r="867">
      <c r="C867" s="46"/>
    </row>
    <row r="868">
      <c r="C868" s="46"/>
    </row>
    <row r="869">
      <c r="C869" s="46"/>
    </row>
    <row r="870">
      <c r="C870" s="46"/>
    </row>
    <row r="871">
      <c r="C871" s="46"/>
    </row>
    <row r="872">
      <c r="C872" s="46"/>
    </row>
    <row r="873">
      <c r="C873" s="46"/>
    </row>
    <row r="874">
      <c r="C874" s="46"/>
    </row>
    <row r="875">
      <c r="C875" s="46"/>
    </row>
    <row r="876">
      <c r="C876" s="46"/>
    </row>
    <row r="877">
      <c r="C877" s="46"/>
    </row>
    <row r="878">
      <c r="C878" s="46"/>
    </row>
    <row r="879">
      <c r="C879" s="46"/>
    </row>
    <row r="880">
      <c r="C880" s="46"/>
    </row>
    <row r="881">
      <c r="C881" s="46"/>
    </row>
    <row r="882">
      <c r="C882" s="46"/>
    </row>
    <row r="883">
      <c r="C883" s="46"/>
    </row>
    <row r="884">
      <c r="C884" s="46"/>
    </row>
    <row r="885">
      <c r="C885" s="46"/>
    </row>
    <row r="886">
      <c r="C886" s="46"/>
    </row>
    <row r="887">
      <c r="C887" s="46"/>
    </row>
    <row r="888">
      <c r="C888" s="46"/>
    </row>
    <row r="889">
      <c r="C889" s="46"/>
    </row>
    <row r="890">
      <c r="C890" s="46"/>
    </row>
    <row r="891">
      <c r="C891" s="46"/>
    </row>
    <row r="892">
      <c r="C892" s="46"/>
    </row>
    <row r="893">
      <c r="C893" s="46"/>
    </row>
    <row r="894">
      <c r="C894" s="46"/>
    </row>
    <row r="895">
      <c r="C895" s="46"/>
    </row>
    <row r="896">
      <c r="C896" s="46"/>
    </row>
    <row r="897">
      <c r="C897" s="46"/>
    </row>
    <row r="898">
      <c r="C898" s="46"/>
    </row>
    <row r="899">
      <c r="C899" s="46"/>
    </row>
    <row r="900">
      <c r="C900" s="46"/>
    </row>
    <row r="901">
      <c r="C901" s="46"/>
    </row>
    <row r="902">
      <c r="C902" s="46"/>
    </row>
    <row r="903">
      <c r="C903" s="46"/>
    </row>
    <row r="904">
      <c r="C904" s="46"/>
    </row>
    <row r="905">
      <c r="C905" s="46"/>
    </row>
    <row r="906">
      <c r="C906" s="46"/>
    </row>
    <row r="907">
      <c r="C907" s="46"/>
    </row>
    <row r="908">
      <c r="C908" s="46"/>
    </row>
    <row r="909">
      <c r="C909" s="46"/>
    </row>
    <row r="910">
      <c r="C910" s="46"/>
    </row>
    <row r="911">
      <c r="C911" s="46"/>
    </row>
    <row r="912">
      <c r="C912" s="46"/>
    </row>
    <row r="913">
      <c r="C913" s="46"/>
    </row>
    <row r="914">
      <c r="C914" s="46"/>
    </row>
    <row r="915">
      <c r="C915" s="46"/>
    </row>
    <row r="916">
      <c r="C916" s="46"/>
    </row>
    <row r="917">
      <c r="C917" s="46"/>
    </row>
    <row r="918">
      <c r="C918" s="46"/>
    </row>
    <row r="919">
      <c r="C919" s="46"/>
    </row>
    <row r="920">
      <c r="C920" s="46"/>
    </row>
    <row r="921">
      <c r="C921" s="46"/>
    </row>
    <row r="922">
      <c r="C922" s="46"/>
    </row>
    <row r="923">
      <c r="C923" s="46"/>
    </row>
    <row r="924">
      <c r="C924" s="46"/>
    </row>
    <row r="925">
      <c r="C925" s="46"/>
    </row>
    <row r="926">
      <c r="C926" s="46"/>
    </row>
    <row r="927">
      <c r="C927" s="46"/>
    </row>
    <row r="928">
      <c r="C928" s="46"/>
    </row>
    <row r="929">
      <c r="C929" s="46"/>
    </row>
    <row r="930">
      <c r="C930" s="46"/>
    </row>
    <row r="931">
      <c r="C931" s="46"/>
    </row>
    <row r="932">
      <c r="C932" s="46"/>
    </row>
    <row r="933">
      <c r="C933" s="46"/>
    </row>
    <row r="934">
      <c r="C934" s="46"/>
    </row>
    <row r="935">
      <c r="C935" s="46"/>
    </row>
    <row r="936">
      <c r="C936" s="46"/>
    </row>
    <row r="937">
      <c r="C937" s="46"/>
    </row>
    <row r="938">
      <c r="C938" s="46"/>
    </row>
    <row r="939">
      <c r="C939" s="46"/>
    </row>
    <row r="940">
      <c r="C940" s="46"/>
    </row>
    <row r="941">
      <c r="C941" s="46"/>
    </row>
    <row r="942">
      <c r="C942" s="46"/>
    </row>
    <row r="943">
      <c r="C943" s="46"/>
    </row>
    <row r="944">
      <c r="C944" s="46"/>
    </row>
    <row r="945">
      <c r="C945" s="46"/>
    </row>
    <row r="946">
      <c r="C946" s="46"/>
    </row>
    <row r="947">
      <c r="C947" s="46"/>
    </row>
    <row r="948">
      <c r="C948" s="46"/>
    </row>
    <row r="949">
      <c r="C949" s="46"/>
    </row>
    <row r="950">
      <c r="C950" s="46"/>
    </row>
    <row r="951">
      <c r="C951" s="46"/>
    </row>
    <row r="952">
      <c r="C952" s="46"/>
    </row>
    <row r="953">
      <c r="C953" s="46"/>
    </row>
    <row r="954">
      <c r="C954" s="46"/>
    </row>
    <row r="955">
      <c r="C955" s="46"/>
    </row>
    <row r="956">
      <c r="C956" s="46"/>
    </row>
    <row r="957">
      <c r="C957" s="46"/>
    </row>
    <row r="958">
      <c r="C958" s="46"/>
    </row>
    <row r="959">
      <c r="C959" s="46"/>
    </row>
    <row r="960">
      <c r="C960" s="46"/>
    </row>
    <row r="961">
      <c r="C961" s="46"/>
    </row>
    <row r="962">
      <c r="C962" s="46"/>
    </row>
    <row r="963">
      <c r="C963" s="46"/>
    </row>
    <row r="964">
      <c r="C964" s="46"/>
    </row>
    <row r="965">
      <c r="C965" s="46"/>
    </row>
    <row r="966">
      <c r="C966" s="46"/>
    </row>
    <row r="967">
      <c r="C967" s="46"/>
    </row>
    <row r="968">
      <c r="C968" s="46"/>
    </row>
    <row r="969">
      <c r="C969" s="46"/>
    </row>
    <row r="970">
      <c r="C970" s="46"/>
    </row>
    <row r="971">
      <c r="C971" s="46"/>
    </row>
    <row r="972">
      <c r="C972" s="46"/>
    </row>
    <row r="973">
      <c r="C973" s="46"/>
    </row>
    <row r="974">
      <c r="C974" s="46"/>
    </row>
    <row r="975">
      <c r="C975" s="46"/>
    </row>
    <row r="976">
      <c r="C976" s="46"/>
    </row>
    <row r="977">
      <c r="C977" s="46"/>
    </row>
    <row r="978">
      <c r="C978" s="46"/>
    </row>
    <row r="979">
      <c r="C979" s="46"/>
    </row>
    <row r="980">
      <c r="C980" s="46"/>
    </row>
    <row r="981">
      <c r="C981" s="46"/>
    </row>
    <row r="982">
      <c r="C982" s="46"/>
    </row>
    <row r="983">
      <c r="C983" s="46"/>
    </row>
    <row r="984">
      <c r="C984" s="46"/>
    </row>
    <row r="985">
      <c r="C985" s="46"/>
    </row>
    <row r="986">
      <c r="C986" s="46"/>
    </row>
    <row r="987">
      <c r="C987" s="46"/>
    </row>
    <row r="988">
      <c r="C988" s="46"/>
    </row>
    <row r="989">
      <c r="C989" s="46"/>
    </row>
    <row r="990">
      <c r="C990" s="46"/>
    </row>
    <row r="991">
      <c r="C991" s="46"/>
    </row>
    <row r="992">
      <c r="C992" s="46"/>
    </row>
    <row r="993">
      <c r="C993" s="46"/>
    </row>
    <row r="994">
      <c r="C994" s="46"/>
    </row>
    <row r="995">
      <c r="C995" s="46"/>
    </row>
    <row r="996">
      <c r="C996" s="46"/>
    </row>
    <row r="997">
      <c r="C997" s="46"/>
    </row>
    <row r="998">
      <c r="C998" s="46"/>
    </row>
    <row r="999">
      <c r="C999" s="46"/>
    </row>
    <row r="1000">
      <c r="C1000" s="46"/>
    </row>
    <row r="1001">
      <c r="C1001" s="46"/>
    </row>
    <row r="1002">
      <c r="C1002" s="46"/>
    </row>
    <row r="1003">
      <c r="C1003" s="46"/>
    </row>
    <row r="1004">
      <c r="C1004" s="46"/>
    </row>
  </sheetData>
  <drawing r:id="rId1"/>
</worksheet>
</file>