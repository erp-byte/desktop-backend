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or Foods\Desktop\Stock Take\2025-26\Stock Feb 22 2026\"/>
    </mc:Choice>
  </mc:AlternateContent>
  <xr:revisionPtr revIDLastSave="0" documentId="8_{C22FBBF6-854D-4027-BC84-F02C5493FAED}" xr6:coauthVersionLast="47" xr6:coauthVersionMax="47" xr10:uidLastSave="{00000000-0000-0000-0000-000000000000}"/>
  <bookViews>
    <workbookView xWindow="-110" yWindow="-110" windowWidth="19420" windowHeight="10300" firstSheet="6" activeTab="10" xr2:uid="{A853CD7E-9E5E-409E-B821-891A0C302EFC}"/>
  </bookViews>
  <sheets>
    <sheet name="Consolidated" sheetId="10" r:id="rId1"/>
    <sheet name="Consolidated Rej" sheetId="11" r:id="rId2"/>
    <sheet name="Rack rej" sheetId="8" r:id="rId3"/>
    <sheet name="Production Rej" sheetId="4" r:id="rId4"/>
    <sheet name="Packing Off Grade" sheetId="7" r:id="rId5"/>
    <sheet name="Fumigation  Room" sheetId="9" r:id="rId6"/>
    <sheet name="Rack And Dock Area" sheetId="1" r:id="rId7"/>
    <sheet name="Production" sheetId="3" r:id="rId8"/>
    <sheet name="Packing Area" sheetId="6" r:id="rId9"/>
    <sheet name="Cold Rej" sheetId="5" r:id="rId10"/>
    <sheet name="Cold Area" sheetId="2" r:id="rId11"/>
  </sheets>
  <externalReferences>
    <externalReference r:id="rId12"/>
  </externalReferences>
  <definedNames>
    <definedName name="_xlnm._FilterDatabase" localSheetId="10" hidden="1">'Cold Area'!$A$1:$H$143</definedName>
    <definedName name="_xlnm._FilterDatabase" localSheetId="0" hidden="1">Consolidated!$A$3:$N$3</definedName>
    <definedName name="_xlnm._FilterDatabase" localSheetId="1" hidden="1">'Consolidated Rej'!$A$3:$P$1948</definedName>
    <definedName name="_xlnm._FilterDatabase" localSheetId="5" hidden="1">'Fumigation  Room'!$A$1:$I$1901</definedName>
    <definedName name="_xlnm._FilterDatabase" localSheetId="8" hidden="1">'Packing Area'!$A$5:$G$98</definedName>
    <definedName name="_xlnm._FilterDatabase" localSheetId="7" hidden="1">Production!$A$5:$H$49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2" i="2"/>
  <c r="L126" i="11"/>
  <c r="L1" i="11" s="1"/>
  <c r="L369" i="11"/>
  <c r="L473" i="11"/>
  <c r="P560" i="11"/>
  <c r="P575" i="11"/>
  <c r="P635" i="11"/>
  <c r="P837" i="11"/>
  <c r="P868" i="11"/>
  <c r="P1150" i="11"/>
  <c r="L1155" i="11"/>
  <c r="L1184" i="11"/>
  <c r="L1191" i="11"/>
  <c r="L1245" i="11"/>
  <c r="L1248" i="11"/>
  <c r="L1253" i="11"/>
  <c r="P1332" i="11"/>
  <c r="L1407" i="11"/>
  <c r="L1418" i="11"/>
  <c r="L1640" i="11"/>
  <c r="L1654" i="11"/>
  <c r="P1787" i="11"/>
  <c r="P1819" i="11"/>
  <c r="P1823" i="11"/>
  <c r="P1917" i="11"/>
  <c r="P1918" i="11"/>
  <c r="P1919" i="11"/>
  <c r="P1920" i="11"/>
  <c r="P1921" i="11"/>
  <c r="P1922" i="11"/>
  <c r="P1924" i="11"/>
  <c r="P1926" i="11"/>
  <c r="P1927" i="11"/>
  <c r="P1930" i="11"/>
  <c r="P1931" i="11"/>
  <c r="P1934" i="11"/>
  <c r="L1935" i="11"/>
  <c r="P1935" i="11" s="1"/>
  <c r="P1936" i="11"/>
  <c r="P1938" i="11"/>
  <c r="P1939" i="11"/>
  <c r="P1940" i="11"/>
  <c r="P1942" i="11"/>
  <c r="P1943" i="11"/>
  <c r="P1946" i="11"/>
  <c r="L1947" i="11"/>
  <c r="P1947" i="11" s="1"/>
  <c r="P1948" i="11"/>
  <c r="O167" i="11"/>
  <c r="P167" i="11"/>
  <c r="O277" i="11"/>
  <c r="P277" i="11"/>
  <c r="O560" i="11"/>
  <c r="O575" i="11"/>
  <c r="O635" i="11"/>
  <c r="O654" i="11"/>
  <c r="P654" i="11"/>
  <c r="O669" i="11"/>
  <c r="P669" i="11"/>
  <c r="O688" i="11"/>
  <c r="P688" i="11"/>
  <c r="O709" i="11"/>
  <c r="P709" i="11"/>
  <c r="O753" i="11"/>
  <c r="P753" i="11"/>
  <c r="O837" i="11"/>
  <c r="O868" i="11"/>
  <c r="O1149" i="11"/>
  <c r="P1149" i="11"/>
  <c r="O1150" i="11"/>
  <c r="O1332" i="11"/>
  <c r="O1787" i="11"/>
  <c r="O1805" i="11"/>
  <c r="P1805" i="11"/>
  <c r="O1806" i="11"/>
  <c r="P1806" i="11"/>
  <c r="O1819" i="11"/>
  <c r="O1821" i="11"/>
  <c r="P1821" i="11"/>
  <c r="O1823" i="11"/>
  <c r="O1916" i="11"/>
  <c r="P1916" i="11"/>
  <c r="O1917" i="11"/>
  <c r="O1918" i="11"/>
  <c r="O1919" i="11"/>
  <c r="O1920" i="11"/>
  <c r="O1921" i="11"/>
  <c r="O1922" i="11"/>
  <c r="O1924" i="11"/>
  <c r="O1925" i="11"/>
  <c r="P1925" i="11"/>
  <c r="O1926" i="11"/>
  <c r="O1927" i="11"/>
  <c r="O1928" i="11"/>
  <c r="P1928" i="11"/>
  <c r="O1929" i="11"/>
  <c r="P1929" i="11"/>
  <c r="O1930" i="11"/>
  <c r="O1931" i="11"/>
  <c r="O1932" i="11"/>
  <c r="P1932" i="11"/>
  <c r="O1933" i="11"/>
  <c r="P1933" i="11"/>
  <c r="O1934" i="11"/>
  <c r="O1935" i="11"/>
  <c r="O1936" i="11"/>
  <c r="O1937" i="11"/>
  <c r="P1937" i="11"/>
  <c r="O1938" i="11"/>
  <c r="O1939" i="11"/>
  <c r="O1940" i="11"/>
  <c r="O1941" i="11"/>
  <c r="P1941" i="11"/>
  <c r="O1942" i="11"/>
  <c r="O1943" i="11"/>
  <c r="O1944" i="11"/>
  <c r="P1944" i="11"/>
  <c r="O1945" i="11"/>
  <c r="P1945" i="11"/>
  <c r="O1946" i="11"/>
  <c r="O1947" i="11"/>
  <c r="O1948" i="11"/>
  <c r="M5" i="11" a="1"/>
  <c r="M6" i="11" a="1"/>
  <c r="M7" i="11" a="1"/>
  <c r="M8" i="11" a="1"/>
  <c r="M9" i="11" a="1"/>
  <c r="M10" i="11" a="1"/>
  <c r="M11" i="11" a="1"/>
  <c r="M12" i="11" a="1"/>
  <c r="M13" i="11" a="1"/>
  <c r="M14" i="11" a="1"/>
  <c r="M15" i="11" a="1"/>
  <c r="M16" i="11" a="1"/>
  <c r="M17" i="11" a="1"/>
  <c r="M18" i="11" a="1"/>
  <c r="M19" i="11" a="1"/>
  <c r="M20" i="11" a="1"/>
  <c r="M21" i="11" a="1"/>
  <c r="M22" i="11" a="1"/>
  <c r="M23" i="11" a="1"/>
  <c r="M24" i="11" a="1"/>
  <c r="M25" i="11" a="1"/>
  <c r="M26" i="11" a="1"/>
  <c r="M27" i="11" a="1"/>
  <c r="M28" i="11" a="1"/>
  <c r="M29" i="11" a="1"/>
  <c r="M30" i="11" a="1"/>
  <c r="M31" i="11" a="1"/>
  <c r="M32" i="11" a="1"/>
  <c r="M33" i="11" a="1"/>
  <c r="M34" i="11" a="1"/>
  <c r="M35" i="11" a="1"/>
  <c r="M36" i="11" a="1"/>
  <c r="M37" i="11" a="1"/>
  <c r="M38" i="11" a="1"/>
  <c r="M39" i="11" a="1"/>
  <c r="M40" i="11" a="1"/>
  <c r="M41" i="11" a="1"/>
  <c r="M42" i="11" a="1"/>
  <c r="M43" i="11" a="1"/>
  <c r="M44" i="11" a="1"/>
  <c r="M45" i="11" a="1"/>
  <c r="M46" i="11" a="1"/>
  <c r="M47" i="11" a="1"/>
  <c r="M48" i="11" a="1"/>
  <c r="M49" i="11" a="1"/>
  <c r="M50" i="11" a="1"/>
  <c r="M51" i="11" a="1"/>
  <c r="M52" i="11" a="1"/>
  <c r="M53" i="11" a="1"/>
  <c r="M54" i="11" a="1"/>
  <c r="M55" i="11" a="1"/>
  <c r="M56" i="11" a="1"/>
  <c r="M57" i="11" a="1"/>
  <c r="M58" i="11" a="1"/>
  <c r="M59" i="11" a="1"/>
  <c r="M60" i="11" a="1"/>
  <c r="M61" i="11" a="1"/>
  <c r="M62" i="11" a="1"/>
  <c r="M63" i="11" a="1"/>
  <c r="M64" i="11" a="1"/>
  <c r="M65" i="11" a="1"/>
  <c r="M66" i="11" a="1"/>
  <c r="M67" i="11" a="1"/>
  <c r="M68" i="11" a="1"/>
  <c r="M69" i="11" a="1"/>
  <c r="M70" i="11" a="1"/>
  <c r="M71" i="11" a="1"/>
  <c r="M72" i="11" a="1"/>
  <c r="M73" i="11" a="1"/>
  <c r="M74" i="11" a="1"/>
  <c r="M75" i="11" a="1"/>
  <c r="M76" i="11" a="1"/>
  <c r="M77" i="11" a="1"/>
  <c r="M78" i="11" a="1"/>
  <c r="M79" i="11" a="1"/>
  <c r="M80" i="11" a="1"/>
  <c r="M81" i="11" a="1"/>
  <c r="M82" i="11" a="1"/>
  <c r="M83" i="11" a="1"/>
  <c r="M84" i="11" a="1"/>
  <c r="M85" i="11" a="1"/>
  <c r="M86" i="11" a="1"/>
  <c r="M87" i="11" a="1"/>
  <c r="M88" i="11" a="1"/>
  <c r="M89" i="11" a="1"/>
  <c r="M90" i="11" a="1"/>
  <c r="M91" i="11" a="1"/>
  <c r="M92" i="11" a="1"/>
  <c r="M93" i="11" a="1"/>
  <c r="M94" i="11" a="1"/>
  <c r="M95" i="11" a="1"/>
  <c r="M96" i="11" a="1"/>
  <c r="M97" i="11" a="1"/>
  <c r="M98" i="11" a="1"/>
  <c r="M99" i="11" a="1"/>
  <c r="M100" i="11" a="1"/>
  <c r="M101" i="11" a="1"/>
  <c r="M102" i="11" a="1"/>
  <c r="M103" i="11" a="1"/>
  <c r="M104" i="11" a="1"/>
  <c r="M105" i="11" a="1"/>
  <c r="M106" i="11" a="1"/>
  <c r="M107" i="11" a="1"/>
  <c r="M108" i="11" a="1"/>
  <c r="M109" i="11" a="1"/>
  <c r="M110" i="11" a="1"/>
  <c r="M111" i="11" a="1"/>
  <c r="M112" i="11" a="1"/>
  <c r="M113" i="11" a="1"/>
  <c r="M114" i="11" a="1"/>
  <c r="M115" i="11" a="1"/>
  <c r="M116" i="11" a="1"/>
  <c r="M117" i="11" a="1"/>
  <c r="M118" i="11" a="1"/>
  <c r="M119" i="11" a="1"/>
  <c r="M120" i="11" a="1"/>
  <c r="M121" i="11" a="1"/>
  <c r="M122" i="11" a="1"/>
  <c r="M123" i="11" a="1"/>
  <c r="M124" i="11" a="1"/>
  <c r="M125" i="11" a="1"/>
  <c r="M126" i="11" a="1"/>
  <c r="M127" i="11" a="1"/>
  <c r="M128" i="11" a="1"/>
  <c r="M129" i="11" a="1"/>
  <c r="M130" i="11" a="1"/>
  <c r="M131" i="11" a="1"/>
  <c r="M132" i="11" a="1"/>
  <c r="M133" i="11" a="1"/>
  <c r="M134" i="11" a="1"/>
  <c r="M135" i="11" a="1"/>
  <c r="M136" i="11" a="1"/>
  <c r="M137" i="11" a="1"/>
  <c r="M138" i="11" a="1"/>
  <c r="M139" i="11" a="1"/>
  <c r="M140" i="11" a="1"/>
  <c r="M141" i="11" a="1"/>
  <c r="M142" i="11" a="1"/>
  <c r="M143" i="11" a="1"/>
  <c r="M144" i="11" a="1"/>
  <c r="M145" i="11" a="1"/>
  <c r="M146" i="11" a="1"/>
  <c r="M147" i="11" a="1"/>
  <c r="M148" i="11" a="1"/>
  <c r="M149" i="11" a="1"/>
  <c r="M150" i="11" a="1"/>
  <c r="M151" i="11" a="1"/>
  <c r="M152" i="11" a="1"/>
  <c r="M153" i="11" a="1"/>
  <c r="M154" i="11" a="1"/>
  <c r="M155" i="11" a="1"/>
  <c r="M156" i="11" a="1"/>
  <c r="M157" i="11" a="1"/>
  <c r="M158" i="11" a="1"/>
  <c r="M159" i="11" a="1"/>
  <c r="M160" i="11" a="1"/>
  <c r="M161" i="11" a="1"/>
  <c r="M162" i="11" a="1"/>
  <c r="M163" i="11" a="1"/>
  <c r="M164" i="11" a="1"/>
  <c r="M165" i="11" a="1"/>
  <c r="M166" i="11" a="1"/>
  <c r="M168" i="11" a="1"/>
  <c r="M169" i="11" a="1"/>
  <c r="M170" i="11" a="1"/>
  <c r="M171" i="11" a="1"/>
  <c r="M172" i="11" a="1"/>
  <c r="M173" i="11" a="1"/>
  <c r="M174" i="11" a="1"/>
  <c r="M175" i="11" a="1"/>
  <c r="M176" i="11" a="1"/>
  <c r="M177" i="11" a="1"/>
  <c r="M178" i="11" a="1"/>
  <c r="M179" i="11" a="1"/>
  <c r="M180" i="11" a="1"/>
  <c r="M181" i="11" a="1"/>
  <c r="M182" i="11" a="1"/>
  <c r="M183" i="11" a="1"/>
  <c r="M184" i="11" a="1"/>
  <c r="M185" i="11" a="1"/>
  <c r="M186" i="11" a="1"/>
  <c r="M187" i="11" a="1"/>
  <c r="M188" i="11" a="1"/>
  <c r="M189" i="11" a="1"/>
  <c r="M190" i="11" a="1"/>
  <c r="M191" i="11" a="1"/>
  <c r="M192" i="11" a="1"/>
  <c r="M193" i="11" a="1"/>
  <c r="M194" i="11" a="1"/>
  <c r="M195" i="11" a="1"/>
  <c r="M196" i="11" a="1"/>
  <c r="M197" i="11" a="1"/>
  <c r="M198" i="11" a="1"/>
  <c r="M199" i="11" a="1"/>
  <c r="M200" i="11" a="1"/>
  <c r="M201" i="11" a="1"/>
  <c r="M202" i="11" a="1"/>
  <c r="M203" i="11" a="1"/>
  <c r="M204" i="11" a="1"/>
  <c r="M205" i="11" a="1"/>
  <c r="M206" i="11" a="1"/>
  <c r="M207" i="11" a="1"/>
  <c r="M208" i="11" a="1"/>
  <c r="M209" i="11" a="1"/>
  <c r="M210" i="11" a="1"/>
  <c r="M211" i="11" a="1"/>
  <c r="M212" i="11" a="1"/>
  <c r="M213" i="11" a="1"/>
  <c r="M214" i="11" a="1"/>
  <c r="M215" i="11" a="1"/>
  <c r="M216" i="11" a="1"/>
  <c r="M217" i="11" a="1"/>
  <c r="M218" i="11" a="1"/>
  <c r="M219" i="11" a="1"/>
  <c r="M220" i="11" a="1"/>
  <c r="M221" i="11" a="1"/>
  <c r="M222" i="11" a="1"/>
  <c r="M223" i="11" a="1"/>
  <c r="M224" i="11" a="1"/>
  <c r="M225" i="11" a="1"/>
  <c r="M226" i="11" a="1"/>
  <c r="M227" i="11" a="1"/>
  <c r="M228" i="11" a="1"/>
  <c r="M229" i="11" a="1"/>
  <c r="M230" i="11" a="1"/>
  <c r="M231" i="11" a="1"/>
  <c r="M232" i="11" a="1"/>
  <c r="M233" i="11" a="1"/>
  <c r="M234" i="11" a="1"/>
  <c r="M235" i="11" a="1"/>
  <c r="M236" i="11" a="1"/>
  <c r="M237" i="11" a="1"/>
  <c r="M238" i="11" a="1"/>
  <c r="M239" i="11" a="1"/>
  <c r="M240" i="11" a="1"/>
  <c r="M241" i="11" a="1"/>
  <c r="M242" i="11" a="1"/>
  <c r="M243" i="11" a="1"/>
  <c r="M244" i="11" a="1"/>
  <c r="M245" i="11" a="1"/>
  <c r="M246" i="11" a="1"/>
  <c r="M247" i="11" a="1"/>
  <c r="M248" i="11" a="1"/>
  <c r="M249" i="11" a="1"/>
  <c r="M250" i="11" a="1"/>
  <c r="M251" i="11" a="1"/>
  <c r="M252" i="11" a="1"/>
  <c r="M253" i="11" a="1"/>
  <c r="M254" i="11" a="1"/>
  <c r="M255" i="11" a="1"/>
  <c r="M256" i="11" a="1"/>
  <c r="M257" i="11" a="1"/>
  <c r="M258" i="11" a="1"/>
  <c r="M259" i="11" a="1"/>
  <c r="M260" i="11" a="1"/>
  <c r="M261" i="11" a="1"/>
  <c r="M262" i="11" a="1"/>
  <c r="M263" i="11" a="1"/>
  <c r="M264" i="11" a="1"/>
  <c r="M265" i="11" a="1"/>
  <c r="M266" i="11" a="1"/>
  <c r="M267" i="11" a="1"/>
  <c r="M268" i="11" a="1"/>
  <c r="M269" i="11" a="1"/>
  <c r="M270" i="11" a="1"/>
  <c r="M271" i="11" a="1"/>
  <c r="M272" i="11" a="1"/>
  <c r="M273" i="11" a="1"/>
  <c r="M274" i="11" a="1"/>
  <c r="M275" i="11" a="1"/>
  <c r="M276" i="11" a="1"/>
  <c r="M278" i="11" a="1"/>
  <c r="M279" i="11" a="1"/>
  <c r="M280" i="11" a="1"/>
  <c r="M281" i="11" a="1"/>
  <c r="M282" i="11" a="1"/>
  <c r="M283" i="11" a="1"/>
  <c r="M284" i="11" a="1"/>
  <c r="M285" i="11" a="1"/>
  <c r="M286" i="11" a="1"/>
  <c r="M287" i="11" a="1"/>
  <c r="M288" i="11" a="1"/>
  <c r="M289" i="11" a="1"/>
  <c r="M290" i="11" a="1"/>
  <c r="M291" i="11" a="1"/>
  <c r="M292" i="11" a="1"/>
  <c r="M293" i="11" a="1"/>
  <c r="M294" i="11" a="1"/>
  <c r="M295" i="11" a="1"/>
  <c r="M296" i="11" a="1"/>
  <c r="M297" i="11" a="1"/>
  <c r="M298" i="11" a="1"/>
  <c r="M299" i="11" a="1"/>
  <c r="M300" i="11" a="1"/>
  <c r="M301" i="11" a="1"/>
  <c r="M302" i="11" a="1"/>
  <c r="M303" i="11" a="1"/>
  <c r="M304" i="11" a="1"/>
  <c r="M305" i="11" a="1"/>
  <c r="M306" i="11" a="1"/>
  <c r="M307" i="11" a="1"/>
  <c r="M308" i="11" a="1"/>
  <c r="M309" i="11" a="1"/>
  <c r="M310" i="11" a="1"/>
  <c r="M311" i="11" a="1"/>
  <c r="M312" i="11" a="1"/>
  <c r="M313" i="11" a="1"/>
  <c r="M314" i="11" a="1"/>
  <c r="M315" i="11" a="1"/>
  <c r="M316" i="11" a="1"/>
  <c r="M317" i="11" a="1"/>
  <c r="M318" i="11" a="1"/>
  <c r="M319" i="11" a="1"/>
  <c r="M320" i="11" a="1"/>
  <c r="M321" i="11" a="1"/>
  <c r="M322" i="11" a="1"/>
  <c r="M323" i="11" a="1"/>
  <c r="M324" i="11" a="1"/>
  <c r="M325" i="11" a="1"/>
  <c r="M326" i="11" a="1"/>
  <c r="M327" i="11" a="1"/>
  <c r="M328" i="11" a="1"/>
  <c r="M329" i="11" a="1"/>
  <c r="M330" i="11" a="1"/>
  <c r="M331" i="11" a="1"/>
  <c r="M332" i="11" a="1"/>
  <c r="M333" i="11" a="1"/>
  <c r="M334" i="11" a="1"/>
  <c r="M335" i="11" a="1"/>
  <c r="M336" i="11" a="1"/>
  <c r="M337" i="11" a="1"/>
  <c r="M338" i="11" a="1"/>
  <c r="M339" i="11" a="1"/>
  <c r="M340" i="11" a="1"/>
  <c r="M341" i="11" a="1"/>
  <c r="M342" i="11" a="1"/>
  <c r="M343" i="11" a="1"/>
  <c r="M344" i="11" a="1"/>
  <c r="M345" i="11" a="1"/>
  <c r="M346" i="11" a="1"/>
  <c r="M347" i="11" a="1"/>
  <c r="M348" i="11" a="1"/>
  <c r="M349" i="11" a="1"/>
  <c r="M350" i="11" a="1"/>
  <c r="M351" i="11" a="1"/>
  <c r="M352" i="11" a="1"/>
  <c r="M353" i="11" a="1"/>
  <c r="M354" i="11" a="1"/>
  <c r="M355" i="11" a="1"/>
  <c r="M356" i="11" a="1"/>
  <c r="M357" i="11" a="1"/>
  <c r="M358" i="11" a="1"/>
  <c r="M359" i="11" a="1"/>
  <c r="M360" i="11" a="1"/>
  <c r="M361" i="11" a="1"/>
  <c r="M362" i="11" a="1"/>
  <c r="M363" i="11" a="1"/>
  <c r="M364" i="11" a="1"/>
  <c r="M365" i="11" a="1"/>
  <c r="M366" i="11" a="1"/>
  <c r="M367" i="11" a="1"/>
  <c r="M368" i="11" a="1"/>
  <c r="M369" i="11" a="1"/>
  <c r="M370" i="11" a="1"/>
  <c r="M371" i="11" a="1"/>
  <c r="M372" i="11" a="1"/>
  <c r="M373" i="11" a="1"/>
  <c r="M374" i="11" a="1"/>
  <c r="M375" i="11" a="1"/>
  <c r="M376" i="11" a="1"/>
  <c r="M377" i="11" a="1"/>
  <c r="M378" i="11" a="1"/>
  <c r="M379" i="11" a="1"/>
  <c r="M380" i="11" a="1"/>
  <c r="M381" i="11" a="1"/>
  <c r="M382" i="11" a="1"/>
  <c r="M383" i="11" a="1"/>
  <c r="M384" i="11" a="1"/>
  <c r="M385" i="11" a="1"/>
  <c r="M386" i="11" a="1"/>
  <c r="M387" i="11" a="1"/>
  <c r="M388" i="11" a="1"/>
  <c r="M389" i="11" a="1"/>
  <c r="M390" i="11" a="1"/>
  <c r="M391" i="11" a="1"/>
  <c r="M392" i="11" a="1"/>
  <c r="M393" i="11" a="1"/>
  <c r="M394" i="11" a="1"/>
  <c r="M395" i="11" a="1"/>
  <c r="M396" i="11" a="1"/>
  <c r="M397" i="11" a="1"/>
  <c r="M398" i="11" a="1"/>
  <c r="M399" i="11" a="1"/>
  <c r="M400" i="11" a="1"/>
  <c r="M401" i="11" a="1"/>
  <c r="M402" i="11" a="1"/>
  <c r="M403" i="11" a="1"/>
  <c r="M404" i="11" a="1"/>
  <c r="M405" i="11" a="1"/>
  <c r="M406" i="11" a="1"/>
  <c r="M407" i="11" a="1"/>
  <c r="M408" i="11" a="1"/>
  <c r="M409" i="11" a="1"/>
  <c r="M410" i="11" a="1"/>
  <c r="M411" i="11" a="1"/>
  <c r="M412" i="11" a="1"/>
  <c r="M413" i="11" a="1"/>
  <c r="M414" i="11" a="1"/>
  <c r="M415" i="11" a="1"/>
  <c r="M416" i="11" a="1"/>
  <c r="M417" i="11" a="1"/>
  <c r="M418" i="11" a="1"/>
  <c r="M419" i="11" a="1"/>
  <c r="M420" i="11" a="1"/>
  <c r="M421" i="11" a="1"/>
  <c r="M422" i="11" a="1"/>
  <c r="M423" i="11" a="1"/>
  <c r="M424" i="11" a="1"/>
  <c r="M425" i="11" a="1"/>
  <c r="M426" i="11" a="1"/>
  <c r="M427" i="11" a="1"/>
  <c r="M428" i="11" a="1"/>
  <c r="M429" i="11" a="1"/>
  <c r="M430" i="11" a="1"/>
  <c r="M431" i="11" a="1"/>
  <c r="M432" i="11" a="1"/>
  <c r="M433" i="11" a="1"/>
  <c r="M434" i="11" a="1"/>
  <c r="M435" i="11" a="1"/>
  <c r="M436" i="11" a="1"/>
  <c r="M437" i="11" a="1"/>
  <c r="M438" i="11" a="1"/>
  <c r="M439" i="11" a="1"/>
  <c r="M440" i="11" a="1"/>
  <c r="M441" i="11" a="1"/>
  <c r="M442" i="11" a="1"/>
  <c r="M443" i="11" a="1"/>
  <c r="M444" i="11" a="1"/>
  <c r="M445" i="11" a="1"/>
  <c r="M446" i="11" a="1"/>
  <c r="M447" i="11" a="1"/>
  <c r="M448" i="11" a="1"/>
  <c r="M449" i="11" a="1"/>
  <c r="M450" i="11" a="1"/>
  <c r="M451" i="11" a="1"/>
  <c r="M452" i="11" a="1"/>
  <c r="M453" i="11" a="1"/>
  <c r="M454" i="11" a="1"/>
  <c r="M455" i="11" a="1"/>
  <c r="M456" i="11" a="1"/>
  <c r="M457" i="11" a="1"/>
  <c r="M458" i="11" a="1"/>
  <c r="M459" i="11" a="1"/>
  <c r="M460" i="11" a="1"/>
  <c r="M461" i="11" a="1"/>
  <c r="M462" i="11" a="1"/>
  <c r="M463" i="11" a="1"/>
  <c r="M464" i="11" a="1"/>
  <c r="M465" i="11" a="1"/>
  <c r="M466" i="11" a="1"/>
  <c r="M467" i="11" a="1"/>
  <c r="M468" i="11" a="1"/>
  <c r="M469" i="11" a="1"/>
  <c r="M470" i="11" a="1"/>
  <c r="M471" i="11" a="1"/>
  <c r="M472" i="11" a="1"/>
  <c r="M473" i="11" a="1"/>
  <c r="M474" i="11" a="1"/>
  <c r="M475" i="11" a="1"/>
  <c r="M476" i="11" a="1"/>
  <c r="M477" i="11" a="1"/>
  <c r="M478" i="11" a="1"/>
  <c r="M479" i="11" a="1"/>
  <c r="M480" i="11" a="1"/>
  <c r="M481" i="11" a="1"/>
  <c r="M482" i="11" a="1"/>
  <c r="M483" i="11" a="1"/>
  <c r="M484" i="11" a="1"/>
  <c r="M485" i="11" a="1"/>
  <c r="M486" i="11" a="1"/>
  <c r="M487" i="11" a="1"/>
  <c r="M488" i="11" a="1"/>
  <c r="M489" i="11" a="1"/>
  <c r="M490" i="11" a="1"/>
  <c r="M491" i="11" a="1"/>
  <c r="M492" i="11" a="1"/>
  <c r="M493" i="11" a="1"/>
  <c r="M494" i="11" a="1"/>
  <c r="M495" i="11" a="1"/>
  <c r="M496" i="11" a="1"/>
  <c r="M497" i="11" a="1"/>
  <c r="M498" i="11" a="1"/>
  <c r="M499" i="11" a="1"/>
  <c r="M500" i="11" a="1"/>
  <c r="M501" i="11" a="1"/>
  <c r="M502" i="11" a="1"/>
  <c r="M503" i="11" a="1"/>
  <c r="M504" i="11" a="1"/>
  <c r="M505" i="11" a="1"/>
  <c r="M506" i="11" a="1"/>
  <c r="M507" i="11" a="1"/>
  <c r="M508" i="11" a="1"/>
  <c r="M509" i="11" a="1"/>
  <c r="M510" i="11" a="1"/>
  <c r="M511" i="11" a="1"/>
  <c r="M512" i="11" a="1"/>
  <c r="M513" i="11" a="1"/>
  <c r="M514" i="11" a="1"/>
  <c r="M515" i="11" a="1"/>
  <c r="M516" i="11" a="1"/>
  <c r="M517" i="11" a="1"/>
  <c r="M518" i="11" a="1"/>
  <c r="M519" i="11" a="1"/>
  <c r="M520" i="11" a="1"/>
  <c r="M521" i="11" a="1"/>
  <c r="M522" i="11" a="1"/>
  <c r="M523" i="11" a="1"/>
  <c r="M524" i="11" a="1"/>
  <c r="M525" i="11" a="1"/>
  <c r="M526" i="11" a="1"/>
  <c r="M527" i="11" a="1"/>
  <c r="M528" i="11" a="1"/>
  <c r="M529" i="11" a="1"/>
  <c r="M530" i="11" a="1"/>
  <c r="M531" i="11" a="1"/>
  <c r="M532" i="11" a="1"/>
  <c r="M533" i="11" a="1"/>
  <c r="M534" i="11" a="1"/>
  <c r="M535" i="11" a="1"/>
  <c r="M536" i="11" a="1"/>
  <c r="M537" i="11" a="1"/>
  <c r="M538" i="11" a="1"/>
  <c r="M539" i="11" a="1"/>
  <c r="M540" i="11" a="1"/>
  <c r="M541" i="11" a="1"/>
  <c r="M542" i="11" a="1"/>
  <c r="M543" i="11" a="1"/>
  <c r="M544" i="11" a="1"/>
  <c r="M545" i="11" a="1"/>
  <c r="M546" i="11" a="1"/>
  <c r="M547" i="11" a="1"/>
  <c r="M548" i="11" a="1"/>
  <c r="M549" i="11" a="1"/>
  <c r="M550" i="11" a="1"/>
  <c r="M551" i="11" a="1"/>
  <c r="M552" i="11" a="1"/>
  <c r="M553" i="11" a="1"/>
  <c r="M554" i="11" a="1"/>
  <c r="M555" i="11" a="1"/>
  <c r="M556" i="11" a="1"/>
  <c r="M557" i="11" a="1"/>
  <c r="M558" i="11" a="1"/>
  <c r="M559" i="11" a="1"/>
  <c r="M561" i="11" a="1"/>
  <c r="M562" i="11" a="1"/>
  <c r="M563" i="11" a="1"/>
  <c r="M564" i="11" a="1"/>
  <c r="M565" i="11" a="1"/>
  <c r="M566" i="11" a="1"/>
  <c r="M567" i="11" a="1"/>
  <c r="M568" i="11" a="1"/>
  <c r="M569" i="11" a="1"/>
  <c r="M570" i="11" a="1"/>
  <c r="M571" i="11" a="1"/>
  <c r="M572" i="11" a="1"/>
  <c r="M573" i="11" a="1"/>
  <c r="M574" i="11" a="1"/>
  <c r="M576" i="11" a="1"/>
  <c r="M577" i="11" a="1"/>
  <c r="M578" i="11" a="1"/>
  <c r="M579" i="11" a="1"/>
  <c r="M580" i="11" a="1"/>
  <c r="M581" i="11" a="1"/>
  <c r="M582" i="11" a="1"/>
  <c r="M583" i="11" a="1"/>
  <c r="M584" i="11" a="1"/>
  <c r="M585" i="11" a="1"/>
  <c r="M586" i="11" a="1"/>
  <c r="M587" i="11" a="1"/>
  <c r="M588" i="11" a="1"/>
  <c r="M589" i="11" a="1"/>
  <c r="M590" i="11" a="1"/>
  <c r="M591" i="11" a="1"/>
  <c r="M592" i="11" a="1"/>
  <c r="M593" i="11" a="1"/>
  <c r="M594" i="11" a="1"/>
  <c r="M595" i="11" a="1"/>
  <c r="M596" i="11" a="1"/>
  <c r="M597" i="11" a="1"/>
  <c r="M598" i="11" a="1"/>
  <c r="M599" i="11" a="1"/>
  <c r="M600" i="11" a="1"/>
  <c r="M601" i="11" a="1"/>
  <c r="M603" i="11" a="1"/>
  <c r="M604" i="11" a="1"/>
  <c r="M605" i="11" a="1"/>
  <c r="M606" i="11" a="1"/>
  <c r="M607" i="11" a="1"/>
  <c r="M608" i="11" a="1"/>
  <c r="M609" i="11" a="1"/>
  <c r="M610" i="11" a="1"/>
  <c r="M611" i="11" a="1"/>
  <c r="M612" i="11" a="1"/>
  <c r="M613" i="11" a="1"/>
  <c r="M614" i="11" a="1"/>
  <c r="M615" i="11" a="1"/>
  <c r="M616" i="11" a="1"/>
  <c r="M617" i="11" a="1"/>
  <c r="M618" i="11" a="1"/>
  <c r="M619" i="11" a="1"/>
  <c r="M620" i="11" a="1"/>
  <c r="M621" i="11" a="1"/>
  <c r="M622" i="11" a="1"/>
  <c r="M623" i="11" a="1"/>
  <c r="M624" i="11" a="1"/>
  <c r="M625" i="11" a="1"/>
  <c r="M626" i="11" a="1"/>
  <c r="M627" i="11" a="1"/>
  <c r="M628" i="11" a="1"/>
  <c r="M629" i="11" a="1"/>
  <c r="M630" i="11" a="1"/>
  <c r="M631" i="11" a="1"/>
  <c r="M632" i="11" a="1"/>
  <c r="M633" i="11" a="1"/>
  <c r="M634" i="11" a="1"/>
  <c r="M636" i="11" a="1"/>
  <c r="M637" i="11" a="1"/>
  <c r="M638" i="11" a="1"/>
  <c r="M639" i="11" a="1"/>
  <c r="M640" i="11" a="1"/>
  <c r="M641" i="11" a="1"/>
  <c r="M642" i="11" a="1"/>
  <c r="M643" i="11" a="1"/>
  <c r="M644" i="11" a="1"/>
  <c r="M645" i="11" a="1"/>
  <c r="M646" i="11" a="1"/>
  <c r="M647" i="11" a="1"/>
  <c r="M648" i="11" a="1"/>
  <c r="M649" i="11" a="1"/>
  <c r="M650" i="11" a="1"/>
  <c r="M651" i="11" a="1"/>
  <c r="M652" i="11" a="1"/>
  <c r="M653" i="11" a="1"/>
  <c r="M655" i="11" a="1"/>
  <c r="M656" i="11" a="1"/>
  <c r="M657" i="11" a="1"/>
  <c r="M658" i="11" a="1"/>
  <c r="M659" i="11" a="1"/>
  <c r="M660" i="11" a="1"/>
  <c r="M661" i="11" a="1"/>
  <c r="M662" i="11" a="1"/>
  <c r="M663" i="11" a="1"/>
  <c r="M664" i="11" a="1"/>
  <c r="M665" i="11" a="1"/>
  <c r="M666" i="11" a="1"/>
  <c r="M667" i="11" a="1"/>
  <c r="M668" i="11" a="1"/>
  <c r="M670" i="11" a="1"/>
  <c r="M671" i="11" a="1"/>
  <c r="M672" i="11" a="1"/>
  <c r="M673" i="11" a="1"/>
  <c r="M674" i="11" a="1"/>
  <c r="M675" i="11" a="1"/>
  <c r="M676" i="11" a="1"/>
  <c r="M677" i="11" a="1"/>
  <c r="M678" i="11" a="1"/>
  <c r="M679" i="11" a="1"/>
  <c r="M680" i="11" a="1"/>
  <c r="M681" i="11" a="1"/>
  <c r="M682" i="11" a="1"/>
  <c r="M683" i="11" a="1"/>
  <c r="M684" i="11" a="1"/>
  <c r="M685" i="11" a="1"/>
  <c r="M686" i="11" a="1"/>
  <c r="M687" i="11" a="1"/>
  <c r="M689" i="11" a="1"/>
  <c r="M690" i="11" a="1"/>
  <c r="M691" i="11" a="1"/>
  <c r="M692" i="11" a="1"/>
  <c r="M693" i="11" a="1"/>
  <c r="M694" i="11" a="1"/>
  <c r="M695" i="11" a="1"/>
  <c r="M696" i="11" a="1"/>
  <c r="M697" i="11" a="1"/>
  <c r="M698" i="11" a="1"/>
  <c r="M699" i="11" a="1"/>
  <c r="M700" i="11" a="1"/>
  <c r="M701" i="11" a="1"/>
  <c r="M702" i="11" a="1"/>
  <c r="M703" i="11" a="1"/>
  <c r="M704" i="11" a="1"/>
  <c r="M705" i="11" a="1"/>
  <c r="M706" i="11" a="1"/>
  <c r="M707" i="11" a="1"/>
  <c r="M708" i="11" a="1"/>
  <c r="M710" i="11" a="1"/>
  <c r="M711" i="11" a="1"/>
  <c r="M712" i="11" a="1"/>
  <c r="M713" i="11" a="1"/>
  <c r="M714" i="11" a="1"/>
  <c r="M715" i="11" a="1"/>
  <c r="M716" i="11" a="1"/>
  <c r="M717" i="11" a="1"/>
  <c r="M718" i="11" a="1"/>
  <c r="M719" i="11" a="1"/>
  <c r="M720" i="11" a="1"/>
  <c r="M721" i="11" a="1"/>
  <c r="M722" i="11" a="1"/>
  <c r="M723" i="11" a="1"/>
  <c r="M724" i="11" a="1"/>
  <c r="M725" i="11" a="1"/>
  <c r="M726" i="11" a="1"/>
  <c r="M727" i="11" a="1"/>
  <c r="M728" i="11" a="1"/>
  <c r="M729" i="11" a="1"/>
  <c r="M730" i="11" a="1"/>
  <c r="M731" i="11" a="1"/>
  <c r="M732" i="11" a="1"/>
  <c r="M733" i="11" a="1"/>
  <c r="M734" i="11" a="1"/>
  <c r="M735" i="11" a="1"/>
  <c r="M736" i="11" a="1"/>
  <c r="M736" i="11" s="1"/>
  <c r="O736" i="11" s="1"/>
  <c r="M737" i="11" a="1"/>
  <c r="M738" i="11" a="1"/>
  <c r="M739" i="11" a="1"/>
  <c r="M740" i="11" a="1"/>
  <c r="M741" i="11" a="1"/>
  <c r="M742" i="11" a="1"/>
  <c r="M743" i="11" a="1"/>
  <c r="M744" i="11" a="1"/>
  <c r="M745" i="11" a="1"/>
  <c r="M746" i="11" a="1"/>
  <c r="M747" i="11" a="1"/>
  <c r="M748" i="11" a="1"/>
  <c r="M749" i="11" a="1"/>
  <c r="M750" i="11" a="1"/>
  <c r="M751" i="11" a="1"/>
  <c r="M752" i="11" a="1"/>
  <c r="M754" i="11" a="1"/>
  <c r="M755" i="11" a="1"/>
  <c r="M756" i="11" a="1"/>
  <c r="M757" i="11" a="1"/>
  <c r="M758" i="11" a="1"/>
  <c r="M759" i="11" a="1"/>
  <c r="M760" i="11" a="1"/>
  <c r="M761" i="11" a="1"/>
  <c r="M762" i="11" a="1"/>
  <c r="M763" i="11" a="1"/>
  <c r="M764" i="11" a="1"/>
  <c r="M765" i="11" a="1"/>
  <c r="M766" i="11" a="1"/>
  <c r="M767" i="11" a="1"/>
  <c r="M768" i="11" a="1"/>
  <c r="M769" i="11" a="1"/>
  <c r="M770" i="11" a="1"/>
  <c r="M771" i="11" a="1"/>
  <c r="M772" i="11" a="1"/>
  <c r="M773" i="11" a="1"/>
  <c r="M774" i="11" a="1"/>
  <c r="M775" i="11" a="1"/>
  <c r="M776" i="11" a="1"/>
  <c r="M777" i="11" a="1"/>
  <c r="M778" i="11" a="1"/>
  <c r="M780" i="11" a="1"/>
  <c r="M781" i="11" a="1"/>
  <c r="M782" i="11" a="1"/>
  <c r="M783" i="11" a="1"/>
  <c r="M784" i="11" a="1"/>
  <c r="M785" i="11" a="1"/>
  <c r="M786" i="11" a="1"/>
  <c r="M787" i="11" a="1"/>
  <c r="M787" i="11" s="1"/>
  <c r="O787" i="11" s="1"/>
  <c r="M788" i="11" a="1"/>
  <c r="M789" i="11" a="1"/>
  <c r="M790" i="11" a="1"/>
  <c r="M791" i="11" a="1"/>
  <c r="M791" i="11" s="1"/>
  <c r="O791" i="11" s="1"/>
  <c r="M792" i="11" a="1"/>
  <c r="M793" i="11" a="1"/>
  <c r="M794" i="11" a="1"/>
  <c r="M795" i="11" a="1"/>
  <c r="M796" i="11" a="1"/>
  <c r="M797" i="11" a="1"/>
  <c r="M798" i="11" a="1"/>
  <c r="M799" i="11" a="1"/>
  <c r="M800" i="11" a="1"/>
  <c r="M801" i="11" a="1"/>
  <c r="M802" i="11" a="1"/>
  <c r="M803" i="11" a="1"/>
  <c r="M804" i="11" a="1"/>
  <c r="M805" i="11" a="1"/>
  <c r="M806" i="11" a="1"/>
  <c r="M807" i="11" a="1"/>
  <c r="M808" i="11" a="1"/>
  <c r="M809" i="11" a="1"/>
  <c r="M810" i="11" a="1"/>
  <c r="M811" i="11" a="1"/>
  <c r="M812" i="11" a="1"/>
  <c r="M813" i="11" a="1"/>
  <c r="M814" i="11" a="1"/>
  <c r="M815" i="11" a="1"/>
  <c r="M816" i="11" a="1"/>
  <c r="M817" i="11" a="1"/>
  <c r="M818" i="11" a="1"/>
  <c r="M819" i="11" a="1"/>
  <c r="M820" i="11" a="1"/>
  <c r="M821" i="11" a="1"/>
  <c r="M822" i="11" a="1"/>
  <c r="M823" i="11" a="1"/>
  <c r="M824" i="11" a="1"/>
  <c r="M825" i="11" a="1"/>
  <c r="M826" i="11" a="1"/>
  <c r="M827" i="11" a="1"/>
  <c r="M828" i="11" a="1"/>
  <c r="M829" i="11" a="1"/>
  <c r="M830" i="11" a="1"/>
  <c r="M831" i="11" a="1"/>
  <c r="M832" i="11" a="1"/>
  <c r="M833" i="11" a="1"/>
  <c r="M834" i="11" a="1"/>
  <c r="M835" i="11" a="1"/>
  <c r="M836" i="11" a="1"/>
  <c r="M838" i="11" a="1"/>
  <c r="M839" i="11" a="1"/>
  <c r="M840" i="11" a="1"/>
  <c r="M841" i="11" a="1"/>
  <c r="M842" i="11" a="1"/>
  <c r="M843" i="11" a="1"/>
  <c r="M844" i="11" a="1"/>
  <c r="M845" i="11" a="1"/>
  <c r="M846" i="11" a="1"/>
  <c r="M847" i="11" a="1"/>
  <c r="M848" i="11" a="1"/>
  <c r="M849" i="11" a="1"/>
  <c r="M850" i="11" a="1"/>
  <c r="M851" i="11" a="1"/>
  <c r="M852" i="11" a="1"/>
  <c r="M853" i="11" a="1"/>
  <c r="M854" i="11" a="1"/>
  <c r="M855" i="11" a="1"/>
  <c r="M856" i="11" a="1"/>
  <c r="M857" i="11" a="1"/>
  <c r="M858" i="11" a="1"/>
  <c r="M859" i="11" a="1"/>
  <c r="M860" i="11" a="1"/>
  <c r="M861" i="11" a="1"/>
  <c r="M862" i="11" a="1"/>
  <c r="M863" i="11" a="1"/>
  <c r="M864" i="11" a="1"/>
  <c r="M865" i="11" a="1"/>
  <c r="M866" i="11" a="1"/>
  <c r="M866" i="11" s="1"/>
  <c r="O866" i="11" s="1"/>
  <c r="M867" i="11" a="1"/>
  <c r="M869" i="11" a="1"/>
  <c r="M870" i="11" a="1"/>
  <c r="M871" i="11" a="1"/>
  <c r="M872" i="11" a="1"/>
  <c r="M873" i="11" a="1"/>
  <c r="M874" i="11" a="1"/>
  <c r="M875" i="11" a="1"/>
  <c r="M876" i="11" a="1"/>
  <c r="M877" i="11" a="1"/>
  <c r="M878" i="11" a="1"/>
  <c r="M879" i="11" a="1"/>
  <c r="M880" i="11" a="1"/>
  <c r="M881" i="11" a="1"/>
  <c r="M882" i="11" a="1"/>
  <c r="M883" i="11" a="1"/>
  <c r="M884" i="11" a="1"/>
  <c r="M885" i="11" a="1"/>
  <c r="M886" i="11" a="1"/>
  <c r="M886" i="11" s="1"/>
  <c r="O886" i="11" s="1"/>
  <c r="M887" i="11" a="1"/>
  <c r="M888" i="11" a="1"/>
  <c r="M889" i="11" a="1"/>
  <c r="M890" i="11" a="1"/>
  <c r="M891" i="11" a="1"/>
  <c r="M892" i="11" a="1"/>
  <c r="M893" i="11" a="1"/>
  <c r="M894" i="11" a="1"/>
  <c r="M895" i="11" a="1"/>
  <c r="M896" i="11" a="1"/>
  <c r="M897" i="11" a="1"/>
  <c r="M898" i="11" a="1"/>
  <c r="M899" i="11" a="1"/>
  <c r="M900" i="11" a="1"/>
  <c r="M901" i="11" a="1"/>
  <c r="M902" i="11" a="1"/>
  <c r="M903" i="11" a="1"/>
  <c r="M904" i="11" a="1"/>
  <c r="M905" i="11" a="1"/>
  <c r="M906" i="11" a="1"/>
  <c r="M907" i="11" a="1"/>
  <c r="M907" i="11" s="1"/>
  <c r="O907" i="11" s="1"/>
  <c r="M908" i="11" a="1"/>
  <c r="M909" i="11" a="1"/>
  <c r="M910" i="11" a="1"/>
  <c r="M911" i="11" a="1"/>
  <c r="M912" i="11" a="1"/>
  <c r="M913" i="11" a="1"/>
  <c r="M914" i="11" a="1"/>
  <c r="M915" i="11" a="1"/>
  <c r="M916" i="11" a="1"/>
  <c r="M917" i="11" a="1"/>
  <c r="M918" i="11" a="1"/>
  <c r="M919" i="11" a="1"/>
  <c r="M920" i="11" a="1"/>
  <c r="M921" i="11" a="1"/>
  <c r="M922" i="11" a="1"/>
  <c r="M923" i="11" a="1"/>
  <c r="M924" i="11" a="1"/>
  <c r="M925" i="11" a="1"/>
  <c r="M926" i="11" a="1"/>
  <c r="M927" i="11" a="1"/>
  <c r="M928" i="11" a="1"/>
  <c r="M929" i="11" a="1"/>
  <c r="M930" i="11" a="1"/>
  <c r="M931" i="11" a="1"/>
  <c r="M932" i="11" a="1"/>
  <c r="M933" i="11" a="1"/>
  <c r="M934" i="11" a="1"/>
  <c r="M935" i="11" a="1"/>
  <c r="M936" i="11" a="1"/>
  <c r="M937" i="11" a="1"/>
  <c r="M938" i="11" a="1"/>
  <c r="M938" i="11" s="1"/>
  <c r="O938" i="11" s="1"/>
  <c r="M939" i="11" a="1"/>
  <c r="M940" i="11" a="1"/>
  <c r="M941" i="11" a="1"/>
  <c r="M942" i="11" a="1"/>
  <c r="M943" i="11" a="1"/>
  <c r="M944" i="11" a="1"/>
  <c r="M945" i="11" a="1"/>
  <c r="M946" i="11" a="1"/>
  <c r="M947" i="11" a="1"/>
  <c r="M948" i="11" a="1"/>
  <c r="M949" i="11" a="1"/>
  <c r="M950" i="11" a="1"/>
  <c r="M951" i="11" a="1"/>
  <c r="M952" i="11" a="1"/>
  <c r="M953" i="11" a="1"/>
  <c r="M954" i="11" a="1"/>
  <c r="M955" i="11" a="1"/>
  <c r="M956" i="11" a="1"/>
  <c r="M957" i="11" a="1"/>
  <c r="M958" i="11" a="1"/>
  <c r="M959" i="11" a="1"/>
  <c r="M960" i="11" a="1"/>
  <c r="M961" i="11" a="1"/>
  <c r="M962" i="11" a="1"/>
  <c r="M962" i="11" s="1"/>
  <c r="O962" i="11" s="1"/>
  <c r="M963" i="11" a="1"/>
  <c r="M964" i="11" a="1"/>
  <c r="M965" i="11" a="1"/>
  <c r="M966" i="11" a="1"/>
  <c r="M967" i="11" a="1"/>
  <c r="M968" i="11" a="1"/>
  <c r="M969" i="11" a="1"/>
  <c r="M970" i="11" a="1"/>
  <c r="M971" i="11" a="1"/>
  <c r="M971" i="11" s="1"/>
  <c r="O971" i="11" s="1"/>
  <c r="M972" i="11" a="1"/>
  <c r="M973" i="11" a="1"/>
  <c r="M974" i="11" a="1"/>
  <c r="M975" i="11" a="1"/>
  <c r="M976" i="11" a="1"/>
  <c r="M977" i="11" a="1"/>
  <c r="M978" i="11" a="1"/>
  <c r="M979" i="11" a="1"/>
  <c r="M980" i="11" a="1"/>
  <c r="M981" i="11" a="1"/>
  <c r="M982" i="11" a="1"/>
  <c r="M983" i="11" a="1"/>
  <c r="M984" i="11" a="1"/>
  <c r="M985" i="11" a="1"/>
  <c r="M986" i="11" a="1"/>
  <c r="M987" i="11" a="1"/>
  <c r="M988" i="11" a="1"/>
  <c r="M989" i="11" a="1"/>
  <c r="M990" i="11" a="1"/>
  <c r="M991" i="11" a="1"/>
  <c r="M992" i="11" a="1"/>
  <c r="M993" i="11" a="1"/>
  <c r="M994" i="11" a="1"/>
  <c r="M995" i="11" a="1"/>
  <c r="M996" i="11" a="1"/>
  <c r="M997" i="11" a="1"/>
  <c r="M998" i="11" a="1"/>
  <c r="M999" i="11" a="1"/>
  <c r="M1000" i="11" a="1"/>
  <c r="M1001" i="11" a="1"/>
  <c r="M1002" i="11" a="1"/>
  <c r="M1002" i="11" s="1"/>
  <c r="O1002" i="11" s="1"/>
  <c r="M1003" i="11" a="1"/>
  <c r="M1004" i="11" a="1"/>
  <c r="M1005" i="11" a="1"/>
  <c r="M1006" i="11" a="1"/>
  <c r="M1007" i="11" a="1"/>
  <c r="M1008" i="11" a="1"/>
  <c r="M1009" i="11" a="1"/>
  <c r="M1010" i="11" a="1"/>
  <c r="M1011" i="11" a="1"/>
  <c r="M1012" i="11" a="1"/>
  <c r="M1013" i="11" a="1"/>
  <c r="M1014" i="11" a="1"/>
  <c r="M1015" i="11" a="1"/>
  <c r="M1016" i="11" a="1"/>
  <c r="M1017" i="11" a="1"/>
  <c r="M1018" i="11" a="1"/>
  <c r="M1019" i="11" a="1"/>
  <c r="M1020" i="11" a="1"/>
  <c r="M1021" i="11" a="1"/>
  <c r="M1022" i="11" a="1"/>
  <c r="M1023" i="11" a="1"/>
  <c r="M1023" i="11" s="1"/>
  <c r="O1023" i="11" s="1"/>
  <c r="M1024" i="11" a="1"/>
  <c r="M1025" i="11" a="1"/>
  <c r="M1026" i="11" a="1"/>
  <c r="M1026" i="11" s="1"/>
  <c r="O1026" i="11" s="1"/>
  <c r="M1027" i="11" a="1"/>
  <c r="M1028" i="11" a="1"/>
  <c r="M1029" i="11" a="1"/>
  <c r="M1030" i="11" a="1"/>
  <c r="M1031" i="11" a="1"/>
  <c r="M1032" i="11" a="1"/>
  <c r="M1033" i="11" a="1"/>
  <c r="M1034" i="11" a="1"/>
  <c r="M1035" i="11" a="1"/>
  <c r="M1036" i="11" a="1"/>
  <c r="M1037" i="11" a="1"/>
  <c r="M1038" i="11" a="1"/>
  <c r="M1039" i="11" a="1"/>
  <c r="M1040" i="11" a="1"/>
  <c r="M1041" i="11" a="1"/>
  <c r="M1042" i="11" a="1"/>
  <c r="M1043" i="11" a="1"/>
  <c r="M1044" i="11" a="1"/>
  <c r="M1045" i="11" a="1"/>
  <c r="M1046" i="11" a="1"/>
  <c r="M1047" i="11" a="1"/>
  <c r="M1048" i="11" a="1"/>
  <c r="M1048" i="11" s="1"/>
  <c r="O1048" i="11" s="1"/>
  <c r="M1049" i="11" a="1"/>
  <c r="M1050" i="11" a="1"/>
  <c r="M1051" i="11" a="1"/>
  <c r="M1052" i="11" a="1"/>
  <c r="M1053" i="11" a="1"/>
  <c r="M1054" i="11" a="1"/>
  <c r="M1055" i="11" a="1"/>
  <c r="M1056" i="11" a="1"/>
  <c r="M1056" i="11" s="1"/>
  <c r="O1056" i="11" s="1"/>
  <c r="M1057" i="11" a="1"/>
  <c r="M1058" i="11" a="1"/>
  <c r="M1059" i="11" a="1"/>
  <c r="M1060" i="11" a="1"/>
  <c r="M1061" i="11" a="1"/>
  <c r="M1062" i="11" a="1"/>
  <c r="M1063" i="11" a="1"/>
  <c r="M1064" i="11" a="1"/>
  <c r="M1065" i="11" a="1"/>
  <c r="M1066" i="11" a="1"/>
  <c r="M1067" i="11" a="1"/>
  <c r="M1068" i="11" a="1"/>
  <c r="M1069" i="11" a="1"/>
  <c r="M1070" i="11" a="1"/>
  <c r="M1071" i="11" a="1"/>
  <c r="M1072" i="11" a="1"/>
  <c r="M1073" i="11" a="1"/>
  <c r="M1074" i="11" a="1"/>
  <c r="M1075" i="11" a="1"/>
  <c r="M1076" i="11" a="1"/>
  <c r="M1077" i="11" a="1"/>
  <c r="M1078" i="11" a="1"/>
  <c r="M1079" i="11" a="1"/>
  <c r="M1080" i="11" a="1"/>
  <c r="M1080" i="11" s="1"/>
  <c r="O1080" i="11" s="1"/>
  <c r="M1081" i="11" a="1"/>
  <c r="M1082" i="11" a="1"/>
  <c r="M1083" i="11" a="1"/>
  <c r="M1084" i="11" a="1"/>
  <c r="M1085" i="11" a="1"/>
  <c r="M1086" i="11" a="1"/>
  <c r="M1087" i="11" a="1"/>
  <c r="M1088" i="11" a="1"/>
  <c r="M1088" i="11" s="1"/>
  <c r="O1088" i="11" s="1"/>
  <c r="M1089" i="11" a="1"/>
  <c r="M1090" i="11" a="1"/>
  <c r="M1091" i="11" a="1"/>
  <c r="M1092" i="11" a="1"/>
  <c r="M1093" i="11" a="1"/>
  <c r="M1094" i="11" a="1"/>
  <c r="M1095" i="11" a="1"/>
  <c r="M1096" i="11" a="1"/>
  <c r="M1097" i="11" a="1"/>
  <c r="M1098" i="11" a="1"/>
  <c r="M1099" i="11" a="1"/>
  <c r="M1100" i="11" a="1"/>
  <c r="M1101" i="11" a="1"/>
  <c r="M1102" i="11" a="1"/>
  <c r="M1103" i="11" a="1"/>
  <c r="M1104" i="11" a="1"/>
  <c r="M1105" i="11" a="1"/>
  <c r="M1106" i="11" a="1"/>
  <c r="M1107" i="11" a="1"/>
  <c r="M1108" i="11" a="1"/>
  <c r="M1109" i="11" a="1"/>
  <c r="M1110" i="11" a="1"/>
  <c r="M1111" i="11" a="1"/>
  <c r="M1112" i="11" a="1"/>
  <c r="M1112" i="11" s="1"/>
  <c r="O1112" i="11" s="1"/>
  <c r="M1113" i="11" a="1"/>
  <c r="M1114" i="11" a="1"/>
  <c r="M1115" i="11" a="1"/>
  <c r="M1116" i="11" a="1"/>
  <c r="M1117" i="11" a="1"/>
  <c r="M1118" i="11" a="1"/>
  <c r="M1119" i="11" a="1"/>
  <c r="M1120" i="11" a="1"/>
  <c r="M1120" i="11" s="1"/>
  <c r="O1120" i="11" s="1"/>
  <c r="M1121" i="11" a="1"/>
  <c r="M1122" i="11" a="1"/>
  <c r="M1123" i="11" a="1"/>
  <c r="M1124" i="11" a="1"/>
  <c r="M1125" i="11" a="1"/>
  <c r="M1126" i="11" a="1"/>
  <c r="M1127" i="11" a="1"/>
  <c r="M1128" i="11" a="1"/>
  <c r="M1129" i="11" a="1"/>
  <c r="M1130" i="11" a="1"/>
  <c r="M1131" i="11" a="1"/>
  <c r="M1132" i="11" a="1"/>
  <c r="M1133" i="11" a="1"/>
  <c r="M1134" i="11" a="1"/>
  <c r="M1135" i="11" a="1"/>
  <c r="M1136" i="11" a="1"/>
  <c r="M1137" i="11" a="1"/>
  <c r="M1138" i="11" a="1"/>
  <c r="M1139" i="11" a="1"/>
  <c r="M1140" i="11" a="1"/>
  <c r="M1141" i="11" a="1"/>
  <c r="M1142" i="11" a="1"/>
  <c r="M1143" i="11" a="1"/>
  <c r="M1144" i="11" a="1"/>
  <c r="M1144" i="11" s="1"/>
  <c r="O1144" i="11" s="1"/>
  <c r="M1145" i="11" a="1"/>
  <c r="M1146" i="11" a="1"/>
  <c r="M1147" i="11" a="1"/>
  <c r="M1148" i="11" a="1"/>
  <c r="M1151" i="11" a="1"/>
  <c r="M1152" i="11" a="1"/>
  <c r="M1153" i="11" a="1"/>
  <c r="M1154" i="11" a="1"/>
  <c r="M1155" i="11" a="1"/>
  <c r="M1156" i="11" a="1"/>
  <c r="M1157" i="11" a="1"/>
  <c r="M1158" i="11" a="1"/>
  <c r="M1159" i="11" a="1"/>
  <c r="M1160" i="11" a="1"/>
  <c r="M1161" i="11" a="1"/>
  <c r="M1162" i="11" a="1"/>
  <c r="M1163" i="11" a="1"/>
  <c r="M1164" i="11" a="1"/>
  <c r="M1165" i="11" a="1"/>
  <c r="M1166" i="11" a="1"/>
  <c r="M1167" i="11" a="1"/>
  <c r="M1168" i="11" a="1"/>
  <c r="M1169" i="11" a="1"/>
  <c r="M1170" i="11" a="1"/>
  <c r="M1171" i="11" a="1"/>
  <c r="M1172" i="11" a="1"/>
  <c r="M1172" i="11" s="1"/>
  <c r="O1172" i="11" s="1"/>
  <c r="M1173" i="11" a="1"/>
  <c r="M1174" i="11" a="1"/>
  <c r="M1175" i="11" a="1"/>
  <c r="M1176" i="11" a="1"/>
  <c r="M1177" i="11" a="1"/>
  <c r="M1178" i="11" a="1"/>
  <c r="M1179" i="11" a="1"/>
  <c r="M1180" i="11" a="1"/>
  <c r="M1180" i="11" s="1"/>
  <c r="O1180" i="11" s="1"/>
  <c r="M1181" i="11" a="1"/>
  <c r="M1182" i="11" a="1"/>
  <c r="M1183" i="11" a="1"/>
  <c r="M1184" i="11" a="1"/>
  <c r="M1185" i="11" a="1"/>
  <c r="M1186" i="11" a="1"/>
  <c r="M1187" i="11" a="1"/>
  <c r="M1188" i="11" a="1"/>
  <c r="M1189" i="11" a="1"/>
  <c r="M1190" i="11" a="1"/>
  <c r="M1191" i="11" a="1"/>
  <c r="M1192" i="11" a="1"/>
  <c r="M1193" i="11" a="1"/>
  <c r="M1194" i="11" a="1"/>
  <c r="M1195" i="11" a="1"/>
  <c r="M1196" i="11" a="1"/>
  <c r="M1197" i="11" a="1"/>
  <c r="M1198" i="11" a="1"/>
  <c r="M1199" i="11" a="1"/>
  <c r="M1200" i="11" a="1"/>
  <c r="M1201" i="11" a="1"/>
  <c r="M1202" i="11" a="1"/>
  <c r="M1203" i="11" a="1"/>
  <c r="M1204" i="11" a="1"/>
  <c r="M1204" i="11" s="1"/>
  <c r="O1204" i="11" s="1"/>
  <c r="M1205" i="11" a="1"/>
  <c r="M1206" i="11" a="1"/>
  <c r="M1207" i="11" a="1"/>
  <c r="M1208" i="11" a="1"/>
  <c r="M1209" i="11" a="1"/>
  <c r="M1210" i="11" a="1"/>
  <c r="M1211" i="11" a="1"/>
  <c r="M1212" i="11" a="1"/>
  <c r="M1212" i="11" s="1"/>
  <c r="O1212" i="11" s="1"/>
  <c r="M1213" i="11" a="1"/>
  <c r="M1214" i="11" a="1"/>
  <c r="M1215" i="11" a="1"/>
  <c r="M1216" i="11" a="1"/>
  <c r="M1217" i="11" a="1"/>
  <c r="M1218" i="11" a="1"/>
  <c r="M1219" i="11" a="1"/>
  <c r="M1220" i="11" a="1"/>
  <c r="M1221" i="11" a="1"/>
  <c r="M1222" i="11" a="1"/>
  <c r="M1223" i="11" a="1"/>
  <c r="M1224" i="11" a="1"/>
  <c r="M1225" i="11" a="1"/>
  <c r="M1226" i="11" a="1"/>
  <c r="M1227" i="11" a="1"/>
  <c r="M1228" i="11" a="1"/>
  <c r="M1229" i="11" a="1"/>
  <c r="M1230" i="11" a="1"/>
  <c r="M1231" i="11" a="1"/>
  <c r="M1232" i="11" a="1"/>
  <c r="M1233" i="11" a="1"/>
  <c r="M1234" i="11" a="1"/>
  <c r="M1235" i="11" a="1"/>
  <c r="M1236" i="11" a="1"/>
  <c r="M1236" i="11" s="1"/>
  <c r="O1236" i="11" s="1"/>
  <c r="M1237" i="11" a="1"/>
  <c r="M1238" i="11" a="1"/>
  <c r="M1239" i="11" a="1"/>
  <c r="M1240" i="11" a="1"/>
  <c r="M1241" i="11" a="1"/>
  <c r="M1242" i="11" a="1"/>
  <c r="M1243" i="11" a="1"/>
  <c r="M1244" i="11" a="1"/>
  <c r="M1244" i="11" s="1"/>
  <c r="O1244" i="11" s="1"/>
  <c r="M1245" i="11" a="1"/>
  <c r="M1246" i="11" a="1"/>
  <c r="M1247" i="11" a="1"/>
  <c r="M1248" i="11" a="1"/>
  <c r="M1249" i="11" a="1"/>
  <c r="M1250" i="11" a="1"/>
  <c r="M1251" i="11" a="1"/>
  <c r="M1252" i="11" a="1"/>
  <c r="M1253" i="11" a="1"/>
  <c r="M1254" i="11" a="1"/>
  <c r="M1255" i="11" a="1"/>
  <c r="M1256" i="11" a="1"/>
  <c r="M1257" i="11" a="1"/>
  <c r="M1258" i="11" a="1"/>
  <c r="M1259" i="11" a="1"/>
  <c r="M1260" i="11" a="1"/>
  <c r="M1261" i="11" a="1"/>
  <c r="M1262" i="11" a="1"/>
  <c r="M1263" i="11" a="1"/>
  <c r="M1264" i="11" a="1"/>
  <c r="M1265" i="11" a="1"/>
  <c r="M1266" i="11" a="1"/>
  <c r="M1267" i="11" a="1"/>
  <c r="M1268" i="11" a="1"/>
  <c r="M1268" i="11" s="1"/>
  <c r="O1268" i="11" s="1"/>
  <c r="M1269" i="11" a="1"/>
  <c r="M1270" i="11" a="1"/>
  <c r="M1271" i="11" a="1"/>
  <c r="M1272" i="11" a="1"/>
  <c r="M1273" i="11" a="1"/>
  <c r="M1274" i="11" a="1"/>
  <c r="M1275" i="11" a="1"/>
  <c r="M1276" i="11" a="1"/>
  <c r="M1276" i="11" s="1"/>
  <c r="O1276" i="11" s="1"/>
  <c r="M1277" i="11" a="1"/>
  <c r="M1278" i="11" a="1"/>
  <c r="M1279" i="11" a="1"/>
  <c r="M1280" i="11" a="1"/>
  <c r="M1281" i="11" a="1"/>
  <c r="M1282" i="11" a="1"/>
  <c r="M1283" i="11" a="1"/>
  <c r="M1284" i="11" a="1"/>
  <c r="M1285" i="11" a="1"/>
  <c r="M1286" i="11" a="1"/>
  <c r="M1287" i="11" a="1"/>
  <c r="M1288" i="11" a="1"/>
  <c r="M1289" i="11" a="1"/>
  <c r="M1290" i="11" a="1"/>
  <c r="M1291" i="11" a="1"/>
  <c r="M1292" i="11" a="1"/>
  <c r="M1293" i="11" a="1"/>
  <c r="M1294" i="11" a="1"/>
  <c r="M1295" i="11" a="1"/>
  <c r="M1296" i="11" a="1"/>
  <c r="M1297" i="11" a="1"/>
  <c r="M1298" i="11" a="1"/>
  <c r="M1299" i="11" a="1"/>
  <c r="M1300" i="11" a="1"/>
  <c r="M1300" i="11" s="1"/>
  <c r="O1300" i="11" s="1"/>
  <c r="M1301" i="11" a="1"/>
  <c r="M1302" i="11" a="1"/>
  <c r="M1303" i="11" a="1"/>
  <c r="M1304" i="11" a="1"/>
  <c r="M1305" i="11" a="1"/>
  <c r="M1306" i="11" a="1"/>
  <c r="M1307" i="11" a="1"/>
  <c r="M1308" i="11" a="1"/>
  <c r="M1308" i="11" s="1"/>
  <c r="O1308" i="11" s="1"/>
  <c r="M1309" i="11" a="1"/>
  <c r="M1310" i="11" a="1"/>
  <c r="M1311" i="11" a="1"/>
  <c r="M1312" i="11" a="1"/>
  <c r="M1313" i="11" a="1"/>
  <c r="M1314" i="11" a="1"/>
  <c r="M1315" i="11" a="1"/>
  <c r="M1316" i="11" a="1"/>
  <c r="M1317" i="11" a="1"/>
  <c r="M1318" i="11" a="1"/>
  <c r="M1319" i="11" a="1"/>
  <c r="M1320" i="11" a="1"/>
  <c r="M1321" i="11" a="1"/>
  <c r="M1322" i="11" a="1"/>
  <c r="M1323" i="11" a="1"/>
  <c r="M1324" i="11" a="1"/>
  <c r="M1325" i="11" a="1"/>
  <c r="M1326" i="11" a="1"/>
  <c r="M1327" i="11" a="1"/>
  <c r="M1328" i="11" a="1"/>
  <c r="M1329" i="11" a="1"/>
  <c r="M1330" i="11" a="1"/>
  <c r="M1331" i="11" a="1"/>
  <c r="M1333" i="11" a="1"/>
  <c r="M1334" i="11" a="1"/>
  <c r="M1335" i="11" a="1"/>
  <c r="M1336" i="11" a="1"/>
  <c r="M1337" i="11" a="1"/>
  <c r="M1338" i="11" a="1"/>
  <c r="M1339" i="11" a="1"/>
  <c r="M1340" i="11" a="1"/>
  <c r="M1340" i="11" s="1"/>
  <c r="O1340" i="11" s="1"/>
  <c r="M1341" i="11" a="1"/>
  <c r="M1342" i="11" a="1"/>
  <c r="M1343" i="11" a="1"/>
  <c r="M1344" i="11" a="1"/>
  <c r="M1345" i="11" a="1"/>
  <c r="M1346" i="11" a="1"/>
  <c r="M1347" i="11" a="1"/>
  <c r="M1348" i="11" a="1"/>
  <c r="M1349" i="11" a="1"/>
  <c r="M1350" i="11" a="1"/>
  <c r="M1351" i="11" a="1"/>
  <c r="M1352" i="11" a="1"/>
  <c r="M1353" i="11" a="1"/>
  <c r="M1354" i="11" a="1"/>
  <c r="M1355" i="11" a="1"/>
  <c r="M1356" i="11" a="1"/>
  <c r="M1357" i="11" a="1"/>
  <c r="M1358" i="11" a="1"/>
  <c r="M1359" i="11" a="1"/>
  <c r="M1360" i="11" a="1"/>
  <c r="M1361" i="11" a="1"/>
  <c r="M1362" i="11" a="1"/>
  <c r="M1363" i="11" a="1"/>
  <c r="M1364" i="11" a="1"/>
  <c r="M1364" i="11" s="1"/>
  <c r="O1364" i="11" s="1"/>
  <c r="M1365" i="11" a="1"/>
  <c r="M1366" i="11" a="1"/>
  <c r="M1367" i="11" a="1"/>
  <c r="M1368" i="11" a="1"/>
  <c r="M1369" i="11" a="1"/>
  <c r="M1370" i="11" a="1"/>
  <c r="M1371" i="11" a="1"/>
  <c r="M1372" i="11" a="1"/>
  <c r="M1372" i="11" s="1"/>
  <c r="O1372" i="11" s="1"/>
  <c r="M1373" i="11" a="1"/>
  <c r="M1374" i="11" a="1"/>
  <c r="M1375" i="11" a="1"/>
  <c r="M1376" i="11" a="1"/>
  <c r="M1377" i="11" a="1"/>
  <c r="M1378" i="11" a="1"/>
  <c r="M1379" i="11" a="1"/>
  <c r="M1380" i="11" a="1"/>
  <c r="M1381" i="11" a="1"/>
  <c r="M1382" i="11" a="1"/>
  <c r="M1383" i="11" a="1"/>
  <c r="M1384" i="11" a="1"/>
  <c r="M1385" i="11" a="1"/>
  <c r="M1386" i="11" a="1"/>
  <c r="M1387" i="11" a="1"/>
  <c r="M1388" i="11" a="1"/>
  <c r="M1389" i="11" a="1"/>
  <c r="M1390" i="11" a="1"/>
  <c r="M1391" i="11" a="1"/>
  <c r="M1392" i="11" a="1"/>
  <c r="M1393" i="11" a="1"/>
  <c r="M1394" i="11" a="1"/>
  <c r="M1395" i="11" a="1"/>
  <c r="M1396" i="11" a="1"/>
  <c r="M1396" i="11" s="1"/>
  <c r="O1396" i="11" s="1"/>
  <c r="M1397" i="11" a="1"/>
  <c r="M1398" i="11" a="1"/>
  <c r="M1399" i="11" a="1"/>
  <c r="M1400" i="11" a="1"/>
  <c r="M1401" i="11" a="1"/>
  <c r="M1402" i="11" a="1"/>
  <c r="M1403" i="11" a="1"/>
  <c r="M1404" i="11" a="1"/>
  <c r="M1404" i="11" s="1"/>
  <c r="O1404" i="11" s="1"/>
  <c r="M1405" i="11" a="1"/>
  <c r="M1406" i="11" a="1"/>
  <c r="M1407" i="11" a="1"/>
  <c r="M1408" i="11" a="1"/>
  <c r="M1409" i="11" a="1"/>
  <c r="M1410" i="11" a="1"/>
  <c r="M1411" i="11" a="1"/>
  <c r="M1412" i="11" a="1"/>
  <c r="M1413" i="11" a="1"/>
  <c r="M1414" i="11" a="1"/>
  <c r="M1415" i="11" a="1"/>
  <c r="M1416" i="11" a="1"/>
  <c r="M1417" i="11" a="1"/>
  <c r="M1418" i="11" a="1"/>
  <c r="M1419" i="11" a="1"/>
  <c r="M1420" i="11" a="1"/>
  <c r="M1421" i="11" a="1"/>
  <c r="M1422" i="11" a="1"/>
  <c r="M1423" i="11" a="1"/>
  <c r="M1424" i="11" a="1"/>
  <c r="M1425" i="11" a="1"/>
  <c r="M1426" i="11" a="1"/>
  <c r="M1427" i="11" a="1"/>
  <c r="M1428" i="11" a="1"/>
  <c r="M1428" i="11" s="1"/>
  <c r="O1428" i="11" s="1"/>
  <c r="M1429" i="11" a="1"/>
  <c r="M1430" i="11" a="1"/>
  <c r="M1431" i="11" a="1"/>
  <c r="M1432" i="11" a="1"/>
  <c r="M1433" i="11" a="1"/>
  <c r="M1434" i="11" a="1"/>
  <c r="M1435" i="11" a="1"/>
  <c r="M1436" i="11" a="1"/>
  <c r="M1436" i="11" s="1"/>
  <c r="O1436" i="11" s="1"/>
  <c r="M1437" i="11" a="1"/>
  <c r="M1438" i="11" a="1"/>
  <c r="M1439" i="11" a="1"/>
  <c r="M1440" i="11" a="1"/>
  <c r="M1441" i="11" a="1"/>
  <c r="M1442" i="11" a="1"/>
  <c r="M1443" i="11" a="1"/>
  <c r="M1444" i="11" a="1"/>
  <c r="M1445" i="11" a="1"/>
  <c r="M1446" i="11" a="1"/>
  <c r="M1447" i="11" a="1"/>
  <c r="M1448" i="11" a="1"/>
  <c r="M1449" i="11" a="1"/>
  <c r="M1450" i="11" a="1"/>
  <c r="M1451" i="11" a="1"/>
  <c r="M1452" i="11" a="1"/>
  <c r="M1453" i="11" a="1"/>
  <c r="M1454" i="11" a="1"/>
  <c r="M1455" i="11" a="1"/>
  <c r="M1456" i="11" a="1"/>
  <c r="M1457" i="11" a="1"/>
  <c r="M1458" i="11" a="1"/>
  <c r="M1459" i="11" a="1"/>
  <c r="M1460" i="11" a="1"/>
  <c r="M1460" i="11" s="1"/>
  <c r="O1460" i="11" s="1"/>
  <c r="M1461" i="11" a="1"/>
  <c r="M1462" i="11" a="1"/>
  <c r="M1463" i="11" a="1"/>
  <c r="M1464" i="11" a="1"/>
  <c r="M1465" i="11" a="1"/>
  <c r="M1466" i="11" a="1"/>
  <c r="M1467" i="11" a="1"/>
  <c r="M1468" i="11" a="1"/>
  <c r="M1468" i="11" s="1"/>
  <c r="O1468" i="11" s="1"/>
  <c r="M1469" i="11" a="1"/>
  <c r="M1470" i="11" a="1"/>
  <c r="M1471" i="11" a="1"/>
  <c r="M1472" i="11" a="1"/>
  <c r="M1473" i="11" a="1"/>
  <c r="M1474" i="11" a="1"/>
  <c r="M1475" i="11" a="1"/>
  <c r="M1476" i="11" a="1"/>
  <c r="M1477" i="11" a="1"/>
  <c r="M1478" i="11" a="1"/>
  <c r="M1479" i="11" a="1"/>
  <c r="M1480" i="11" a="1"/>
  <c r="M1481" i="11" a="1"/>
  <c r="M1482" i="11" a="1"/>
  <c r="M1483" i="11" a="1"/>
  <c r="M1484" i="11" a="1"/>
  <c r="M1485" i="11" a="1"/>
  <c r="M1486" i="11" a="1"/>
  <c r="M1487" i="11" a="1"/>
  <c r="M1488" i="11" a="1"/>
  <c r="M1489" i="11" a="1"/>
  <c r="M1490" i="11" a="1"/>
  <c r="M1491" i="11" a="1"/>
  <c r="M1492" i="11" a="1"/>
  <c r="M1492" i="11" s="1"/>
  <c r="O1492" i="11" s="1"/>
  <c r="M1493" i="11" a="1"/>
  <c r="M1494" i="11" a="1"/>
  <c r="M1495" i="11" a="1"/>
  <c r="M1496" i="11" a="1"/>
  <c r="M1497" i="11" a="1"/>
  <c r="M1498" i="11" a="1"/>
  <c r="M1499" i="11" a="1"/>
  <c r="M1500" i="11" a="1"/>
  <c r="M1500" i="11" s="1"/>
  <c r="O1500" i="11" s="1"/>
  <c r="M1501" i="11" a="1"/>
  <c r="M1502" i="11" a="1"/>
  <c r="M1503" i="11" a="1"/>
  <c r="M1504" i="11" a="1"/>
  <c r="M1505" i="11" a="1"/>
  <c r="M1506" i="11" a="1"/>
  <c r="M1507" i="11" a="1"/>
  <c r="M1508" i="11" a="1"/>
  <c r="M1509" i="11" a="1"/>
  <c r="M1510" i="11" a="1"/>
  <c r="M1511" i="11" a="1"/>
  <c r="M1512" i="11" a="1"/>
  <c r="M1513" i="11" a="1"/>
  <c r="M1514" i="11" a="1"/>
  <c r="M1515" i="11" a="1"/>
  <c r="M1516" i="11" a="1"/>
  <c r="M1517" i="11" a="1"/>
  <c r="M1518" i="11" a="1"/>
  <c r="M1519" i="11" a="1"/>
  <c r="M1520" i="11" a="1"/>
  <c r="M1521" i="11" a="1"/>
  <c r="M1522" i="11" a="1"/>
  <c r="M1523" i="11" a="1"/>
  <c r="M1524" i="11" a="1"/>
  <c r="M1524" i="11" s="1"/>
  <c r="O1524" i="11" s="1"/>
  <c r="M1525" i="11" a="1"/>
  <c r="M1526" i="11" a="1"/>
  <c r="M1527" i="11" a="1"/>
  <c r="M1528" i="11" a="1"/>
  <c r="M1529" i="11" a="1"/>
  <c r="M1530" i="11" a="1"/>
  <c r="M1531" i="11" a="1"/>
  <c r="M1532" i="11" a="1"/>
  <c r="M1532" i="11" s="1"/>
  <c r="O1532" i="11" s="1"/>
  <c r="M1533" i="11" a="1"/>
  <c r="M1534" i="11" a="1"/>
  <c r="M1535" i="11" a="1"/>
  <c r="M1536" i="11" a="1"/>
  <c r="M1537" i="11" a="1"/>
  <c r="M1538" i="11" a="1"/>
  <c r="M1539" i="11" a="1"/>
  <c r="M1540" i="11" a="1"/>
  <c r="M1541" i="11" a="1"/>
  <c r="M1542" i="11" a="1"/>
  <c r="M1543" i="11" a="1"/>
  <c r="M1544" i="11" a="1"/>
  <c r="M1545" i="11" a="1"/>
  <c r="M1546" i="11" a="1"/>
  <c r="M1547" i="11" a="1"/>
  <c r="M1548" i="11" a="1"/>
  <c r="M1549" i="11" a="1"/>
  <c r="M1550" i="11" a="1"/>
  <c r="M1551" i="11" a="1"/>
  <c r="M1552" i="11" a="1"/>
  <c r="M1553" i="11" a="1"/>
  <c r="M1554" i="11" a="1"/>
  <c r="M1555" i="11" a="1"/>
  <c r="M1556" i="11" a="1"/>
  <c r="M1556" i="11" s="1"/>
  <c r="O1556" i="11" s="1"/>
  <c r="M1557" i="11" a="1"/>
  <c r="M1558" i="11" a="1"/>
  <c r="M1559" i="11" a="1"/>
  <c r="M1560" i="11" a="1"/>
  <c r="M1561" i="11" a="1"/>
  <c r="M1562" i="11" a="1"/>
  <c r="M1563" i="11" a="1"/>
  <c r="M1564" i="11" a="1"/>
  <c r="M1564" i="11" s="1"/>
  <c r="O1564" i="11" s="1"/>
  <c r="M1565" i="11" a="1"/>
  <c r="M1566" i="11" a="1"/>
  <c r="M1567" i="11" a="1"/>
  <c r="M1568" i="11" a="1"/>
  <c r="M1569" i="11" a="1"/>
  <c r="M1570" i="11" a="1"/>
  <c r="M1571" i="11" a="1"/>
  <c r="M1572" i="11" a="1"/>
  <c r="M1573" i="11" a="1"/>
  <c r="M1574" i="11" a="1"/>
  <c r="M1575" i="11" a="1"/>
  <c r="M1576" i="11" a="1"/>
  <c r="M1577" i="11" a="1"/>
  <c r="M1578" i="11" a="1"/>
  <c r="M1579" i="11" a="1"/>
  <c r="M1580" i="11" a="1"/>
  <c r="M1581" i="11" a="1"/>
  <c r="M1582" i="11" a="1"/>
  <c r="M1583" i="11" a="1"/>
  <c r="M1584" i="11" a="1"/>
  <c r="M1585" i="11" a="1"/>
  <c r="M1586" i="11" a="1"/>
  <c r="M1587" i="11" a="1"/>
  <c r="M1588" i="11" a="1"/>
  <c r="M1589" i="11" a="1"/>
  <c r="M1590" i="11" a="1"/>
  <c r="M1591" i="11" a="1"/>
  <c r="M1592" i="11" a="1"/>
  <c r="M1593" i="11" a="1"/>
  <c r="M1594" i="11" a="1"/>
  <c r="M1595" i="11" a="1"/>
  <c r="M1596" i="11" a="1"/>
  <c r="M1597" i="11" a="1"/>
  <c r="M1598" i="11" a="1"/>
  <c r="M1599" i="11" a="1"/>
  <c r="M1600" i="11" a="1"/>
  <c r="M1601" i="11" a="1"/>
  <c r="M1602" i="11" a="1"/>
  <c r="M1603" i="11" a="1"/>
  <c r="M1604" i="11" a="1"/>
  <c r="M1605" i="11" a="1"/>
  <c r="M1606" i="11" a="1"/>
  <c r="M1607" i="11" a="1"/>
  <c r="M1608" i="11" a="1"/>
  <c r="M1609" i="11" a="1"/>
  <c r="M1610" i="11" a="1"/>
  <c r="M1611" i="11" a="1"/>
  <c r="M1612" i="11" a="1"/>
  <c r="M1613" i="11" a="1"/>
  <c r="M1614" i="11" a="1"/>
  <c r="M1615" i="11" a="1"/>
  <c r="M1616" i="11" a="1"/>
  <c r="M1617" i="11" a="1"/>
  <c r="M1618" i="11" a="1"/>
  <c r="M1619" i="11" a="1"/>
  <c r="M1620" i="11" a="1"/>
  <c r="M1621" i="11" a="1"/>
  <c r="M1622" i="11" a="1"/>
  <c r="M1623" i="11" a="1"/>
  <c r="M1624" i="11" a="1"/>
  <c r="M1625" i="11" a="1"/>
  <c r="M1626" i="11" a="1"/>
  <c r="M1627" i="11" a="1"/>
  <c r="M1628" i="11" a="1"/>
  <c r="M1629" i="11" a="1"/>
  <c r="M1630" i="11" a="1"/>
  <c r="M1631" i="11" a="1"/>
  <c r="M1632" i="11" a="1"/>
  <c r="M1633" i="11" a="1"/>
  <c r="M1634" i="11" a="1"/>
  <c r="M1635" i="11" a="1"/>
  <c r="M1636" i="11" a="1"/>
  <c r="M1637" i="11" a="1"/>
  <c r="M1638" i="11" a="1"/>
  <c r="M1639" i="11" a="1"/>
  <c r="M1640" i="11" a="1"/>
  <c r="M1641" i="11" a="1"/>
  <c r="M1642" i="11" a="1"/>
  <c r="M1643" i="11" a="1"/>
  <c r="M1644" i="11" a="1"/>
  <c r="M1645" i="11" a="1"/>
  <c r="M1646" i="11" a="1"/>
  <c r="M1647" i="11" a="1"/>
  <c r="M1649" i="11" a="1"/>
  <c r="M1650" i="11" a="1"/>
  <c r="M1651" i="11" a="1"/>
  <c r="M1652" i="11" a="1"/>
  <c r="M1653" i="11" a="1"/>
  <c r="M1654" i="11" a="1"/>
  <c r="M1655" i="11" a="1"/>
  <c r="M1656" i="11" a="1"/>
  <c r="M1658" i="11" a="1"/>
  <c r="M1659" i="11" a="1"/>
  <c r="M1660" i="11" a="1"/>
  <c r="M1661" i="11" a="1"/>
  <c r="M1662" i="11" a="1"/>
  <c r="M1663" i="11" a="1"/>
  <c r="M1664" i="11" a="1"/>
  <c r="M1665" i="11" a="1"/>
  <c r="M1666" i="11" a="1"/>
  <c r="M1667" i="11" a="1"/>
  <c r="M1668" i="11" a="1"/>
  <c r="M1669" i="11" a="1"/>
  <c r="M1670" i="11" a="1"/>
  <c r="M1671" i="11" a="1"/>
  <c r="M1672" i="11" a="1"/>
  <c r="M1673" i="11" a="1"/>
  <c r="M1674" i="11" a="1"/>
  <c r="M1675" i="11" a="1"/>
  <c r="M1676" i="11" a="1"/>
  <c r="M1677" i="11" a="1"/>
  <c r="M1678" i="11" a="1"/>
  <c r="M1679" i="11" a="1"/>
  <c r="M1680" i="11" a="1"/>
  <c r="M1681" i="11" a="1"/>
  <c r="M1682" i="11" a="1"/>
  <c r="M1683" i="11" a="1"/>
  <c r="M1684" i="11" a="1"/>
  <c r="M1685" i="11" a="1"/>
  <c r="M1686" i="11" a="1"/>
  <c r="M1687" i="11" a="1"/>
  <c r="M1688" i="11" a="1"/>
  <c r="M1689" i="11" a="1"/>
  <c r="M1690" i="11" a="1"/>
  <c r="M1691" i="11" a="1"/>
  <c r="M1692" i="11" a="1"/>
  <c r="M1693" i="11" a="1"/>
  <c r="M1694" i="11" a="1"/>
  <c r="M1695" i="11" a="1"/>
  <c r="M1696" i="11" a="1"/>
  <c r="M1697" i="11" a="1"/>
  <c r="M1698" i="11" a="1"/>
  <c r="M1699" i="11" a="1"/>
  <c r="M1700" i="11" a="1"/>
  <c r="M1701" i="11" a="1"/>
  <c r="M1702" i="11" a="1"/>
  <c r="M1703" i="11" a="1"/>
  <c r="M1704" i="11" a="1"/>
  <c r="M1705" i="11" a="1"/>
  <c r="M1706" i="11" a="1"/>
  <c r="M1707" i="11" a="1"/>
  <c r="M1708" i="11" a="1"/>
  <c r="M1709" i="11" a="1"/>
  <c r="M1710" i="11" a="1"/>
  <c r="M1711" i="11" a="1"/>
  <c r="M1712" i="11" a="1"/>
  <c r="M1713" i="11" a="1"/>
  <c r="M1714" i="11" a="1"/>
  <c r="M1715" i="11" a="1"/>
  <c r="M1716" i="11" a="1"/>
  <c r="M1717" i="11" a="1"/>
  <c r="M1718" i="11" a="1"/>
  <c r="M1719" i="11" a="1"/>
  <c r="M1720" i="11" a="1"/>
  <c r="M1721" i="11" a="1"/>
  <c r="M1722" i="11" a="1"/>
  <c r="M1723" i="11" a="1"/>
  <c r="M1724" i="11" a="1"/>
  <c r="M1725" i="11" a="1"/>
  <c r="M1726" i="11" a="1"/>
  <c r="M1727" i="11" a="1"/>
  <c r="M1728" i="11" a="1"/>
  <c r="M1729" i="11" a="1"/>
  <c r="M1730" i="11" a="1"/>
  <c r="M1731" i="11" a="1"/>
  <c r="M1732" i="11" a="1"/>
  <c r="M1733" i="11" a="1"/>
  <c r="M1734" i="11" a="1"/>
  <c r="M1735" i="11" a="1"/>
  <c r="M1736" i="11" a="1"/>
  <c r="M1737" i="11" a="1"/>
  <c r="M1738" i="11" a="1"/>
  <c r="M1739" i="11" a="1"/>
  <c r="M1740" i="11" a="1"/>
  <c r="M1741" i="11" a="1"/>
  <c r="M1742" i="11" a="1"/>
  <c r="M1743" i="11" a="1"/>
  <c r="M1744" i="11" a="1"/>
  <c r="M1745" i="11" a="1"/>
  <c r="M1746" i="11" a="1"/>
  <c r="M1747" i="11" a="1"/>
  <c r="M1748" i="11" a="1"/>
  <c r="M1749" i="11" a="1"/>
  <c r="M1750" i="11" a="1"/>
  <c r="M1751" i="11" a="1"/>
  <c r="M1752" i="11" a="1"/>
  <c r="M1753" i="11" a="1"/>
  <c r="M1754" i="11" a="1"/>
  <c r="M1755" i="11" a="1"/>
  <c r="M1756" i="11" a="1"/>
  <c r="M1757" i="11" a="1"/>
  <c r="M1758" i="11" a="1"/>
  <c r="M1759" i="11" a="1"/>
  <c r="M1760" i="11" a="1"/>
  <c r="M1761" i="11" a="1"/>
  <c r="M1762" i="11" a="1"/>
  <c r="M1763" i="11" a="1"/>
  <c r="M1764" i="11" a="1"/>
  <c r="M1765" i="11" a="1"/>
  <c r="M1766" i="11" a="1"/>
  <c r="M1767" i="11" a="1"/>
  <c r="M1768" i="11" a="1"/>
  <c r="M1769" i="11" a="1"/>
  <c r="M1770" i="11" a="1"/>
  <c r="M1771" i="11" a="1"/>
  <c r="M1772" i="11" a="1"/>
  <c r="M1773" i="11" a="1"/>
  <c r="M1774" i="11" a="1"/>
  <c r="M1775" i="11" a="1"/>
  <c r="M1776" i="11" a="1"/>
  <c r="M1777" i="11" a="1"/>
  <c r="M1778" i="11" a="1"/>
  <c r="M1779" i="11" a="1"/>
  <c r="M1780" i="11" a="1"/>
  <c r="M1781" i="11" a="1"/>
  <c r="M1782" i="11" a="1"/>
  <c r="M1783" i="11" a="1"/>
  <c r="M1784" i="11" a="1"/>
  <c r="M1785" i="11" a="1"/>
  <c r="M1786" i="11" a="1"/>
  <c r="M1788" i="11" a="1"/>
  <c r="M1789" i="11" a="1"/>
  <c r="M1790" i="11" a="1"/>
  <c r="M1791" i="11" a="1"/>
  <c r="M1792" i="11" a="1"/>
  <c r="M1793" i="11" a="1"/>
  <c r="M1794" i="11" a="1"/>
  <c r="M1795" i="11" a="1"/>
  <c r="M1796" i="11" a="1"/>
  <c r="M1797" i="11" a="1"/>
  <c r="M1798" i="11" a="1"/>
  <c r="M1799" i="11" a="1"/>
  <c r="M1800" i="11" a="1"/>
  <c r="M1801" i="11" a="1"/>
  <c r="M1802" i="11" a="1"/>
  <c r="M1803" i="11" a="1"/>
  <c r="M1804" i="11" a="1"/>
  <c r="M1807" i="11" a="1"/>
  <c r="M1808" i="11" a="1"/>
  <c r="M1809" i="11" a="1"/>
  <c r="M1810" i="11" a="1"/>
  <c r="M1811" i="11" a="1"/>
  <c r="M1812" i="11" a="1"/>
  <c r="M1813" i="11" a="1"/>
  <c r="M1814" i="11" a="1"/>
  <c r="M1815" i="11" a="1"/>
  <c r="M1816" i="11" a="1"/>
  <c r="M1817" i="11" a="1"/>
  <c r="M1818" i="11" a="1"/>
  <c r="M1820" i="11" a="1"/>
  <c r="M1822" i="11" a="1"/>
  <c r="M1824" i="11" a="1"/>
  <c r="M1825" i="11" a="1"/>
  <c r="M1826" i="11" a="1"/>
  <c r="M1827" i="11" a="1"/>
  <c r="M1828" i="11" a="1"/>
  <c r="M1829" i="11" a="1"/>
  <c r="M1830" i="11" a="1"/>
  <c r="M1831" i="11" a="1"/>
  <c r="M1832" i="11" a="1"/>
  <c r="M1833" i="11" a="1"/>
  <c r="M1834" i="11" a="1"/>
  <c r="M1835" i="11" a="1"/>
  <c r="M1836" i="11" a="1"/>
  <c r="M1837" i="11" a="1"/>
  <c r="M1838" i="11" a="1"/>
  <c r="M1839" i="11" a="1"/>
  <c r="M1840" i="11" a="1"/>
  <c r="M1841" i="11" a="1"/>
  <c r="M1842" i="11" a="1"/>
  <c r="M1843" i="11" a="1"/>
  <c r="M1844" i="11" a="1"/>
  <c r="M1845" i="11" a="1"/>
  <c r="M1846" i="11" a="1"/>
  <c r="M1847" i="11" a="1"/>
  <c r="M1848" i="11" a="1"/>
  <c r="M1849" i="11" a="1"/>
  <c r="M1850" i="11" a="1"/>
  <c r="M1851" i="11" a="1"/>
  <c r="M1852" i="11" a="1"/>
  <c r="M1853" i="11" a="1"/>
  <c r="M1854" i="11" a="1"/>
  <c r="M1855" i="11" a="1"/>
  <c r="M1856" i="11" a="1"/>
  <c r="M1857" i="11" a="1"/>
  <c r="M1858" i="11" a="1"/>
  <c r="M1859" i="11" a="1"/>
  <c r="M1860" i="11" a="1"/>
  <c r="M1861" i="11" a="1"/>
  <c r="M1862" i="11" a="1"/>
  <c r="M1863" i="11" a="1"/>
  <c r="M1864" i="11" a="1"/>
  <c r="M1865" i="11" a="1"/>
  <c r="M1866" i="11" a="1"/>
  <c r="M1867" i="11" a="1"/>
  <c r="M1868" i="11" a="1"/>
  <c r="M1869" i="11" a="1"/>
  <c r="M1870" i="11" a="1"/>
  <c r="M1871" i="11" a="1"/>
  <c r="M1872" i="11" a="1"/>
  <c r="M1873" i="11" a="1"/>
  <c r="M1874" i="11" a="1"/>
  <c r="M1875" i="11" a="1"/>
  <c r="M1876" i="11" a="1"/>
  <c r="M1877" i="11" a="1"/>
  <c r="M1878" i="11" a="1"/>
  <c r="M1879" i="11" a="1"/>
  <c r="M1880" i="11" a="1"/>
  <c r="M1881" i="11" a="1"/>
  <c r="M1882" i="11" a="1"/>
  <c r="M1883" i="11" a="1"/>
  <c r="M1884" i="11" a="1"/>
  <c r="M1885" i="11" a="1"/>
  <c r="M1886" i="11" a="1"/>
  <c r="M1887" i="11" a="1"/>
  <c r="M1888" i="11" a="1"/>
  <c r="M1889" i="11" a="1"/>
  <c r="M1890" i="11" a="1"/>
  <c r="M1891" i="11" a="1"/>
  <c r="M1892" i="11" a="1"/>
  <c r="M1893" i="11" a="1"/>
  <c r="M1894" i="11" a="1"/>
  <c r="M1895" i="11" a="1"/>
  <c r="M1896" i="11" a="1"/>
  <c r="M1897" i="11" a="1"/>
  <c r="M1898" i="11" a="1"/>
  <c r="M1899" i="11" a="1"/>
  <c r="M1900" i="11" a="1"/>
  <c r="M1901" i="11" a="1"/>
  <c r="M1902" i="11" a="1"/>
  <c r="M1903" i="11" a="1"/>
  <c r="M1904" i="11" a="1"/>
  <c r="M1905" i="11" a="1"/>
  <c r="M1906" i="11" a="1"/>
  <c r="M1907" i="11" a="1"/>
  <c r="M1908" i="11" a="1"/>
  <c r="M1909" i="11" a="1"/>
  <c r="M1910" i="11" a="1"/>
  <c r="M1911" i="11" a="1"/>
  <c r="M1912" i="11" a="1"/>
  <c r="M1913" i="11" a="1"/>
  <c r="M1914" i="11" a="1"/>
  <c r="M1915" i="11" a="1"/>
  <c r="M1923" i="11" a="1"/>
  <c r="M4" i="11" a="1"/>
  <c r="K1" i="11"/>
  <c r="J1" i="11"/>
  <c r="I1" i="11"/>
  <c r="H1" i="11"/>
  <c r="G1" i="11"/>
  <c r="J1" i="10"/>
  <c r="M363" i="10"/>
  <c r="M996" i="10"/>
  <c r="M1009" i="10"/>
  <c r="M1015" i="10"/>
  <c r="M1022" i="10"/>
  <c r="M1063" i="10"/>
  <c r="M1100" i="10"/>
  <c r="M1101" i="10"/>
  <c r="M1248" i="10"/>
  <c r="M1418" i="10"/>
  <c r="M1508" i="10"/>
  <c r="M1654" i="10"/>
  <c r="M1682" i="10"/>
  <c r="M5" i="10"/>
  <c r="N5" i="10"/>
  <c r="M6" i="10"/>
  <c r="N6" i="10"/>
  <c r="M8" i="10"/>
  <c r="N8" i="10"/>
  <c r="M9" i="10"/>
  <c r="N9" i="10"/>
  <c r="M10" i="10"/>
  <c r="N10" i="10"/>
  <c r="M11" i="10"/>
  <c r="N11" i="10"/>
  <c r="M12" i="10"/>
  <c r="N12" i="10"/>
  <c r="M13" i="10"/>
  <c r="N13" i="10"/>
  <c r="M14" i="10"/>
  <c r="N14" i="10"/>
  <c r="M15" i="10"/>
  <c r="N15" i="10"/>
  <c r="M16" i="10"/>
  <c r="N16" i="10"/>
  <c r="M17" i="10"/>
  <c r="N17" i="10"/>
  <c r="M18" i="10"/>
  <c r="N18" i="10"/>
  <c r="M19" i="10"/>
  <c r="N19" i="10"/>
  <c r="M20" i="10"/>
  <c r="N20" i="10"/>
  <c r="M21" i="10"/>
  <c r="N21" i="10"/>
  <c r="M22" i="10"/>
  <c r="N22" i="10"/>
  <c r="M23" i="10"/>
  <c r="N23" i="10"/>
  <c r="M24" i="10"/>
  <c r="N24" i="10"/>
  <c r="M25" i="10"/>
  <c r="N25" i="10"/>
  <c r="M26" i="10"/>
  <c r="N26" i="10"/>
  <c r="M27" i="10"/>
  <c r="N27" i="10"/>
  <c r="M28" i="10"/>
  <c r="N28" i="10"/>
  <c r="M29" i="10"/>
  <c r="N29" i="10"/>
  <c r="M30" i="10"/>
  <c r="N30" i="10"/>
  <c r="M32" i="10"/>
  <c r="N32" i="10"/>
  <c r="M33" i="10"/>
  <c r="N33" i="10"/>
  <c r="M34" i="10"/>
  <c r="N34" i="10"/>
  <c r="M35" i="10"/>
  <c r="N35" i="10"/>
  <c r="M36" i="10"/>
  <c r="N36" i="10"/>
  <c r="M37" i="10"/>
  <c r="N37" i="10"/>
  <c r="M38" i="10"/>
  <c r="N38" i="10"/>
  <c r="M39" i="10"/>
  <c r="N39" i="10"/>
  <c r="M40" i="10"/>
  <c r="N40" i="10"/>
  <c r="M41" i="10"/>
  <c r="N41" i="10"/>
  <c r="M42" i="10"/>
  <c r="N42" i="10"/>
  <c r="M43" i="10"/>
  <c r="N43" i="10"/>
  <c r="M44" i="10"/>
  <c r="N44" i="10"/>
  <c r="M45" i="10"/>
  <c r="N45" i="10"/>
  <c r="M46" i="10"/>
  <c r="N46" i="10"/>
  <c r="M47" i="10"/>
  <c r="N47" i="10"/>
  <c r="M48" i="10"/>
  <c r="N48" i="10"/>
  <c r="M49" i="10"/>
  <c r="N49" i="10"/>
  <c r="M50" i="10"/>
  <c r="N50" i="10"/>
  <c r="M51" i="10"/>
  <c r="N51" i="10"/>
  <c r="M52" i="10"/>
  <c r="N52" i="10"/>
  <c r="M53" i="10"/>
  <c r="N53" i="10"/>
  <c r="M54" i="10"/>
  <c r="N54" i="10"/>
  <c r="M55" i="10"/>
  <c r="N55" i="10"/>
  <c r="M56" i="10"/>
  <c r="N56" i="10"/>
  <c r="M58" i="10"/>
  <c r="N58" i="10"/>
  <c r="M59" i="10"/>
  <c r="N59" i="10"/>
  <c r="M60" i="10"/>
  <c r="N60" i="10"/>
  <c r="M61" i="10"/>
  <c r="N61" i="10"/>
  <c r="M62" i="10"/>
  <c r="N62" i="10"/>
  <c r="M63" i="10"/>
  <c r="N63" i="10"/>
  <c r="M64" i="10"/>
  <c r="N64" i="10"/>
  <c r="M65" i="10"/>
  <c r="N65" i="10"/>
  <c r="M66" i="10"/>
  <c r="N66" i="10"/>
  <c r="M67" i="10"/>
  <c r="N67" i="10"/>
  <c r="M68" i="10"/>
  <c r="N68" i="10"/>
  <c r="M69" i="10"/>
  <c r="N69" i="10"/>
  <c r="M70" i="10"/>
  <c r="N70" i="10"/>
  <c r="M71" i="10"/>
  <c r="N71" i="10"/>
  <c r="M72" i="10"/>
  <c r="N72" i="10"/>
  <c r="M73" i="10"/>
  <c r="N73" i="10"/>
  <c r="M74" i="10"/>
  <c r="N74" i="10"/>
  <c r="M75" i="10"/>
  <c r="N75" i="10"/>
  <c r="M76" i="10"/>
  <c r="N76" i="10"/>
  <c r="M77" i="10"/>
  <c r="N77" i="10"/>
  <c r="M78" i="10"/>
  <c r="N78" i="10"/>
  <c r="M79" i="10"/>
  <c r="N79" i="10"/>
  <c r="M80" i="10"/>
  <c r="N80" i="10"/>
  <c r="M81" i="10"/>
  <c r="N81" i="10"/>
  <c r="M82" i="10"/>
  <c r="N82" i="10"/>
  <c r="M83" i="10"/>
  <c r="N83" i="10"/>
  <c r="M84" i="10"/>
  <c r="N84" i="10"/>
  <c r="M85" i="10"/>
  <c r="N85" i="10"/>
  <c r="M86" i="10"/>
  <c r="N86" i="10"/>
  <c r="M87" i="10"/>
  <c r="N87" i="10"/>
  <c r="M88" i="10"/>
  <c r="N88" i="10"/>
  <c r="M89" i="10"/>
  <c r="N89" i="10"/>
  <c r="M90" i="10"/>
  <c r="N90" i="10"/>
  <c r="M91" i="10"/>
  <c r="N91" i="10"/>
  <c r="M92" i="10"/>
  <c r="N92" i="10"/>
  <c r="M93" i="10"/>
  <c r="N93" i="10"/>
  <c r="M94" i="10"/>
  <c r="N94" i="10"/>
  <c r="M95" i="10"/>
  <c r="N95" i="10"/>
  <c r="M96" i="10"/>
  <c r="N96" i="10"/>
  <c r="M97" i="10"/>
  <c r="N97" i="10"/>
  <c r="M98" i="10"/>
  <c r="N98" i="10"/>
  <c r="M99" i="10"/>
  <c r="N99" i="10"/>
  <c r="M100" i="10"/>
  <c r="N100" i="10"/>
  <c r="M101" i="10"/>
  <c r="N101" i="10"/>
  <c r="M103" i="10"/>
  <c r="N103" i="10"/>
  <c r="M104" i="10"/>
  <c r="N104" i="10"/>
  <c r="M105" i="10"/>
  <c r="N105" i="10"/>
  <c r="M106" i="10"/>
  <c r="N106" i="10"/>
  <c r="M107" i="10"/>
  <c r="N107" i="10"/>
  <c r="M108" i="10"/>
  <c r="N108" i="10"/>
  <c r="M109" i="10"/>
  <c r="N109" i="10"/>
  <c r="M110" i="10"/>
  <c r="N110" i="10"/>
  <c r="M111" i="10"/>
  <c r="N111" i="10"/>
  <c r="M112" i="10"/>
  <c r="N112" i="10"/>
  <c r="M113" i="10"/>
  <c r="N113" i="10"/>
  <c r="M114" i="10"/>
  <c r="N114" i="10"/>
  <c r="M115" i="10"/>
  <c r="N115" i="10"/>
  <c r="M116" i="10"/>
  <c r="N116" i="10"/>
  <c r="M117" i="10"/>
  <c r="N117" i="10"/>
  <c r="M118" i="10"/>
  <c r="N118" i="10"/>
  <c r="M119" i="10"/>
  <c r="N119" i="10"/>
  <c r="M120" i="10"/>
  <c r="N120" i="10"/>
  <c r="M121" i="10"/>
  <c r="N121" i="10"/>
  <c r="M122" i="10"/>
  <c r="N122" i="10"/>
  <c r="M123" i="10"/>
  <c r="N123" i="10"/>
  <c r="M127" i="10"/>
  <c r="N127" i="10"/>
  <c r="M128" i="10"/>
  <c r="N128" i="10"/>
  <c r="M129" i="10"/>
  <c r="N129" i="10"/>
  <c r="M130" i="10"/>
  <c r="N130" i="10"/>
  <c r="M131" i="10"/>
  <c r="N131" i="10"/>
  <c r="M132" i="10"/>
  <c r="N132" i="10"/>
  <c r="M133" i="10"/>
  <c r="N133" i="10"/>
  <c r="M135" i="10"/>
  <c r="N135" i="10"/>
  <c r="M136" i="10"/>
  <c r="N136" i="10"/>
  <c r="M137" i="10"/>
  <c r="N137" i="10"/>
  <c r="M138" i="10"/>
  <c r="N138" i="10"/>
  <c r="M139" i="10"/>
  <c r="N139" i="10"/>
  <c r="M140" i="10"/>
  <c r="N140" i="10"/>
  <c r="M141" i="10"/>
  <c r="N141" i="10"/>
  <c r="M142" i="10"/>
  <c r="N142" i="10"/>
  <c r="M143" i="10"/>
  <c r="N143" i="10"/>
  <c r="M144" i="10"/>
  <c r="N144" i="10"/>
  <c r="M145" i="10"/>
  <c r="N145" i="10"/>
  <c r="M146" i="10"/>
  <c r="N146" i="10"/>
  <c r="M147" i="10"/>
  <c r="N147" i="10"/>
  <c r="M148" i="10"/>
  <c r="N148" i="10"/>
  <c r="M149" i="10"/>
  <c r="N149" i="10"/>
  <c r="M150" i="10"/>
  <c r="N150" i="10"/>
  <c r="M151" i="10"/>
  <c r="N151" i="10"/>
  <c r="M152" i="10"/>
  <c r="N152" i="10"/>
  <c r="M153" i="10"/>
  <c r="N153" i="10"/>
  <c r="M154" i="10"/>
  <c r="N154" i="10"/>
  <c r="M155" i="10"/>
  <c r="N155" i="10"/>
  <c r="M156" i="10"/>
  <c r="N156" i="10"/>
  <c r="M157" i="10"/>
  <c r="N157" i="10"/>
  <c r="M158" i="10"/>
  <c r="N158" i="10"/>
  <c r="M159" i="10"/>
  <c r="N159" i="10"/>
  <c r="M160" i="10"/>
  <c r="N160" i="10"/>
  <c r="M161" i="10"/>
  <c r="N161" i="10"/>
  <c r="M162" i="10"/>
  <c r="N162" i="10"/>
  <c r="M163" i="10"/>
  <c r="N163" i="10"/>
  <c r="M164" i="10"/>
  <c r="N164" i="10"/>
  <c r="M165" i="10"/>
  <c r="N165" i="10"/>
  <c r="M166" i="10"/>
  <c r="N166" i="10"/>
  <c r="M167" i="10"/>
  <c r="N167" i="10"/>
  <c r="M168" i="10"/>
  <c r="N168" i="10"/>
  <c r="M169" i="10"/>
  <c r="N169" i="10"/>
  <c r="M170" i="10"/>
  <c r="N170" i="10"/>
  <c r="M171" i="10"/>
  <c r="N171" i="10"/>
  <c r="M172" i="10"/>
  <c r="N172" i="10"/>
  <c r="M173" i="10"/>
  <c r="N173" i="10"/>
  <c r="M174" i="10"/>
  <c r="N174" i="10"/>
  <c r="M175" i="10"/>
  <c r="N175" i="10"/>
  <c r="M176" i="10"/>
  <c r="N176" i="10"/>
  <c r="M177" i="10"/>
  <c r="N177" i="10"/>
  <c r="M178" i="10"/>
  <c r="N178" i="10"/>
  <c r="M179" i="10"/>
  <c r="N179" i="10"/>
  <c r="M180" i="10"/>
  <c r="N180" i="10"/>
  <c r="M181" i="10"/>
  <c r="N181" i="10"/>
  <c r="M182" i="10"/>
  <c r="N182" i="10"/>
  <c r="M183" i="10"/>
  <c r="N183" i="10"/>
  <c r="M184" i="10"/>
  <c r="N184" i="10"/>
  <c r="M185" i="10"/>
  <c r="N185" i="10"/>
  <c r="M186" i="10"/>
  <c r="N186" i="10"/>
  <c r="M187" i="10"/>
  <c r="N187" i="10"/>
  <c r="M188" i="10"/>
  <c r="N188" i="10"/>
  <c r="M189" i="10"/>
  <c r="N189" i="10"/>
  <c r="M190" i="10"/>
  <c r="N190" i="10"/>
  <c r="M191" i="10"/>
  <c r="N191" i="10"/>
  <c r="M192" i="10"/>
  <c r="N192" i="10"/>
  <c r="M193" i="10"/>
  <c r="N193" i="10"/>
  <c r="M194" i="10"/>
  <c r="N194" i="10"/>
  <c r="M195" i="10"/>
  <c r="N195" i="10"/>
  <c r="M196" i="10"/>
  <c r="N196" i="10"/>
  <c r="M197" i="10"/>
  <c r="N197" i="10"/>
  <c r="M198" i="10"/>
  <c r="N198" i="10"/>
  <c r="M199" i="10"/>
  <c r="N199" i="10"/>
  <c r="M200" i="10"/>
  <c r="N200" i="10"/>
  <c r="M201" i="10"/>
  <c r="N201" i="10"/>
  <c r="M202" i="10"/>
  <c r="N202" i="10"/>
  <c r="M203" i="10"/>
  <c r="N203" i="10"/>
  <c r="M204" i="10"/>
  <c r="N204" i="10"/>
  <c r="M205" i="10"/>
  <c r="N205" i="10"/>
  <c r="M206" i="10"/>
  <c r="N206" i="10"/>
  <c r="M207" i="10"/>
  <c r="N207" i="10"/>
  <c r="M208" i="10"/>
  <c r="N208" i="10"/>
  <c r="M209" i="10"/>
  <c r="N209" i="10"/>
  <c r="M211" i="10"/>
  <c r="N211" i="10"/>
  <c r="M212" i="10"/>
  <c r="N212" i="10"/>
  <c r="M213" i="10"/>
  <c r="N213" i="10"/>
  <c r="M214" i="10"/>
  <c r="N214" i="10"/>
  <c r="M215" i="10"/>
  <c r="N215" i="10"/>
  <c r="M216" i="10"/>
  <c r="N216" i="10"/>
  <c r="M217" i="10"/>
  <c r="N217" i="10"/>
  <c r="M218" i="10"/>
  <c r="N218" i="10"/>
  <c r="M219" i="10"/>
  <c r="N219" i="10"/>
  <c r="M220" i="10"/>
  <c r="N220" i="10"/>
  <c r="M221" i="10"/>
  <c r="N221" i="10"/>
  <c r="M222" i="10"/>
  <c r="N222" i="10"/>
  <c r="M223" i="10"/>
  <c r="N223" i="10"/>
  <c r="M224" i="10"/>
  <c r="N224" i="10"/>
  <c r="M225" i="10"/>
  <c r="N225" i="10"/>
  <c r="M226" i="10"/>
  <c r="N226" i="10"/>
  <c r="M227" i="10"/>
  <c r="N227" i="10"/>
  <c r="M228" i="10"/>
  <c r="N228" i="10"/>
  <c r="M229" i="10"/>
  <c r="N229" i="10"/>
  <c r="M230" i="10"/>
  <c r="N230" i="10"/>
  <c r="M231" i="10"/>
  <c r="N231" i="10"/>
  <c r="M232" i="10"/>
  <c r="N232" i="10"/>
  <c r="M233" i="10"/>
  <c r="N233" i="10"/>
  <c r="M234" i="10"/>
  <c r="N234" i="10"/>
  <c r="M235" i="10"/>
  <c r="N235" i="10"/>
  <c r="M236" i="10"/>
  <c r="N236" i="10"/>
  <c r="M237" i="10"/>
  <c r="N237" i="10"/>
  <c r="M238" i="10"/>
  <c r="N238" i="10"/>
  <c r="M239" i="10"/>
  <c r="N239" i="10"/>
  <c r="M240" i="10"/>
  <c r="N240" i="10"/>
  <c r="M241" i="10"/>
  <c r="N241" i="10"/>
  <c r="M242" i="10"/>
  <c r="N242" i="10"/>
  <c r="M243" i="10"/>
  <c r="N243" i="10"/>
  <c r="M244" i="10"/>
  <c r="N244" i="10"/>
  <c r="M245" i="10"/>
  <c r="N245" i="10"/>
  <c r="M246" i="10"/>
  <c r="N246" i="10"/>
  <c r="M247" i="10"/>
  <c r="N247" i="10"/>
  <c r="M248" i="10"/>
  <c r="N248" i="10"/>
  <c r="M249" i="10"/>
  <c r="N249" i="10"/>
  <c r="M250" i="10"/>
  <c r="N250" i="10"/>
  <c r="M251" i="10"/>
  <c r="N251" i="10"/>
  <c r="M252" i="10"/>
  <c r="N252" i="10"/>
  <c r="M253" i="10"/>
  <c r="N253" i="10"/>
  <c r="M254" i="10"/>
  <c r="N254" i="10"/>
  <c r="M255" i="10"/>
  <c r="N255" i="10"/>
  <c r="M256" i="10"/>
  <c r="N256" i="10"/>
  <c r="M257" i="10"/>
  <c r="N257" i="10"/>
  <c r="M258" i="10"/>
  <c r="N258" i="10"/>
  <c r="M259" i="10"/>
  <c r="N259" i="10"/>
  <c r="M260" i="10"/>
  <c r="N260" i="10"/>
  <c r="M261" i="10"/>
  <c r="N261" i="10"/>
  <c r="M262" i="10"/>
  <c r="N262" i="10"/>
  <c r="M263" i="10"/>
  <c r="N263" i="10"/>
  <c r="M264" i="10"/>
  <c r="N264" i="10"/>
  <c r="M265" i="10"/>
  <c r="N265" i="10"/>
  <c r="M266" i="10"/>
  <c r="N266" i="10"/>
  <c r="M267" i="10"/>
  <c r="N267" i="10"/>
  <c r="M268" i="10"/>
  <c r="N268" i="10"/>
  <c r="M269" i="10"/>
  <c r="N269" i="10"/>
  <c r="M270" i="10"/>
  <c r="N270" i="10"/>
  <c r="M271" i="10"/>
  <c r="N271" i="10"/>
  <c r="M272" i="10"/>
  <c r="N272" i="10"/>
  <c r="M273" i="10"/>
  <c r="N273" i="10"/>
  <c r="M274" i="10"/>
  <c r="N274" i="10"/>
  <c r="M275" i="10"/>
  <c r="N275" i="10"/>
  <c r="M276" i="10"/>
  <c r="N276" i="10"/>
  <c r="M277" i="10"/>
  <c r="N277" i="10"/>
  <c r="M278" i="10"/>
  <c r="N278" i="10"/>
  <c r="M279" i="10"/>
  <c r="N279" i="10"/>
  <c r="M280" i="10"/>
  <c r="N280" i="10"/>
  <c r="M281" i="10"/>
  <c r="N281" i="10"/>
  <c r="M282" i="10"/>
  <c r="N282" i="10"/>
  <c r="M283" i="10"/>
  <c r="N283" i="10"/>
  <c r="M284" i="10"/>
  <c r="N284" i="10"/>
  <c r="M285" i="10"/>
  <c r="N285" i="10"/>
  <c r="M286" i="10"/>
  <c r="N286" i="10"/>
  <c r="M287" i="10"/>
  <c r="N287" i="10"/>
  <c r="M288" i="10"/>
  <c r="N288" i="10"/>
  <c r="M289" i="10"/>
  <c r="N289" i="10"/>
  <c r="M290" i="10"/>
  <c r="N290" i="10"/>
  <c r="M291" i="10"/>
  <c r="N291" i="10"/>
  <c r="M292" i="10"/>
  <c r="N292" i="10"/>
  <c r="M293" i="10"/>
  <c r="N293" i="10"/>
  <c r="M294" i="10"/>
  <c r="N294" i="10"/>
  <c r="M295" i="10"/>
  <c r="N295" i="10"/>
  <c r="M296" i="10"/>
  <c r="N296" i="10"/>
  <c r="M297" i="10"/>
  <c r="N297" i="10"/>
  <c r="M298" i="10"/>
  <c r="N298" i="10"/>
  <c r="M299" i="10"/>
  <c r="N299" i="10"/>
  <c r="M300" i="10"/>
  <c r="N300" i="10"/>
  <c r="M301" i="10"/>
  <c r="N301" i="10"/>
  <c r="M302" i="10"/>
  <c r="N302" i="10"/>
  <c r="M303" i="10"/>
  <c r="N303" i="10"/>
  <c r="M304" i="10"/>
  <c r="N304" i="10"/>
  <c r="M305" i="10"/>
  <c r="N305" i="10"/>
  <c r="M306" i="10"/>
  <c r="N306" i="10"/>
  <c r="M307" i="10"/>
  <c r="N307" i="10"/>
  <c r="M308" i="10"/>
  <c r="N308" i="10"/>
  <c r="M309" i="10"/>
  <c r="N309" i="10"/>
  <c r="M310" i="10"/>
  <c r="N310" i="10"/>
  <c r="M311" i="10"/>
  <c r="N311" i="10"/>
  <c r="M312" i="10"/>
  <c r="N312" i="10"/>
  <c r="M313" i="10"/>
  <c r="N313" i="10"/>
  <c r="M314" i="10"/>
  <c r="N314" i="10"/>
  <c r="M315" i="10"/>
  <c r="N315" i="10"/>
  <c r="M316" i="10"/>
  <c r="N316" i="10"/>
  <c r="M317" i="10"/>
  <c r="N317" i="10"/>
  <c r="M318" i="10"/>
  <c r="N318" i="10"/>
  <c r="M319" i="10"/>
  <c r="N319" i="10"/>
  <c r="M320" i="10"/>
  <c r="N320" i="10"/>
  <c r="M321" i="10"/>
  <c r="N321" i="10"/>
  <c r="M322" i="10"/>
  <c r="N322" i="10"/>
  <c r="M323" i="10"/>
  <c r="N323" i="10"/>
  <c r="M324" i="10"/>
  <c r="N324" i="10"/>
  <c r="M325" i="10"/>
  <c r="N325" i="10"/>
  <c r="M327" i="10"/>
  <c r="N327" i="10"/>
  <c r="M328" i="10"/>
  <c r="N328" i="10"/>
  <c r="M329" i="10"/>
  <c r="N329" i="10"/>
  <c r="M330" i="10"/>
  <c r="N330" i="10"/>
  <c r="M331" i="10"/>
  <c r="N331" i="10"/>
  <c r="M332" i="10"/>
  <c r="N332" i="10"/>
  <c r="M333" i="10"/>
  <c r="N333" i="10"/>
  <c r="M334" i="10"/>
  <c r="N334" i="10"/>
  <c r="M335" i="10"/>
  <c r="N335" i="10"/>
  <c r="M336" i="10"/>
  <c r="N336" i="10"/>
  <c r="M337" i="10"/>
  <c r="N337" i="10"/>
  <c r="M339" i="10"/>
  <c r="N339" i="10"/>
  <c r="M340" i="10"/>
  <c r="N340" i="10"/>
  <c r="M341" i="10"/>
  <c r="N341" i="10"/>
  <c r="M342" i="10"/>
  <c r="N342" i="10"/>
  <c r="M343" i="10"/>
  <c r="N343" i="10"/>
  <c r="M344" i="10"/>
  <c r="N344" i="10"/>
  <c r="M345" i="10"/>
  <c r="N345" i="10"/>
  <c r="M346" i="10"/>
  <c r="N346" i="10"/>
  <c r="M347" i="10"/>
  <c r="N347" i="10"/>
  <c r="M348" i="10"/>
  <c r="N348" i="10"/>
  <c r="M349" i="10"/>
  <c r="N349" i="10"/>
  <c r="M350" i="10"/>
  <c r="N350" i="10"/>
  <c r="M352" i="10"/>
  <c r="N352" i="10"/>
  <c r="M353" i="10"/>
  <c r="N353" i="10"/>
  <c r="M354" i="10"/>
  <c r="N354" i="10"/>
  <c r="M355" i="10"/>
  <c r="N355" i="10"/>
  <c r="M356" i="10"/>
  <c r="N356" i="10"/>
  <c r="M357" i="10"/>
  <c r="N357" i="10"/>
  <c r="M358" i="10"/>
  <c r="N358" i="10"/>
  <c r="M360" i="10"/>
  <c r="N360" i="10"/>
  <c r="M361" i="10"/>
  <c r="N361" i="10"/>
  <c r="M364" i="10"/>
  <c r="N364" i="10"/>
  <c r="M365" i="10"/>
  <c r="N365" i="10"/>
  <c r="M366" i="10"/>
  <c r="N366" i="10"/>
  <c r="M367" i="10"/>
  <c r="N367" i="10"/>
  <c r="M368" i="10"/>
  <c r="N368" i="10"/>
  <c r="M370" i="10"/>
  <c r="N370" i="10"/>
  <c r="M371" i="10"/>
  <c r="N371" i="10"/>
  <c r="M372" i="10"/>
  <c r="N372" i="10"/>
  <c r="M373" i="10"/>
  <c r="N373" i="10"/>
  <c r="M374" i="10"/>
  <c r="N374" i="10"/>
  <c r="M375" i="10"/>
  <c r="N375" i="10"/>
  <c r="M376" i="10"/>
  <c r="N376" i="10"/>
  <c r="M377" i="10"/>
  <c r="N377" i="10"/>
  <c r="M378" i="10"/>
  <c r="N378" i="10"/>
  <c r="M379" i="10"/>
  <c r="N379" i="10"/>
  <c r="M380" i="10"/>
  <c r="N380" i="10"/>
  <c r="M381" i="10"/>
  <c r="N381" i="10"/>
  <c r="M382" i="10"/>
  <c r="N382" i="10"/>
  <c r="M383" i="10"/>
  <c r="N383" i="10"/>
  <c r="M384" i="10"/>
  <c r="N384" i="10"/>
  <c r="M385" i="10"/>
  <c r="N385" i="10"/>
  <c r="M386" i="10"/>
  <c r="N386" i="10"/>
  <c r="M387" i="10"/>
  <c r="N387" i="10"/>
  <c r="M388" i="10"/>
  <c r="N388" i="10"/>
  <c r="M389" i="10"/>
  <c r="N389" i="10"/>
  <c r="M390" i="10"/>
  <c r="N390" i="10"/>
  <c r="M391" i="10"/>
  <c r="N391" i="10"/>
  <c r="M392" i="10"/>
  <c r="N392" i="10"/>
  <c r="M393" i="10"/>
  <c r="N393" i="10"/>
  <c r="M394" i="10"/>
  <c r="N394" i="10"/>
  <c r="M395" i="10"/>
  <c r="N395" i="10"/>
  <c r="M396" i="10"/>
  <c r="N396" i="10"/>
  <c r="M397" i="10"/>
  <c r="N397" i="10"/>
  <c r="M398" i="10"/>
  <c r="N398" i="10"/>
  <c r="M399" i="10"/>
  <c r="N399" i="10"/>
  <c r="M400" i="10"/>
  <c r="N400" i="10"/>
  <c r="M401" i="10"/>
  <c r="N401" i="10"/>
  <c r="M402" i="10"/>
  <c r="N402" i="10"/>
  <c r="M403" i="10"/>
  <c r="N403" i="10"/>
  <c r="M404" i="10"/>
  <c r="N404" i="10"/>
  <c r="M405" i="10"/>
  <c r="N405" i="10"/>
  <c r="M406" i="10"/>
  <c r="N406" i="10"/>
  <c r="M407" i="10"/>
  <c r="N407" i="10"/>
  <c r="M408" i="10"/>
  <c r="N408" i="10"/>
  <c r="M409" i="10"/>
  <c r="N409" i="10"/>
  <c r="M410" i="10"/>
  <c r="N410" i="10"/>
  <c r="M411" i="10"/>
  <c r="N411" i="10"/>
  <c r="M412" i="10"/>
  <c r="N412" i="10"/>
  <c r="M413" i="10"/>
  <c r="N413" i="10"/>
  <c r="M414" i="10"/>
  <c r="N414" i="10"/>
  <c r="M415" i="10"/>
  <c r="N415" i="10"/>
  <c r="M416" i="10"/>
  <c r="N416" i="10"/>
  <c r="M417" i="10"/>
  <c r="N417" i="10"/>
  <c r="M418" i="10"/>
  <c r="N418" i="10"/>
  <c r="M419" i="10"/>
  <c r="N419" i="10"/>
  <c r="M420" i="10"/>
  <c r="N420" i="10"/>
  <c r="M421" i="10"/>
  <c r="N421" i="10"/>
  <c r="M422" i="10"/>
  <c r="N422" i="10"/>
  <c r="M423" i="10"/>
  <c r="N423" i="10"/>
  <c r="M424" i="10"/>
  <c r="N424" i="10"/>
  <c r="M425" i="10"/>
  <c r="N425" i="10"/>
  <c r="M426" i="10"/>
  <c r="N426" i="10"/>
  <c r="M427" i="10"/>
  <c r="N427" i="10"/>
  <c r="M428" i="10"/>
  <c r="N428" i="10"/>
  <c r="M429" i="10"/>
  <c r="N429" i="10"/>
  <c r="M430" i="10"/>
  <c r="N430" i="10"/>
  <c r="M431" i="10"/>
  <c r="N431" i="10"/>
  <c r="M432" i="10"/>
  <c r="N432" i="10"/>
  <c r="M433" i="10"/>
  <c r="N433" i="10"/>
  <c r="M434" i="10"/>
  <c r="N434" i="10"/>
  <c r="M435" i="10"/>
  <c r="N435" i="10"/>
  <c r="M436" i="10"/>
  <c r="N436" i="10"/>
  <c r="M437" i="10"/>
  <c r="N437" i="10"/>
  <c r="M438" i="10"/>
  <c r="N438" i="10"/>
  <c r="M439" i="10"/>
  <c r="N439" i="10"/>
  <c r="M440" i="10"/>
  <c r="N440" i="10"/>
  <c r="M441" i="10"/>
  <c r="N441" i="10"/>
  <c r="M442" i="10"/>
  <c r="N442" i="10"/>
  <c r="M443" i="10"/>
  <c r="N443" i="10"/>
  <c r="M444" i="10"/>
  <c r="N444" i="10"/>
  <c r="M445" i="10"/>
  <c r="N445" i="10"/>
  <c r="M446" i="10"/>
  <c r="N446" i="10"/>
  <c r="M447" i="10"/>
  <c r="N447" i="10"/>
  <c r="M448" i="10"/>
  <c r="N448" i="10"/>
  <c r="M449" i="10"/>
  <c r="N449" i="10"/>
  <c r="M450" i="10"/>
  <c r="N450" i="10"/>
  <c r="M451" i="10"/>
  <c r="N451" i="10"/>
  <c r="M452" i="10"/>
  <c r="N452" i="10"/>
  <c r="M453" i="10"/>
  <c r="N453" i="10"/>
  <c r="M454" i="10"/>
  <c r="N454" i="10"/>
  <c r="M455" i="10"/>
  <c r="N455" i="10"/>
  <c r="M456" i="10"/>
  <c r="N456" i="10"/>
  <c r="M457" i="10"/>
  <c r="N457" i="10"/>
  <c r="M458" i="10"/>
  <c r="N458" i="10"/>
  <c r="M459" i="10"/>
  <c r="N459" i="10"/>
  <c r="M460" i="10"/>
  <c r="N460" i="10"/>
  <c r="M461" i="10"/>
  <c r="N461" i="10"/>
  <c r="M462" i="10"/>
  <c r="N462" i="10"/>
  <c r="M463" i="10"/>
  <c r="N463" i="10"/>
  <c r="M464" i="10"/>
  <c r="N464" i="10"/>
  <c r="M465" i="10"/>
  <c r="N465" i="10"/>
  <c r="M466" i="10"/>
  <c r="N466" i="10"/>
  <c r="M467" i="10"/>
  <c r="N467" i="10"/>
  <c r="M468" i="10"/>
  <c r="N468" i="10"/>
  <c r="M469" i="10"/>
  <c r="N469" i="10"/>
  <c r="M472" i="10"/>
  <c r="N472" i="10"/>
  <c r="M474" i="10"/>
  <c r="N474" i="10"/>
  <c r="M475" i="10"/>
  <c r="N475" i="10"/>
  <c r="M476" i="10"/>
  <c r="N476" i="10"/>
  <c r="M477" i="10"/>
  <c r="N477" i="10"/>
  <c r="M478" i="10"/>
  <c r="N478" i="10"/>
  <c r="M479" i="10"/>
  <c r="N479" i="10"/>
  <c r="M480" i="10"/>
  <c r="N480" i="10"/>
  <c r="M481" i="10"/>
  <c r="N481" i="10"/>
  <c r="M482" i="10"/>
  <c r="N482" i="10"/>
  <c r="M483" i="10"/>
  <c r="N483" i="10"/>
  <c r="M484" i="10"/>
  <c r="N484" i="10"/>
  <c r="M485" i="10"/>
  <c r="N485" i="10"/>
  <c r="M486" i="10"/>
  <c r="N486" i="10"/>
  <c r="M487" i="10"/>
  <c r="N487" i="10"/>
  <c r="M488" i="10"/>
  <c r="N488" i="10"/>
  <c r="M489" i="10"/>
  <c r="N489" i="10"/>
  <c r="M490" i="10"/>
  <c r="N490" i="10"/>
  <c r="M491" i="10"/>
  <c r="N491" i="10"/>
  <c r="M492" i="10"/>
  <c r="N492" i="10"/>
  <c r="M493" i="10"/>
  <c r="N493" i="10"/>
  <c r="M494" i="10"/>
  <c r="N494" i="10"/>
  <c r="M495" i="10"/>
  <c r="N495" i="10"/>
  <c r="M496" i="10"/>
  <c r="N496" i="10"/>
  <c r="M497" i="10"/>
  <c r="N497" i="10"/>
  <c r="M498" i="10"/>
  <c r="N498" i="10"/>
  <c r="M499" i="10"/>
  <c r="N499" i="10"/>
  <c r="M500" i="10"/>
  <c r="N500" i="10"/>
  <c r="M501" i="10"/>
  <c r="N501" i="10"/>
  <c r="M502" i="10"/>
  <c r="N502" i="10"/>
  <c r="M503" i="10"/>
  <c r="N503" i="10"/>
  <c r="M504" i="10"/>
  <c r="N504" i="10"/>
  <c r="M505" i="10"/>
  <c r="N505" i="10"/>
  <c r="M506" i="10"/>
  <c r="N506" i="10"/>
  <c r="M507" i="10"/>
  <c r="N507" i="10"/>
  <c r="M508" i="10"/>
  <c r="N508" i="10"/>
  <c r="M510" i="10"/>
  <c r="N510" i="10"/>
  <c r="M511" i="10"/>
  <c r="N511" i="10"/>
  <c r="M512" i="10"/>
  <c r="N512" i="10"/>
  <c r="M513" i="10"/>
  <c r="N513" i="10"/>
  <c r="M514" i="10"/>
  <c r="N514" i="10"/>
  <c r="M515" i="10"/>
  <c r="N515" i="10"/>
  <c r="M516" i="10"/>
  <c r="N516" i="10"/>
  <c r="M517" i="10"/>
  <c r="N517" i="10"/>
  <c r="M519" i="10"/>
  <c r="N519" i="10"/>
  <c r="M520" i="10"/>
  <c r="N520" i="10"/>
  <c r="M522" i="10"/>
  <c r="N522" i="10"/>
  <c r="M523" i="10"/>
  <c r="N523" i="10"/>
  <c r="M524" i="10"/>
  <c r="N524" i="10"/>
  <c r="M525" i="10"/>
  <c r="N525" i="10"/>
  <c r="M526" i="10"/>
  <c r="N526" i="10"/>
  <c r="M527" i="10"/>
  <c r="N527" i="10"/>
  <c r="M528" i="10"/>
  <c r="N528" i="10"/>
  <c r="M529" i="10"/>
  <c r="N529" i="10"/>
  <c r="M530" i="10"/>
  <c r="N530" i="10"/>
  <c r="M531" i="10"/>
  <c r="N531" i="10"/>
  <c r="M532" i="10"/>
  <c r="N532" i="10"/>
  <c r="M533" i="10"/>
  <c r="N533" i="10"/>
  <c r="M534" i="10"/>
  <c r="N534" i="10"/>
  <c r="M535" i="10"/>
  <c r="N535" i="10"/>
  <c r="M537" i="10"/>
  <c r="N537" i="10"/>
  <c r="M538" i="10"/>
  <c r="N538" i="10"/>
  <c r="M539" i="10"/>
  <c r="N539" i="10"/>
  <c r="M540" i="10"/>
  <c r="N540" i="10"/>
  <c r="M541" i="10"/>
  <c r="N541" i="10"/>
  <c r="M542" i="10"/>
  <c r="N542" i="10"/>
  <c r="M544" i="10"/>
  <c r="N544" i="10"/>
  <c r="M545" i="10"/>
  <c r="N545" i="10"/>
  <c r="M546" i="10"/>
  <c r="N546" i="10"/>
  <c r="M548" i="10"/>
  <c r="N548" i="10"/>
  <c r="M549" i="10"/>
  <c r="N549" i="10"/>
  <c r="M550" i="10"/>
  <c r="N550" i="10"/>
  <c r="M551" i="10"/>
  <c r="N551" i="10"/>
  <c r="M552" i="10"/>
  <c r="N552" i="10"/>
  <c r="M553" i="10"/>
  <c r="N553" i="10"/>
  <c r="M554" i="10"/>
  <c r="N554" i="10"/>
  <c r="M555" i="10"/>
  <c r="N555" i="10"/>
  <c r="M556" i="10"/>
  <c r="N556" i="10"/>
  <c r="M557" i="10"/>
  <c r="N557" i="10"/>
  <c r="M558" i="10"/>
  <c r="N558" i="10"/>
  <c r="M559" i="10"/>
  <c r="N559" i="10"/>
  <c r="M560" i="10"/>
  <c r="N560" i="10"/>
  <c r="M561" i="10"/>
  <c r="N561" i="10"/>
  <c r="M562" i="10"/>
  <c r="N562" i="10"/>
  <c r="M563" i="10"/>
  <c r="N563" i="10"/>
  <c r="M564" i="10"/>
  <c r="N564" i="10"/>
  <c r="M565" i="10"/>
  <c r="N565" i="10"/>
  <c r="M566" i="10"/>
  <c r="N566" i="10"/>
  <c r="M567" i="10"/>
  <c r="N567" i="10"/>
  <c r="M568" i="10"/>
  <c r="N568" i="10"/>
  <c r="M569" i="10"/>
  <c r="N569" i="10"/>
  <c r="M570" i="10"/>
  <c r="N570" i="10"/>
  <c r="M571" i="10"/>
  <c r="N571" i="10"/>
  <c r="M572" i="10"/>
  <c r="N572" i="10"/>
  <c r="M573" i="10"/>
  <c r="N573" i="10"/>
  <c r="M574" i="10"/>
  <c r="N574" i="10"/>
  <c r="M575" i="10"/>
  <c r="N575" i="10"/>
  <c r="M576" i="10"/>
  <c r="N576" i="10"/>
  <c r="M577" i="10"/>
  <c r="N577" i="10"/>
  <c r="M578" i="10"/>
  <c r="N578" i="10"/>
  <c r="M579" i="10"/>
  <c r="N579" i="10"/>
  <c r="M580" i="10"/>
  <c r="N580" i="10"/>
  <c r="M581" i="10"/>
  <c r="N581" i="10"/>
  <c r="M582" i="10"/>
  <c r="N582" i="10"/>
  <c r="M583" i="10"/>
  <c r="N583" i="10"/>
  <c r="M584" i="10"/>
  <c r="N584" i="10"/>
  <c r="M585" i="10"/>
  <c r="N585" i="10"/>
  <c r="M586" i="10"/>
  <c r="N586" i="10"/>
  <c r="M587" i="10"/>
  <c r="N587" i="10"/>
  <c r="M588" i="10"/>
  <c r="N588" i="10"/>
  <c r="M589" i="10"/>
  <c r="N589" i="10"/>
  <c r="M590" i="10"/>
  <c r="N590" i="10"/>
  <c r="M591" i="10"/>
  <c r="N591" i="10"/>
  <c r="M592" i="10"/>
  <c r="N592" i="10"/>
  <c r="M593" i="10"/>
  <c r="N593" i="10"/>
  <c r="M594" i="10"/>
  <c r="N594" i="10"/>
  <c r="M595" i="10"/>
  <c r="N595" i="10"/>
  <c r="M596" i="10"/>
  <c r="N596" i="10"/>
  <c r="M597" i="10"/>
  <c r="N597" i="10"/>
  <c r="M599" i="10"/>
  <c r="N599" i="10"/>
  <c r="M601" i="10"/>
  <c r="N601" i="10"/>
  <c r="M602" i="10"/>
  <c r="N602" i="10"/>
  <c r="M603" i="10"/>
  <c r="N603" i="10"/>
  <c r="M604" i="10"/>
  <c r="N604" i="10"/>
  <c r="M605" i="10"/>
  <c r="N605" i="10"/>
  <c r="M606" i="10"/>
  <c r="N606" i="10"/>
  <c r="M607" i="10"/>
  <c r="N607" i="10"/>
  <c r="M608" i="10"/>
  <c r="N608" i="10"/>
  <c r="M609" i="10"/>
  <c r="N609" i="10"/>
  <c r="M610" i="10"/>
  <c r="N610" i="10"/>
  <c r="M611" i="10"/>
  <c r="N611" i="10"/>
  <c r="M612" i="10"/>
  <c r="N612" i="10"/>
  <c r="M613" i="10"/>
  <c r="N613" i="10"/>
  <c r="M614" i="10"/>
  <c r="N614" i="10"/>
  <c r="M615" i="10"/>
  <c r="N615" i="10"/>
  <c r="M616" i="10"/>
  <c r="N616" i="10"/>
  <c r="M617" i="10"/>
  <c r="N617" i="10"/>
  <c r="M618" i="10"/>
  <c r="N618" i="10"/>
  <c r="M619" i="10"/>
  <c r="N619" i="10"/>
  <c r="M620" i="10"/>
  <c r="N620" i="10"/>
  <c r="M621" i="10"/>
  <c r="N621" i="10"/>
  <c r="M622" i="10"/>
  <c r="N622" i="10"/>
  <c r="M623" i="10"/>
  <c r="N623" i="10"/>
  <c r="M624" i="10"/>
  <c r="N624" i="10"/>
  <c r="M625" i="10"/>
  <c r="N625" i="10"/>
  <c r="M626" i="10"/>
  <c r="N626" i="10"/>
  <c r="M627" i="10"/>
  <c r="N627" i="10"/>
  <c r="M628" i="10"/>
  <c r="N628" i="10"/>
  <c r="M629" i="10"/>
  <c r="N629" i="10"/>
  <c r="M630" i="10"/>
  <c r="N630" i="10"/>
  <c r="M631" i="10"/>
  <c r="N631" i="10"/>
  <c r="M632" i="10"/>
  <c r="N632" i="10"/>
  <c r="M633" i="10"/>
  <c r="N633" i="10"/>
  <c r="M634" i="10"/>
  <c r="N634" i="10"/>
  <c r="M635" i="10"/>
  <c r="N635" i="10"/>
  <c r="M636" i="10"/>
  <c r="N636" i="10"/>
  <c r="M637" i="10"/>
  <c r="N637" i="10"/>
  <c r="M638" i="10"/>
  <c r="N638" i="10"/>
  <c r="M639" i="10"/>
  <c r="N639" i="10"/>
  <c r="M640" i="10"/>
  <c r="N640" i="10"/>
  <c r="M641" i="10"/>
  <c r="N641" i="10"/>
  <c r="M642" i="10"/>
  <c r="N642" i="10"/>
  <c r="M643" i="10"/>
  <c r="N643" i="10"/>
  <c r="M644" i="10"/>
  <c r="N644" i="10"/>
  <c r="M645" i="10"/>
  <c r="N645" i="10"/>
  <c r="M646" i="10"/>
  <c r="N646" i="10"/>
  <c r="M647" i="10"/>
  <c r="N647" i="10"/>
  <c r="M648" i="10"/>
  <c r="N648" i="10"/>
  <c r="M649" i="10"/>
  <c r="N649" i="10"/>
  <c r="M650" i="10"/>
  <c r="N650" i="10"/>
  <c r="M651" i="10"/>
  <c r="N651" i="10"/>
  <c r="M652" i="10"/>
  <c r="N652" i="10"/>
  <c r="M653" i="10"/>
  <c r="N653" i="10"/>
  <c r="M654" i="10"/>
  <c r="N654" i="10"/>
  <c r="M655" i="10"/>
  <c r="N655" i="10"/>
  <c r="M656" i="10"/>
  <c r="N656" i="10"/>
  <c r="M657" i="10"/>
  <c r="N657" i="10"/>
  <c r="M658" i="10"/>
  <c r="N658" i="10"/>
  <c r="M659" i="10"/>
  <c r="N659" i="10"/>
  <c r="M660" i="10"/>
  <c r="N660" i="10"/>
  <c r="M661" i="10"/>
  <c r="N661" i="10"/>
  <c r="M662" i="10"/>
  <c r="N662" i="10"/>
  <c r="M663" i="10"/>
  <c r="N663" i="10"/>
  <c r="M664" i="10"/>
  <c r="N664" i="10"/>
  <c r="M665" i="10"/>
  <c r="N665" i="10"/>
  <c r="M666" i="10"/>
  <c r="N666" i="10"/>
  <c r="M667" i="10"/>
  <c r="N667" i="10"/>
  <c r="M668" i="10"/>
  <c r="N668" i="10"/>
  <c r="M669" i="10"/>
  <c r="N669" i="10"/>
  <c r="M670" i="10"/>
  <c r="N670" i="10"/>
  <c r="M671" i="10"/>
  <c r="N671" i="10"/>
  <c r="M672" i="10"/>
  <c r="N672" i="10"/>
  <c r="M673" i="10"/>
  <c r="N673" i="10"/>
  <c r="M674" i="10"/>
  <c r="N674" i="10"/>
  <c r="M675" i="10"/>
  <c r="N675" i="10"/>
  <c r="M676" i="10"/>
  <c r="N676" i="10"/>
  <c r="M677" i="10"/>
  <c r="N677" i="10"/>
  <c r="M678" i="10"/>
  <c r="N678" i="10"/>
  <c r="M679" i="10"/>
  <c r="N679" i="10"/>
  <c r="M680" i="10"/>
  <c r="N680" i="10"/>
  <c r="M681" i="10"/>
  <c r="N681" i="10"/>
  <c r="M682" i="10"/>
  <c r="N682" i="10"/>
  <c r="M683" i="10"/>
  <c r="N683" i="10"/>
  <c r="M684" i="10"/>
  <c r="N684" i="10"/>
  <c r="M685" i="10"/>
  <c r="N685" i="10"/>
  <c r="M686" i="10"/>
  <c r="N686" i="10"/>
  <c r="M687" i="10"/>
  <c r="N687" i="10"/>
  <c r="M688" i="10"/>
  <c r="N688" i="10"/>
  <c r="M689" i="10"/>
  <c r="N689" i="10"/>
  <c r="M690" i="10"/>
  <c r="N690" i="10"/>
  <c r="M691" i="10"/>
  <c r="N691" i="10"/>
  <c r="M692" i="10"/>
  <c r="N692" i="10"/>
  <c r="M693" i="10"/>
  <c r="N693" i="10"/>
  <c r="M694" i="10"/>
  <c r="N694" i="10"/>
  <c r="M695" i="10"/>
  <c r="N695" i="10"/>
  <c r="M696" i="10"/>
  <c r="N696" i="10"/>
  <c r="M697" i="10"/>
  <c r="N697" i="10"/>
  <c r="M698" i="10"/>
  <c r="N698" i="10"/>
  <c r="M699" i="10"/>
  <c r="N699" i="10"/>
  <c r="M700" i="10"/>
  <c r="N700" i="10"/>
  <c r="M701" i="10"/>
  <c r="N701" i="10"/>
  <c r="M702" i="10"/>
  <c r="N702" i="10"/>
  <c r="M703" i="10"/>
  <c r="N703" i="10"/>
  <c r="M704" i="10"/>
  <c r="N704" i="10"/>
  <c r="M705" i="10"/>
  <c r="N705" i="10"/>
  <c r="M706" i="10"/>
  <c r="N706" i="10"/>
  <c r="M707" i="10"/>
  <c r="N707" i="10"/>
  <c r="M708" i="10"/>
  <c r="N708" i="10"/>
  <c r="M709" i="10"/>
  <c r="N709" i="10"/>
  <c r="M710" i="10"/>
  <c r="N710" i="10"/>
  <c r="M711" i="10"/>
  <c r="N711" i="10"/>
  <c r="M712" i="10"/>
  <c r="N712" i="10"/>
  <c r="M713" i="10"/>
  <c r="N713" i="10"/>
  <c r="M714" i="10"/>
  <c r="N714" i="10"/>
  <c r="M715" i="10"/>
  <c r="N715" i="10"/>
  <c r="M716" i="10"/>
  <c r="N716" i="10"/>
  <c r="M717" i="10"/>
  <c r="N717" i="10"/>
  <c r="M718" i="10"/>
  <c r="N718" i="10"/>
  <c r="M719" i="10"/>
  <c r="N719" i="10"/>
  <c r="M720" i="10"/>
  <c r="N720" i="10"/>
  <c r="M721" i="10"/>
  <c r="N721" i="10"/>
  <c r="M722" i="10"/>
  <c r="N722" i="10"/>
  <c r="M723" i="10"/>
  <c r="N723" i="10"/>
  <c r="M724" i="10"/>
  <c r="N724" i="10"/>
  <c r="M725" i="10"/>
  <c r="N725" i="10"/>
  <c r="M726" i="10"/>
  <c r="N726" i="10"/>
  <c r="M727" i="10"/>
  <c r="N727" i="10"/>
  <c r="M728" i="10"/>
  <c r="N728" i="10"/>
  <c r="M729" i="10"/>
  <c r="N729" i="10"/>
  <c r="M730" i="10"/>
  <c r="N730" i="10"/>
  <c r="M731" i="10"/>
  <c r="N731" i="10"/>
  <c r="M732" i="10"/>
  <c r="N732" i="10"/>
  <c r="M733" i="10"/>
  <c r="N733" i="10"/>
  <c r="M734" i="10"/>
  <c r="N734" i="10"/>
  <c r="M735" i="10"/>
  <c r="N735" i="10"/>
  <c r="M736" i="10"/>
  <c r="N736" i="10"/>
  <c r="M737" i="10"/>
  <c r="N737" i="10"/>
  <c r="M738" i="10"/>
  <c r="N738" i="10"/>
  <c r="M739" i="10"/>
  <c r="N739" i="10"/>
  <c r="M740" i="10"/>
  <c r="N740" i="10"/>
  <c r="M741" i="10"/>
  <c r="N741" i="10"/>
  <c r="M742" i="10"/>
  <c r="N742" i="10"/>
  <c r="M743" i="10"/>
  <c r="N743" i="10"/>
  <c r="M744" i="10"/>
  <c r="N744" i="10"/>
  <c r="M745" i="10"/>
  <c r="N745" i="10"/>
  <c r="M746" i="10"/>
  <c r="N746" i="10"/>
  <c r="M747" i="10"/>
  <c r="N747" i="10"/>
  <c r="M748" i="10"/>
  <c r="N748" i="10"/>
  <c r="M749" i="10"/>
  <c r="N749" i="10"/>
  <c r="M750" i="10"/>
  <c r="N750" i="10"/>
  <c r="M751" i="10"/>
  <c r="N751" i="10"/>
  <c r="M752" i="10"/>
  <c r="N752" i="10"/>
  <c r="M753" i="10"/>
  <c r="N753" i="10"/>
  <c r="M754" i="10"/>
  <c r="N754" i="10"/>
  <c r="M755" i="10"/>
  <c r="N755" i="10"/>
  <c r="M756" i="10"/>
  <c r="N756" i="10"/>
  <c r="M757" i="10"/>
  <c r="N757" i="10"/>
  <c r="M758" i="10"/>
  <c r="N758" i="10"/>
  <c r="M759" i="10"/>
  <c r="N759" i="10"/>
  <c r="M760" i="10"/>
  <c r="N760" i="10"/>
  <c r="M761" i="10"/>
  <c r="N761" i="10"/>
  <c r="M762" i="10"/>
  <c r="N762" i="10"/>
  <c r="M763" i="10"/>
  <c r="N763" i="10"/>
  <c r="M764" i="10"/>
  <c r="N764" i="10"/>
  <c r="M765" i="10"/>
  <c r="N765" i="10"/>
  <c r="M766" i="10"/>
  <c r="N766" i="10"/>
  <c r="M767" i="10"/>
  <c r="N767" i="10"/>
  <c r="M768" i="10"/>
  <c r="N768" i="10"/>
  <c r="M769" i="10"/>
  <c r="N769" i="10"/>
  <c r="M770" i="10"/>
  <c r="N770" i="10"/>
  <c r="M771" i="10"/>
  <c r="N771" i="10"/>
  <c r="M772" i="10"/>
  <c r="N772" i="10"/>
  <c r="M774" i="10"/>
  <c r="N774" i="10"/>
  <c r="M775" i="10"/>
  <c r="N775" i="10"/>
  <c r="M776" i="10"/>
  <c r="N776" i="10"/>
  <c r="M777" i="10"/>
  <c r="N777" i="10"/>
  <c r="M778" i="10"/>
  <c r="N778" i="10"/>
  <c r="M780" i="10"/>
  <c r="N780" i="10"/>
  <c r="M781" i="10"/>
  <c r="N781" i="10"/>
  <c r="M782" i="10"/>
  <c r="N782" i="10"/>
  <c r="M783" i="10"/>
  <c r="N783" i="10"/>
  <c r="M784" i="10"/>
  <c r="N784" i="10"/>
  <c r="M785" i="10"/>
  <c r="N785" i="10"/>
  <c r="M786" i="10"/>
  <c r="N786" i="10"/>
  <c r="M787" i="10"/>
  <c r="N787" i="10"/>
  <c r="M788" i="10"/>
  <c r="N788" i="10"/>
  <c r="M789" i="10"/>
  <c r="N789" i="10"/>
  <c r="M790" i="10"/>
  <c r="N790" i="10"/>
  <c r="M791" i="10"/>
  <c r="N791" i="10"/>
  <c r="M792" i="10"/>
  <c r="N792" i="10"/>
  <c r="M793" i="10"/>
  <c r="N793" i="10"/>
  <c r="M794" i="10"/>
  <c r="N794" i="10"/>
  <c r="M795" i="10"/>
  <c r="N795" i="10"/>
  <c r="M796" i="10"/>
  <c r="N796" i="10"/>
  <c r="M797" i="10"/>
  <c r="N797" i="10"/>
  <c r="M798" i="10"/>
  <c r="N798" i="10"/>
  <c r="M799" i="10"/>
  <c r="N799" i="10"/>
  <c r="M800" i="10"/>
  <c r="N800" i="10"/>
  <c r="M801" i="10"/>
  <c r="N801" i="10"/>
  <c r="M802" i="10"/>
  <c r="N802" i="10"/>
  <c r="M803" i="10"/>
  <c r="N803" i="10"/>
  <c r="M804" i="10"/>
  <c r="N804" i="10"/>
  <c r="M805" i="10"/>
  <c r="N805" i="10"/>
  <c r="M806" i="10"/>
  <c r="N806" i="10"/>
  <c r="M807" i="10"/>
  <c r="N807" i="10"/>
  <c r="M808" i="10"/>
  <c r="N808" i="10"/>
  <c r="M809" i="10"/>
  <c r="N809" i="10"/>
  <c r="M811" i="10"/>
  <c r="N811" i="10"/>
  <c r="M812" i="10"/>
  <c r="N812" i="10"/>
  <c r="M813" i="10"/>
  <c r="N813" i="10"/>
  <c r="M814" i="10"/>
  <c r="N814" i="10"/>
  <c r="M815" i="10"/>
  <c r="N815" i="10"/>
  <c r="M816" i="10"/>
  <c r="N816" i="10"/>
  <c r="M817" i="10"/>
  <c r="N817" i="10"/>
  <c r="M818" i="10"/>
  <c r="N818" i="10"/>
  <c r="M819" i="10"/>
  <c r="N819" i="10"/>
  <c r="M820" i="10"/>
  <c r="N820" i="10"/>
  <c r="M821" i="10"/>
  <c r="N821" i="10"/>
  <c r="M822" i="10"/>
  <c r="N822" i="10"/>
  <c r="M823" i="10"/>
  <c r="N823" i="10"/>
  <c r="M824" i="10"/>
  <c r="N824" i="10"/>
  <c r="M825" i="10"/>
  <c r="N825" i="10"/>
  <c r="M826" i="10"/>
  <c r="N826" i="10"/>
  <c r="M827" i="10"/>
  <c r="N827" i="10"/>
  <c r="M828" i="10"/>
  <c r="N828" i="10"/>
  <c r="M829" i="10"/>
  <c r="N829" i="10"/>
  <c r="M830" i="10"/>
  <c r="N830" i="10"/>
  <c r="M831" i="10"/>
  <c r="N831" i="10"/>
  <c r="M832" i="10"/>
  <c r="N832" i="10"/>
  <c r="M833" i="10"/>
  <c r="N833" i="10"/>
  <c r="M834" i="10"/>
  <c r="N834" i="10"/>
  <c r="M835" i="10"/>
  <c r="N835" i="10"/>
  <c r="M836" i="10"/>
  <c r="N836" i="10"/>
  <c r="M837" i="10"/>
  <c r="N837" i="10"/>
  <c r="M838" i="10"/>
  <c r="N838" i="10"/>
  <c r="M839" i="10"/>
  <c r="N839" i="10"/>
  <c r="M840" i="10"/>
  <c r="N840" i="10"/>
  <c r="M841" i="10"/>
  <c r="N841" i="10"/>
  <c r="M842" i="10"/>
  <c r="N842" i="10"/>
  <c r="M843" i="10"/>
  <c r="N843" i="10"/>
  <c r="M844" i="10"/>
  <c r="N844" i="10"/>
  <c r="M845" i="10"/>
  <c r="N845" i="10"/>
  <c r="M846" i="10"/>
  <c r="N846" i="10"/>
  <c r="M847" i="10"/>
  <c r="N847" i="10"/>
  <c r="M848" i="10"/>
  <c r="N848" i="10"/>
  <c r="M849" i="10"/>
  <c r="N849" i="10"/>
  <c r="M850" i="10"/>
  <c r="N850" i="10"/>
  <c r="M851" i="10"/>
  <c r="N851" i="10"/>
  <c r="M852" i="10"/>
  <c r="N852" i="10"/>
  <c r="M853" i="10"/>
  <c r="N853" i="10"/>
  <c r="M854" i="10"/>
  <c r="N854" i="10"/>
  <c r="M855" i="10"/>
  <c r="N855" i="10"/>
  <c r="M856" i="10"/>
  <c r="N856" i="10"/>
  <c r="M857" i="10"/>
  <c r="N857" i="10"/>
  <c r="M858" i="10"/>
  <c r="N858" i="10"/>
  <c r="M859" i="10"/>
  <c r="N859" i="10"/>
  <c r="M860" i="10"/>
  <c r="N860" i="10"/>
  <c r="M861" i="10"/>
  <c r="N861" i="10"/>
  <c r="M862" i="10"/>
  <c r="N862" i="10"/>
  <c r="M863" i="10"/>
  <c r="N863" i="10"/>
  <c r="M864" i="10"/>
  <c r="N864" i="10"/>
  <c r="M865" i="10"/>
  <c r="N865" i="10"/>
  <c r="M866" i="10"/>
  <c r="N866" i="10"/>
  <c r="M867" i="10"/>
  <c r="N867" i="10"/>
  <c r="M868" i="10"/>
  <c r="N868" i="10"/>
  <c r="M869" i="10"/>
  <c r="N869" i="10"/>
  <c r="M870" i="10"/>
  <c r="N870" i="10"/>
  <c r="M871" i="10"/>
  <c r="N871" i="10"/>
  <c r="M872" i="10"/>
  <c r="N872" i="10"/>
  <c r="M873" i="10"/>
  <c r="N873" i="10"/>
  <c r="M874" i="10"/>
  <c r="N874" i="10"/>
  <c r="M875" i="10"/>
  <c r="N875" i="10"/>
  <c r="M876" i="10"/>
  <c r="N876" i="10"/>
  <c r="M877" i="10"/>
  <c r="N877" i="10"/>
  <c r="M878" i="10"/>
  <c r="N878" i="10"/>
  <c r="M879" i="10"/>
  <c r="N879" i="10"/>
  <c r="M880" i="10"/>
  <c r="N880" i="10"/>
  <c r="M881" i="10"/>
  <c r="N881" i="10"/>
  <c r="M882" i="10"/>
  <c r="N882" i="10"/>
  <c r="M883" i="10"/>
  <c r="N883" i="10"/>
  <c r="M884" i="10"/>
  <c r="N884" i="10"/>
  <c r="M885" i="10"/>
  <c r="N885" i="10"/>
  <c r="M886" i="10"/>
  <c r="N886" i="10"/>
  <c r="M887" i="10"/>
  <c r="N887" i="10"/>
  <c r="M888" i="10"/>
  <c r="N888" i="10"/>
  <c r="M889" i="10"/>
  <c r="N889" i="10"/>
  <c r="M890" i="10"/>
  <c r="N890" i="10"/>
  <c r="M891" i="10"/>
  <c r="N891" i="10"/>
  <c r="M892" i="10"/>
  <c r="N892" i="10"/>
  <c r="M893" i="10"/>
  <c r="N893" i="10"/>
  <c r="M894" i="10"/>
  <c r="N894" i="10"/>
  <c r="M895" i="10"/>
  <c r="N895" i="10"/>
  <c r="M896" i="10"/>
  <c r="N896" i="10"/>
  <c r="M897" i="10"/>
  <c r="N897" i="10"/>
  <c r="M898" i="10"/>
  <c r="N898" i="10"/>
  <c r="M899" i="10"/>
  <c r="N899" i="10"/>
  <c r="M900" i="10"/>
  <c r="N900" i="10"/>
  <c r="M901" i="10"/>
  <c r="N901" i="10"/>
  <c r="M902" i="10"/>
  <c r="N902" i="10"/>
  <c r="M903" i="10"/>
  <c r="N903" i="10"/>
  <c r="M904" i="10"/>
  <c r="N904" i="10"/>
  <c r="M905" i="10"/>
  <c r="N905" i="10"/>
  <c r="M906" i="10"/>
  <c r="N906" i="10"/>
  <c r="M907" i="10"/>
  <c r="N907" i="10"/>
  <c r="M908" i="10"/>
  <c r="N908" i="10"/>
  <c r="M909" i="10"/>
  <c r="N909" i="10"/>
  <c r="M910" i="10"/>
  <c r="N910" i="10"/>
  <c r="M911" i="10"/>
  <c r="N911" i="10"/>
  <c r="M912" i="10"/>
  <c r="N912" i="10"/>
  <c r="M913" i="10"/>
  <c r="N913" i="10"/>
  <c r="M914" i="10"/>
  <c r="N914" i="10"/>
  <c r="M915" i="10"/>
  <c r="N915" i="10"/>
  <c r="M916" i="10"/>
  <c r="N916" i="10"/>
  <c r="M917" i="10"/>
  <c r="N917" i="10"/>
  <c r="M918" i="10"/>
  <c r="N918" i="10"/>
  <c r="M919" i="10"/>
  <c r="N919" i="10"/>
  <c r="M920" i="10"/>
  <c r="N920" i="10"/>
  <c r="M921" i="10"/>
  <c r="N921" i="10"/>
  <c r="M922" i="10"/>
  <c r="N922" i="10"/>
  <c r="M923" i="10"/>
  <c r="N923" i="10"/>
  <c r="M924" i="10"/>
  <c r="N924" i="10"/>
  <c r="M925" i="10"/>
  <c r="N925" i="10"/>
  <c r="M926" i="10"/>
  <c r="N926" i="10"/>
  <c r="M927" i="10"/>
  <c r="N927" i="10"/>
  <c r="M928" i="10"/>
  <c r="N928" i="10"/>
  <c r="M929" i="10"/>
  <c r="N929" i="10"/>
  <c r="M930" i="10"/>
  <c r="N930" i="10"/>
  <c r="M931" i="10"/>
  <c r="N931" i="10"/>
  <c r="M932" i="10"/>
  <c r="N932" i="10"/>
  <c r="M933" i="10"/>
  <c r="N933" i="10"/>
  <c r="M934" i="10"/>
  <c r="N934" i="10"/>
  <c r="M935" i="10"/>
  <c r="N935" i="10"/>
  <c r="M936" i="10"/>
  <c r="N936" i="10"/>
  <c r="M937" i="10"/>
  <c r="N937" i="10"/>
  <c r="M938" i="10"/>
  <c r="N938" i="10"/>
  <c r="M939" i="10"/>
  <c r="N939" i="10"/>
  <c r="M940" i="10"/>
  <c r="N940" i="10"/>
  <c r="M941" i="10"/>
  <c r="N941" i="10"/>
  <c r="M942" i="10"/>
  <c r="N942" i="10"/>
  <c r="M943" i="10"/>
  <c r="N943" i="10"/>
  <c r="M944" i="10"/>
  <c r="N944" i="10"/>
  <c r="M946" i="10"/>
  <c r="N946" i="10"/>
  <c r="M947" i="10"/>
  <c r="N947" i="10"/>
  <c r="M948" i="10"/>
  <c r="N948" i="10"/>
  <c r="M949" i="10"/>
  <c r="N949" i="10"/>
  <c r="M950" i="10"/>
  <c r="N950" i="10"/>
  <c r="M951" i="10"/>
  <c r="N951" i="10"/>
  <c r="M952" i="10"/>
  <c r="N952" i="10"/>
  <c r="M953" i="10"/>
  <c r="N953" i="10"/>
  <c r="M954" i="10"/>
  <c r="N954" i="10"/>
  <c r="M955" i="10"/>
  <c r="N955" i="10"/>
  <c r="M956" i="10"/>
  <c r="N956" i="10"/>
  <c r="M957" i="10"/>
  <c r="N957" i="10"/>
  <c r="M958" i="10"/>
  <c r="N958" i="10"/>
  <c r="M959" i="10"/>
  <c r="N959" i="10"/>
  <c r="M960" i="10"/>
  <c r="N960" i="10"/>
  <c r="M961" i="10"/>
  <c r="N961" i="10"/>
  <c r="M962" i="10"/>
  <c r="N962" i="10"/>
  <c r="M963" i="10"/>
  <c r="N963" i="10"/>
  <c r="M964" i="10"/>
  <c r="N964" i="10"/>
  <c r="M965" i="10"/>
  <c r="N965" i="10"/>
  <c r="M966" i="10"/>
  <c r="N966" i="10"/>
  <c r="M967" i="10"/>
  <c r="N967" i="10"/>
  <c r="M968" i="10"/>
  <c r="N968" i="10"/>
  <c r="M969" i="10"/>
  <c r="N969" i="10"/>
  <c r="M970" i="10"/>
  <c r="N970" i="10"/>
  <c r="M971" i="10"/>
  <c r="N971" i="10"/>
  <c r="M972" i="10"/>
  <c r="N972" i="10"/>
  <c r="M973" i="10"/>
  <c r="N973" i="10"/>
  <c r="M974" i="10"/>
  <c r="N974" i="10"/>
  <c r="M975" i="10"/>
  <c r="N975" i="10"/>
  <c r="M976" i="10"/>
  <c r="N976" i="10"/>
  <c r="M977" i="10"/>
  <c r="N977" i="10"/>
  <c r="M978" i="10"/>
  <c r="N978" i="10"/>
  <c r="M979" i="10"/>
  <c r="N979" i="10"/>
  <c r="M980" i="10"/>
  <c r="N980" i="10"/>
  <c r="M981" i="10"/>
  <c r="N981" i="10"/>
  <c r="M982" i="10"/>
  <c r="N982" i="10"/>
  <c r="M983" i="10"/>
  <c r="N983" i="10"/>
  <c r="M984" i="10"/>
  <c r="N984" i="10"/>
  <c r="M985" i="10"/>
  <c r="N985" i="10"/>
  <c r="M986" i="10"/>
  <c r="N986" i="10"/>
  <c r="M987" i="10"/>
  <c r="N987" i="10"/>
  <c r="M988" i="10"/>
  <c r="N988" i="10"/>
  <c r="M989" i="10"/>
  <c r="N989" i="10"/>
  <c r="M990" i="10"/>
  <c r="N990" i="10"/>
  <c r="M991" i="10"/>
  <c r="N991" i="10"/>
  <c r="M992" i="10"/>
  <c r="N992" i="10"/>
  <c r="M993" i="10"/>
  <c r="N993" i="10"/>
  <c r="M994" i="10"/>
  <c r="N994" i="10"/>
  <c r="M995" i="10"/>
  <c r="N995" i="10"/>
  <c r="M997" i="10"/>
  <c r="N997" i="10"/>
  <c r="M999" i="10"/>
  <c r="N999" i="10"/>
  <c r="M1000" i="10"/>
  <c r="N1000" i="10"/>
  <c r="M1001" i="10"/>
  <c r="N1001" i="10"/>
  <c r="M1002" i="10"/>
  <c r="N1002" i="10"/>
  <c r="M1003" i="10"/>
  <c r="N1003" i="10"/>
  <c r="M1004" i="10"/>
  <c r="N1004" i="10"/>
  <c r="M1005" i="10"/>
  <c r="N1005" i="10"/>
  <c r="M1006" i="10"/>
  <c r="N1006" i="10"/>
  <c r="M1007" i="10"/>
  <c r="N1007" i="10"/>
  <c r="M1008" i="10"/>
  <c r="N1008" i="10"/>
  <c r="M1010" i="10"/>
  <c r="N1010" i="10"/>
  <c r="M1011" i="10"/>
  <c r="N1011" i="10"/>
  <c r="M1012" i="10"/>
  <c r="N1012" i="10"/>
  <c r="M1013" i="10"/>
  <c r="N1013" i="10"/>
  <c r="M1014" i="10"/>
  <c r="N1014" i="10"/>
  <c r="M1016" i="10"/>
  <c r="N1016" i="10"/>
  <c r="M1017" i="10"/>
  <c r="N1017" i="10"/>
  <c r="M1018" i="10"/>
  <c r="N1018" i="10"/>
  <c r="M1019" i="10"/>
  <c r="N1019" i="10"/>
  <c r="M1020" i="10"/>
  <c r="N1020" i="10"/>
  <c r="M1021" i="10"/>
  <c r="N1021" i="10"/>
  <c r="M1023" i="10"/>
  <c r="N1023" i="10"/>
  <c r="M1024" i="10"/>
  <c r="N1024" i="10"/>
  <c r="M1025" i="10"/>
  <c r="N1025" i="10"/>
  <c r="M1026" i="10"/>
  <c r="N1026" i="10"/>
  <c r="M1027" i="10"/>
  <c r="N1027" i="10"/>
  <c r="M1028" i="10"/>
  <c r="N1028" i="10"/>
  <c r="M1029" i="10"/>
  <c r="N1029" i="10"/>
  <c r="M1030" i="10"/>
  <c r="N1030" i="10"/>
  <c r="M1032" i="10"/>
  <c r="N1032" i="10"/>
  <c r="M1033" i="10"/>
  <c r="N1033" i="10"/>
  <c r="M1034" i="10"/>
  <c r="N1034" i="10"/>
  <c r="M1035" i="10"/>
  <c r="N1035" i="10"/>
  <c r="M1036" i="10"/>
  <c r="N1036" i="10"/>
  <c r="M1037" i="10"/>
  <c r="N1037" i="10"/>
  <c r="M1038" i="10"/>
  <c r="N1038" i="10"/>
  <c r="M1039" i="10"/>
  <c r="N1039" i="10"/>
  <c r="M1040" i="10"/>
  <c r="N1040" i="10"/>
  <c r="M1041" i="10"/>
  <c r="N1041" i="10"/>
  <c r="M1042" i="10"/>
  <c r="N1042" i="10"/>
  <c r="M1043" i="10"/>
  <c r="N1043" i="10"/>
  <c r="M1044" i="10"/>
  <c r="N1044" i="10"/>
  <c r="M1045" i="10"/>
  <c r="N1045" i="10"/>
  <c r="M1046" i="10"/>
  <c r="N1046" i="10"/>
  <c r="M1047" i="10"/>
  <c r="N1047" i="10"/>
  <c r="M1048" i="10"/>
  <c r="N1048" i="10"/>
  <c r="M1049" i="10"/>
  <c r="N1049" i="10"/>
  <c r="M1050" i="10"/>
  <c r="N1050" i="10"/>
  <c r="M1051" i="10"/>
  <c r="N1051" i="10"/>
  <c r="M1052" i="10"/>
  <c r="N1052" i="10"/>
  <c r="M1053" i="10"/>
  <c r="N1053" i="10"/>
  <c r="M1054" i="10"/>
  <c r="N1054" i="10"/>
  <c r="M1055" i="10"/>
  <c r="N1055" i="10"/>
  <c r="M1056" i="10"/>
  <c r="N1056" i="10"/>
  <c r="M1057" i="10"/>
  <c r="N1057" i="10"/>
  <c r="M1058" i="10"/>
  <c r="N1058" i="10"/>
  <c r="M1059" i="10"/>
  <c r="N1059" i="10"/>
  <c r="M1060" i="10"/>
  <c r="N1060" i="10"/>
  <c r="M1061" i="10"/>
  <c r="N1061" i="10"/>
  <c r="M1062" i="10"/>
  <c r="N1062" i="10"/>
  <c r="M1064" i="10"/>
  <c r="N1064" i="10"/>
  <c r="M1065" i="10"/>
  <c r="N1065" i="10"/>
  <c r="M1066" i="10"/>
  <c r="N1066" i="10"/>
  <c r="M1067" i="10"/>
  <c r="N1067" i="10"/>
  <c r="M1068" i="10"/>
  <c r="N1068" i="10"/>
  <c r="M1069" i="10"/>
  <c r="N1069" i="10"/>
  <c r="M1071" i="10"/>
  <c r="N1071" i="10"/>
  <c r="M1072" i="10"/>
  <c r="N1072" i="10"/>
  <c r="M1073" i="10"/>
  <c r="N1073" i="10"/>
  <c r="M1074" i="10"/>
  <c r="N1074" i="10"/>
  <c r="M1075" i="10"/>
  <c r="N1075" i="10"/>
  <c r="M1076" i="10"/>
  <c r="N1076" i="10"/>
  <c r="M1077" i="10"/>
  <c r="N1077" i="10"/>
  <c r="M1078" i="10"/>
  <c r="N1078" i="10"/>
  <c r="M1079" i="10"/>
  <c r="N1079" i="10"/>
  <c r="M1080" i="10"/>
  <c r="N1080" i="10"/>
  <c r="M1081" i="10"/>
  <c r="N1081" i="10"/>
  <c r="M1082" i="10"/>
  <c r="N1082" i="10"/>
  <c r="M1083" i="10"/>
  <c r="N1083" i="10"/>
  <c r="M1084" i="10"/>
  <c r="N1084" i="10"/>
  <c r="M1085" i="10"/>
  <c r="N1085" i="10"/>
  <c r="M1086" i="10"/>
  <c r="N1086" i="10"/>
  <c r="M1087" i="10"/>
  <c r="N1087" i="10"/>
  <c r="M1088" i="10"/>
  <c r="N1088" i="10"/>
  <c r="M1089" i="10"/>
  <c r="N1089" i="10"/>
  <c r="M1091" i="10"/>
  <c r="N1091" i="10"/>
  <c r="M1092" i="10"/>
  <c r="N1092" i="10"/>
  <c r="M1093" i="10"/>
  <c r="N1093" i="10"/>
  <c r="M1094" i="10"/>
  <c r="N1094" i="10"/>
  <c r="M1095" i="10"/>
  <c r="N1095" i="10"/>
  <c r="M1096" i="10"/>
  <c r="N1096" i="10"/>
  <c r="M1097" i="10"/>
  <c r="N1097" i="10"/>
  <c r="M1098" i="10"/>
  <c r="N1098" i="10"/>
  <c r="M1099" i="10"/>
  <c r="N1099" i="10"/>
  <c r="M1102" i="10"/>
  <c r="N1102" i="10"/>
  <c r="M1103" i="10"/>
  <c r="N1103" i="10"/>
  <c r="M1104" i="10"/>
  <c r="N1104" i="10"/>
  <c r="M1105" i="10"/>
  <c r="N1105" i="10"/>
  <c r="M1106" i="10"/>
  <c r="N1106" i="10"/>
  <c r="M1107" i="10"/>
  <c r="N1107" i="10"/>
  <c r="M1108" i="10"/>
  <c r="N1108" i="10"/>
  <c r="M1109" i="10"/>
  <c r="N1109" i="10"/>
  <c r="M1110" i="10"/>
  <c r="N1110" i="10"/>
  <c r="M1111" i="10"/>
  <c r="N1111" i="10"/>
  <c r="M1112" i="10"/>
  <c r="N1112" i="10"/>
  <c r="M1113" i="10"/>
  <c r="N1113" i="10"/>
  <c r="M1114" i="10"/>
  <c r="N1114" i="10"/>
  <c r="M1115" i="10"/>
  <c r="N1115" i="10"/>
  <c r="M1116" i="10"/>
  <c r="N1116" i="10"/>
  <c r="M1117" i="10"/>
  <c r="N1117" i="10"/>
  <c r="M1118" i="10"/>
  <c r="N1118" i="10"/>
  <c r="M1120" i="10"/>
  <c r="N1120" i="10"/>
  <c r="M1121" i="10"/>
  <c r="N1121" i="10"/>
  <c r="M1122" i="10"/>
  <c r="N1122" i="10"/>
  <c r="M1123" i="10"/>
  <c r="N1123" i="10"/>
  <c r="M1125" i="10"/>
  <c r="N1125" i="10"/>
  <c r="M1126" i="10"/>
  <c r="N1126" i="10"/>
  <c r="M1128" i="10"/>
  <c r="N1128" i="10"/>
  <c r="M1129" i="10"/>
  <c r="N1129" i="10"/>
  <c r="M1130" i="10"/>
  <c r="N1130" i="10"/>
  <c r="M1131" i="10"/>
  <c r="N1131" i="10"/>
  <c r="M1132" i="10"/>
  <c r="N1132" i="10"/>
  <c r="M1134" i="10"/>
  <c r="N1134" i="10"/>
  <c r="M1135" i="10"/>
  <c r="N1135" i="10"/>
  <c r="M1136" i="10"/>
  <c r="N1136" i="10"/>
  <c r="M1137" i="10"/>
  <c r="N1137" i="10"/>
  <c r="M1138" i="10"/>
  <c r="N1138" i="10"/>
  <c r="M1139" i="10"/>
  <c r="N1139" i="10"/>
  <c r="M1140" i="10"/>
  <c r="N1140" i="10"/>
  <c r="M1141" i="10"/>
  <c r="N1141" i="10"/>
  <c r="M1142" i="10"/>
  <c r="N1142" i="10"/>
  <c r="M1143" i="10"/>
  <c r="N1143" i="10"/>
  <c r="M1144" i="10"/>
  <c r="N1144" i="10"/>
  <c r="M1145" i="10"/>
  <c r="N1145" i="10"/>
  <c r="M1147" i="10"/>
  <c r="N1147" i="10"/>
  <c r="M1148" i="10"/>
  <c r="N1148" i="10"/>
  <c r="M1149" i="10"/>
  <c r="N1149" i="10"/>
  <c r="M1150" i="10"/>
  <c r="N1150" i="10"/>
  <c r="M1151" i="10"/>
  <c r="N1151" i="10"/>
  <c r="M1152" i="10"/>
  <c r="N1152" i="10"/>
  <c r="M1154" i="10"/>
  <c r="N1154" i="10"/>
  <c r="M1155" i="10"/>
  <c r="N1155" i="10"/>
  <c r="M1156" i="10"/>
  <c r="N1156" i="10"/>
  <c r="M1157" i="10"/>
  <c r="N1157" i="10"/>
  <c r="M1158" i="10"/>
  <c r="N1158" i="10"/>
  <c r="M1159" i="10"/>
  <c r="N1159" i="10"/>
  <c r="M1160" i="10"/>
  <c r="N1160" i="10"/>
  <c r="M1161" i="10"/>
  <c r="N1161" i="10"/>
  <c r="M1162" i="10"/>
  <c r="N1162" i="10"/>
  <c r="M1163" i="10"/>
  <c r="N1163" i="10"/>
  <c r="M1164" i="10"/>
  <c r="N1164" i="10"/>
  <c r="M1165" i="10"/>
  <c r="N1165" i="10"/>
  <c r="M1166" i="10"/>
  <c r="N1166" i="10"/>
  <c r="M1167" i="10"/>
  <c r="N1167" i="10"/>
  <c r="M1168" i="10"/>
  <c r="N1168" i="10"/>
  <c r="M1169" i="10"/>
  <c r="N1169" i="10"/>
  <c r="M1170" i="10"/>
  <c r="N1170" i="10"/>
  <c r="M1172" i="10"/>
  <c r="N1172" i="10"/>
  <c r="M1173" i="10"/>
  <c r="N1173" i="10"/>
  <c r="M1174" i="10"/>
  <c r="N1174" i="10"/>
  <c r="M1175" i="10"/>
  <c r="N1175" i="10"/>
  <c r="M1176" i="10"/>
  <c r="N1176" i="10"/>
  <c r="M1177" i="10"/>
  <c r="N1177" i="10"/>
  <c r="M1178" i="10"/>
  <c r="N1178" i="10"/>
  <c r="M1179" i="10"/>
  <c r="N1179" i="10"/>
  <c r="M1180" i="10"/>
  <c r="N1180" i="10"/>
  <c r="M1181" i="10"/>
  <c r="N1181" i="10"/>
  <c r="M1182" i="10"/>
  <c r="N1182" i="10"/>
  <c r="M1183" i="10"/>
  <c r="N1183" i="10"/>
  <c r="M1185" i="10"/>
  <c r="N1185" i="10"/>
  <c r="M1186" i="10"/>
  <c r="N1186" i="10"/>
  <c r="M1187" i="10"/>
  <c r="N1187" i="10"/>
  <c r="M1188" i="10"/>
  <c r="N1188" i="10"/>
  <c r="M1189" i="10"/>
  <c r="N1189" i="10"/>
  <c r="M1190" i="10"/>
  <c r="N1190" i="10"/>
  <c r="M1192" i="10"/>
  <c r="N1192" i="10"/>
  <c r="M1193" i="10"/>
  <c r="N1193" i="10"/>
  <c r="M1194" i="10"/>
  <c r="N1194" i="10"/>
  <c r="M1195" i="10"/>
  <c r="N1195" i="10"/>
  <c r="M1196" i="10"/>
  <c r="N1196" i="10"/>
  <c r="M1197" i="10"/>
  <c r="N1197" i="10"/>
  <c r="M1198" i="10"/>
  <c r="N1198" i="10"/>
  <c r="M1199" i="10"/>
  <c r="N1199" i="10"/>
  <c r="M1200" i="10"/>
  <c r="N1200" i="10"/>
  <c r="M1201" i="10"/>
  <c r="N1201" i="10"/>
  <c r="M1202" i="10"/>
  <c r="N1202" i="10"/>
  <c r="M1203" i="10"/>
  <c r="N1203" i="10"/>
  <c r="M1204" i="10"/>
  <c r="N1204" i="10"/>
  <c r="M1205" i="10"/>
  <c r="N1205" i="10"/>
  <c r="M1206" i="10"/>
  <c r="N1206" i="10"/>
  <c r="M1207" i="10"/>
  <c r="N1207" i="10"/>
  <c r="M1208" i="10"/>
  <c r="N1208" i="10"/>
  <c r="M1209" i="10"/>
  <c r="N1209" i="10"/>
  <c r="M1210" i="10"/>
  <c r="N1210" i="10"/>
  <c r="M1211" i="10"/>
  <c r="N1211" i="10"/>
  <c r="M1212" i="10"/>
  <c r="N1212" i="10"/>
  <c r="M1213" i="10"/>
  <c r="N1213" i="10"/>
  <c r="M1214" i="10"/>
  <c r="N1214" i="10"/>
  <c r="M1215" i="10"/>
  <c r="N1215" i="10"/>
  <c r="M1216" i="10"/>
  <c r="N1216" i="10"/>
  <c r="M1217" i="10"/>
  <c r="N1217" i="10"/>
  <c r="M1218" i="10"/>
  <c r="N1218" i="10"/>
  <c r="M1219" i="10"/>
  <c r="N1219" i="10"/>
  <c r="M1220" i="10"/>
  <c r="N1220" i="10"/>
  <c r="M1221" i="10"/>
  <c r="N1221" i="10"/>
  <c r="M1222" i="10"/>
  <c r="N1222" i="10"/>
  <c r="M1223" i="10"/>
  <c r="N1223" i="10"/>
  <c r="M1224" i="10"/>
  <c r="N1224" i="10"/>
  <c r="M1225" i="10"/>
  <c r="N1225" i="10"/>
  <c r="M1226" i="10"/>
  <c r="N1226" i="10"/>
  <c r="M1227" i="10"/>
  <c r="N1227" i="10"/>
  <c r="M1228" i="10"/>
  <c r="N1228" i="10"/>
  <c r="M1229" i="10"/>
  <c r="N1229" i="10"/>
  <c r="M1230" i="10"/>
  <c r="N1230" i="10"/>
  <c r="M1231" i="10"/>
  <c r="N1231" i="10"/>
  <c r="M1232" i="10"/>
  <c r="N1232" i="10"/>
  <c r="M1233" i="10"/>
  <c r="N1233" i="10"/>
  <c r="M1234" i="10"/>
  <c r="N1234" i="10"/>
  <c r="M1235" i="10"/>
  <c r="N1235" i="10"/>
  <c r="M1236" i="10"/>
  <c r="N1236" i="10"/>
  <c r="M1237" i="10"/>
  <c r="N1237" i="10"/>
  <c r="M1238" i="10"/>
  <c r="N1238" i="10"/>
  <c r="M1239" i="10"/>
  <c r="N1239" i="10"/>
  <c r="M1240" i="10"/>
  <c r="N1240" i="10"/>
  <c r="M1241" i="10"/>
  <c r="N1241" i="10"/>
  <c r="M1242" i="10"/>
  <c r="N1242" i="10"/>
  <c r="M1243" i="10"/>
  <c r="N1243" i="10"/>
  <c r="M1244" i="10"/>
  <c r="N1244" i="10"/>
  <c r="M1246" i="10"/>
  <c r="N1246" i="10"/>
  <c r="M1247" i="10"/>
  <c r="N1247" i="10"/>
  <c r="M1249" i="10"/>
  <c r="N1249" i="10"/>
  <c r="M1250" i="10"/>
  <c r="N1250" i="10"/>
  <c r="M1251" i="10"/>
  <c r="N1251" i="10"/>
  <c r="M1252" i="10"/>
  <c r="N1252" i="10"/>
  <c r="M1254" i="10"/>
  <c r="N1254" i="10"/>
  <c r="M1255" i="10"/>
  <c r="N1255" i="10"/>
  <c r="M1256" i="10"/>
  <c r="N1256" i="10"/>
  <c r="M1257" i="10"/>
  <c r="N1257" i="10"/>
  <c r="M1258" i="10"/>
  <c r="N1258" i="10"/>
  <c r="M1259" i="10"/>
  <c r="N1259" i="10"/>
  <c r="M1260" i="10"/>
  <c r="N1260" i="10"/>
  <c r="M1261" i="10"/>
  <c r="N1261" i="10"/>
  <c r="M1262" i="10"/>
  <c r="N1262" i="10"/>
  <c r="M1263" i="10"/>
  <c r="N1263" i="10"/>
  <c r="M1264" i="10"/>
  <c r="N1264" i="10"/>
  <c r="M1265" i="10"/>
  <c r="N1265" i="10"/>
  <c r="M1266" i="10"/>
  <c r="N1266" i="10"/>
  <c r="M1267" i="10"/>
  <c r="N1267" i="10"/>
  <c r="M1268" i="10"/>
  <c r="N1268" i="10"/>
  <c r="M1269" i="10"/>
  <c r="N1269" i="10"/>
  <c r="M1270" i="10"/>
  <c r="N1270" i="10"/>
  <c r="M1271" i="10"/>
  <c r="N1271" i="10"/>
  <c r="M1272" i="10"/>
  <c r="N1272" i="10"/>
  <c r="M1273" i="10"/>
  <c r="N1273" i="10"/>
  <c r="M1274" i="10"/>
  <c r="N1274" i="10"/>
  <c r="M1275" i="10"/>
  <c r="N1275" i="10"/>
  <c r="M1276" i="10"/>
  <c r="N1276" i="10"/>
  <c r="M1277" i="10"/>
  <c r="N1277" i="10"/>
  <c r="M1278" i="10"/>
  <c r="N1278" i="10"/>
  <c r="M1279" i="10"/>
  <c r="N1279" i="10"/>
  <c r="M1280" i="10"/>
  <c r="N1280" i="10"/>
  <c r="M1281" i="10"/>
  <c r="N1281" i="10"/>
  <c r="M1282" i="10"/>
  <c r="N1282" i="10"/>
  <c r="M1283" i="10"/>
  <c r="N1283" i="10"/>
  <c r="M1284" i="10"/>
  <c r="N1284" i="10"/>
  <c r="M1285" i="10"/>
  <c r="N1285" i="10"/>
  <c r="M1286" i="10"/>
  <c r="N1286" i="10"/>
  <c r="M1287" i="10"/>
  <c r="N1287" i="10"/>
  <c r="M1288" i="10"/>
  <c r="N1288" i="10"/>
  <c r="M1289" i="10"/>
  <c r="N1289" i="10"/>
  <c r="M1290" i="10"/>
  <c r="N1290" i="10"/>
  <c r="M1291" i="10"/>
  <c r="N1291" i="10"/>
  <c r="M1292" i="10"/>
  <c r="N1292" i="10"/>
  <c r="M1293" i="10"/>
  <c r="N1293" i="10"/>
  <c r="M1294" i="10"/>
  <c r="N1294" i="10"/>
  <c r="M1295" i="10"/>
  <c r="N1295" i="10"/>
  <c r="M1296" i="10"/>
  <c r="N1296" i="10"/>
  <c r="M1297" i="10"/>
  <c r="N1297" i="10"/>
  <c r="M1298" i="10"/>
  <c r="N1298" i="10"/>
  <c r="M1299" i="10"/>
  <c r="N1299" i="10"/>
  <c r="M1300" i="10"/>
  <c r="N1300" i="10"/>
  <c r="M1301" i="10"/>
  <c r="N1301" i="10"/>
  <c r="M1302" i="10"/>
  <c r="N1302" i="10"/>
  <c r="M1303" i="10"/>
  <c r="N1303" i="10"/>
  <c r="M1304" i="10"/>
  <c r="N1304" i="10"/>
  <c r="M1305" i="10"/>
  <c r="N1305" i="10"/>
  <c r="M1306" i="10"/>
  <c r="N1306" i="10"/>
  <c r="M1307" i="10"/>
  <c r="N1307" i="10"/>
  <c r="M1308" i="10"/>
  <c r="N1308" i="10"/>
  <c r="M1309" i="10"/>
  <c r="N1309" i="10"/>
  <c r="M1310" i="10"/>
  <c r="N1310" i="10"/>
  <c r="M1311" i="10"/>
  <c r="N1311" i="10"/>
  <c r="M1312" i="10"/>
  <c r="N1312" i="10"/>
  <c r="M1313" i="10"/>
  <c r="N1313" i="10"/>
  <c r="M1314" i="10"/>
  <c r="N1314" i="10"/>
  <c r="M1315" i="10"/>
  <c r="N1315" i="10"/>
  <c r="M1316" i="10"/>
  <c r="N1316" i="10"/>
  <c r="M1317" i="10"/>
  <c r="N1317" i="10"/>
  <c r="M1318" i="10"/>
  <c r="N1318" i="10"/>
  <c r="M1319" i="10"/>
  <c r="N1319" i="10"/>
  <c r="M1320" i="10"/>
  <c r="N1320" i="10"/>
  <c r="M1321" i="10"/>
  <c r="N1321" i="10"/>
  <c r="M1322" i="10"/>
  <c r="N1322" i="10"/>
  <c r="M1323" i="10"/>
  <c r="N1323" i="10"/>
  <c r="M1324" i="10"/>
  <c r="N1324" i="10"/>
  <c r="M1325" i="10"/>
  <c r="N1325" i="10"/>
  <c r="M1326" i="10"/>
  <c r="N1326" i="10"/>
  <c r="M1327" i="10"/>
  <c r="N1327" i="10"/>
  <c r="M1328" i="10"/>
  <c r="N1328" i="10"/>
  <c r="M1329" i="10"/>
  <c r="N1329" i="10"/>
  <c r="M1330" i="10"/>
  <c r="N1330" i="10"/>
  <c r="M1331" i="10"/>
  <c r="N1331" i="10"/>
  <c r="M1332" i="10"/>
  <c r="N1332" i="10"/>
  <c r="M1333" i="10"/>
  <c r="N1333" i="10"/>
  <c r="M1334" i="10"/>
  <c r="N1334" i="10"/>
  <c r="M1335" i="10"/>
  <c r="N1335" i="10"/>
  <c r="M1336" i="10"/>
  <c r="N1336" i="10"/>
  <c r="M1337" i="10"/>
  <c r="N1337" i="10"/>
  <c r="M1338" i="10"/>
  <c r="N1338" i="10"/>
  <c r="M1339" i="10"/>
  <c r="N1339" i="10"/>
  <c r="M1340" i="10"/>
  <c r="N1340" i="10"/>
  <c r="M1341" i="10"/>
  <c r="N1341" i="10"/>
  <c r="M1342" i="10"/>
  <c r="N1342" i="10"/>
  <c r="M1343" i="10"/>
  <c r="N1343" i="10"/>
  <c r="M1344" i="10"/>
  <c r="N1344" i="10"/>
  <c r="M1345" i="10"/>
  <c r="N1345" i="10"/>
  <c r="M1346" i="10"/>
  <c r="N1346" i="10"/>
  <c r="M1347" i="10"/>
  <c r="N1347" i="10"/>
  <c r="M1348" i="10"/>
  <c r="N1348" i="10"/>
  <c r="M1349" i="10"/>
  <c r="N1349" i="10"/>
  <c r="M1350" i="10"/>
  <c r="N1350" i="10"/>
  <c r="M1351" i="10"/>
  <c r="N1351" i="10"/>
  <c r="M1352" i="10"/>
  <c r="N1352" i="10"/>
  <c r="M1353" i="10"/>
  <c r="N1353" i="10"/>
  <c r="M1354" i="10"/>
  <c r="N1354" i="10"/>
  <c r="M1355" i="10"/>
  <c r="N1355" i="10"/>
  <c r="M1356" i="10"/>
  <c r="N1356" i="10"/>
  <c r="M1357" i="10"/>
  <c r="N1357" i="10"/>
  <c r="M1358" i="10"/>
  <c r="N1358" i="10"/>
  <c r="M1359" i="10"/>
  <c r="N1359" i="10"/>
  <c r="M1360" i="10"/>
  <c r="N1360" i="10"/>
  <c r="M1361" i="10"/>
  <c r="N1361" i="10"/>
  <c r="M1362" i="10"/>
  <c r="N1362" i="10"/>
  <c r="M1363" i="10"/>
  <c r="N1363" i="10"/>
  <c r="M1364" i="10"/>
  <c r="N1364" i="10"/>
  <c r="M1365" i="10"/>
  <c r="N1365" i="10"/>
  <c r="M1366" i="10"/>
  <c r="N1366" i="10"/>
  <c r="M1367" i="10"/>
  <c r="N1367" i="10"/>
  <c r="M1368" i="10"/>
  <c r="N1368" i="10"/>
  <c r="M1369" i="10"/>
  <c r="N1369" i="10"/>
  <c r="M1370" i="10"/>
  <c r="N1370" i="10"/>
  <c r="M1371" i="10"/>
  <c r="N1371" i="10"/>
  <c r="M1372" i="10"/>
  <c r="N1372" i="10"/>
  <c r="M1373" i="10"/>
  <c r="N1373" i="10"/>
  <c r="M1374" i="10"/>
  <c r="N1374" i="10"/>
  <c r="M1375" i="10"/>
  <c r="N1375" i="10"/>
  <c r="M1376" i="10"/>
  <c r="N1376" i="10"/>
  <c r="M1377" i="10"/>
  <c r="N1377" i="10"/>
  <c r="M1378" i="10"/>
  <c r="N1378" i="10"/>
  <c r="M1379" i="10"/>
  <c r="N1379" i="10"/>
  <c r="M1380" i="10"/>
  <c r="N1380" i="10"/>
  <c r="M1381" i="10"/>
  <c r="N1381" i="10"/>
  <c r="M1382" i="10"/>
  <c r="N1382" i="10"/>
  <c r="M1383" i="10"/>
  <c r="N1383" i="10"/>
  <c r="M1384" i="10"/>
  <c r="N1384" i="10"/>
  <c r="M1385" i="10"/>
  <c r="N1385" i="10"/>
  <c r="M1386" i="10"/>
  <c r="N1386" i="10"/>
  <c r="M1387" i="10"/>
  <c r="N1387" i="10"/>
  <c r="M1388" i="10"/>
  <c r="N1388" i="10"/>
  <c r="M1389" i="10"/>
  <c r="N1389" i="10"/>
  <c r="M1390" i="10"/>
  <c r="N1390" i="10"/>
  <c r="M1391" i="10"/>
  <c r="N1391" i="10"/>
  <c r="M1392" i="10"/>
  <c r="N1392" i="10"/>
  <c r="M1393" i="10"/>
  <c r="N1393" i="10"/>
  <c r="M1394" i="10"/>
  <c r="N1394" i="10"/>
  <c r="M1395" i="10"/>
  <c r="N1395" i="10"/>
  <c r="M1396" i="10"/>
  <c r="N1396" i="10"/>
  <c r="M1397" i="10"/>
  <c r="N1397" i="10"/>
  <c r="M1398" i="10"/>
  <c r="N1398" i="10"/>
  <c r="M1399" i="10"/>
  <c r="N1399" i="10"/>
  <c r="M1401" i="10"/>
  <c r="N1401" i="10"/>
  <c r="M1402" i="10"/>
  <c r="N1402" i="10"/>
  <c r="M1403" i="10"/>
  <c r="N1403" i="10"/>
  <c r="M1404" i="10"/>
  <c r="N1404" i="10"/>
  <c r="M1405" i="10"/>
  <c r="N1405" i="10"/>
  <c r="M1406" i="10"/>
  <c r="N1406" i="10"/>
  <c r="M1408" i="10"/>
  <c r="N1408" i="10"/>
  <c r="M1409" i="10"/>
  <c r="N1409" i="10"/>
  <c r="M1410" i="10"/>
  <c r="N1410" i="10"/>
  <c r="M1411" i="10"/>
  <c r="N1411" i="10"/>
  <c r="M1412" i="10"/>
  <c r="N1412" i="10"/>
  <c r="M1413" i="10"/>
  <c r="N1413" i="10"/>
  <c r="M1414" i="10"/>
  <c r="N1414" i="10"/>
  <c r="M1415" i="10"/>
  <c r="N1415" i="10"/>
  <c r="M1416" i="10"/>
  <c r="N1416" i="10"/>
  <c r="M1417" i="10"/>
  <c r="N1417" i="10"/>
  <c r="M1419" i="10"/>
  <c r="N1419" i="10"/>
  <c r="M1420" i="10"/>
  <c r="N1420" i="10"/>
  <c r="M1421" i="10"/>
  <c r="N1421" i="10"/>
  <c r="M1422" i="10"/>
  <c r="N1422" i="10"/>
  <c r="M1423" i="10"/>
  <c r="N1423" i="10"/>
  <c r="M1424" i="10"/>
  <c r="N1424" i="10"/>
  <c r="M1425" i="10"/>
  <c r="N1425" i="10"/>
  <c r="M1426" i="10"/>
  <c r="N1426" i="10"/>
  <c r="M1427" i="10"/>
  <c r="N1427" i="10"/>
  <c r="M1428" i="10"/>
  <c r="N1428" i="10"/>
  <c r="M1429" i="10"/>
  <c r="N1429" i="10"/>
  <c r="M1430" i="10"/>
  <c r="N1430" i="10"/>
  <c r="M1431" i="10"/>
  <c r="N1431" i="10"/>
  <c r="M1432" i="10"/>
  <c r="N1432" i="10"/>
  <c r="M1433" i="10"/>
  <c r="N1433" i="10"/>
  <c r="M1434" i="10"/>
  <c r="N1434" i="10"/>
  <c r="M1435" i="10"/>
  <c r="N1435" i="10"/>
  <c r="M1436" i="10"/>
  <c r="N1436" i="10"/>
  <c r="M1437" i="10"/>
  <c r="N1437" i="10"/>
  <c r="M1438" i="10"/>
  <c r="N1438" i="10"/>
  <c r="M1439" i="10"/>
  <c r="N1439" i="10"/>
  <c r="M1441" i="10"/>
  <c r="N1441" i="10"/>
  <c r="M1442" i="10"/>
  <c r="N1442" i="10"/>
  <c r="M1443" i="10"/>
  <c r="N1443" i="10"/>
  <c r="M1444" i="10"/>
  <c r="N1444" i="10"/>
  <c r="M1445" i="10"/>
  <c r="N1445" i="10"/>
  <c r="M1446" i="10"/>
  <c r="N1446" i="10"/>
  <c r="M1447" i="10"/>
  <c r="N1447" i="10"/>
  <c r="M1448" i="10"/>
  <c r="N1448" i="10"/>
  <c r="M1449" i="10"/>
  <c r="N1449" i="10"/>
  <c r="M1450" i="10"/>
  <c r="N1450" i="10"/>
  <c r="M1451" i="10"/>
  <c r="N1451" i="10"/>
  <c r="M1452" i="10"/>
  <c r="N1452" i="10"/>
  <c r="M1453" i="10"/>
  <c r="N1453" i="10"/>
  <c r="M1454" i="10"/>
  <c r="N1454" i="10"/>
  <c r="M1455" i="10"/>
  <c r="N1455" i="10"/>
  <c r="M1456" i="10"/>
  <c r="N1456" i="10"/>
  <c r="M1457" i="10"/>
  <c r="N1457" i="10"/>
  <c r="M1458" i="10"/>
  <c r="N1458" i="10"/>
  <c r="M1459" i="10"/>
  <c r="N1459" i="10"/>
  <c r="M1460" i="10"/>
  <c r="N1460" i="10"/>
  <c r="M1461" i="10"/>
  <c r="N1461" i="10"/>
  <c r="M1462" i="10"/>
  <c r="N1462" i="10"/>
  <c r="M1463" i="10"/>
  <c r="N1463" i="10"/>
  <c r="M1464" i="10"/>
  <c r="N1464" i="10"/>
  <c r="M1465" i="10"/>
  <c r="N1465" i="10"/>
  <c r="M1466" i="10"/>
  <c r="N1466" i="10"/>
  <c r="M1467" i="10"/>
  <c r="N1467" i="10"/>
  <c r="M1468" i="10"/>
  <c r="N1468" i="10"/>
  <c r="M1469" i="10"/>
  <c r="N1469" i="10"/>
  <c r="M1470" i="10"/>
  <c r="N1470" i="10"/>
  <c r="M1471" i="10"/>
  <c r="N1471" i="10"/>
  <c r="M1472" i="10"/>
  <c r="N1472" i="10"/>
  <c r="M1473" i="10"/>
  <c r="N1473" i="10"/>
  <c r="M1474" i="10"/>
  <c r="N1474" i="10"/>
  <c r="M1475" i="10"/>
  <c r="N1475" i="10"/>
  <c r="M1476" i="10"/>
  <c r="N1476" i="10"/>
  <c r="M1477" i="10"/>
  <c r="N1477" i="10"/>
  <c r="M1478" i="10"/>
  <c r="N1478" i="10"/>
  <c r="M1479" i="10"/>
  <c r="N1479" i="10"/>
  <c r="M1480" i="10"/>
  <c r="N1480" i="10"/>
  <c r="M1481" i="10"/>
  <c r="N1481" i="10"/>
  <c r="M1482" i="10"/>
  <c r="N1482" i="10"/>
  <c r="M1483" i="10"/>
  <c r="N1483" i="10"/>
  <c r="M1484" i="10"/>
  <c r="N1484" i="10"/>
  <c r="M1485" i="10"/>
  <c r="N1485" i="10"/>
  <c r="M1486" i="10"/>
  <c r="N1486" i="10"/>
  <c r="M1487" i="10"/>
  <c r="N1487" i="10"/>
  <c r="M1488" i="10"/>
  <c r="N1488" i="10"/>
  <c r="M1490" i="10"/>
  <c r="N1490" i="10"/>
  <c r="M1492" i="10"/>
  <c r="N1492" i="10"/>
  <c r="M1493" i="10"/>
  <c r="N1493" i="10"/>
  <c r="M1494" i="10"/>
  <c r="N1494" i="10"/>
  <c r="M1495" i="10"/>
  <c r="N1495" i="10"/>
  <c r="M1496" i="10"/>
  <c r="N1496" i="10"/>
  <c r="M1497" i="10"/>
  <c r="N1497" i="10"/>
  <c r="M1498" i="10"/>
  <c r="N1498" i="10"/>
  <c r="M1500" i="10"/>
  <c r="N1500" i="10"/>
  <c r="M1502" i="10"/>
  <c r="N1502" i="10"/>
  <c r="M1503" i="10"/>
  <c r="N1503" i="10"/>
  <c r="M1504" i="10"/>
  <c r="N1504" i="10"/>
  <c r="M1505" i="10"/>
  <c r="N1505" i="10"/>
  <c r="M1506" i="10"/>
  <c r="N1506" i="10"/>
  <c r="M1507" i="10"/>
  <c r="N1507" i="10"/>
  <c r="M1509" i="10"/>
  <c r="N1509" i="10"/>
  <c r="M1510" i="10"/>
  <c r="N1510" i="10"/>
  <c r="M1511" i="10"/>
  <c r="N1511" i="10"/>
  <c r="M1512" i="10"/>
  <c r="N1512" i="10"/>
  <c r="M1514" i="10"/>
  <c r="N1514" i="10"/>
  <c r="M1516" i="10"/>
  <c r="N1516" i="10"/>
  <c r="M1517" i="10"/>
  <c r="N1517" i="10"/>
  <c r="M1518" i="10"/>
  <c r="N1518" i="10"/>
  <c r="M1519" i="10"/>
  <c r="N1519" i="10"/>
  <c r="M1520" i="10"/>
  <c r="N1520" i="10"/>
  <c r="M1521" i="10"/>
  <c r="N1521" i="10"/>
  <c r="M1522" i="10"/>
  <c r="N1522" i="10"/>
  <c r="M1523" i="10"/>
  <c r="N1523" i="10"/>
  <c r="M1524" i="10"/>
  <c r="N1524" i="10"/>
  <c r="M1525" i="10"/>
  <c r="N1525" i="10"/>
  <c r="M1526" i="10"/>
  <c r="N1526" i="10"/>
  <c r="M1527" i="10"/>
  <c r="N1527" i="10"/>
  <c r="M1528" i="10"/>
  <c r="N1528" i="10"/>
  <c r="M1529" i="10"/>
  <c r="N1529" i="10"/>
  <c r="M1530" i="10"/>
  <c r="N1530" i="10"/>
  <c r="M1531" i="10"/>
  <c r="N1531" i="10"/>
  <c r="M1532" i="10"/>
  <c r="N1532" i="10"/>
  <c r="M1533" i="10"/>
  <c r="N1533" i="10"/>
  <c r="M1534" i="10"/>
  <c r="N1534" i="10"/>
  <c r="M1535" i="10"/>
  <c r="N1535" i="10"/>
  <c r="M1536" i="10"/>
  <c r="N1536" i="10"/>
  <c r="M1537" i="10"/>
  <c r="N1537" i="10"/>
  <c r="M1538" i="10"/>
  <c r="N1538" i="10"/>
  <c r="M1539" i="10"/>
  <c r="N1539" i="10"/>
  <c r="M1540" i="10"/>
  <c r="N1540" i="10"/>
  <c r="M1541" i="10"/>
  <c r="N1541" i="10"/>
  <c r="M1542" i="10"/>
  <c r="N1542" i="10"/>
  <c r="M1543" i="10"/>
  <c r="N1543" i="10"/>
  <c r="M1544" i="10"/>
  <c r="N1544" i="10"/>
  <c r="M1545" i="10"/>
  <c r="N1545" i="10"/>
  <c r="M1546" i="10"/>
  <c r="N1546" i="10"/>
  <c r="M1547" i="10"/>
  <c r="N1547" i="10"/>
  <c r="M1548" i="10"/>
  <c r="N1548" i="10"/>
  <c r="M1549" i="10"/>
  <c r="N1549" i="10"/>
  <c r="M1550" i="10"/>
  <c r="N1550" i="10"/>
  <c r="M1551" i="10"/>
  <c r="N1551" i="10"/>
  <c r="M1552" i="10"/>
  <c r="N1552" i="10"/>
  <c r="M1553" i="10"/>
  <c r="N1553" i="10"/>
  <c r="M1554" i="10"/>
  <c r="N1554" i="10"/>
  <c r="M1555" i="10"/>
  <c r="N1555" i="10"/>
  <c r="M1557" i="10"/>
  <c r="N1557" i="10"/>
  <c r="M1558" i="10"/>
  <c r="N1558" i="10"/>
  <c r="M1559" i="10"/>
  <c r="N1559" i="10"/>
  <c r="M1560" i="10"/>
  <c r="N1560" i="10"/>
  <c r="M1561" i="10"/>
  <c r="N1561" i="10"/>
  <c r="M1562" i="10"/>
  <c r="N1562" i="10"/>
  <c r="M1563" i="10"/>
  <c r="N1563" i="10"/>
  <c r="M1564" i="10"/>
  <c r="N1564" i="10"/>
  <c r="M1565" i="10"/>
  <c r="N1565" i="10"/>
  <c r="M1567" i="10"/>
  <c r="N1567" i="10"/>
  <c r="M1568" i="10"/>
  <c r="N1568" i="10"/>
  <c r="M1569" i="10"/>
  <c r="N1569" i="10"/>
  <c r="M1570" i="10"/>
  <c r="N1570" i="10"/>
  <c r="M1572" i="10"/>
  <c r="N1572" i="10"/>
  <c r="M1573" i="10"/>
  <c r="N1573" i="10"/>
  <c r="M1574" i="10"/>
  <c r="N1574" i="10"/>
  <c r="M1576" i="10"/>
  <c r="N1576" i="10"/>
  <c r="M1577" i="10"/>
  <c r="N1577" i="10"/>
  <c r="M1578" i="10"/>
  <c r="N1578" i="10"/>
  <c r="M1579" i="10"/>
  <c r="N1579" i="10"/>
  <c r="M1580" i="10"/>
  <c r="N1580" i="10"/>
  <c r="M1581" i="10"/>
  <c r="N1581" i="10"/>
  <c r="M1582" i="10"/>
  <c r="N1582" i="10"/>
  <c r="M1583" i="10"/>
  <c r="N1583" i="10"/>
  <c r="M1584" i="10"/>
  <c r="N1584" i="10"/>
  <c r="M1586" i="10"/>
  <c r="N1586" i="10"/>
  <c r="M1587" i="10"/>
  <c r="N1587" i="10"/>
  <c r="M1588" i="10"/>
  <c r="N1588" i="10"/>
  <c r="M1589" i="10"/>
  <c r="N1589" i="10"/>
  <c r="M1590" i="10"/>
  <c r="N1590" i="10"/>
  <c r="M1591" i="10"/>
  <c r="N1591" i="10"/>
  <c r="M1592" i="10"/>
  <c r="N1592" i="10"/>
  <c r="M1595" i="10"/>
  <c r="N1595" i="10"/>
  <c r="M1596" i="10"/>
  <c r="N1596" i="10"/>
  <c r="M1597" i="10"/>
  <c r="N1597" i="10"/>
  <c r="M1598" i="10"/>
  <c r="N1598" i="10"/>
  <c r="M1600" i="10"/>
  <c r="N1600" i="10"/>
  <c r="M1601" i="10"/>
  <c r="N1601" i="10"/>
  <c r="M1602" i="10"/>
  <c r="N1602" i="10"/>
  <c r="M1603" i="10"/>
  <c r="N1603" i="10"/>
  <c r="M1604" i="10"/>
  <c r="N1604" i="10"/>
  <c r="M1605" i="10"/>
  <c r="N1605" i="10"/>
  <c r="M1606" i="10"/>
  <c r="N1606" i="10"/>
  <c r="M1607" i="10"/>
  <c r="N1607" i="10"/>
  <c r="M1608" i="10"/>
  <c r="N1608" i="10"/>
  <c r="M1609" i="10"/>
  <c r="N1609" i="10"/>
  <c r="M1610" i="10"/>
  <c r="N1610" i="10"/>
  <c r="M1611" i="10"/>
  <c r="N1611" i="10"/>
  <c r="M1612" i="10"/>
  <c r="N1612" i="10"/>
  <c r="M1613" i="10"/>
  <c r="N1613" i="10"/>
  <c r="M1614" i="10"/>
  <c r="N1614" i="10"/>
  <c r="M1615" i="10"/>
  <c r="N1615" i="10"/>
  <c r="M1616" i="10"/>
  <c r="N1616" i="10"/>
  <c r="M1617" i="10"/>
  <c r="N1617" i="10"/>
  <c r="M1618" i="10"/>
  <c r="N1618" i="10"/>
  <c r="M1619" i="10"/>
  <c r="N1619" i="10"/>
  <c r="M1620" i="10"/>
  <c r="N1620" i="10"/>
  <c r="M1622" i="10"/>
  <c r="N1622" i="10"/>
  <c r="M1623" i="10"/>
  <c r="N1623" i="10"/>
  <c r="M1624" i="10"/>
  <c r="N1624" i="10"/>
  <c r="M1625" i="10"/>
  <c r="N1625" i="10"/>
  <c r="M1626" i="10"/>
  <c r="N1626" i="10"/>
  <c r="M1627" i="10"/>
  <c r="N1627" i="10"/>
  <c r="M1630" i="10"/>
  <c r="N1630" i="10"/>
  <c r="M1631" i="10"/>
  <c r="N1631" i="10"/>
  <c r="M1632" i="10"/>
  <c r="N1632" i="10"/>
  <c r="M1633" i="10"/>
  <c r="N1633" i="10"/>
  <c r="M1635" i="10"/>
  <c r="N1635" i="10"/>
  <c r="M1636" i="10"/>
  <c r="N1636" i="10"/>
  <c r="M1637" i="10"/>
  <c r="N1637" i="10"/>
  <c r="M1638" i="10"/>
  <c r="N1638" i="10"/>
  <c r="M1639" i="10"/>
  <c r="N1639" i="10"/>
  <c r="M1641" i="10"/>
  <c r="N1641" i="10"/>
  <c r="M1642" i="10"/>
  <c r="N1642" i="10"/>
  <c r="M1643" i="10"/>
  <c r="N1643" i="10"/>
  <c r="M1644" i="10"/>
  <c r="N1644" i="10"/>
  <c r="M1645" i="10"/>
  <c r="N1645" i="10"/>
  <c r="M1646" i="10"/>
  <c r="N1646" i="10"/>
  <c r="M1649" i="10"/>
  <c r="N1649" i="10"/>
  <c r="M1650" i="10"/>
  <c r="N1650" i="10"/>
  <c r="M1651" i="10"/>
  <c r="N1651" i="10"/>
  <c r="M1653" i="10"/>
  <c r="N1653" i="10"/>
  <c r="M1658" i="10"/>
  <c r="N1658" i="10"/>
  <c r="M1659" i="10"/>
  <c r="N1659" i="10"/>
  <c r="M1660" i="10"/>
  <c r="N1660" i="10"/>
  <c r="M1661" i="10"/>
  <c r="N1661" i="10"/>
  <c r="M1662" i="10"/>
  <c r="N1662" i="10"/>
  <c r="M1663" i="10"/>
  <c r="N1663" i="10"/>
  <c r="M1664" i="10"/>
  <c r="N1664" i="10"/>
  <c r="M1665" i="10"/>
  <c r="N1665" i="10"/>
  <c r="M1666" i="10"/>
  <c r="N1666" i="10"/>
  <c r="M1667" i="10"/>
  <c r="N1667" i="10"/>
  <c r="M1668" i="10"/>
  <c r="N1668" i="10"/>
  <c r="M1669" i="10"/>
  <c r="N1669" i="10"/>
  <c r="M1670" i="10"/>
  <c r="N1670" i="10"/>
  <c r="M1671" i="10"/>
  <c r="N1671" i="10"/>
  <c r="M1672" i="10"/>
  <c r="N1672" i="10"/>
  <c r="M1673" i="10"/>
  <c r="N1673" i="10"/>
  <c r="M1674" i="10"/>
  <c r="N1674" i="10"/>
  <c r="M1675" i="10"/>
  <c r="N1675" i="10"/>
  <c r="M1676" i="10"/>
  <c r="N1676" i="10"/>
  <c r="M1677" i="10"/>
  <c r="N1677" i="10"/>
  <c r="M1678" i="10"/>
  <c r="N1678" i="10"/>
  <c r="M1679" i="10"/>
  <c r="N1679" i="10"/>
  <c r="M1680" i="10"/>
  <c r="N1680" i="10"/>
  <c r="M1681" i="10"/>
  <c r="N1681" i="10"/>
  <c r="M1683" i="10"/>
  <c r="N1683" i="10"/>
  <c r="M1684" i="10"/>
  <c r="N1684" i="10"/>
  <c r="M1685" i="10"/>
  <c r="N1685" i="10"/>
  <c r="M1686" i="10"/>
  <c r="N1686" i="10"/>
  <c r="M1687" i="10"/>
  <c r="N1687" i="10"/>
  <c r="M1689" i="10"/>
  <c r="N1689" i="10"/>
  <c r="M1690" i="10"/>
  <c r="N1690" i="10"/>
  <c r="M1691" i="10"/>
  <c r="N1691" i="10"/>
  <c r="M1692" i="10"/>
  <c r="N1692" i="10"/>
  <c r="M1693" i="10"/>
  <c r="N1693" i="10"/>
  <c r="M1694" i="10"/>
  <c r="N1694" i="10"/>
  <c r="M1695" i="10"/>
  <c r="N1695" i="10"/>
  <c r="M1696" i="10"/>
  <c r="N1696" i="10"/>
  <c r="M1697" i="10"/>
  <c r="N1697" i="10"/>
  <c r="M1698" i="10"/>
  <c r="N1698" i="10"/>
  <c r="M1699" i="10"/>
  <c r="N1699" i="10"/>
  <c r="M1700" i="10"/>
  <c r="N1700" i="10"/>
  <c r="M1701" i="10"/>
  <c r="N1701" i="10"/>
  <c r="M1702" i="10"/>
  <c r="N1702" i="10"/>
  <c r="M1703" i="10"/>
  <c r="N1703" i="10"/>
  <c r="M1704" i="10"/>
  <c r="N1704" i="10"/>
  <c r="M1705" i="10"/>
  <c r="N1705" i="10"/>
  <c r="M1706" i="10"/>
  <c r="N1706" i="10"/>
  <c r="M1707" i="10"/>
  <c r="N1707" i="10"/>
  <c r="M1708" i="10"/>
  <c r="N1708" i="10"/>
  <c r="M1709" i="10"/>
  <c r="N1709" i="10"/>
  <c r="M1710" i="10"/>
  <c r="N1710" i="10"/>
  <c r="M1711" i="10"/>
  <c r="N1711" i="10"/>
  <c r="M1712" i="10"/>
  <c r="N1712" i="10"/>
  <c r="M1714" i="10"/>
  <c r="N1714" i="10"/>
  <c r="M1715" i="10"/>
  <c r="N1715" i="10"/>
  <c r="M1716" i="10"/>
  <c r="N1716" i="10"/>
  <c r="M1717" i="10"/>
  <c r="N1717" i="10"/>
  <c r="M1719" i="10"/>
  <c r="N1719" i="10"/>
  <c r="M1721" i="10"/>
  <c r="N1721" i="10"/>
  <c r="M1722" i="10"/>
  <c r="N1722" i="10"/>
  <c r="M1723" i="10"/>
  <c r="N1723" i="10"/>
  <c r="M1724" i="10"/>
  <c r="N1724" i="10"/>
  <c r="M1725" i="10"/>
  <c r="N1725" i="10"/>
  <c r="M1726" i="10"/>
  <c r="N1726" i="10"/>
  <c r="M1727" i="10"/>
  <c r="N1727" i="10"/>
  <c r="M1728" i="10"/>
  <c r="N1728" i="10"/>
  <c r="M1729" i="10"/>
  <c r="N1729" i="10"/>
  <c r="M1730" i="10"/>
  <c r="N1730" i="10"/>
  <c r="M1731" i="10"/>
  <c r="N1731" i="10"/>
  <c r="M1732" i="10"/>
  <c r="N1732" i="10"/>
  <c r="M1733" i="10"/>
  <c r="N1733" i="10"/>
  <c r="M1734" i="10"/>
  <c r="N1734" i="10"/>
  <c r="M1735" i="10"/>
  <c r="N1735" i="10"/>
  <c r="M1736" i="10"/>
  <c r="N1736" i="10"/>
  <c r="M1737" i="10"/>
  <c r="N1737" i="10"/>
  <c r="M1738" i="10"/>
  <c r="N1738" i="10"/>
  <c r="M1739" i="10"/>
  <c r="N1739" i="10"/>
  <c r="M1740" i="10"/>
  <c r="N1740" i="10"/>
  <c r="M1741" i="10"/>
  <c r="N1741" i="10"/>
  <c r="M1742" i="10"/>
  <c r="N1742" i="10"/>
  <c r="M1743" i="10"/>
  <c r="N1743" i="10"/>
  <c r="M1744" i="10"/>
  <c r="N1744" i="10"/>
  <c r="M1746" i="10"/>
  <c r="N1746" i="10"/>
  <c r="M1747" i="10"/>
  <c r="N1747" i="10"/>
  <c r="M1748" i="10"/>
  <c r="N1748" i="10"/>
  <c r="M1749" i="10"/>
  <c r="N1749" i="10"/>
  <c r="M1751" i="10"/>
  <c r="N1751" i="10"/>
  <c r="M1752" i="10"/>
  <c r="N1752" i="10"/>
  <c r="M1753" i="10"/>
  <c r="N1753" i="10"/>
  <c r="M1754" i="10"/>
  <c r="N1754" i="10"/>
  <c r="M1755" i="10"/>
  <c r="N1755" i="10"/>
  <c r="M1756" i="10"/>
  <c r="N1756" i="10"/>
  <c r="M1757" i="10"/>
  <c r="N1757" i="10"/>
  <c r="M1758" i="10"/>
  <c r="N1758" i="10"/>
  <c r="M1759" i="10"/>
  <c r="N1759" i="10"/>
  <c r="M1760" i="10"/>
  <c r="N1760" i="10"/>
  <c r="M1761" i="10"/>
  <c r="N1761" i="10"/>
  <c r="M1762" i="10"/>
  <c r="N1762" i="10"/>
  <c r="M1763" i="10"/>
  <c r="N1763" i="10"/>
  <c r="M1764" i="10"/>
  <c r="N1764" i="10"/>
  <c r="M1765" i="10"/>
  <c r="N1765" i="10"/>
  <c r="M1766" i="10"/>
  <c r="N1766" i="10"/>
  <c r="M1767" i="10"/>
  <c r="N1767" i="10"/>
  <c r="M1768" i="10"/>
  <c r="N1768" i="10"/>
  <c r="M1769" i="10"/>
  <c r="N1769" i="10"/>
  <c r="M1770" i="10"/>
  <c r="N1770" i="10"/>
  <c r="M1771" i="10"/>
  <c r="N1771" i="10"/>
  <c r="M1772" i="10"/>
  <c r="N1772" i="10"/>
  <c r="M1773" i="10"/>
  <c r="N1773" i="10"/>
  <c r="M1774" i="10"/>
  <c r="N1774" i="10"/>
  <c r="M1775" i="10"/>
  <c r="N1775" i="10"/>
  <c r="M1776" i="10"/>
  <c r="N1776" i="10"/>
  <c r="M1777" i="10"/>
  <c r="N1777" i="10"/>
  <c r="M1778" i="10"/>
  <c r="N1778" i="10"/>
  <c r="M1779" i="10"/>
  <c r="N1779" i="10"/>
  <c r="M1780" i="10"/>
  <c r="N1780" i="10"/>
  <c r="M1781" i="10"/>
  <c r="N1781" i="10"/>
  <c r="M1782" i="10"/>
  <c r="N1782" i="10"/>
  <c r="M1783" i="10"/>
  <c r="N1783" i="10"/>
  <c r="M1784" i="10"/>
  <c r="N1784" i="10"/>
  <c r="M1785" i="10"/>
  <c r="N1785" i="10"/>
  <c r="M1788" i="10"/>
  <c r="N1788" i="10"/>
  <c r="M1789" i="10"/>
  <c r="N1789" i="10"/>
  <c r="M1790" i="10"/>
  <c r="N1790" i="10"/>
  <c r="M1791" i="10"/>
  <c r="N1791" i="10"/>
  <c r="M1792" i="10"/>
  <c r="N1792" i="10"/>
  <c r="M1793" i="10"/>
  <c r="N1793" i="10"/>
  <c r="M1794" i="10"/>
  <c r="N1794" i="10"/>
  <c r="M1795" i="10"/>
  <c r="N1795" i="10"/>
  <c r="M1796" i="10"/>
  <c r="N1796" i="10"/>
  <c r="M1797" i="10"/>
  <c r="N1797" i="10"/>
  <c r="M1798" i="10"/>
  <c r="N1798" i="10"/>
  <c r="M1799" i="10"/>
  <c r="N1799" i="10"/>
  <c r="M1800" i="10"/>
  <c r="N1800" i="10"/>
  <c r="M1801" i="10"/>
  <c r="N1801" i="10"/>
  <c r="M1802" i="10"/>
  <c r="N1802" i="10"/>
  <c r="M1803" i="10"/>
  <c r="N1803" i="10"/>
  <c r="M1804" i="10"/>
  <c r="N1804" i="10"/>
  <c r="M1805" i="10"/>
  <c r="N1805" i="10"/>
  <c r="M1806" i="10"/>
  <c r="N1806" i="10"/>
  <c r="M1807" i="10"/>
  <c r="N1807" i="10"/>
  <c r="M1808" i="10"/>
  <c r="N1808" i="10"/>
  <c r="M1810" i="10"/>
  <c r="N1810" i="10"/>
  <c r="M1811" i="10"/>
  <c r="N1811" i="10"/>
  <c r="M1812" i="10"/>
  <c r="N1812" i="10"/>
  <c r="M1813" i="10"/>
  <c r="N1813" i="10"/>
  <c r="M1814" i="10"/>
  <c r="N1814" i="10"/>
  <c r="M1815" i="10"/>
  <c r="N1815" i="10"/>
  <c r="M1816" i="10"/>
  <c r="N1816" i="10"/>
  <c r="M1817" i="10"/>
  <c r="N1817" i="10"/>
  <c r="M1819" i="10"/>
  <c r="N1819" i="10"/>
  <c r="M1821" i="10"/>
  <c r="N1821" i="10"/>
  <c r="M1823" i="10"/>
  <c r="N1823" i="10"/>
  <c r="M1824" i="10"/>
  <c r="N1824" i="10"/>
  <c r="M1826" i="10"/>
  <c r="N1826" i="10"/>
  <c r="M1827" i="10"/>
  <c r="N1827" i="10"/>
  <c r="M1828" i="10"/>
  <c r="N1828" i="10"/>
  <c r="M1829" i="10"/>
  <c r="N1829" i="10"/>
  <c r="M1830" i="10"/>
  <c r="N1830" i="10"/>
  <c r="M1832" i="10"/>
  <c r="N1832" i="10"/>
  <c r="M1833" i="10"/>
  <c r="N1833" i="10"/>
  <c r="M1834" i="10"/>
  <c r="N1834" i="10"/>
  <c r="M1835" i="10"/>
  <c r="N1835" i="10"/>
  <c r="M1836" i="10"/>
  <c r="N1836" i="10"/>
  <c r="M1837" i="10"/>
  <c r="N1837" i="10"/>
  <c r="M1839" i="10"/>
  <c r="N1839" i="10"/>
  <c r="M1840" i="10"/>
  <c r="N1840" i="10"/>
  <c r="M1841" i="10"/>
  <c r="N1841" i="10"/>
  <c r="M1842" i="10"/>
  <c r="N1842" i="10"/>
  <c r="M1843" i="10"/>
  <c r="N1843" i="10"/>
  <c r="M1844" i="10"/>
  <c r="N1844" i="10"/>
  <c r="M1845" i="10"/>
  <c r="N1845" i="10"/>
  <c r="M1846" i="10"/>
  <c r="N1846" i="10"/>
  <c r="M1847" i="10"/>
  <c r="N1847" i="10"/>
  <c r="M1848" i="10"/>
  <c r="N1848" i="10"/>
  <c r="M1849" i="10"/>
  <c r="N1849" i="10"/>
  <c r="M1850" i="10"/>
  <c r="N1850" i="10"/>
  <c r="M1851" i="10"/>
  <c r="N1851" i="10"/>
  <c r="M1852" i="10"/>
  <c r="N1852" i="10"/>
  <c r="M1853" i="10"/>
  <c r="N1853" i="10"/>
  <c r="M1854" i="10"/>
  <c r="N1854" i="10"/>
  <c r="M1856" i="10"/>
  <c r="N1856" i="10"/>
  <c r="M1857" i="10"/>
  <c r="N1857" i="10"/>
  <c r="M1858" i="10"/>
  <c r="N1858" i="10"/>
  <c r="M1859" i="10"/>
  <c r="N1859" i="10"/>
  <c r="M1860" i="10"/>
  <c r="N1860" i="10"/>
  <c r="M1861" i="10"/>
  <c r="N1861" i="10"/>
  <c r="M1862" i="10"/>
  <c r="N1862" i="10"/>
  <c r="M1863" i="10"/>
  <c r="N1863" i="10"/>
  <c r="M1864" i="10"/>
  <c r="N1864" i="10"/>
  <c r="M1865" i="10"/>
  <c r="N1865" i="10"/>
  <c r="M1866" i="10"/>
  <c r="N1866" i="10"/>
  <c r="M1867" i="10"/>
  <c r="N1867" i="10"/>
  <c r="M1868" i="10"/>
  <c r="N1868" i="10"/>
  <c r="M1869" i="10"/>
  <c r="N1869" i="10"/>
  <c r="M1870" i="10"/>
  <c r="N1870" i="10"/>
  <c r="M1871" i="10"/>
  <c r="N1871" i="10"/>
  <c r="M1872" i="10"/>
  <c r="N1872" i="10"/>
  <c r="M1873" i="10"/>
  <c r="N1873" i="10"/>
  <c r="M1874" i="10"/>
  <c r="N1874" i="10"/>
  <c r="M1875" i="10"/>
  <c r="N1875" i="10"/>
  <c r="M1876" i="10"/>
  <c r="N1876" i="10"/>
  <c r="M1877" i="10"/>
  <c r="N1877" i="10"/>
  <c r="M1878" i="10"/>
  <c r="N1878" i="10"/>
  <c r="M1879" i="10"/>
  <c r="N1879" i="10"/>
  <c r="M1880" i="10"/>
  <c r="N1880" i="10"/>
  <c r="M1881" i="10"/>
  <c r="N1881" i="10"/>
  <c r="M1882" i="10"/>
  <c r="N1882" i="10"/>
  <c r="M1883" i="10"/>
  <c r="N1883" i="10"/>
  <c r="M1884" i="10"/>
  <c r="N1884" i="10"/>
  <c r="M1885" i="10"/>
  <c r="N1885" i="10"/>
  <c r="M1886" i="10"/>
  <c r="N1886" i="10"/>
  <c r="M1887" i="10"/>
  <c r="N1887" i="10"/>
  <c r="M1888" i="10"/>
  <c r="N1888" i="10"/>
  <c r="M1889" i="10"/>
  <c r="N1889" i="10"/>
  <c r="M1890" i="10"/>
  <c r="N1890" i="10"/>
  <c r="M1891" i="10"/>
  <c r="N1891" i="10"/>
  <c r="M1892" i="10"/>
  <c r="N1892" i="10"/>
  <c r="M1893" i="10"/>
  <c r="N1893" i="10"/>
  <c r="M1894" i="10"/>
  <c r="N1894" i="10"/>
  <c r="M1895" i="10"/>
  <c r="N1895" i="10"/>
  <c r="M1896" i="10"/>
  <c r="N1896" i="10"/>
  <c r="M1897" i="10"/>
  <c r="N1897" i="10"/>
  <c r="M1898" i="10"/>
  <c r="N1898" i="10"/>
  <c r="M1899" i="10"/>
  <c r="N1899" i="10"/>
  <c r="M1900" i="10"/>
  <c r="N1900" i="10"/>
  <c r="M1901" i="10"/>
  <c r="N1901" i="10"/>
  <c r="M1902" i="10"/>
  <c r="N1902" i="10"/>
  <c r="M1903" i="10"/>
  <c r="N1903" i="10"/>
  <c r="M1904" i="10"/>
  <c r="N1904" i="10"/>
  <c r="M1905" i="10"/>
  <c r="N1905" i="10"/>
  <c r="M1906" i="10"/>
  <c r="N1906" i="10"/>
  <c r="M1907" i="10"/>
  <c r="N1907" i="10"/>
  <c r="M1908" i="10"/>
  <c r="N1908" i="10"/>
  <c r="M1909" i="10"/>
  <c r="N1909" i="10"/>
  <c r="M1910" i="10"/>
  <c r="N1910" i="10"/>
  <c r="M1911" i="10"/>
  <c r="N1911" i="10"/>
  <c r="M1912" i="10"/>
  <c r="N1912" i="10"/>
  <c r="M1913" i="10"/>
  <c r="N1913" i="10"/>
  <c r="M1914" i="10"/>
  <c r="N1914" i="10"/>
  <c r="M1915" i="10"/>
  <c r="N1915" i="10"/>
  <c r="M1916" i="10"/>
  <c r="N1916" i="10"/>
  <c r="M1917" i="10"/>
  <c r="N1917" i="10"/>
  <c r="M1918" i="10"/>
  <c r="N1918" i="10"/>
  <c r="M1919" i="10"/>
  <c r="N1919" i="10"/>
  <c r="M1920" i="10"/>
  <c r="N1920" i="10"/>
  <c r="M1921" i="10"/>
  <c r="N1921" i="10"/>
  <c r="M1922" i="10"/>
  <c r="N1922" i="10"/>
  <c r="M1924" i="10"/>
  <c r="N1924" i="10"/>
  <c r="M1925" i="10"/>
  <c r="N1925" i="10"/>
  <c r="M1926" i="10"/>
  <c r="N1926" i="10"/>
  <c r="M1927" i="10"/>
  <c r="N1927" i="10"/>
  <c r="M1928" i="10"/>
  <c r="N1928" i="10"/>
  <c r="M1929" i="10"/>
  <c r="N1929" i="10"/>
  <c r="M1930" i="10"/>
  <c r="N1930" i="10"/>
  <c r="M1931" i="10"/>
  <c r="N1931" i="10"/>
  <c r="M1932" i="10"/>
  <c r="N1932" i="10"/>
  <c r="M1933" i="10"/>
  <c r="N1933" i="10"/>
  <c r="M1934" i="10"/>
  <c r="N1934" i="10"/>
  <c r="M1935" i="10"/>
  <c r="N1935" i="10"/>
  <c r="M1936" i="10"/>
  <c r="N1936" i="10"/>
  <c r="M1937" i="10"/>
  <c r="N1937" i="10"/>
  <c r="M1938" i="10"/>
  <c r="N1938" i="10"/>
  <c r="M1939" i="10"/>
  <c r="N1939" i="10"/>
  <c r="M1940" i="10"/>
  <c r="N1940" i="10"/>
  <c r="M1941" i="10"/>
  <c r="N1941" i="10"/>
  <c r="M1942" i="10"/>
  <c r="N1942" i="10"/>
  <c r="M1943" i="10"/>
  <c r="N1943" i="10"/>
  <c r="M1944" i="10"/>
  <c r="N1944" i="10"/>
  <c r="M1945" i="10"/>
  <c r="N1945" i="10"/>
  <c r="N4" i="10"/>
  <c r="M4" i="10"/>
  <c r="M1923" i="10"/>
  <c r="M1948" i="10"/>
  <c r="M1947" i="10"/>
  <c r="M1946" i="10"/>
  <c r="M1855" i="10"/>
  <c r="M1838" i="10"/>
  <c r="M1831" i="10"/>
  <c r="M1825" i="10"/>
  <c r="M1822" i="10"/>
  <c r="M1820" i="10"/>
  <c r="M1818" i="10"/>
  <c r="M1787" i="10"/>
  <c r="M1786" i="10"/>
  <c r="M1745" i="10"/>
  <c r="M1718" i="10"/>
  <c r="M1713" i="10"/>
  <c r="M1657" i="10"/>
  <c r="M1656" i="10"/>
  <c r="M1655" i="10"/>
  <c r="M1647" i="10"/>
  <c r="M1594" i="10"/>
  <c r="M1593" i="10"/>
  <c r="M1407" i="10"/>
  <c r="M1400" i="10"/>
  <c r="M1153" i="10"/>
  <c r="M1146" i="10"/>
  <c r="M1133" i="10"/>
  <c r="M1127" i="10"/>
  <c r="M1119" i="10"/>
  <c r="M600" i="10"/>
  <c r="M598" i="10"/>
  <c r="M547" i="10"/>
  <c r="M543" i="10"/>
  <c r="M521" i="10"/>
  <c r="M518" i="10"/>
  <c r="M509" i="10"/>
  <c r="M471" i="10"/>
  <c r="M470" i="10"/>
  <c r="M338" i="10"/>
  <c r="M125" i="10"/>
  <c r="M124" i="10"/>
  <c r="M102" i="10"/>
  <c r="M945" i="10"/>
  <c r="M7" i="10"/>
  <c r="M126" i="10"/>
  <c r="M134" i="10"/>
  <c r="M326" i="10"/>
  <c r="M369" i="10"/>
  <c r="M536" i="10"/>
  <c r="M810" i="10"/>
  <c r="M1070" i="10"/>
  <c r="M1090" i="10"/>
  <c r="M1124" i="10"/>
  <c r="M1171" i="10"/>
  <c r="M1245" i="10"/>
  <c r="M1253" i="10"/>
  <c r="M1489" i="10"/>
  <c r="M1501" i="10"/>
  <c r="M1513" i="10"/>
  <c r="M1515" i="10"/>
  <c r="M1556" i="10"/>
  <c r="M1566" i="10"/>
  <c r="M1571" i="10"/>
  <c r="M1575" i="10"/>
  <c r="M1634" i="10"/>
  <c r="M1652" i="10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" i="6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6" i="3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6" i="1"/>
  <c r="M57" i="10"/>
  <c r="M773" i="10"/>
  <c r="M779" i="10"/>
  <c r="N1191" i="10"/>
  <c r="M1629" i="10"/>
  <c r="N1640" i="10"/>
  <c r="M1648" i="10"/>
  <c r="N1688" i="10"/>
  <c r="P1276" i="11" l="1"/>
  <c r="P1080" i="11"/>
  <c r="P736" i="11"/>
  <c r="P1026" i="11"/>
  <c r="M1908" i="11"/>
  <c r="O1908" i="11" s="1"/>
  <c r="P1908" i="11"/>
  <c r="M1876" i="11"/>
  <c r="O1876" i="11" s="1"/>
  <c r="P1876" i="11"/>
  <c r="M1868" i="11"/>
  <c r="O1868" i="11" s="1"/>
  <c r="P1868" i="11"/>
  <c r="M1836" i="11"/>
  <c r="O1836" i="11" s="1"/>
  <c r="P1836" i="11"/>
  <c r="M1799" i="11"/>
  <c r="O1799" i="11" s="1"/>
  <c r="P1799" i="11"/>
  <c r="M1782" i="11"/>
  <c r="O1782" i="11" s="1"/>
  <c r="P1782" i="11"/>
  <c r="M1758" i="11"/>
  <c r="O1758" i="11" s="1"/>
  <c r="P1758" i="11"/>
  <c r="M1726" i="11"/>
  <c r="O1726" i="11" s="1"/>
  <c r="P1726" i="11"/>
  <c r="M1686" i="11"/>
  <c r="O1686" i="11" s="1"/>
  <c r="P1686" i="11"/>
  <c r="M1653" i="11"/>
  <c r="O1653" i="11" s="1"/>
  <c r="P1653" i="11"/>
  <c r="M1620" i="11"/>
  <c r="O1620" i="11" s="1"/>
  <c r="P1620" i="11"/>
  <c r="M1596" i="11"/>
  <c r="O1596" i="11" s="1"/>
  <c r="P1596" i="11"/>
  <c r="M1356" i="11"/>
  <c r="O1356" i="11" s="1"/>
  <c r="P1356" i="11"/>
  <c r="M1315" i="11"/>
  <c r="O1315" i="11" s="1"/>
  <c r="P1315" i="11"/>
  <c r="M1275" i="11"/>
  <c r="O1275" i="11" s="1"/>
  <c r="P1275" i="11"/>
  <c r="M1235" i="11"/>
  <c r="O1235" i="11" s="1"/>
  <c r="P1235" i="11"/>
  <c r="M1187" i="11"/>
  <c r="O1187" i="11" s="1"/>
  <c r="P1187" i="11"/>
  <c r="M1137" i="11"/>
  <c r="O1137" i="11" s="1"/>
  <c r="P1137" i="11"/>
  <c r="M1097" i="11"/>
  <c r="O1097" i="11" s="1"/>
  <c r="P1097" i="11"/>
  <c r="M1057" i="11"/>
  <c r="O1057" i="11" s="1"/>
  <c r="P1057" i="11"/>
  <c r="M1009" i="11"/>
  <c r="O1009" i="11" s="1"/>
  <c r="P1009" i="11"/>
  <c r="M977" i="11"/>
  <c r="O977" i="11" s="1"/>
  <c r="P977" i="11"/>
  <c r="M929" i="11"/>
  <c r="O929" i="11" s="1"/>
  <c r="P929" i="11"/>
  <c r="M889" i="11"/>
  <c r="O889" i="11" s="1"/>
  <c r="P889" i="11"/>
  <c r="M856" i="11"/>
  <c r="O856" i="11" s="1"/>
  <c r="P856" i="11"/>
  <c r="M815" i="11"/>
  <c r="O815" i="11" s="1"/>
  <c r="P815" i="11"/>
  <c r="M774" i="11"/>
  <c r="O774" i="11" s="1"/>
  <c r="P774" i="11"/>
  <c r="M733" i="11"/>
  <c r="O733" i="11" s="1"/>
  <c r="P733" i="11"/>
  <c r="M708" i="11"/>
  <c r="O708" i="11" s="1"/>
  <c r="P708" i="11"/>
  <c r="M1915" i="11"/>
  <c r="O1915" i="11" s="1"/>
  <c r="P1915" i="11"/>
  <c r="M1907" i="11"/>
  <c r="O1907" i="11" s="1"/>
  <c r="P1907" i="11"/>
  <c r="M1899" i="11"/>
  <c r="O1899" i="11" s="1"/>
  <c r="P1899" i="11"/>
  <c r="M1891" i="11"/>
  <c r="O1891" i="11" s="1"/>
  <c r="P1891" i="11"/>
  <c r="M1883" i="11"/>
  <c r="O1883" i="11" s="1"/>
  <c r="P1883" i="11"/>
  <c r="M1875" i="11"/>
  <c r="O1875" i="11" s="1"/>
  <c r="P1875" i="11"/>
  <c r="M1867" i="11"/>
  <c r="O1867" i="11" s="1"/>
  <c r="P1867" i="11"/>
  <c r="M1859" i="11"/>
  <c r="O1859" i="11" s="1"/>
  <c r="P1859" i="11"/>
  <c r="M1851" i="11"/>
  <c r="O1851" i="11" s="1"/>
  <c r="P1851" i="11"/>
  <c r="M1843" i="11"/>
  <c r="O1843" i="11" s="1"/>
  <c r="P1843" i="11"/>
  <c r="M1835" i="11"/>
  <c r="O1835" i="11" s="1"/>
  <c r="P1835" i="11"/>
  <c r="M1827" i="11"/>
  <c r="O1827" i="11" s="1"/>
  <c r="P1827" i="11"/>
  <c r="M1816" i="11"/>
  <c r="O1816" i="11" s="1"/>
  <c r="P1816" i="11"/>
  <c r="M1808" i="11"/>
  <c r="O1808" i="11" s="1"/>
  <c r="P1808" i="11"/>
  <c r="M1798" i="11"/>
  <c r="O1798" i="11" s="1"/>
  <c r="P1798" i="11"/>
  <c r="M1790" i="11"/>
  <c r="O1790" i="11" s="1"/>
  <c r="P1790" i="11"/>
  <c r="M1781" i="11"/>
  <c r="O1781" i="11" s="1"/>
  <c r="P1781" i="11"/>
  <c r="M1773" i="11"/>
  <c r="O1773" i="11" s="1"/>
  <c r="P1773" i="11"/>
  <c r="M1765" i="11"/>
  <c r="O1765" i="11" s="1"/>
  <c r="P1765" i="11"/>
  <c r="M1757" i="11"/>
  <c r="O1757" i="11" s="1"/>
  <c r="P1757" i="11"/>
  <c r="M1749" i="11"/>
  <c r="O1749" i="11" s="1"/>
  <c r="P1749" i="11"/>
  <c r="M1741" i="11"/>
  <c r="O1741" i="11" s="1"/>
  <c r="P1741" i="11"/>
  <c r="M1733" i="11"/>
  <c r="O1733" i="11" s="1"/>
  <c r="P1733" i="11"/>
  <c r="M1725" i="11"/>
  <c r="O1725" i="11" s="1"/>
  <c r="P1725" i="11"/>
  <c r="M1717" i="11"/>
  <c r="O1717" i="11" s="1"/>
  <c r="P1717" i="11"/>
  <c r="M1709" i="11"/>
  <c r="O1709" i="11" s="1"/>
  <c r="P1709" i="11"/>
  <c r="M1701" i="11"/>
  <c r="O1701" i="11" s="1"/>
  <c r="P1701" i="11"/>
  <c r="M1693" i="11"/>
  <c r="O1693" i="11" s="1"/>
  <c r="P1693" i="11"/>
  <c r="M1685" i="11"/>
  <c r="O1685" i="11" s="1"/>
  <c r="P1685" i="11"/>
  <c r="M1677" i="11"/>
  <c r="O1677" i="11" s="1"/>
  <c r="P1677" i="11"/>
  <c r="M1669" i="11"/>
  <c r="O1669" i="11" s="1"/>
  <c r="P1669" i="11"/>
  <c r="M1661" i="11"/>
  <c r="O1661" i="11" s="1"/>
  <c r="P1661" i="11"/>
  <c r="M1652" i="11"/>
  <c r="O1652" i="11" s="1"/>
  <c r="P1652" i="11"/>
  <c r="M1643" i="11"/>
  <c r="O1643" i="11" s="1"/>
  <c r="P1643" i="11"/>
  <c r="M1635" i="11"/>
  <c r="O1635" i="11" s="1"/>
  <c r="P1635" i="11"/>
  <c r="M1627" i="11"/>
  <c r="O1627" i="11" s="1"/>
  <c r="P1627" i="11"/>
  <c r="M1619" i="11"/>
  <c r="O1619" i="11" s="1"/>
  <c r="P1619" i="11"/>
  <c r="M1611" i="11"/>
  <c r="O1611" i="11" s="1"/>
  <c r="P1611" i="11"/>
  <c r="M1603" i="11"/>
  <c r="O1603" i="11" s="1"/>
  <c r="P1603" i="11"/>
  <c r="M1595" i="11"/>
  <c r="O1595" i="11" s="1"/>
  <c r="P1595" i="11"/>
  <c r="M1587" i="11"/>
  <c r="O1587" i="11" s="1"/>
  <c r="P1587" i="11"/>
  <c r="M1579" i="11"/>
  <c r="O1579" i="11" s="1"/>
  <c r="P1579" i="11"/>
  <c r="M1571" i="11"/>
  <c r="O1571" i="11" s="1"/>
  <c r="P1571" i="11"/>
  <c r="M1563" i="11"/>
  <c r="O1563" i="11" s="1"/>
  <c r="P1563" i="11"/>
  <c r="M1555" i="11"/>
  <c r="O1555" i="11" s="1"/>
  <c r="P1555" i="11"/>
  <c r="M1547" i="11"/>
  <c r="O1547" i="11" s="1"/>
  <c r="P1547" i="11"/>
  <c r="M1539" i="11"/>
  <c r="O1539" i="11" s="1"/>
  <c r="P1539" i="11"/>
  <c r="M1531" i="11"/>
  <c r="O1531" i="11" s="1"/>
  <c r="P1531" i="11"/>
  <c r="M1523" i="11"/>
  <c r="O1523" i="11" s="1"/>
  <c r="P1523" i="11"/>
  <c r="M1515" i="11"/>
  <c r="O1515" i="11" s="1"/>
  <c r="P1515" i="11"/>
  <c r="M1507" i="11"/>
  <c r="O1507" i="11" s="1"/>
  <c r="P1507" i="11"/>
  <c r="M1499" i="11"/>
  <c r="O1499" i="11" s="1"/>
  <c r="P1499" i="11"/>
  <c r="M1491" i="11"/>
  <c r="O1491" i="11" s="1"/>
  <c r="P1491" i="11"/>
  <c r="M1483" i="11"/>
  <c r="O1483" i="11" s="1"/>
  <c r="P1483" i="11"/>
  <c r="M1475" i="11"/>
  <c r="O1475" i="11" s="1"/>
  <c r="P1475" i="11"/>
  <c r="M1467" i="11"/>
  <c r="O1467" i="11" s="1"/>
  <c r="P1467" i="11"/>
  <c r="M1459" i="11"/>
  <c r="O1459" i="11" s="1"/>
  <c r="P1459" i="11"/>
  <c r="M1451" i="11"/>
  <c r="O1451" i="11" s="1"/>
  <c r="P1451" i="11"/>
  <c r="M1443" i="11"/>
  <c r="O1443" i="11" s="1"/>
  <c r="P1443" i="11"/>
  <c r="M1435" i="11"/>
  <c r="O1435" i="11" s="1"/>
  <c r="P1435" i="11"/>
  <c r="M1427" i="11"/>
  <c r="O1427" i="11" s="1"/>
  <c r="P1427" i="11"/>
  <c r="M1419" i="11"/>
  <c r="O1419" i="11" s="1"/>
  <c r="P1419" i="11"/>
  <c r="M1411" i="11"/>
  <c r="O1411" i="11" s="1"/>
  <c r="P1411" i="11"/>
  <c r="M1403" i="11"/>
  <c r="O1403" i="11" s="1"/>
  <c r="P1403" i="11"/>
  <c r="M1395" i="11"/>
  <c r="O1395" i="11" s="1"/>
  <c r="P1395" i="11"/>
  <c r="M1387" i="11"/>
  <c r="O1387" i="11" s="1"/>
  <c r="P1387" i="11"/>
  <c r="M1379" i="11"/>
  <c r="O1379" i="11" s="1"/>
  <c r="P1379" i="11"/>
  <c r="M1371" i="11"/>
  <c r="O1371" i="11" s="1"/>
  <c r="P1371" i="11"/>
  <c r="M1363" i="11"/>
  <c r="O1363" i="11" s="1"/>
  <c r="P1363" i="11"/>
  <c r="M1355" i="11"/>
  <c r="O1355" i="11" s="1"/>
  <c r="P1355" i="11"/>
  <c r="M1347" i="11"/>
  <c r="O1347" i="11" s="1"/>
  <c r="P1347" i="11"/>
  <c r="M1339" i="11"/>
  <c r="O1339" i="11" s="1"/>
  <c r="P1339" i="11"/>
  <c r="M1330" i="11"/>
  <c r="O1330" i="11" s="1"/>
  <c r="P1330" i="11"/>
  <c r="M1322" i="11"/>
  <c r="O1322" i="11" s="1"/>
  <c r="P1322" i="11"/>
  <c r="M1314" i="11"/>
  <c r="O1314" i="11" s="1"/>
  <c r="P1314" i="11"/>
  <c r="M1306" i="11"/>
  <c r="O1306" i="11" s="1"/>
  <c r="P1306" i="11"/>
  <c r="M1298" i="11"/>
  <c r="O1298" i="11" s="1"/>
  <c r="P1298" i="11"/>
  <c r="M1290" i="11"/>
  <c r="O1290" i="11" s="1"/>
  <c r="P1290" i="11"/>
  <c r="M1282" i="11"/>
  <c r="O1282" i="11" s="1"/>
  <c r="P1282" i="11"/>
  <c r="M1274" i="11"/>
  <c r="O1274" i="11" s="1"/>
  <c r="P1274" i="11"/>
  <c r="M1266" i="11"/>
  <c r="O1266" i="11" s="1"/>
  <c r="P1266" i="11"/>
  <c r="M1258" i="11"/>
  <c r="O1258" i="11" s="1"/>
  <c r="P1258" i="11"/>
  <c r="M1250" i="11"/>
  <c r="O1250" i="11" s="1"/>
  <c r="P1250" i="11"/>
  <c r="M1242" i="11"/>
  <c r="O1242" i="11" s="1"/>
  <c r="P1242" i="11"/>
  <c r="M1234" i="11"/>
  <c r="O1234" i="11" s="1"/>
  <c r="P1234" i="11"/>
  <c r="M1226" i="11"/>
  <c r="O1226" i="11" s="1"/>
  <c r="P1226" i="11"/>
  <c r="M1218" i="11"/>
  <c r="O1218" i="11" s="1"/>
  <c r="P1218" i="11"/>
  <c r="M1210" i="11"/>
  <c r="O1210" i="11" s="1"/>
  <c r="P1210" i="11"/>
  <c r="M1202" i="11"/>
  <c r="O1202" i="11" s="1"/>
  <c r="P1202" i="11"/>
  <c r="M1194" i="11"/>
  <c r="O1194" i="11" s="1"/>
  <c r="P1194" i="11"/>
  <c r="M1186" i="11"/>
  <c r="O1186" i="11" s="1"/>
  <c r="P1186" i="11"/>
  <c r="M1178" i="11"/>
  <c r="O1178" i="11" s="1"/>
  <c r="P1178" i="11"/>
  <c r="M1170" i="11"/>
  <c r="O1170" i="11" s="1"/>
  <c r="P1170" i="11"/>
  <c r="M1162" i="11"/>
  <c r="O1162" i="11" s="1"/>
  <c r="P1162" i="11"/>
  <c r="M1154" i="11"/>
  <c r="O1154" i="11" s="1"/>
  <c r="P1154" i="11"/>
  <c r="M1136" i="11"/>
  <c r="O1136" i="11" s="1"/>
  <c r="P1136" i="11"/>
  <c r="M1128" i="11"/>
  <c r="O1128" i="11" s="1"/>
  <c r="P1128" i="11"/>
  <c r="M1104" i="11"/>
  <c r="O1104" i="11" s="1"/>
  <c r="P1104" i="11"/>
  <c r="M1096" i="11"/>
  <c r="O1096" i="11" s="1"/>
  <c r="P1096" i="11"/>
  <c r="M1072" i="11"/>
  <c r="O1072" i="11" s="1"/>
  <c r="P1072" i="11"/>
  <c r="M1064" i="11"/>
  <c r="O1064" i="11" s="1"/>
  <c r="P1064" i="11"/>
  <c r="M1040" i="11"/>
  <c r="O1040" i="11" s="1"/>
  <c r="P1040" i="11"/>
  <c r="M1032" i="11"/>
  <c r="O1032" i="11" s="1"/>
  <c r="P1032" i="11"/>
  <c r="M1024" i="11"/>
  <c r="O1024" i="11" s="1"/>
  <c r="P1024" i="11"/>
  <c r="M1016" i="11"/>
  <c r="O1016" i="11" s="1"/>
  <c r="P1016" i="11"/>
  <c r="M1008" i="11"/>
  <c r="O1008" i="11" s="1"/>
  <c r="P1008" i="11"/>
  <c r="M1000" i="11"/>
  <c r="O1000" i="11" s="1"/>
  <c r="P1000" i="11"/>
  <c r="M992" i="11"/>
  <c r="O992" i="11" s="1"/>
  <c r="P992" i="11"/>
  <c r="M984" i="11"/>
  <c r="O984" i="11" s="1"/>
  <c r="P984" i="11"/>
  <c r="M976" i="11"/>
  <c r="O976" i="11" s="1"/>
  <c r="P976" i="11"/>
  <c r="M968" i="11"/>
  <c r="O968" i="11" s="1"/>
  <c r="P968" i="11"/>
  <c r="M960" i="11"/>
  <c r="O960" i="11" s="1"/>
  <c r="P960" i="11"/>
  <c r="M952" i="11"/>
  <c r="O952" i="11" s="1"/>
  <c r="P952" i="11"/>
  <c r="M944" i="11"/>
  <c r="O944" i="11" s="1"/>
  <c r="P944" i="11"/>
  <c r="M936" i="11"/>
  <c r="O936" i="11" s="1"/>
  <c r="P936" i="11"/>
  <c r="M928" i="11"/>
  <c r="O928" i="11" s="1"/>
  <c r="P928" i="11"/>
  <c r="M920" i="11"/>
  <c r="O920" i="11" s="1"/>
  <c r="P920" i="11"/>
  <c r="M912" i="11"/>
  <c r="O912" i="11" s="1"/>
  <c r="P912" i="11"/>
  <c r="M904" i="11"/>
  <c r="O904" i="11" s="1"/>
  <c r="P904" i="11"/>
  <c r="M896" i="11"/>
  <c r="O896" i="11" s="1"/>
  <c r="P896" i="11"/>
  <c r="M888" i="11"/>
  <c r="O888" i="11" s="1"/>
  <c r="P888" i="11"/>
  <c r="M880" i="11"/>
  <c r="O880" i="11" s="1"/>
  <c r="P880" i="11"/>
  <c r="M872" i="11"/>
  <c r="O872" i="11" s="1"/>
  <c r="P872" i="11"/>
  <c r="M863" i="11"/>
  <c r="O863" i="11" s="1"/>
  <c r="P863" i="11"/>
  <c r="M855" i="11"/>
  <c r="O855" i="11" s="1"/>
  <c r="P855" i="11"/>
  <c r="M847" i="11"/>
  <c r="O847" i="11" s="1"/>
  <c r="P847" i="11"/>
  <c r="M839" i="11"/>
  <c r="O839" i="11" s="1"/>
  <c r="P839" i="11"/>
  <c r="M830" i="11"/>
  <c r="O830" i="11" s="1"/>
  <c r="P830" i="11"/>
  <c r="M822" i="11"/>
  <c r="O822" i="11" s="1"/>
  <c r="P822" i="11"/>
  <c r="M814" i="11"/>
  <c r="O814" i="11" s="1"/>
  <c r="P814" i="11"/>
  <c r="M806" i="11"/>
  <c r="O806" i="11" s="1"/>
  <c r="P806" i="11"/>
  <c r="M798" i="11"/>
  <c r="O798" i="11" s="1"/>
  <c r="P798" i="11"/>
  <c r="M790" i="11"/>
  <c r="O790" i="11" s="1"/>
  <c r="P790" i="11"/>
  <c r="M782" i="11"/>
  <c r="O782" i="11" s="1"/>
  <c r="P782" i="11"/>
  <c r="M773" i="11"/>
  <c r="O773" i="11" s="1"/>
  <c r="P773" i="11"/>
  <c r="M765" i="11"/>
  <c r="O765" i="11" s="1"/>
  <c r="P765" i="11"/>
  <c r="M757" i="11"/>
  <c r="O757" i="11" s="1"/>
  <c r="P757" i="11"/>
  <c r="M748" i="11"/>
  <c r="O748" i="11" s="1"/>
  <c r="P748" i="11"/>
  <c r="M740" i="11"/>
  <c r="O740" i="11" s="1"/>
  <c r="P740" i="11"/>
  <c r="M732" i="11"/>
  <c r="O732" i="11" s="1"/>
  <c r="P732" i="11"/>
  <c r="M724" i="11"/>
  <c r="O724" i="11" s="1"/>
  <c r="P724" i="11"/>
  <c r="M716" i="11"/>
  <c r="O716" i="11" s="1"/>
  <c r="P716" i="11"/>
  <c r="M707" i="11"/>
  <c r="O707" i="11" s="1"/>
  <c r="P707" i="11"/>
  <c r="M699" i="11"/>
  <c r="O699" i="11" s="1"/>
  <c r="P699" i="11"/>
  <c r="M691" i="11"/>
  <c r="O691" i="11" s="1"/>
  <c r="P691" i="11"/>
  <c r="M682" i="11"/>
  <c r="O682" i="11" s="1"/>
  <c r="P682" i="11"/>
  <c r="M674" i="11"/>
  <c r="O674" i="11" s="1"/>
  <c r="P674" i="11"/>
  <c r="M665" i="11"/>
  <c r="O665" i="11" s="1"/>
  <c r="P665" i="11"/>
  <c r="M657" i="11"/>
  <c r="O657" i="11" s="1"/>
  <c r="P657" i="11"/>
  <c r="M648" i="11"/>
  <c r="O648" i="11" s="1"/>
  <c r="P648" i="11"/>
  <c r="M640" i="11"/>
  <c r="O640" i="11" s="1"/>
  <c r="P640" i="11"/>
  <c r="M631" i="11"/>
  <c r="O631" i="11" s="1"/>
  <c r="P631" i="11"/>
  <c r="M623" i="11"/>
  <c r="O623" i="11" s="1"/>
  <c r="P623" i="11"/>
  <c r="M615" i="11"/>
  <c r="O615" i="11" s="1"/>
  <c r="P615" i="11"/>
  <c r="M607" i="11"/>
  <c r="O607" i="11" s="1"/>
  <c r="P607" i="11"/>
  <c r="M598" i="11"/>
  <c r="O598" i="11" s="1"/>
  <c r="P598" i="11"/>
  <c r="M590" i="11"/>
  <c r="O590" i="11" s="1"/>
  <c r="P590" i="11"/>
  <c r="M582" i="11"/>
  <c r="O582" i="11" s="1"/>
  <c r="P582" i="11"/>
  <c r="M573" i="11"/>
  <c r="O573" i="11" s="1"/>
  <c r="P573" i="11"/>
  <c r="M565" i="11"/>
  <c r="O565" i="11" s="1"/>
  <c r="P565" i="11"/>
  <c r="M556" i="11"/>
  <c r="O556" i="11" s="1"/>
  <c r="P556" i="11"/>
  <c r="M548" i="11"/>
  <c r="O548" i="11" s="1"/>
  <c r="P548" i="11"/>
  <c r="M540" i="11"/>
  <c r="O540" i="11" s="1"/>
  <c r="P540" i="11"/>
  <c r="M532" i="11"/>
  <c r="O532" i="11" s="1"/>
  <c r="P532" i="11"/>
  <c r="M524" i="11"/>
  <c r="O524" i="11" s="1"/>
  <c r="P524" i="11"/>
  <c r="P1564" i="11"/>
  <c r="P1436" i="11"/>
  <c r="P1268" i="11"/>
  <c r="P1120" i="11"/>
  <c r="P1023" i="11"/>
  <c r="P907" i="11"/>
  <c r="M1321" i="11"/>
  <c r="O1321" i="11" s="1"/>
  <c r="P1321" i="11"/>
  <c r="M1071" i="11"/>
  <c r="O1071" i="11" s="1"/>
  <c r="P1071" i="11"/>
  <c r="M1063" i="11"/>
  <c r="O1063" i="11" s="1"/>
  <c r="P1063" i="11"/>
  <c r="M1055" i="11"/>
  <c r="O1055" i="11" s="1"/>
  <c r="P1055" i="11"/>
  <c r="M1047" i="11"/>
  <c r="O1047" i="11" s="1"/>
  <c r="P1047" i="11"/>
  <c r="M1039" i="11"/>
  <c r="O1039" i="11" s="1"/>
  <c r="P1039" i="11"/>
  <c r="M1031" i="11"/>
  <c r="O1031" i="11" s="1"/>
  <c r="P1031" i="11"/>
  <c r="M1015" i="11"/>
  <c r="O1015" i="11" s="1"/>
  <c r="P1015" i="11"/>
  <c r="M1007" i="11"/>
  <c r="O1007" i="11" s="1"/>
  <c r="P1007" i="11"/>
  <c r="M999" i="11"/>
  <c r="O999" i="11" s="1"/>
  <c r="P999" i="11"/>
  <c r="M991" i="11"/>
  <c r="O991" i="11" s="1"/>
  <c r="P991" i="11"/>
  <c r="M983" i="11"/>
  <c r="O983" i="11" s="1"/>
  <c r="P983" i="11"/>
  <c r="M975" i="11"/>
  <c r="O975" i="11" s="1"/>
  <c r="P975" i="11"/>
  <c r="M967" i="11"/>
  <c r="O967" i="11" s="1"/>
  <c r="P967" i="11"/>
  <c r="M959" i="11"/>
  <c r="O959" i="11" s="1"/>
  <c r="P959" i="11"/>
  <c r="M951" i="11"/>
  <c r="O951" i="11" s="1"/>
  <c r="P951" i="11"/>
  <c r="M943" i="11"/>
  <c r="O943" i="11" s="1"/>
  <c r="P943" i="11"/>
  <c r="M935" i="11"/>
  <c r="O935" i="11" s="1"/>
  <c r="P935" i="11"/>
  <c r="M927" i="11"/>
  <c r="O927" i="11" s="1"/>
  <c r="P927" i="11"/>
  <c r="M919" i="11"/>
  <c r="O919" i="11" s="1"/>
  <c r="P919" i="11"/>
  <c r="M911" i="11"/>
  <c r="O911" i="11" s="1"/>
  <c r="P911" i="11"/>
  <c r="M903" i="11"/>
  <c r="O903" i="11" s="1"/>
  <c r="P903" i="11"/>
  <c r="M895" i="11"/>
  <c r="O895" i="11" s="1"/>
  <c r="P895" i="11"/>
  <c r="M887" i="11"/>
  <c r="O887" i="11" s="1"/>
  <c r="P887" i="11"/>
  <c r="M879" i="11"/>
  <c r="O879" i="11" s="1"/>
  <c r="P879" i="11"/>
  <c r="M871" i="11"/>
  <c r="O871" i="11" s="1"/>
  <c r="P871" i="11"/>
  <c r="M862" i="11"/>
  <c r="O862" i="11" s="1"/>
  <c r="P862" i="11"/>
  <c r="M854" i="11"/>
  <c r="O854" i="11" s="1"/>
  <c r="P854" i="11"/>
  <c r="M846" i="11"/>
  <c r="O846" i="11" s="1"/>
  <c r="P846" i="11"/>
  <c r="M838" i="11"/>
  <c r="O838" i="11" s="1"/>
  <c r="P838" i="11"/>
  <c r="M829" i="11"/>
  <c r="O829" i="11" s="1"/>
  <c r="P829" i="11"/>
  <c r="M821" i="11"/>
  <c r="O821" i="11" s="1"/>
  <c r="P821" i="11"/>
  <c r="M813" i="11"/>
  <c r="O813" i="11" s="1"/>
  <c r="P813" i="11"/>
  <c r="M805" i="11"/>
  <c r="O805" i="11" s="1"/>
  <c r="P805" i="11"/>
  <c r="M797" i="11"/>
  <c r="O797" i="11" s="1"/>
  <c r="P797" i="11"/>
  <c r="M789" i="11"/>
  <c r="O789" i="11" s="1"/>
  <c r="P789" i="11"/>
  <c r="M781" i="11"/>
  <c r="O781" i="11" s="1"/>
  <c r="P781" i="11"/>
  <c r="M772" i="11"/>
  <c r="O772" i="11" s="1"/>
  <c r="P772" i="11"/>
  <c r="M764" i="11"/>
  <c r="O764" i="11" s="1"/>
  <c r="P764" i="11"/>
  <c r="M756" i="11"/>
  <c r="O756" i="11" s="1"/>
  <c r="P756" i="11"/>
  <c r="M747" i="11"/>
  <c r="O747" i="11" s="1"/>
  <c r="P747" i="11"/>
  <c r="M739" i="11"/>
  <c r="O739" i="11" s="1"/>
  <c r="P739" i="11"/>
  <c r="M731" i="11"/>
  <c r="O731" i="11" s="1"/>
  <c r="P731" i="11"/>
  <c r="M723" i="11"/>
  <c r="O723" i="11" s="1"/>
  <c r="P723" i="11"/>
  <c r="M715" i="11"/>
  <c r="O715" i="11" s="1"/>
  <c r="P715" i="11"/>
  <c r="M706" i="11"/>
  <c r="O706" i="11" s="1"/>
  <c r="P706" i="11"/>
  <c r="M698" i="11"/>
  <c r="O698" i="11" s="1"/>
  <c r="P698" i="11"/>
  <c r="M690" i="11"/>
  <c r="O690" i="11" s="1"/>
  <c r="P690" i="11"/>
  <c r="M681" i="11"/>
  <c r="O681" i="11" s="1"/>
  <c r="P681" i="11"/>
  <c r="M673" i="11"/>
  <c r="O673" i="11" s="1"/>
  <c r="P673" i="11"/>
  <c r="M664" i="11"/>
  <c r="O664" i="11" s="1"/>
  <c r="P664" i="11"/>
  <c r="M656" i="11"/>
  <c r="O656" i="11" s="1"/>
  <c r="P656" i="11"/>
  <c r="M647" i="11"/>
  <c r="O647" i="11" s="1"/>
  <c r="P647" i="11"/>
  <c r="M639" i="11"/>
  <c r="O639" i="11" s="1"/>
  <c r="P639" i="11"/>
  <c r="M630" i="11"/>
  <c r="O630" i="11" s="1"/>
  <c r="P630" i="11"/>
  <c r="M622" i="11"/>
  <c r="O622" i="11" s="1"/>
  <c r="P622" i="11"/>
  <c r="M614" i="11"/>
  <c r="O614" i="11" s="1"/>
  <c r="P614" i="11"/>
  <c r="M606" i="11"/>
  <c r="O606" i="11" s="1"/>
  <c r="P606" i="11"/>
  <c r="M597" i="11"/>
  <c r="O597" i="11" s="1"/>
  <c r="P597" i="11"/>
  <c r="M589" i="11"/>
  <c r="O589" i="11" s="1"/>
  <c r="P589" i="11"/>
  <c r="M581" i="11"/>
  <c r="O581" i="11" s="1"/>
  <c r="P581" i="11"/>
  <c r="M572" i="11"/>
  <c r="O572" i="11" s="1"/>
  <c r="P572" i="11"/>
  <c r="M564" i="11"/>
  <c r="O564" i="11" s="1"/>
  <c r="P564" i="11"/>
  <c r="M555" i="11"/>
  <c r="O555" i="11" s="1"/>
  <c r="P555" i="11"/>
  <c r="M547" i="11"/>
  <c r="O547" i="11" s="1"/>
  <c r="P547" i="11"/>
  <c r="M539" i="11"/>
  <c r="O539" i="11" s="1"/>
  <c r="P539" i="11"/>
  <c r="M531" i="11"/>
  <c r="O531" i="11" s="1"/>
  <c r="P531" i="11"/>
  <c r="M523" i="11"/>
  <c r="O523" i="11" s="1"/>
  <c r="P523" i="11"/>
  <c r="M515" i="11"/>
  <c r="O515" i="11" s="1"/>
  <c r="P515" i="11"/>
  <c r="M507" i="11"/>
  <c r="O507" i="11" s="1"/>
  <c r="P507" i="11"/>
  <c r="M499" i="11"/>
  <c r="O499" i="11" s="1"/>
  <c r="P499" i="11"/>
  <c r="M491" i="11"/>
  <c r="O491" i="11" s="1"/>
  <c r="P491" i="11"/>
  <c r="M483" i="11"/>
  <c r="O483" i="11" s="1"/>
  <c r="P483" i="11"/>
  <c r="M475" i="11"/>
  <c r="O475" i="11" s="1"/>
  <c r="P475" i="11"/>
  <c r="M467" i="11"/>
  <c r="O467" i="11" s="1"/>
  <c r="P467" i="11"/>
  <c r="M459" i="11"/>
  <c r="O459" i="11" s="1"/>
  <c r="P459" i="11"/>
  <c r="M451" i="11"/>
  <c r="O451" i="11" s="1"/>
  <c r="P451" i="11"/>
  <c r="M443" i="11"/>
  <c r="O443" i="11" s="1"/>
  <c r="P443" i="11"/>
  <c r="M435" i="11"/>
  <c r="O435" i="11" s="1"/>
  <c r="P435" i="11"/>
  <c r="M427" i="11"/>
  <c r="O427" i="11" s="1"/>
  <c r="P427" i="11"/>
  <c r="M419" i="11"/>
  <c r="O419" i="11" s="1"/>
  <c r="P419" i="11"/>
  <c r="M411" i="11"/>
  <c r="O411" i="11" s="1"/>
  <c r="P411" i="11"/>
  <c r="M403" i="11"/>
  <c r="O403" i="11" s="1"/>
  <c r="P403" i="11"/>
  <c r="M395" i="11"/>
  <c r="O395" i="11" s="1"/>
  <c r="P395" i="11"/>
  <c r="M387" i="11"/>
  <c r="O387" i="11" s="1"/>
  <c r="P387" i="11"/>
  <c r="M379" i="11"/>
  <c r="O379" i="11" s="1"/>
  <c r="P379" i="11"/>
  <c r="M371" i="11"/>
  <c r="O371" i="11" s="1"/>
  <c r="P371" i="11"/>
  <c r="M363" i="11"/>
  <c r="O363" i="11" s="1"/>
  <c r="P363" i="11"/>
  <c r="M355" i="11"/>
  <c r="O355" i="11" s="1"/>
  <c r="P355" i="11"/>
  <c r="M347" i="11"/>
  <c r="O347" i="11" s="1"/>
  <c r="P347" i="11"/>
  <c r="M339" i="11"/>
  <c r="O339" i="11" s="1"/>
  <c r="P339" i="11"/>
  <c r="M331" i="11"/>
  <c r="O331" i="11" s="1"/>
  <c r="P331" i="11"/>
  <c r="M323" i="11"/>
  <c r="O323" i="11" s="1"/>
  <c r="P323" i="11"/>
  <c r="M315" i="11"/>
  <c r="O315" i="11" s="1"/>
  <c r="P315" i="11"/>
  <c r="M307" i="11"/>
  <c r="O307" i="11" s="1"/>
  <c r="P307" i="11"/>
  <c r="M299" i="11"/>
  <c r="O299" i="11" s="1"/>
  <c r="P299" i="11"/>
  <c r="M291" i="11"/>
  <c r="O291" i="11" s="1"/>
  <c r="P291" i="11"/>
  <c r="M283" i="11"/>
  <c r="O283" i="11" s="1"/>
  <c r="P283" i="11"/>
  <c r="M274" i="11"/>
  <c r="O274" i="11" s="1"/>
  <c r="P274" i="11"/>
  <c r="M266" i="11"/>
  <c r="O266" i="11" s="1"/>
  <c r="P266" i="11"/>
  <c r="M258" i="11"/>
  <c r="O258" i="11" s="1"/>
  <c r="P258" i="11"/>
  <c r="M250" i="11"/>
  <c r="O250" i="11" s="1"/>
  <c r="P250" i="11"/>
  <c r="M242" i="11"/>
  <c r="O242" i="11" s="1"/>
  <c r="P242" i="11"/>
  <c r="M234" i="11"/>
  <c r="O234" i="11" s="1"/>
  <c r="P234" i="11"/>
  <c r="M226" i="11"/>
  <c r="O226" i="11" s="1"/>
  <c r="P226" i="11"/>
  <c r="M218" i="11"/>
  <c r="O218" i="11" s="1"/>
  <c r="P218" i="11"/>
  <c r="M210" i="11"/>
  <c r="O210" i="11" s="1"/>
  <c r="P210" i="11"/>
  <c r="M202" i="11"/>
  <c r="O202" i="11" s="1"/>
  <c r="P202" i="11"/>
  <c r="M194" i="11"/>
  <c r="O194" i="11" s="1"/>
  <c r="P194" i="11"/>
  <c r="M186" i="11"/>
  <c r="O186" i="11" s="1"/>
  <c r="P186" i="11"/>
  <c r="M178" i="11"/>
  <c r="O178" i="11" s="1"/>
  <c r="P178" i="11"/>
  <c r="M170" i="11"/>
  <c r="O170" i="11" s="1"/>
  <c r="P170" i="11"/>
  <c r="M161" i="11"/>
  <c r="O161" i="11" s="1"/>
  <c r="P161" i="11"/>
  <c r="M153" i="11"/>
  <c r="O153" i="11" s="1"/>
  <c r="P153" i="11"/>
  <c r="M145" i="11"/>
  <c r="O145" i="11" s="1"/>
  <c r="P145" i="11"/>
  <c r="M137" i="11"/>
  <c r="O137" i="11" s="1"/>
  <c r="P137" i="11"/>
  <c r="M129" i="11"/>
  <c r="O129" i="11" s="1"/>
  <c r="P129" i="11"/>
  <c r="M121" i="11"/>
  <c r="O121" i="11" s="1"/>
  <c r="P121" i="11"/>
  <c r="M113" i="11"/>
  <c r="O113" i="11" s="1"/>
  <c r="P113" i="11"/>
  <c r="M105" i="11"/>
  <c r="O105" i="11" s="1"/>
  <c r="P105" i="11"/>
  <c r="M97" i="11"/>
  <c r="O97" i="11" s="1"/>
  <c r="P97" i="11"/>
  <c r="M89" i="11"/>
  <c r="O89" i="11" s="1"/>
  <c r="P89" i="11"/>
  <c r="M81" i="11"/>
  <c r="O81" i="11" s="1"/>
  <c r="P81" i="11"/>
  <c r="M73" i="11"/>
  <c r="O73" i="11" s="1"/>
  <c r="P73" i="11"/>
  <c r="M65" i="11"/>
  <c r="O65" i="11" s="1"/>
  <c r="P65" i="11"/>
  <c r="M57" i="11"/>
  <c r="O57" i="11" s="1"/>
  <c r="P57" i="11"/>
  <c r="M49" i="11"/>
  <c r="O49" i="11" s="1"/>
  <c r="P49" i="11"/>
  <c r="M41" i="11"/>
  <c r="O41" i="11" s="1"/>
  <c r="P41" i="11"/>
  <c r="M33" i="11"/>
  <c r="O33" i="11" s="1"/>
  <c r="P33" i="11"/>
  <c r="M25" i="11"/>
  <c r="O25" i="11" s="1"/>
  <c r="P25" i="11"/>
  <c r="M17" i="11"/>
  <c r="O17" i="11" s="1"/>
  <c r="P17" i="11"/>
  <c r="M9" i="11"/>
  <c r="O9" i="11" s="1"/>
  <c r="P9" i="11"/>
  <c r="P1556" i="11"/>
  <c r="P1428" i="11"/>
  <c r="P1308" i="11"/>
  <c r="P1180" i="11"/>
  <c r="P1112" i="11"/>
  <c r="P1002" i="11"/>
  <c r="P886" i="11"/>
  <c r="M1545" i="11"/>
  <c r="O1545" i="11" s="1"/>
  <c r="P1545" i="11"/>
  <c r="M1417" i="11"/>
  <c r="O1417" i="11" s="1"/>
  <c r="P1417" i="11"/>
  <c r="M1409" i="11"/>
  <c r="O1409" i="11" s="1"/>
  <c r="P1409" i="11"/>
  <c r="M1401" i="11"/>
  <c r="O1401" i="11" s="1"/>
  <c r="P1401" i="11"/>
  <c r="M1393" i="11"/>
  <c r="O1393" i="11" s="1"/>
  <c r="P1393" i="11"/>
  <c r="M1385" i="11"/>
  <c r="O1385" i="11" s="1"/>
  <c r="P1385" i="11"/>
  <c r="M1377" i="11"/>
  <c r="O1377" i="11" s="1"/>
  <c r="P1377" i="11"/>
  <c r="M1369" i="11"/>
  <c r="O1369" i="11" s="1"/>
  <c r="P1369" i="11"/>
  <c r="M1361" i="11"/>
  <c r="O1361" i="11" s="1"/>
  <c r="P1361" i="11"/>
  <c r="M1353" i="11"/>
  <c r="O1353" i="11" s="1"/>
  <c r="P1353" i="11"/>
  <c r="M1345" i="11"/>
  <c r="O1345" i="11" s="1"/>
  <c r="P1345" i="11"/>
  <c r="M1337" i="11"/>
  <c r="O1337" i="11" s="1"/>
  <c r="P1337" i="11"/>
  <c r="M1328" i="11"/>
  <c r="O1328" i="11" s="1"/>
  <c r="P1328" i="11"/>
  <c r="M1320" i="11"/>
  <c r="O1320" i="11" s="1"/>
  <c r="P1320" i="11"/>
  <c r="M1312" i="11"/>
  <c r="O1312" i="11" s="1"/>
  <c r="P1312" i="11"/>
  <c r="M1304" i="11"/>
  <c r="O1304" i="11" s="1"/>
  <c r="P1304" i="11"/>
  <c r="M1296" i="11"/>
  <c r="O1296" i="11" s="1"/>
  <c r="P1296" i="11"/>
  <c r="M1288" i="11"/>
  <c r="O1288" i="11" s="1"/>
  <c r="P1288" i="11"/>
  <c r="M1280" i="11"/>
  <c r="O1280" i="11" s="1"/>
  <c r="P1280" i="11"/>
  <c r="M1272" i="11"/>
  <c r="O1272" i="11" s="1"/>
  <c r="P1272" i="11"/>
  <c r="M1264" i="11"/>
  <c r="O1264" i="11" s="1"/>
  <c r="P1264" i="11"/>
  <c r="M1256" i="11"/>
  <c r="O1256" i="11" s="1"/>
  <c r="P1256" i="11"/>
  <c r="M1248" i="11"/>
  <c r="O1248" i="11" s="1"/>
  <c r="P1248" i="11"/>
  <c r="M1240" i="11"/>
  <c r="O1240" i="11" s="1"/>
  <c r="P1240" i="11"/>
  <c r="M1232" i="11"/>
  <c r="O1232" i="11" s="1"/>
  <c r="P1232" i="11"/>
  <c r="M1224" i="11"/>
  <c r="O1224" i="11" s="1"/>
  <c r="P1224" i="11"/>
  <c r="M1216" i="11"/>
  <c r="O1216" i="11" s="1"/>
  <c r="P1216" i="11"/>
  <c r="M1208" i="11"/>
  <c r="O1208" i="11" s="1"/>
  <c r="P1208" i="11"/>
  <c r="M1200" i="11"/>
  <c r="O1200" i="11" s="1"/>
  <c r="P1200" i="11"/>
  <c r="M1192" i="11"/>
  <c r="O1192" i="11" s="1"/>
  <c r="P1192" i="11"/>
  <c r="M1184" i="11"/>
  <c r="O1184" i="11" s="1"/>
  <c r="P1184" i="11"/>
  <c r="M1176" i="11"/>
  <c r="O1176" i="11" s="1"/>
  <c r="P1176" i="11"/>
  <c r="M1168" i="11"/>
  <c r="O1168" i="11" s="1"/>
  <c r="P1168" i="11"/>
  <c r="M1160" i="11"/>
  <c r="O1160" i="11" s="1"/>
  <c r="P1160" i="11"/>
  <c r="M1152" i="11"/>
  <c r="O1152" i="11" s="1"/>
  <c r="P1152" i="11"/>
  <c r="M1142" i="11"/>
  <c r="O1142" i="11" s="1"/>
  <c r="P1142" i="11"/>
  <c r="M1134" i="11"/>
  <c r="O1134" i="11" s="1"/>
  <c r="P1134" i="11"/>
  <c r="M1126" i="11"/>
  <c r="O1126" i="11" s="1"/>
  <c r="P1126" i="11"/>
  <c r="M1118" i="11"/>
  <c r="O1118" i="11" s="1"/>
  <c r="P1118" i="11"/>
  <c r="M1110" i="11"/>
  <c r="O1110" i="11" s="1"/>
  <c r="P1110" i="11"/>
  <c r="M1102" i="11"/>
  <c r="O1102" i="11" s="1"/>
  <c r="P1102" i="11"/>
  <c r="M1094" i="11"/>
  <c r="O1094" i="11" s="1"/>
  <c r="P1094" i="11"/>
  <c r="M1086" i="11"/>
  <c r="O1086" i="11" s="1"/>
  <c r="P1086" i="11"/>
  <c r="M1078" i="11"/>
  <c r="O1078" i="11" s="1"/>
  <c r="P1078" i="11"/>
  <c r="M1070" i="11"/>
  <c r="O1070" i="11" s="1"/>
  <c r="P1070" i="11"/>
  <c r="M1062" i="11"/>
  <c r="O1062" i="11" s="1"/>
  <c r="P1062" i="11"/>
  <c r="M1054" i="11"/>
  <c r="O1054" i="11" s="1"/>
  <c r="P1054" i="11"/>
  <c r="M1046" i="11"/>
  <c r="O1046" i="11" s="1"/>
  <c r="P1046" i="11"/>
  <c r="M1038" i="11"/>
  <c r="O1038" i="11" s="1"/>
  <c r="P1038" i="11"/>
  <c r="M1030" i="11"/>
  <c r="O1030" i="11" s="1"/>
  <c r="P1030" i="11"/>
  <c r="M1022" i="11"/>
  <c r="O1022" i="11" s="1"/>
  <c r="P1022" i="11"/>
  <c r="M1014" i="11"/>
  <c r="O1014" i="11" s="1"/>
  <c r="P1014" i="11"/>
  <c r="M1006" i="11"/>
  <c r="O1006" i="11" s="1"/>
  <c r="P1006" i="11"/>
  <c r="M998" i="11"/>
  <c r="O998" i="11" s="1"/>
  <c r="P998" i="11"/>
  <c r="M990" i="11"/>
  <c r="O990" i="11" s="1"/>
  <c r="P990" i="11"/>
  <c r="M982" i="11"/>
  <c r="O982" i="11" s="1"/>
  <c r="P982" i="11"/>
  <c r="M974" i="11"/>
  <c r="O974" i="11" s="1"/>
  <c r="P974" i="11"/>
  <c r="M966" i="11"/>
  <c r="O966" i="11" s="1"/>
  <c r="P966" i="11"/>
  <c r="M958" i="11"/>
  <c r="O958" i="11" s="1"/>
  <c r="P958" i="11"/>
  <c r="M950" i="11"/>
  <c r="O950" i="11" s="1"/>
  <c r="P950" i="11"/>
  <c r="M942" i="11"/>
  <c r="O942" i="11" s="1"/>
  <c r="P942" i="11"/>
  <c r="M934" i="11"/>
  <c r="O934" i="11" s="1"/>
  <c r="P934" i="11"/>
  <c r="M926" i="11"/>
  <c r="O926" i="11" s="1"/>
  <c r="P926" i="11"/>
  <c r="M918" i="11"/>
  <c r="O918" i="11" s="1"/>
  <c r="P918" i="11"/>
  <c r="M910" i="11"/>
  <c r="O910" i="11" s="1"/>
  <c r="P910" i="11"/>
  <c r="M902" i="11"/>
  <c r="O902" i="11" s="1"/>
  <c r="P902" i="11"/>
  <c r="M894" i="11"/>
  <c r="O894" i="11" s="1"/>
  <c r="P894" i="11"/>
  <c r="M878" i="11"/>
  <c r="O878" i="11" s="1"/>
  <c r="P878" i="11"/>
  <c r="M870" i="11"/>
  <c r="O870" i="11" s="1"/>
  <c r="P870" i="11"/>
  <c r="M861" i="11"/>
  <c r="O861" i="11" s="1"/>
  <c r="P861" i="11"/>
  <c r="M853" i="11"/>
  <c r="O853" i="11" s="1"/>
  <c r="P853" i="11"/>
  <c r="M845" i="11"/>
  <c r="O845" i="11" s="1"/>
  <c r="P845" i="11"/>
  <c r="M836" i="11"/>
  <c r="O836" i="11" s="1"/>
  <c r="P836" i="11"/>
  <c r="M828" i="11"/>
  <c r="O828" i="11" s="1"/>
  <c r="P828" i="11"/>
  <c r="M820" i="11"/>
  <c r="O820" i="11" s="1"/>
  <c r="P820" i="11"/>
  <c r="M812" i="11"/>
  <c r="O812" i="11" s="1"/>
  <c r="P812" i="11"/>
  <c r="M804" i="11"/>
  <c r="O804" i="11" s="1"/>
  <c r="P804" i="11"/>
  <c r="M796" i="11"/>
  <c r="O796" i="11" s="1"/>
  <c r="P796" i="11"/>
  <c r="M788" i="11"/>
  <c r="O788" i="11" s="1"/>
  <c r="P788" i="11"/>
  <c r="M780" i="11"/>
  <c r="O780" i="11" s="1"/>
  <c r="P780" i="11"/>
  <c r="M771" i="11"/>
  <c r="O771" i="11" s="1"/>
  <c r="P771" i="11"/>
  <c r="M763" i="11"/>
  <c r="O763" i="11" s="1"/>
  <c r="P763" i="11"/>
  <c r="M755" i="11"/>
  <c r="O755" i="11" s="1"/>
  <c r="P755" i="11"/>
  <c r="M746" i="11"/>
  <c r="O746" i="11" s="1"/>
  <c r="P746" i="11"/>
  <c r="M738" i="11"/>
  <c r="O738" i="11" s="1"/>
  <c r="P738" i="11"/>
  <c r="M730" i="11"/>
  <c r="O730" i="11" s="1"/>
  <c r="P730" i="11"/>
  <c r="M722" i="11"/>
  <c r="O722" i="11" s="1"/>
  <c r="P722" i="11"/>
  <c r="M714" i="11"/>
  <c r="O714" i="11" s="1"/>
  <c r="P714" i="11"/>
  <c r="M705" i="11"/>
  <c r="O705" i="11" s="1"/>
  <c r="P705" i="11"/>
  <c r="M697" i="11"/>
  <c r="O697" i="11" s="1"/>
  <c r="P697" i="11"/>
  <c r="M689" i="11"/>
  <c r="O689" i="11" s="1"/>
  <c r="P689" i="11"/>
  <c r="M680" i="11"/>
  <c r="O680" i="11" s="1"/>
  <c r="P680" i="11"/>
  <c r="M672" i="11"/>
  <c r="O672" i="11" s="1"/>
  <c r="P672" i="11"/>
  <c r="M663" i="11"/>
  <c r="O663" i="11" s="1"/>
  <c r="P663" i="11"/>
  <c r="M655" i="11"/>
  <c r="O655" i="11" s="1"/>
  <c r="P655" i="11"/>
  <c r="M646" i="11"/>
  <c r="O646" i="11" s="1"/>
  <c r="P646" i="11"/>
  <c r="M638" i="11"/>
  <c r="O638" i="11" s="1"/>
  <c r="P638" i="11"/>
  <c r="M629" i="11"/>
  <c r="O629" i="11" s="1"/>
  <c r="P629" i="11"/>
  <c r="M621" i="11"/>
  <c r="O621" i="11" s="1"/>
  <c r="P621" i="11"/>
  <c r="M613" i="11"/>
  <c r="O613" i="11" s="1"/>
  <c r="P613" i="11"/>
  <c r="M605" i="11"/>
  <c r="O605" i="11" s="1"/>
  <c r="P605" i="11"/>
  <c r="M596" i="11"/>
  <c r="O596" i="11" s="1"/>
  <c r="P596" i="11"/>
  <c r="M588" i="11"/>
  <c r="O588" i="11" s="1"/>
  <c r="P588" i="11"/>
  <c r="M580" i="11"/>
  <c r="O580" i="11" s="1"/>
  <c r="P580" i="11"/>
  <c r="M571" i="11"/>
  <c r="O571" i="11" s="1"/>
  <c r="P571" i="11"/>
  <c r="M563" i="11"/>
  <c r="O563" i="11" s="1"/>
  <c r="P563" i="11"/>
  <c r="M554" i="11"/>
  <c r="O554" i="11" s="1"/>
  <c r="P554" i="11"/>
  <c r="M546" i="11"/>
  <c r="O546" i="11" s="1"/>
  <c r="P546" i="11"/>
  <c r="M538" i="11"/>
  <c r="O538" i="11" s="1"/>
  <c r="P538" i="11"/>
  <c r="M530" i="11"/>
  <c r="O530" i="11" s="1"/>
  <c r="P530" i="11"/>
  <c r="M522" i="11"/>
  <c r="O522" i="11" s="1"/>
  <c r="P522" i="11"/>
  <c r="P1468" i="11"/>
  <c r="P1340" i="11"/>
  <c r="P1300" i="11"/>
  <c r="P1172" i="11"/>
  <c r="P791" i="11"/>
  <c r="M1900" i="11"/>
  <c r="O1900" i="11" s="1"/>
  <c r="P1900" i="11"/>
  <c r="M1860" i="11"/>
  <c r="O1860" i="11" s="1"/>
  <c r="P1860" i="11"/>
  <c r="M1828" i="11"/>
  <c r="O1828" i="11" s="1"/>
  <c r="P1828" i="11"/>
  <c r="M1791" i="11"/>
  <c r="O1791" i="11" s="1"/>
  <c r="P1791" i="11"/>
  <c r="M1742" i="11"/>
  <c r="O1742" i="11" s="1"/>
  <c r="P1742" i="11"/>
  <c r="M1718" i="11"/>
  <c r="O1718" i="11" s="1"/>
  <c r="P1718" i="11"/>
  <c r="M1694" i="11"/>
  <c r="O1694" i="11" s="1"/>
  <c r="P1694" i="11"/>
  <c r="M1662" i="11"/>
  <c r="O1662" i="11" s="1"/>
  <c r="P1662" i="11"/>
  <c r="M1628" i="11"/>
  <c r="O1628" i="11" s="1"/>
  <c r="P1628" i="11"/>
  <c r="M1588" i="11"/>
  <c r="O1588" i="11" s="1"/>
  <c r="P1588" i="11"/>
  <c r="M1388" i="11"/>
  <c r="O1388" i="11" s="1"/>
  <c r="P1388" i="11"/>
  <c r="M1291" i="11"/>
  <c r="O1291" i="11" s="1"/>
  <c r="P1291" i="11"/>
  <c r="M1251" i="11"/>
  <c r="O1251" i="11" s="1"/>
  <c r="P1251" i="11"/>
  <c r="M1219" i="11"/>
  <c r="O1219" i="11" s="1"/>
  <c r="P1219" i="11"/>
  <c r="M1179" i="11"/>
  <c r="O1179" i="11" s="1"/>
  <c r="P1179" i="11"/>
  <c r="M1129" i="11"/>
  <c r="O1129" i="11" s="1"/>
  <c r="P1129" i="11"/>
  <c r="M1089" i="11"/>
  <c r="O1089" i="11" s="1"/>
  <c r="P1089" i="11"/>
  <c r="M1049" i="11"/>
  <c r="O1049" i="11" s="1"/>
  <c r="P1049" i="11"/>
  <c r="M1017" i="11"/>
  <c r="O1017" i="11" s="1"/>
  <c r="P1017" i="11"/>
  <c r="M969" i="11"/>
  <c r="O969" i="11" s="1"/>
  <c r="P969" i="11"/>
  <c r="M937" i="11"/>
  <c r="O937" i="11" s="1"/>
  <c r="P937" i="11"/>
  <c r="M881" i="11"/>
  <c r="O881" i="11" s="1"/>
  <c r="P881" i="11"/>
  <c r="M840" i="11"/>
  <c r="O840" i="11" s="1"/>
  <c r="P840" i="11"/>
  <c r="M758" i="11"/>
  <c r="O758" i="11" s="1"/>
  <c r="P758" i="11"/>
  <c r="M683" i="11"/>
  <c r="O683" i="11" s="1"/>
  <c r="P683" i="11"/>
  <c r="P1524" i="11"/>
  <c r="P1396" i="11"/>
  <c r="M1906" i="11"/>
  <c r="O1906" i="11" s="1"/>
  <c r="P1906" i="11"/>
  <c r="M1874" i="11"/>
  <c r="O1874" i="11" s="1"/>
  <c r="P1874" i="11"/>
  <c r="M1850" i="11"/>
  <c r="O1850" i="11" s="1"/>
  <c r="P1850" i="11"/>
  <c r="M1826" i="11"/>
  <c r="O1826" i="11" s="1"/>
  <c r="P1826" i="11"/>
  <c r="M1797" i="11"/>
  <c r="O1797" i="11" s="1"/>
  <c r="P1797" i="11"/>
  <c r="M1772" i="11"/>
  <c r="O1772" i="11" s="1"/>
  <c r="P1772" i="11"/>
  <c r="M1748" i="11"/>
  <c r="O1748" i="11" s="1"/>
  <c r="P1748" i="11"/>
  <c r="M1724" i="11"/>
  <c r="O1724" i="11" s="1"/>
  <c r="P1724" i="11"/>
  <c r="M1700" i="11"/>
  <c r="O1700" i="11" s="1"/>
  <c r="P1700" i="11"/>
  <c r="M1676" i="11"/>
  <c r="O1676" i="11" s="1"/>
  <c r="P1676" i="11"/>
  <c r="M1660" i="11"/>
  <c r="O1660" i="11" s="1"/>
  <c r="P1660" i="11"/>
  <c r="M1634" i="11"/>
  <c r="O1634" i="11" s="1"/>
  <c r="P1634" i="11"/>
  <c r="M1610" i="11"/>
  <c r="O1610" i="11" s="1"/>
  <c r="P1610" i="11"/>
  <c r="M1586" i="11"/>
  <c r="O1586" i="11" s="1"/>
  <c r="P1586" i="11"/>
  <c r="M1562" i="11"/>
  <c r="O1562" i="11" s="1"/>
  <c r="P1562" i="11"/>
  <c r="M1538" i="11"/>
  <c r="O1538" i="11" s="1"/>
  <c r="P1538" i="11"/>
  <c r="M1506" i="11"/>
  <c r="O1506" i="11" s="1"/>
  <c r="P1506" i="11"/>
  <c r="M1482" i="11"/>
  <c r="O1482" i="11" s="1"/>
  <c r="P1482" i="11"/>
  <c r="M1466" i="11"/>
  <c r="O1466" i="11" s="1"/>
  <c r="P1466" i="11"/>
  <c r="M1426" i="11"/>
  <c r="O1426" i="11" s="1"/>
  <c r="P1426" i="11"/>
  <c r="M1394" i="11"/>
  <c r="O1394" i="11" s="1"/>
  <c r="P1394" i="11"/>
  <c r="M1362" i="11"/>
  <c r="O1362" i="11" s="1"/>
  <c r="P1362" i="11"/>
  <c r="M1329" i="11"/>
  <c r="O1329" i="11" s="1"/>
  <c r="P1329" i="11"/>
  <c r="M1289" i="11"/>
  <c r="O1289" i="11" s="1"/>
  <c r="P1289" i="11"/>
  <c r="M1257" i="11"/>
  <c r="O1257" i="11" s="1"/>
  <c r="P1257" i="11"/>
  <c r="M1233" i="11"/>
  <c r="O1233" i="11" s="1"/>
  <c r="P1233" i="11"/>
  <c r="M1209" i="11"/>
  <c r="O1209" i="11" s="1"/>
  <c r="P1209" i="11"/>
  <c r="M1185" i="11"/>
  <c r="O1185" i="11" s="1"/>
  <c r="P1185" i="11"/>
  <c r="M1143" i="11"/>
  <c r="O1143" i="11" s="1"/>
  <c r="P1143" i="11"/>
  <c r="M1095" i="11"/>
  <c r="O1095" i="11" s="1"/>
  <c r="P1095" i="11"/>
  <c r="M1897" i="11"/>
  <c r="O1897" i="11" s="1"/>
  <c r="P1897" i="11"/>
  <c r="M1865" i="11"/>
  <c r="O1865" i="11" s="1"/>
  <c r="P1865" i="11"/>
  <c r="M1833" i="11"/>
  <c r="O1833" i="11" s="1"/>
  <c r="P1833" i="11"/>
  <c r="M1796" i="11"/>
  <c r="O1796" i="11" s="1"/>
  <c r="P1796" i="11"/>
  <c r="M1763" i="11"/>
  <c r="O1763" i="11" s="1"/>
  <c r="P1763" i="11"/>
  <c r="M1731" i="11"/>
  <c r="O1731" i="11" s="1"/>
  <c r="P1731" i="11"/>
  <c r="M1675" i="11"/>
  <c r="O1675" i="11" s="1"/>
  <c r="P1675" i="11"/>
  <c r="M1449" i="11"/>
  <c r="O1449" i="11" s="1"/>
  <c r="P1449" i="11"/>
  <c r="M1888" i="11"/>
  <c r="O1888" i="11" s="1"/>
  <c r="P1888" i="11"/>
  <c r="M1864" i="11"/>
  <c r="O1864" i="11" s="1"/>
  <c r="P1864" i="11"/>
  <c r="M1840" i="11"/>
  <c r="O1840" i="11" s="1"/>
  <c r="P1840" i="11"/>
  <c r="M1813" i="11"/>
  <c r="O1813" i="11" s="1"/>
  <c r="P1813" i="11"/>
  <c r="M1803" i="11"/>
  <c r="O1803" i="11" s="1"/>
  <c r="P1803" i="11"/>
  <c r="M1770" i="11"/>
  <c r="O1770" i="11" s="1"/>
  <c r="P1770" i="11"/>
  <c r="M1762" i="11"/>
  <c r="O1762" i="11" s="1"/>
  <c r="P1762" i="11"/>
  <c r="M1754" i="11"/>
  <c r="O1754" i="11" s="1"/>
  <c r="P1754" i="11"/>
  <c r="M1746" i="11"/>
  <c r="O1746" i="11" s="1"/>
  <c r="P1746" i="11"/>
  <c r="M1738" i="11"/>
  <c r="O1738" i="11" s="1"/>
  <c r="P1738" i="11"/>
  <c r="M1730" i="11"/>
  <c r="O1730" i="11" s="1"/>
  <c r="P1730" i="11"/>
  <c r="M1722" i="11"/>
  <c r="O1722" i="11" s="1"/>
  <c r="P1722" i="11"/>
  <c r="M1714" i="11"/>
  <c r="O1714" i="11" s="1"/>
  <c r="P1714" i="11"/>
  <c r="M1706" i="11"/>
  <c r="O1706" i="11" s="1"/>
  <c r="P1706" i="11"/>
  <c r="M1698" i="11"/>
  <c r="O1698" i="11" s="1"/>
  <c r="P1698" i="11"/>
  <c r="M1690" i="11"/>
  <c r="O1690" i="11" s="1"/>
  <c r="P1690" i="11"/>
  <c r="M1682" i="11"/>
  <c r="O1682" i="11" s="1"/>
  <c r="P1682" i="11"/>
  <c r="M1674" i="11"/>
  <c r="O1674" i="11" s="1"/>
  <c r="P1674" i="11"/>
  <c r="M1666" i="11"/>
  <c r="O1666" i="11" s="1"/>
  <c r="P1666" i="11"/>
  <c r="M1658" i="11"/>
  <c r="O1658" i="11" s="1"/>
  <c r="P1658" i="11"/>
  <c r="M1649" i="11"/>
  <c r="O1649" i="11" s="1"/>
  <c r="P1649" i="11"/>
  <c r="M1640" i="11"/>
  <c r="O1640" i="11" s="1"/>
  <c r="P1640" i="11"/>
  <c r="M1632" i="11"/>
  <c r="O1632" i="11" s="1"/>
  <c r="P1632" i="11"/>
  <c r="M1624" i="11"/>
  <c r="O1624" i="11" s="1"/>
  <c r="P1624" i="11"/>
  <c r="M1616" i="11"/>
  <c r="O1616" i="11" s="1"/>
  <c r="P1616" i="11"/>
  <c r="M1608" i="11"/>
  <c r="O1608" i="11" s="1"/>
  <c r="P1608" i="11"/>
  <c r="M1600" i="11"/>
  <c r="O1600" i="11" s="1"/>
  <c r="P1600" i="11"/>
  <c r="M1592" i="11"/>
  <c r="O1592" i="11" s="1"/>
  <c r="P1592" i="11"/>
  <c r="M1584" i="11"/>
  <c r="O1584" i="11" s="1"/>
  <c r="P1584" i="11"/>
  <c r="M1576" i="11"/>
  <c r="O1576" i="11" s="1"/>
  <c r="P1576" i="11"/>
  <c r="M1568" i="11"/>
  <c r="O1568" i="11" s="1"/>
  <c r="P1568" i="11"/>
  <c r="M1560" i="11"/>
  <c r="O1560" i="11" s="1"/>
  <c r="P1560" i="11"/>
  <c r="M1552" i="11"/>
  <c r="O1552" i="11" s="1"/>
  <c r="P1552" i="11"/>
  <c r="M1544" i="11"/>
  <c r="O1544" i="11" s="1"/>
  <c r="P1544" i="11"/>
  <c r="M1536" i="11"/>
  <c r="O1536" i="11" s="1"/>
  <c r="P1536" i="11"/>
  <c r="M1528" i="11"/>
  <c r="O1528" i="11" s="1"/>
  <c r="P1528" i="11"/>
  <c r="M1520" i="11"/>
  <c r="O1520" i="11" s="1"/>
  <c r="P1520" i="11"/>
  <c r="M1512" i="11"/>
  <c r="O1512" i="11" s="1"/>
  <c r="P1512" i="11"/>
  <c r="M1504" i="11"/>
  <c r="O1504" i="11" s="1"/>
  <c r="P1504" i="11"/>
  <c r="M1496" i="11"/>
  <c r="O1496" i="11" s="1"/>
  <c r="P1496" i="11"/>
  <c r="M1488" i="11"/>
  <c r="O1488" i="11" s="1"/>
  <c r="P1488" i="11"/>
  <c r="M1480" i="11"/>
  <c r="O1480" i="11" s="1"/>
  <c r="P1480" i="11"/>
  <c r="M1472" i="11"/>
  <c r="O1472" i="11" s="1"/>
  <c r="P1472" i="11"/>
  <c r="M1464" i="11"/>
  <c r="O1464" i="11" s="1"/>
  <c r="P1464" i="11"/>
  <c r="M1456" i="11"/>
  <c r="O1456" i="11" s="1"/>
  <c r="P1456" i="11"/>
  <c r="M1448" i="11"/>
  <c r="O1448" i="11" s="1"/>
  <c r="P1448" i="11"/>
  <c r="M1440" i="11"/>
  <c r="O1440" i="11" s="1"/>
  <c r="P1440" i="11"/>
  <c r="M1432" i="11"/>
  <c r="O1432" i="11" s="1"/>
  <c r="P1432" i="11"/>
  <c r="M1424" i="11"/>
  <c r="O1424" i="11" s="1"/>
  <c r="P1424" i="11"/>
  <c r="M1416" i="11"/>
  <c r="O1416" i="11" s="1"/>
  <c r="P1416" i="11"/>
  <c r="M1408" i="11"/>
  <c r="O1408" i="11" s="1"/>
  <c r="P1408" i="11"/>
  <c r="M1400" i="11"/>
  <c r="O1400" i="11" s="1"/>
  <c r="P1400" i="11"/>
  <c r="M1392" i="11"/>
  <c r="O1392" i="11" s="1"/>
  <c r="P1392" i="11"/>
  <c r="M1384" i="11"/>
  <c r="O1384" i="11" s="1"/>
  <c r="P1384" i="11"/>
  <c r="M1376" i="11"/>
  <c r="O1376" i="11" s="1"/>
  <c r="P1376" i="11"/>
  <c r="M1368" i="11"/>
  <c r="O1368" i="11" s="1"/>
  <c r="P1368" i="11"/>
  <c r="M1360" i="11"/>
  <c r="O1360" i="11" s="1"/>
  <c r="P1360" i="11"/>
  <c r="M1352" i="11"/>
  <c r="O1352" i="11" s="1"/>
  <c r="P1352" i="11"/>
  <c r="M1344" i="11"/>
  <c r="O1344" i="11" s="1"/>
  <c r="P1344" i="11"/>
  <c r="M1336" i="11"/>
  <c r="O1336" i="11" s="1"/>
  <c r="P1336" i="11"/>
  <c r="M1327" i="11"/>
  <c r="O1327" i="11" s="1"/>
  <c r="P1327" i="11"/>
  <c r="M1319" i="11"/>
  <c r="O1319" i="11" s="1"/>
  <c r="P1319" i="11"/>
  <c r="M1311" i="11"/>
  <c r="O1311" i="11" s="1"/>
  <c r="P1311" i="11"/>
  <c r="M1303" i="11"/>
  <c r="O1303" i="11" s="1"/>
  <c r="P1303" i="11"/>
  <c r="M1295" i="11"/>
  <c r="O1295" i="11" s="1"/>
  <c r="P1295" i="11"/>
  <c r="M1287" i="11"/>
  <c r="O1287" i="11" s="1"/>
  <c r="P1287" i="11"/>
  <c r="M1279" i="11"/>
  <c r="O1279" i="11" s="1"/>
  <c r="P1279" i="11"/>
  <c r="M1271" i="11"/>
  <c r="O1271" i="11" s="1"/>
  <c r="P1271" i="11"/>
  <c r="M1263" i="11"/>
  <c r="O1263" i="11" s="1"/>
  <c r="P1263" i="11"/>
  <c r="M1255" i="11"/>
  <c r="O1255" i="11" s="1"/>
  <c r="P1255" i="11"/>
  <c r="M1247" i="11"/>
  <c r="O1247" i="11" s="1"/>
  <c r="P1247" i="11"/>
  <c r="M1239" i="11"/>
  <c r="O1239" i="11" s="1"/>
  <c r="P1239" i="11"/>
  <c r="M1231" i="11"/>
  <c r="O1231" i="11" s="1"/>
  <c r="P1231" i="11"/>
  <c r="M1223" i="11"/>
  <c r="O1223" i="11" s="1"/>
  <c r="P1223" i="11"/>
  <c r="M1215" i="11"/>
  <c r="O1215" i="11" s="1"/>
  <c r="P1215" i="11"/>
  <c r="M1207" i="11"/>
  <c r="O1207" i="11" s="1"/>
  <c r="P1207" i="11"/>
  <c r="M1199" i="11"/>
  <c r="O1199" i="11" s="1"/>
  <c r="P1199" i="11"/>
  <c r="M1191" i="11"/>
  <c r="O1191" i="11" s="1"/>
  <c r="P1191" i="11"/>
  <c r="M1183" i="11"/>
  <c r="O1183" i="11" s="1"/>
  <c r="P1183" i="11"/>
  <c r="M1175" i="11"/>
  <c r="O1175" i="11" s="1"/>
  <c r="P1175" i="11"/>
  <c r="M1167" i="11"/>
  <c r="O1167" i="11" s="1"/>
  <c r="P1167" i="11"/>
  <c r="M1159" i="11"/>
  <c r="O1159" i="11" s="1"/>
  <c r="P1159" i="11"/>
  <c r="M1151" i="11"/>
  <c r="O1151" i="11" s="1"/>
  <c r="P1151" i="11"/>
  <c r="M1141" i="11"/>
  <c r="O1141" i="11" s="1"/>
  <c r="P1141" i="11"/>
  <c r="M1133" i="11"/>
  <c r="O1133" i="11" s="1"/>
  <c r="P1133" i="11"/>
  <c r="M1125" i="11"/>
  <c r="O1125" i="11" s="1"/>
  <c r="P1125" i="11"/>
  <c r="M1117" i="11"/>
  <c r="O1117" i="11" s="1"/>
  <c r="P1117" i="11"/>
  <c r="M1109" i="11"/>
  <c r="O1109" i="11" s="1"/>
  <c r="P1109" i="11"/>
  <c r="M1101" i="11"/>
  <c r="O1101" i="11" s="1"/>
  <c r="P1101" i="11"/>
  <c r="M1093" i="11"/>
  <c r="O1093" i="11" s="1"/>
  <c r="P1093" i="11"/>
  <c r="M1085" i="11"/>
  <c r="O1085" i="11" s="1"/>
  <c r="P1085" i="11"/>
  <c r="M1077" i="11"/>
  <c r="O1077" i="11" s="1"/>
  <c r="P1077" i="11"/>
  <c r="M1069" i="11"/>
  <c r="O1069" i="11" s="1"/>
  <c r="P1069" i="11"/>
  <c r="M1061" i="11"/>
  <c r="O1061" i="11" s="1"/>
  <c r="P1061" i="11"/>
  <c r="M1053" i="11"/>
  <c r="O1053" i="11" s="1"/>
  <c r="P1053" i="11"/>
  <c r="M1045" i="11"/>
  <c r="O1045" i="11" s="1"/>
  <c r="P1045" i="11"/>
  <c r="M1037" i="11"/>
  <c r="O1037" i="11" s="1"/>
  <c r="P1037" i="11"/>
  <c r="M1029" i="11"/>
  <c r="O1029" i="11" s="1"/>
  <c r="P1029" i="11"/>
  <c r="M1021" i="11"/>
  <c r="O1021" i="11" s="1"/>
  <c r="P1021" i="11"/>
  <c r="M1013" i="11"/>
  <c r="O1013" i="11" s="1"/>
  <c r="P1013" i="11"/>
  <c r="M1005" i="11"/>
  <c r="O1005" i="11" s="1"/>
  <c r="P1005" i="11"/>
  <c r="M997" i="11"/>
  <c r="O997" i="11" s="1"/>
  <c r="P997" i="11"/>
  <c r="M989" i="11"/>
  <c r="O989" i="11" s="1"/>
  <c r="P989" i="11"/>
  <c r="M981" i="11"/>
  <c r="O981" i="11" s="1"/>
  <c r="P981" i="11"/>
  <c r="M973" i="11"/>
  <c r="O973" i="11" s="1"/>
  <c r="P973" i="11"/>
  <c r="M965" i="11"/>
  <c r="O965" i="11" s="1"/>
  <c r="P965" i="11"/>
  <c r="M957" i="11"/>
  <c r="O957" i="11" s="1"/>
  <c r="P957" i="11"/>
  <c r="M949" i="11"/>
  <c r="O949" i="11" s="1"/>
  <c r="P949" i="11"/>
  <c r="M941" i="11"/>
  <c r="O941" i="11" s="1"/>
  <c r="P941" i="11"/>
  <c r="M933" i="11"/>
  <c r="O933" i="11" s="1"/>
  <c r="P933" i="11"/>
  <c r="M925" i="11"/>
  <c r="O925" i="11" s="1"/>
  <c r="P925" i="11"/>
  <c r="M917" i="11"/>
  <c r="O917" i="11" s="1"/>
  <c r="P917" i="11"/>
  <c r="M909" i="11"/>
  <c r="O909" i="11" s="1"/>
  <c r="P909" i="11"/>
  <c r="M901" i="11"/>
  <c r="O901" i="11" s="1"/>
  <c r="P901" i="11"/>
  <c r="M893" i="11"/>
  <c r="O893" i="11" s="1"/>
  <c r="P893" i="11"/>
  <c r="M885" i="11"/>
  <c r="O885" i="11" s="1"/>
  <c r="P885" i="11"/>
  <c r="M877" i="11"/>
  <c r="O877" i="11" s="1"/>
  <c r="P877" i="11"/>
  <c r="M869" i="11"/>
  <c r="O869" i="11" s="1"/>
  <c r="P869" i="11"/>
  <c r="M860" i="11"/>
  <c r="O860" i="11" s="1"/>
  <c r="P860" i="11"/>
  <c r="M852" i="11"/>
  <c r="O852" i="11" s="1"/>
  <c r="P852" i="11"/>
  <c r="M844" i="11"/>
  <c r="O844" i="11" s="1"/>
  <c r="P844" i="11"/>
  <c r="M835" i="11"/>
  <c r="O835" i="11" s="1"/>
  <c r="P835" i="11"/>
  <c r="M827" i="11"/>
  <c r="O827" i="11" s="1"/>
  <c r="P827" i="11"/>
  <c r="M819" i="11"/>
  <c r="O819" i="11" s="1"/>
  <c r="P819" i="11"/>
  <c r="M811" i="11"/>
  <c r="O811" i="11" s="1"/>
  <c r="P811" i="11"/>
  <c r="M803" i="11"/>
  <c r="O803" i="11" s="1"/>
  <c r="P803" i="11"/>
  <c r="M795" i="11"/>
  <c r="O795" i="11" s="1"/>
  <c r="P795" i="11"/>
  <c r="M778" i="11"/>
  <c r="O778" i="11" s="1"/>
  <c r="P778" i="11"/>
  <c r="M770" i="11"/>
  <c r="O770" i="11" s="1"/>
  <c r="P770" i="11"/>
  <c r="M762" i="11"/>
  <c r="O762" i="11" s="1"/>
  <c r="P762" i="11"/>
  <c r="M754" i="11"/>
  <c r="O754" i="11" s="1"/>
  <c r="P754" i="11"/>
  <c r="M745" i="11"/>
  <c r="O745" i="11" s="1"/>
  <c r="P745" i="11"/>
  <c r="M737" i="11"/>
  <c r="O737" i="11" s="1"/>
  <c r="P737" i="11"/>
  <c r="M729" i="11"/>
  <c r="O729" i="11" s="1"/>
  <c r="P729" i="11"/>
  <c r="M721" i="11"/>
  <c r="O721" i="11" s="1"/>
  <c r="P721" i="11"/>
  <c r="M713" i="11"/>
  <c r="O713" i="11" s="1"/>
  <c r="P713" i="11"/>
  <c r="M704" i="11"/>
  <c r="O704" i="11" s="1"/>
  <c r="P704" i="11"/>
  <c r="M696" i="11"/>
  <c r="O696" i="11" s="1"/>
  <c r="P696" i="11"/>
  <c r="M687" i="11"/>
  <c r="O687" i="11" s="1"/>
  <c r="P687" i="11"/>
  <c r="M679" i="11"/>
  <c r="O679" i="11" s="1"/>
  <c r="P679" i="11"/>
  <c r="M671" i="11"/>
  <c r="O671" i="11" s="1"/>
  <c r="P671" i="11"/>
  <c r="M662" i="11"/>
  <c r="O662" i="11" s="1"/>
  <c r="P662" i="11"/>
  <c r="M653" i="11"/>
  <c r="O653" i="11" s="1"/>
  <c r="P653" i="11"/>
  <c r="M645" i="11"/>
  <c r="O645" i="11" s="1"/>
  <c r="P645" i="11"/>
  <c r="M637" i="11"/>
  <c r="O637" i="11" s="1"/>
  <c r="P637" i="11"/>
  <c r="M628" i="11"/>
  <c r="O628" i="11" s="1"/>
  <c r="P628" i="11"/>
  <c r="M620" i="11"/>
  <c r="O620" i="11" s="1"/>
  <c r="P620" i="11"/>
  <c r="M612" i="11"/>
  <c r="O612" i="11" s="1"/>
  <c r="P612" i="11"/>
  <c r="M604" i="11"/>
  <c r="O604" i="11" s="1"/>
  <c r="P604" i="11"/>
  <c r="M595" i="11"/>
  <c r="O595" i="11" s="1"/>
  <c r="P595" i="11"/>
  <c r="M587" i="11"/>
  <c r="O587" i="11" s="1"/>
  <c r="P587" i="11"/>
  <c r="M579" i="11"/>
  <c r="O579" i="11" s="1"/>
  <c r="P579" i="11"/>
  <c r="M570" i="11"/>
  <c r="O570" i="11" s="1"/>
  <c r="P570" i="11"/>
  <c r="M562" i="11"/>
  <c r="O562" i="11" s="1"/>
  <c r="P562" i="11"/>
  <c r="M553" i="11"/>
  <c r="O553" i="11" s="1"/>
  <c r="P553" i="11"/>
  <c r="M545" i="11"/>
  <c r="O545" i="11" s="1"/>
  <c r="P545" i="11"/>
  <c r="M537" i="11"/>
  <c r="O537" i="11" s="1"/>
  <c r="P537" i="11"/>
  <c r="M529" i="11"/>
  <c r="O529" i="11" s="1"/>
  <c r="P529" i="11"/>
  <c r="M521" i="11"/>
  <c r="O521" i="11" s="1"/>
  <c r="P521" i="11"/>
  <c r="M513" i="11"/>
  <c r="O513" i="11" s="1"/>
  <c r="P513" i="11"/>
  <c r="M505" i="11"/>
  <c r="O505" i="11" s="1"/>
  <c r="P505" i="11"/>
  <c r="M497" i="11"/>
  <c r="O497" i="11" s="1"/>
  <c r="P497" i="11"/>
  <c r="M489" i="11"/>
  <c r="O489" i="11" s="1"/>
  <c r="P489" i="11"/>
  <c r="M481" i="11"/>
  <c r="O481" i="11" s="1"/>
  <c r="P481" i="11"/>
  <c r="M473" i="11"/>
  <c r="O473" i="11" s="1"/>
  <c r="P473" i="11"/>
  <c r="M465" i="11"/>
  <c r="O465" i="11" s="1"/>
  <c r="P465" i="11"/>
  <c r="M457" i="11"/>
  <c r="O457" i="11" s="1"/>
  <c r="P457" i="11"/>
  <c r="M449" i="11"/>
  <c r="O449" i="11" s="1"/>
  <c r="P449" i="11"/>
  <c r="M441" i="11"/>
  <c r="O441" i="11" s="1"/>
  <c r="P441" i="11"/>
  <c r="M433" i="11"/>
  <c r="O433" i="11" s="1"/>
  <c r="P433" i="11"/>
  <c r="M425" i="11"/>
  <c r="O425" i="11" s="1"/>
  <c r="P425" i="11"/>
  <c r="M417" i="11"/>
  <c r="O417" i="11" s="1"/>
  <c r="P417" i="11"/>
  <c r="M409" i="11"/>
  <c r="O409" i="11" s="1"/>
  <c r="P409" i="11"/>
  <c r="M401" i="11"/>
  <c r="O401" i="11" s="1"/>
  <c r="P401" i="11"/>
  <c r="M393" i="11"/>
  <c r="O393" i="11" s="1"/>
  <c r="P393" i="11"/>
  <c r="M385" i="11"/>
  <c r="O385" i="11" s="1"/>
  <c r="P385" i="11"/>
  <c r="M377" i="11"/>
  <c r="O377" i="11" s="1"/>
  <c r="P377" i="11"/>
  <c r="M369" i="11"/>
  <c r="O369" i="11" s="1"/>
  <c r="P369" i="11"/>
  <c r="M361" i="11"/>
  <c r="O361" i="11" s="1"/>
  <c r="P361" i="11"/>
  <c r="M353" i="11"/>
  <c r="O353" i="11" s="1"/>
  <c r="P353" i="11"/>
  <c r="M345" i="11"/>
  <c r="O345" i="11" s="1"/>
  <c r="P345" i="11"/>
  <c r="M337" i="11"/>
  <c r="O337" i="11" s="1"/>
  <c r="P337" i="11"/>
  <c r="M329" i="11"/>
  <c r="O329" i="11" s="1"/>
  <c r="P329" i="11"/>
  <c r="M321" i="11"/>
  <c r="O321" i="11" s="1"/>
  <c r="P321" i="11"/>
  <c r="M313" i="11"/>
  <c r="O313" i="11" s="1"/>
  <c r="P313" i="11"/>
  <c r="M305" i="11"/>
  <c r="O305" i="11" s="1"/>
  <c r="P305" i="11"/>
  <c r="M297" i="11"/>
  <c r="O297" i="11" s="1"/>
  <c r="P297" i="11"/>
  <c r="M289" i="11"/>
  <c r="O289" i="11" s="1"/>
  <c r="P289" i="11"/>
  <c r="M281" i="11"/>
  <c r="O281" i="11" s="1"/>
  <c r="P281" i="11"/>
  <c r="M272" i="11"/>
  <c r="O272" i="11" s="1"/>
  <c r="P272" i="11"/>
  <c r="M264" i="11"/>
  <c r="O264" i="11" s="1"/>
  <c r="P264" i="11"/>
  <c r="M256" i="11"/>
  <c r="O256" i="11" s="1"/>
  <c r="P256" i="11"/>
  <c r="M248" i="11"/>
  <c r="O248" i="11" s="1"/>
  <c r="P248" i="11"/>
  <c r="M240" i="11"/>
  <c r="O240" i="11" s="1"/>
  <c r="P240" i="11"/>
  <c r="M232" i="11"/>
  <c r="O232" i="11" s="1"/>
  <c r="P232" i="11"/>
  <c r="M224" i="11"/>
  <c r="O224" i="11" s="1"/>
  <c r="P224" i="11"/>
  <c r="M216" i="11"/>
  <c r="O216" i="11" s="1"/>
  <c r="P216" i="11"/>
  <c r="M208" i="11"/>
  <c r="O208" i="11" s="1"/>
  <c r="P208" i="11"/>
  <c r="M200" i="11"/>
  <c r="O200" i="11" s="1"/>
  <c r="P200" i="11"/>
  <c r="M192" i="11"/>
  <c r="O192" i="11" s="1"/>
  <c r="P192" i="11"/>
  <c r="M184" i="11"/>
  <c r="O184" i="11" s="1"/>
  <c r="P184" i="11"/>
  <c r="M176" i="11"/>
  <c r="O176" i="11" s="1"/>
  <c r="P176" i="11"/>
  <c r="M168" i="11"/>
  <c r="O168" i="11" s="1"/>
  <c r="P168" i="11"/>
  <c r="M159" i="11"/>
  <c r="O159" i="11" s="1"/>
  <c r="P159" i="11"/>
  <c r="M151" i="11"/>
  <c r="O151" i="11" s="1"/>
  <c r="P151" i="11"/>
  <c r="M143" i="11"/>
  <c r="O143" i="11" s="1"/>
  <c r="P143" i="11"/>
  <c r="M135" i="11"/>
  <c r="O135" i="11" s="1"/>
  <c r="P135" i="11"/>
  <c r="M127" i="11"/>
  <c r="O127" i="11" s="1"/>
  <c r="P127" i="11"/>
  <c r="M119" i="11"/>
  <c r="O119" i="11" s="1"/>
  <c r="P119" i="11"/>
  <c r="M111" i="11"/>
  <c r="O111" i="11" s="1"/>
  <c r="P111" i="11"/>
  <c r="M103" i="11"/>
  <c r="O103" i="11" s="1"/>
  <c r="P103" i="11"/>
  <c r="M95" i="11"/>
  <c r="O95" i="11" s="1"/>
  <c r="P95" i="11"/>
  <c r="M87" i="11"/>
  <c r="O87" i="11" s="1"/>
  <c r="P87" i="11"/>
  <c r="M79" i="11"/>
  <c r="O79" i="11" s="1"/>
  <c r="P79" i="11"/>
  <c r="M71" i="11"/>
  <c r="O71" i="11" s="1"/>
  <c r="P71" i="11"/>
  <c r="M63" i="11"/>
  <c r="O63" i="11" s="1"/>
  <c r="P63" i="11"/>
  <c r="M55" i="11"/>
  <c r="O55" i="11" s="1"/>
  <c r="P55" i="11"/>
  <c r="M47" i="11"/>
  <c r="O47" i="11" s="1"/>
  <c r="P47" i="11"/>
  <c r="M39" i="11"/>
  <c r="O39" i="11" s="1"/>
  <c r="P39" i="11"/>
  <c r="M31" i="11"/>
  <c r="O31" i="11" s="1"/>
  <c r="P31" i="11"/>
  <c r="M23" i="11"/>
  <c r="O23" i="11" s="1"/>
  <c r="P23" i="11"/>
  <c r="M15" i="11"/>
  <c r="O15" i="11" s="1"/>
  <c r="P15" i="11"/>
  <c r="M7" i="11"/>
  <c r="O7" i="11" s="1"/>
  <c r="P7" i="11"/>
  <c r="P1460" i="11"/>
  <c r="P1212" i="11"/>
  <c r="P1144" i="11"/>
  <c r="P971" i="11"/>
  <c r="P787" i="11"/>
  <c r="M1923" i="11"/>
  <c r="O1923" i="11" s="1"/>
  <c r="P1923" i="11"/>
  <c r="M1884" i="11"/>
  <c r="O1884" i="11" s="1"/>
  <c r="P1884" i="11"/>
  <c r="M1852" i="11"/>
  <c r="O1852" i="11" s="1"/>
  <c r="P1852" i="11"/>
  <c r="M1817" i="11"/>
  <c r="O1817" i="11" s="1"/>
  <c r="P1817" i="11"/>
  <c r="M1774" i="11"/>
  <c r="O1774" i="11" s="1"/>
  <c r="P1774" i="11"/>
  <c r="M1734" i="11"/>
  <c r="O1734" i="11" s="1"/>
  <c r="P1734" i="11"/>
  <c r="M1702" i="11"/>
  <c r="O1702" i="11" s="1"/>
  <c r="P1702" i="11"/>
  <c r="M1678" i="11"/>
  <c r="O1678" i="11" s="1"/>
  <c r="P1678" i="11"/>
  <c r="M1636" i="11"/>
  <c r="O1636" i="11" s="1"/>
  <c r="P1636" i="11"/>
  <c r="M1604" i="11"/>
  <c r="O1604" i="11" s="1"/>
  <c r="P1604" i="11"/>
  <c r="M1572" i="11"/>
  <c r="O1572" i="11" s="1"/>
  <c r="P1572" i="11"/>
  <c r="M1540" i="11"/>
  <c r="O1540" i="11" s="1"/>
  <c r="P1540" i="11"/>
  <c r="M1508" i="11"/>
  <c r="O1508" i="11" s="1"/>
  <c r="P1508" i="11"/>
  <c r="M1476" i="11"/>
  <c r="O1476" i="11" s="1"/>
  <c r="P1476" i="11"/>
  <c r="M1444" i="11"/>
  <c r="O1444" i="11" s="1"/>
  <c r="P1444" i="11"/>
  <c r="M1420" i="11"/>
  <c r="O1420" i="11" s="1"/>
  <c r="P1420" i="11"/>
  <c r="M1331" i="11"/>
  <c r="O1331" i="11" s="1"/>
  <c r="P1331" i="11"/>
  <c r="M1299" i="11"/>
  <c r="O1299" i="11" s="1"/>
  <c r="P1299" i="11"/>
  <c r="M1267" i="11"/>
  <c r="O1267" i="11" s="1"/>
  <c r="P1267" i="11"/>
  <c r="M1227" i="11"/>
  <c r="O1227" i="11" s="1"/>
  <c r="P1227" i="11"/>
  <c r="M1195" i="11"/>
  <c r="O1195" i="11" s="1"/>
  <c r="P1195" i="11"/>
  <c r="M1145" i="11"/>
  <c r="O1145" i="11" s="1"/>
  <c r="P1145" i="11"/>
  <c r="M1113" i="11"/>
  <c r="O1113" i="11" s="1"/>
  <c r="P1113" i="11"/>
  <c r="M1065" i="11"/>
  <c r="O1065" i="11" s="1"/>
  <c r="P1065" i="11"/>
  <c r="M1025" i="11"/>
  <c r="O1025" i="11" s="1"/>
  <c r="P1025" i="11"/>
  <c r="M993" i="11"/>
  <c r="O993" i="11" s="1"/>
  <c r="P993" i="11"/>
  <c r="M953" i="11"/>
  <c r="O953" i="11" s="1"/>
  <c r="P953" i="11"/>
  <c r="M913" i="11"/>
  <c r="O913" i="11" s="1"/>
  <c r="P913" i="11"/>
  <c r="M873" i="11"/>
  <c r="O873" i="11" s="1"/>
  <c r="P873" i="11"/>
  <c r="M831" i="11"/>
  <c r="O831" i="11" s="1"/>
  <c r="P831" i="11"/>
  <c r="M799" i="11"/>
  <c r="O799" i="11" s="1"/>
  <c r="P799" i="11"/>
  <c r="M741" i="11"/>
  <c r="O741" i="11" s="1"/>
  <c r="P741" i="11"/>
  <c r="M717" i="11"/>
  <c r="O717" i="11" s="1"/>
  <c r="P717" i="11"/>
  <c r="M1882" i="11"/>
  <c r="O1882" i="11" s="1"/>
  <c r="P1882" i="11"/>
  <c r="M1418" i="11"/>
  <c r="O1418" i="11" s="1"/>
  <c r="P1418" i="11"/>
  <c r="M1386" i="11"/>
  <c r="O1386" i="11" s="1"/>
  <c r="P1386" i="11"/>
  <c r="M1354" i="11"/>
  <c r="O1354" i="11" s="1"/>
  <c r="P1354" i="11"/>
  <c r="M1313" i="11"/>
  <c r="O1313" i="11" s="1"/>
  <c r="P1313" i="11"/>
  <c r="M1281" i="11"/>
  <c r="O1281" i="11" s="1"/>
  <c r="P1281" i="11"/>
  <c r="M1241" i="11"/>
  <c r="O1241" i="11" s="1"/>
  <c r="P1241" i="11"/>
  <c r="M1217" i="11"/>
  <c r="O1217" i="11" s="1"/>
  <c r="P1217" i="11"/>
  <c r="M1193" i="11"/>
  <c r="O1193" i="11" s="1"/>
  <c r="P1193" i="11"/>
  <c r="M1169" i="11"/>
  <c r="O1169" i="11" s="1"/>
  <c r="P1169" i="11"/>
  <c r="M1153" i="11"/>
  <c r="O1153" i="11" s="1"/>
  <c r="P1153" i="11"/>
  <c r="M1127" i="11"/>
  <c r="O1127" i="11" s="1"/>
  <c r="P1127" i="11"/>
  <c r="M1111" i="11"/>
  <c r="O1111" i="11" s="1"/>
  <c r="P1111" i="11"/>
  <c r="M1087" i="11"/>
  <c r="O1087" i="11" s="1"/>
  <c r="P1087" i="11"/>
  <c r="M1905" i="11"/>
  <c r="O1905" i="11" s="1"/>
  <c r="P1905" i="11"/>
  <c r="M1873" i="11"/>
  <c r="O1873" i="11" s="1"/>
  <c r="P1873" i="11"/>
  <c r="M1849" i="11"/>
  <c r="O1849" i="11" s="1"/>
  <c r="P1849" i="11"/>
  <c r="M1814" i="11"/>
  <c r="O1814" i="11" s="1"/>
  <c r="P1814" i="11"/>
  <c r="M1771" i="11"/>
  <c r="O1771" i="11" s="1"/>
  <c r="P1771" i="11"/>
  <c r="M1747" i="11"/>
  <c r="O1747" i="11" s="1"/>
  <c r="P1747" i="11"/>
  <c r="M1715" i="11"/>
  <c r="O1715" i="11" s="1"/>
  <c r="P1715" i="11"/>
  <c r="M1699" i="11"/>
  <c r="O1699" i="11" s="1"/>
  <c r="P1699" i="11"/>
  <c r="M1667" i="11"/>
  <c r="O1667" i="11" s="1"/>
  <c r="P1667" i="11"/>
  <c r="M1641" i="11"/>
  <c r="O1641" i="11" s="1"/>
  <c r="P1641" i="11"/>
  <c r="M1617" i="11"/>
  <c r="O1617" i="11" s="1"/>
  <c r="P1617" i="11"/>
  <c r="M1593" i="11"/>
  <c r="O1593" i="11" s="1"/>
  <c r="P1593" i="11"/>
  <c r="M1561" i="11"/>
  <c r="O1561" i="11" s="1"/>
  <c r="P1561" i="11"/>
  <c r="M1529" i="11"/>
  <c r="O1529" i="11" s="1"/>
  <c r="P1529" i="11"/>
  <c r="M1505" i="11"/>
  <c r="O1505" i="11" s="1"/>
  <c r="P1505" i="11"/>
  <c r="M1481" i="11"/>
  <c r="O1481" i="11" s="1"/>
  <c r="P1481" i="11"/>
  <c r="M1465" i="11"/>
  <c r="O1465" i="11" s="1"/>
  <c r="P1465" i="11"/>
  <c r="M1433" i="11"/>
  <c r="O1433" i="11" s="1"/>
  <c r="P1433" i="11"/>
  <c r="M1904" i="11"/>
  <c r="O1904" i="11" s="1"/>
  <c r="P1904" i="11"/>
  <c r="M1872" i="11"/>
  <c r="O1872" i="11" s="1"/>
  <c r="P1872" i="11"/>
  <c r="M1848" i="11"/>
  <c r="O1848" i="11" s="1"/>
  <c r="P1848" i="11"/>
  <c r="M1824" i="11"/>
  <c r="O1824" i="11" s="1"/>
  <c r="P1824" i="11"/>
  <c r="M1778" i="11"/>
  <c r="O1778" i="11" s="1"/>
  <c r="P1778" i="11"/>
  <c r="M1911" i="11"/>
  <c r="O1911" i="11" s="1"/>
  <c r="P1911" i="11"/>
  <c r="M1903" i="11"/>
  <c r="O1903" i="11" s="1"/>
  <c r="P1903" i="11"/>
  <c r="M1895" i="11"/>
  <c r="O1895" i="11" s="1"/>
  <c r="P1895" i="11"/>
  <c r="M1887" i="11"/>
  <c r="O1887" i="11" s="1"/>
  <c r="P1887" i="11"/>
  <c r="M1879" i="11"/>
  <c r="O1879" i="11" s="1"/>
  <c r="P1879" i="11"/>
  <c r="M1871" i="11"/>
  <c r="O1871" i="11" s="1"/>
  <c r="P1871" i="11"/>
  <c r="M1863" i="11"/>
  <c r="O1863" i="11" s="1"/>
  <c r="P1863" i="11"/>
  <c r="M1855" i="11"/>
  <c r="O1855" i="11" s="1"/>
  <c r="P1855" i="11"/>
  <c r="M1847" i="11"/>
  <c r="O1847" i="11" s="1"/>
  <c r="P1847" i="11"/>
  <c r="M1839" i="11"/>
  <c r="O1839" i="11" s="1"/>
  <c r="P1839" i="11"/>
  <c r="M1831" i="11"/>
  <c r="O1831" i="11" s="1"/>
  <c r="P1831" i="11"/>
  <c r="M1822" i="11"/>
  <c r="O1822" i="11" s="1"/>
  <c r="P1822" i="11"/>
  <c r="M1812" i="11"/>
  <c r="O1812" i="11" s="1"/>
  <c r="P1812" i="11"/>
  <c r="M1802" i="11"/>
  <c r="O1802" i="11" s="1"/>
  <c r="P1802" i="11"/>
  <c r="M1794" i="11"/>
  <c r="O1794" i="11" s="1"/>
  <c r="P1794" i="11"/>
  <c r="M1785" i="11"/>
  <c r="O1785" i="11" s="1"/>
  <c r="P1785" i="11"/>
  <c r="M1777" i="11"/>
  <c r="O1777" i="11" s="1"/>
  <c r="P1777" i="11"/>
  <c r="M1769" i="11"/>
  <c r="O1769" i="11" s="1"/>
  <c r="P1769" i="11"/>
  <c r="M1761" i="11"/>
  <c r="O1761" i="11" s="1"/>
  <c r="P1761" i="11"/>
  <c r="M1753" i="11"/>
  <c r="O1753" i="11" s="1"/>
  <c r="P1753" i="11"/>
  <c r="M1745" i="11"/>
  <c r="O1745" i="11" s="1"/>
  <c r="P1745" i="11"/>
  <c r="M1737" i="11"/>
  <c r="O1737" i="11" s="1"/>
  <c r="P1737" i="11"/>
  <c r="M1729" i="11"/>
  <c r="O1729" i="11" s="1"/>
  <c r="P1729" i="11"/>
  <c r="M1721" i="11"/>
  <c r="O1721" i="11" s="1"/>
  <c r="P1721" i="11"/>
  <c r="M1713" i="11"/>
  <c r="O1713" i="11" s="1"/>
  <c r="P1713" i="11"/>
  <c r="M1705" i="11"/>
  <c r="O1705" i="11" s="1"/>
  <c r="P1705" i="11"/>
  <c r="M1697" i="11"/>
  <c r="O1697" i="11" s="1"/>
  <c r="P1697" i="11"/>
  <c r="M1689" i="11"/>
  <c r="O1689" i="11" s="1"/>
  <c r="P1689" i="11"/>
  <c r="M1681" i="11"/>
  <c r="O1681" i="11" s="1"/>
  <c r="P1681" i="11"/>
  <c r="M1673" i="11"/>
  <c r="O1673" i="11" s="1"/>
  <c r="P1673" i="11"/>
  <c r="M1665" i="11"/>
  <c r="O1665" i="11" s="1"/>
  <c r="P1665" i="11"/>
  <c r="M1656" i="11"/>
  <c r="O1656" i="11" s="1"/>
  <c r="P1656" i="11"/>
  <c r="M1647" i="11"/>
  <c r="O1647" i="11" s="1"/>
  <c r="P1647" i="11"/>
  <c r="M1639" i="11"/>
  <c r="O1639" i="11" s="1"/>
  <c r="P1639" i="11"/>
  <c r="M1631" i="11"/>
  <c r="O1631" i="11" s="1"/>
  <c r="P1631" i="11"/>
  <c r="M1623" i="11"/>
  <c r="O1623" i="11" s="1"/>
  <c r="P1623" i="11"/>
  <c r="M1615" i="11"/>
  <c r="O1615" i="11" s="1"/>
  <c r="P1615" i="11"/>
  <c r="M1607" i="11"/>
  <c r="O1607" i="11" s="1"/>
  <c r="P1607" i="11"/>
  <c r="M1599" i="11"/>
  <c r="O1599" i="11" s="1"/>
  <c r="P1599" i="11"/>
  <c r="M1591" i="11"/>
  <c r="O1591" i="11" s="1"/>
  <c r="P1591" i="11"/>
  <c r="M1583" i="11"/>
  <c r="O1583" i="11" s="1"/>
  <c r="P1583" i="11"/>
  <c r="M1575" i="11"/>
  <c r="O1575" i="11" s="1"/>
  <c r="P1575" i="11"/>
  <c r="M1567" i="11"/>
  <c r="O1567" i="11" s="1"/>
  <c r="P1567" i="11"/>
  <c r="M1559" i="11"/>
  <c r="O1559" i="11" s="1"/>
  <c r="P1559" i="11"/>
  <c r="M1551" i="11"/>
  <c r="O1551" i="11" s="1"/>
  <c r="P1551" i="11"/>
  <c r="M1543" i="11"/>
  <c r="O1543" i="11" s="1"/>
  <c r="P1543" i="11"/>
  <c r="M1535" i="11"/>
  <c r="O1535" i="11" s="1"/>
  <c r="P1535" i="11"/>
  <c r="M1527" i="11"/>
  <c r="O1527" i="11" s="1"/>
  <c r="P1527" i="11"/>
  <c r="M1519" i="11"/>
  <c r="O1519" i="11" s="1"/>
  <c r="P1519" i="11"/>
  <c r="M1511" i="11"/>
  <c r="O1511" i="11" s="1"/>
  <c r="P1511" i="11"/>
  <c r="M1503" i="11"/>
  <c r="O1503" i="11" s="1"/>
  <c r="P1503" i="11"/>
  <c r="M1495" i="11"/>
  <c r="O1495" i="11" s="1"/>
  <c r="P1495" i="11"/>
  <c r="M1487" i="11"/>
  <c r="O1487" i="11" s="1"/>
  <c r="P1487" i="11"/>
  <c r="M1479" i="11"/>
  <c r="O1479" i="11" s="1"/>
  <c r="P1479" i="11"/>
  <c r="M1471" i="11"/>
  <c r="O1471" i="11" s="1"/>
  <c r="P1471" i="11"/>
  <c r="M1463" i="11"/>
  <c r="O1463" i="11" s="1"/>
  <c r="P1463" i="11"/>
  <c r="M1455" i="11"/>
  <c r="O1455" i="11" s="1"/>
  <c r="P1455" i="11"/>
  <c r="M1447" i="11"/>
  <c r="O1447" i="11" s="1"/>
  <c r="P1447" i="11"/>
  <c r="M1439" i="11"/>
  <c r="O1439" i="11" s="1"/>
  <c r="P1439" i="11"/>
  <c r="M1431" i="11"/>
  <c r="O1431" i="11" s="1"/>
  <c r="P1431" i="11"/>
  <c r="M1423" i="11"/>
  <c r="O1423" i="11" s="1"/>
  <c r="P1423" i="11"/>
  <c r="M1415" i="11"/>
  <c r="O1415" i="11" s="1"/>
  <c r="P1415" i="11"/>
  <c r="M1407" i="11"/>
  <c r="O1407" i="11" s="1"/>
  <c r="P1407" i="11"/>
  <c r="M1399" i="11"/>
  <c r="O1399" i="11" s="1"/>
  <c r="P1399" i="11"/>
  <c r="M1391" i="11"/>
  <c r="O1391" i="11" s="1"/>
  <c r="P1391" i="11"/>
  <c r="M1383" i="11"/>
  <c r="O1383" i="11" s="1"/>
  <c r="P1383" i="11"/>
  <c r="M1375" i="11"/>
  <c r="O1375" i="11" s="1"/>
  <c r="P1375" i="11"/>
  <c r="M1367" i="11"/>
  <c r="O1367" i="11" s="1"/>
  <c r="P1367" i="11"/>
  <c r="M1359" i="11"/>
  <c r="O1359" i="11" s="1"/>
  <c r="P1359" i="11"/>
  <c r="M1351" i="11"/>
  <c r="O1351" i="11" s="1"/>
  <c r="P1351" i="11"/>
  <c r="M1343" i="11"/>
  <c r="O1343" i="11" s="1"/>
  <c r="P1343" i="11"/>
  <c r="M1335" i="11"/>
  <c r="O1335" i="11" s="1"/>
  <c r="P1335" i="11"/>
  <c r="M1326" i="11"/>
  <c r="O1326" i="11" s="1"/>
  <c r="P1326" i="11"/>
  <c r="M1318" i="11"/>
  <c r="O1318" i="11" s="1"/>
  <c r="P1318" i="11"/>
  <c r="M1310" i="11"/>
  <c r="O1310" i="11" s="1"/>
  <c r="P1310" i="11"/>
  <c r="M1302" i="11"/>
  <c r="O1302" i="11" s="1"/>
  <c r="P1302" i="11"/>
  <c r="M1294" i="11"/>
  <c r="O1294" i="11" s="1"/>
  <c r="P1294" i="11"/>
  <c r="M1286" i="11"/>
  <c r="O1286" i="11" s="1"/>
  <c r="P1286" i="11"/>
  <c r="M1278" i="11"/>
  <c r="O1278" i="11" s="1"/>
  <c r="P1278" i="11"/>
  <c r="M1270" i="11"/>
  <c r="O1270" i="11" s="1"/>
  <c r="P1270" i="11"/>
  <c r="M1262" i="11"/>
  <c r="O1262" i="11" s="1"/>
  <c r="P1262" i="11"/>
  <c r="M1254" i="11"/>
  <c r="O1254" i="11" s="1"/>
  <c r="P1254" i="11"/>
  <c r="M1246" i="11"/>
  <c r="O1246" i="11" s="1"/>
  <c r="P1246" i="11"/>
  <c r="M1238" i="11"/>
  <c r="O1238" i="11" s="1"/>
  <c r="P1238" i="11"/>
  <c r="M1230" i="11"/>
  <c r="O1230" i="11" s="1"/>
  <c r="P1230" i="11"/>
  <c r="M1222" i="11"/>
  <c r="O1222" i="11" s="1"/>
  <c r="P1222" i="11"/>
  <c r="M1214" i="11"/>
  <c r="O1214" i="11" s="1"/>
  <c r="P1214" i="11"/>
  <c r="M1206" i="11"/>
  <c r="O1206" i="11" s="1"/>
  <c r="P1206" i="11"/>
  <c r="M1198" i="11"/>
  <c r="O1198" i="11" s="1"/>
  <c r="P1198" i="11"/>
  <c r="M1190" i="11"/>
  <c r="O1190" i="11" s="1"/>
  <c r="P1190" i="11"/>
  <c r="M1182" i="11"/>
  <c r="O1182" i="11" s="1"/>
  <c r="P1182" i="11"/>
  <c r="M1174" i="11"/>
  <c r="O1174" i="11" s="1"/>
  <c r="P1174" i="11"/>
  <c r="M1166" i="11"/>
  <c r="O1166" i="11" s="1"/>
  <c r="P1166" i="11"/>
  <c r="M1158" i="11"/>
  <c r="O1158" i="11" s="1"/>
  <c r="P1158" i="11"/>
  <c r="M1148" i="11"/>
  <c r="O1148" i="11" s="1"/>
  <c r="P1148" i="11"/>
  <c r="M1140" i="11"/>
  <c r="O1140" i="11" s="1"/>
  <c r="P1140" i="11"/>
  <c r="M1132" i="11"/>
  <c r="O1132" i="11" s="1"/>
  <c r="P1132" i="11"/>
  <c r="M1124" i="11"/>
  <c r="O1124" i="11" s="1"/>
  <c r="P1124" i="11"/>
  <c r="M1116" i="11"/>
  <c r="O1116" i="11" s="1"/>
  <c r="P1116" i="11"/>
  <c r="M1108" i="11"/>
  <c r="O1108" i="11" s="1"/>
  <c r="P1108" i="11"/>
  <c r="M1100" i="11"/>
  <c r="O1100" i="11" s="1"/>
  <c r="P1100" i="11"/>
  <c r="M1092" i="11"/>
  <c r="O1092" i="11" s="1"/>
  <c r="P1092" i="11"/>
  <c r="M1084" i="11"/>
  <c r="O1084" i="11" s="1"/>
  <c r="P1084" i="11"/>
  <c r="M1076" i="11"/>
  <c r="O1076" i="11" s="1"/>
  <c r="P1076" i="11"/>
  <c r="M1068" i="11"/>
  <c r="O1068" i="11" s="1"/>
  <c r="P1068" i="11"/>
  <c r="M1060" i="11"/>
  <c r="O1060" i="11" s="1"/>
  <c r="P1060" i="11"/>
  <c r="M1052" i="11"/>
  <c r="O1052" i="11" s="1"/>
  <c r="P1052" i="11"/>
  <c r="M1044" i="11"/>
  <c r="O1044" i="11" s="1"/>
  <c r="P1044" i="11"/>
  <c r="M1036" i="11"/>
  <c r="O1036" i="11" s="1"/>
  <c r="P1036" i="11"/>
  <c r="M1028" i="11"/>
  <c r="O1028" i="11" s="1"/>
  <c r="P1028" i="11"/>
  <c r="M1020" i="11"/>
  <c r="O1020" i="11" s="1"/>
  <c r="P1020" i="11"/>
  <c r="M1012" i="11"/>
  <c r="O1012" i="11" s="1"/>
  <c r="P1012" i="11"/>
  <c r="M1004" i="11"/>
  <c r="O1004" i="11" s="1"/>
  <c r="P1004" i="11"/>
  <c r="M996" i="11"/>
  <c r="O996" i="11" s="1"/>
  <c r="P996" i="11"/>
  <c r="M988" i="11"/>
  <c r="O988" i="11" s="1"/>
  <c r="P988" i="11"/>
  <c r="M980" i="11"/>
  <c r="O980" i="11" s="1"/>
  <c r="P980" i="11"/>
  <c r="M972" i="11"/>
  <c r="O972" i="11" s="1"/>
  <c r="P972" i="11"/>
  <c r="M964" i="11"/>
  <c r="O964" i="11" s="1"/>
  <c r="P964" i="11"/>
  <c r="M956" i="11"/>
  <c r="O956" i="11" s="1"/>
  <c r="P956" i="11"/>
  <c r="M948" i="11"/>
  <c r="O948" i="11" s="1"/>
  <c r="P948" i="11"/>
  <c r="M940" i="11"/>
  <c r="O940" i="11" s="1"/>
  <c r="P940" i="11"/>
  <c r="M932" i="11"/>
  <c r="O932" i="11" s="1"/>
  <c r="P932" i="11"/>
  <c r="M924" i="11"/>
  <c r="O924" i="11" s="1"/>
  <c r="P924" i="11"/>
  <c r="M916" i="11"/>
  <c r="O916" i="11" s="1"/>
  <c r="P916" i="11"/>
  <c r="M908" i="11"/>
  <c r="O908" i="11" s="1"/>
  <c r="P908" i="11"/>
  <c r="M900" i="11"/>
  <c r="O900" i="11" s="1"/>
  <c r="P900" i="11"/>
  <c r="M892" i="11"/>
  <c r="O892" i="11" s="1"/>
  <c r="P892" i="11"/>
  <c r="M884" i="11"/>
  <c r="O884" i="11" s="1"/>
  <c r="P884" i="11"/>
  <c r="M876" i="11"/>
  <c r="O876" i="11" s="1"/>
  <c r="P876" i="11"/>
  <c r="M867" i="11"/>
  <c r="O867" i="11" s="1"/>
  <c r="P867" i="11"/>
  <c r="M859" i="11"/>
  <c r="O859" i="11" s="1"/>
  <c r="P859" i="11"/>
  <c r="M851" i="11"/>
  <c r="O851" i="11" s="1"/>
  <c r="P851" i="11"/>
  <c r="M843" i="11"/>
  <c r="O843" i="11" s="1"/>
  <c r="P843" i="11"/>
  <c r="M834" i="11"/>
  <c r="O834" i="11" s="1"/>
  <c r="P834" i="11"/>
  <c r="M826" i="11"/>
  <c r="O826" i="11" s="1"/>
  <c r="P826" i="11"/>
  <c r="M818" i="11"/>
  <c r="O818" i="11" s="1"/>
  <c r="P818" i="11"/>
  <c r="M810" i="11"/>
  <c r="O810" i="11" s="1"/>
  <c r="P810" i="11"/>
  <c r="M802" i="11"/>
  <c r="O802" i="11" s="1"/>
  <c r="P802" i="11"/>
  <c r="M794" i="11"/>
  <c r="O794" i="11" s="1"/>
  <c r="P794" i="11"/>
  <c r="M786" i="11"/>
  <c r="O786" i="11" s="1"/>
  <c r="P786" i="11"/>
  <c r="M777" i="11"/>
  <c r="O777" i="11" s="1"/>
  <c r="P777" i="11"/>
  <c r="M769" i="11"/>
  <c r="O769" i="11" s="1"/>
  <c r="P769" i="11"/>
  <c r="M761" i="11"/>
  <c r="O761" i="11" s="1"/>
  <c r="P761" i="11"/>
  <c r="M752" i="11"/>
  <c r="O752" i="11" s="1"/>
  <c r="P752" i="11"/>
  <c r="M744" i="11"/>
  <c r="O744" i="11" s="1"/>
  <c r="P744" i="11"/>
  <c r="M728" i="11"/>
  <c r="O728" i="11" s="1"/>
  <c r="P728" i="11"/>
  <c r="M720" i="11"/>
  <c r="O720" i="11" s="1"/>
  <c r="P720" i="11"/>
  <c r="M712" i="11"/>
  <c r="O712" i="11" s="1"/>
  <c r="P712" i="11"/>
  <c r="M703" i="11"/>
  <c r="O703" i="11" s="1"/>
  <c r="P703" i="11"/>
  <c r="M695" i="11"/>
  <c r="O695" i="11" s="1"/>
  <c r="P695" i="11"/>
  <c r="M686" i="11"/>
  <c r="O686" i="11" s="1"/>
  <c r="P686" i="11"/>
  <c r="M678" i="11"/>
  <c r="O678" i="11" s="1"/>
  <c r="P678" i="11"/>
  <c r="M670" i="11"/>
  <c r="O670" i="11" s="1"/>
  <c r="P670" i="11"/>
  <c r="M661" i="11"/>
  <c r="O661" i="11" s="1"/>
  <c r="P661" i="11"/>
  <c r="M652" i="11"/>
  <c r="O652" i="11" s="1"/>
  <c r="P652" i="11"/>
  <c r="M644" i="11"/>
  <c r="O644" i="11" s="1"/>
  <c r="P644" i="11"/>
  <c r="M636" i="11"/>
  <c r="O636" i="11" s="1"/>
  <c r="P636" i="11"/>
  <c r="M627" i="11"/>
  <c r="O627" i="11" s="1"/>
  <c r="P627" i="11"/>
  <c r="M619" i="11"/>
  <c r="O619" i="11" s="1"/>
  <c r="P619" i="11"/>
  <c r="M611" i="11"/>
  <c r="O611" i="11" s="1"/>
  <c r="P611" i="11"/>
  <c r="M603" i="11"/>
  <c r="O603" i="11" s="1"/>
  <c r="P603" i="11"/>
  <c r="M594" i="11"/>
  <c r="O594" i="11" s="1"/>
  <c r="P594" i="11"/>
  <c r="M586" i="11"/>
  <c r="O586" i="11" s="1"/>
  <c r="P586" i="11"/>
  <c r="M578" i="11"/>
  <c r="O578" i="11" s="1"/>
  <c r="P578" i="11"/>
  <c r="M569" i="11"/>
  <c r="O569" i="11" s="1"/>
  <c r="P569" i="11"/>
  <c r="M561" i="11"/>
  <c r="O561" i="11" s="1"/>
  <c r="P561" i="11"/>
  <c r="M552" i="11"/>
  <c r="O552" i="11" s="1"/>
  <c r="P552" i="11"/>
  <c r="M544" i="11"/>
  <c r="O544" i="11" s="1"/>
  <c r="P544" i="11"/>
  <c r="M536" i="11"/>
  <c r="O536" i="11" s="1"/>
  <c r="P536" i="11"/>
  <c r="M528" i="11"/>
  <c r="O528" i="11" s="1"/>
  <c r="P528" i="11"/>
  <c r="M520" i="11"/>
  <c r="O520" i="11" s="1"/>
  <c r="P520" i="11"/>
  <c r="M512" i="11"/>
  <c r="O512" i="11" s="1"/>
  <c r="P512" i="11"/>
  <c r="M504" i="11"/>
  <c r="O504" i="11" s="1"/>
  <c r="P504" i="11"/>
  <c r="M496" i="11"/>
  <c r="O496" i="11" s="1"/>
  <c r="P496" i="11"/>
  <c r="M488" i="11"/>
  <c r="O488" i="11" s="1"/>
  <c r="P488" i="11"/>
  <c r="M480" i="11"/>
  <c r="O480" i="11" s="1"/>
  <c r="P480" i="11"/>
  <c r="M472" i="11"/>
  <c r="O472" i="11" s="1"/>
  <c r="P472" i="11"/>
  <c r="M464" i="11"/>
  <c r="O464" i="11" s="1"/>
  <c r="P464" i="11"/>
  <c r="M456" i="11"/>
  <c r="O456" i="11" s="1"/>
  <c r="P456" i="11"/>
  <c r="M448" i="11"/>
  <c r="O448" i="11" s="1"/>
  <c r="P448" i="11"/>
  <c r="M440" i="11"/>
  <c r="O440" i="11" s="1"/>
  <c r="P440" i="11"/>
  <c r="M432" i="11"/>
  <c r="O432" i="11" s="1"/>
  <c r="P432" i="11"/>
  <c r="M424" i="11"/>
  <c r="O424" i="11" s="1"/>
  <c r="P424" i="11"/>
  <c r="M416" i="11"/>
  <c r="O416" i="11" s="1"/>
  <c r="P416" i="11"/>
  <c r="M408" i="11"/>
  <c r="O408" i="11" s="1"/>
  <c r="P408" i="11"/>
  <c r="M400" i="11"/>
  <c r="O400" i="11" s="1"/>
  <c r="P400" i="11"/>
  <c r="M392" i="11"/>
  <c r="O392" i="11" s="1"/>
  <c r="P392" i="11"/>
  <c r="M384" i="11"/>
  <c r="O384" i="11" s="1"/>
  <c r="P384" i="11"/>
  <c r="M376" i="11"/>
  <c r="O376" i="11" s="1"/>
  <c r="P376" i="11"/>
  <c r="M368" i="11"/>
  <c r="O368" i="11" s="1"/>
  <c r="P368" i="11"/>
  <c r="M360" i="11"/>
  <c r="O360" i="11" s="1"/>
  <c r="P360" i="11"/>
  <c r="P1500" i="11"/>
  <c r="P1372" i="11"/>
  <c r="P1204" i="11"/>
  <c r="P1056" i="11"/>
  <c r="P962" i="11"/>
  <c r="M1892" i="11"/>
  <c r="O1892" i="11" s="1"/>
  <c r="P1892" i="11"/>
  <c r="M1844" i="11"/>
  <c r="O1844" i="11" s="1"/>
  <c r="P1844" i="11"/>
  <c r="M1809" i="11"/>
  <c r="O1809" i="11" s="1"/>
  <c r="P1809" i="11"/>
  <c r="M1766" i="11"/>
  <c r="O1766" i="11" s="1"/>
  <c r="P1766" i="11"/>
  <c r="M1750" i="11"/>
  <c r="O1750" i="11" s="1"/>
  <c r="P1750" i="11"/>
  <c r="M1710" i="11"/>
  <c r="O1710" i="11" s="1"/>
  <c r="P1710" i="11"/>
  <c r="M1670" i="11"/>
  <c r="O1670" i="11" s="1"/>
  <c r="P1670" i="11"/>
  <c r="M1644" i="11"/>
  <c r="O1644" i="11" s="1"/>
  <c r="P1644" i="11"/>
  <c r="M1612" i="11"/>
  <c r="O1612" i="11" s="1"/>
  <c r="P1612" i="11"/>
  <c r="M1580" i="11"/>
  <c r="O1580" i="11" s="1"/>
  <c r="P1580" i="11"/>
  <c r="M1548" i="11"/>
  <c r="O1548" i="11" s="1"/>
  <c r="P1548" i="11"/>
  <c r="M1516" i="11"/>
  <c r="O1516" i="11" s="1"/>
  <c r="P1516" i="11"/>
  <c r="M1484" i="11"/>
  <c r="O1484" i="11" s="1"/>
  <c r="P1484" i="11"/>
  <c r="M1452" i="11"/>
  <c r="O1452" i="11" s="1"/>
  <c r="P1452" i="11"/>
  <c r="M1323" i="11"/>
  <c r="O1323" i="11" s="1"/>
  <c r="P1323" i="11"/>
  <c r="M1283" i="11"/>
  <c r="O1283" i="11" s="1"/>
  <c r="P1283" i="11"/>
  <c r="M1243" i="11"/>
  <c r="O1243" i="11" s="1"/>
  <c r="P1243" i="11"/>
  <c r="M1203" i="11"/>
  <c r="O1203" i="11" s="1"/>
  <c r="P1203" i="11"/>
  <c r="M1163" i="11"/>
  <c r="O1163" i="11" s="1"/>
  <c r="P1163" i="11"/>
  <c r="M1121" i="11"/>
  <c r="O1121" i="11" s="1"/>
  <c r="P1121" i="11"/>
  <c r="M1081" i="11"/>
  <c r="O1081" i="11" s="1"/>
  <c r="P1081" i="11"/>
  <c r="M1041" i="11"/>
  <c r="O1041" i="11" s="1"/>
  <c r="P1041" i="11"/>
  <c r="M1001" i="11"/>
  <c r="O1001" i="11" s="1"/>
  <c r="P1001" i="11"/>
  <c r="M961" i="11"/>
  <c r="O961" i="11" s="1"/>
  <c r="P961" i="11"/>
  <c r="M921" i="11"/>
  <c r="O921" i="11" s="1"/>
  <c r="P921" i="11"/>
  <c r="M897" i="11"/>
  <c r="O897" i="11" s="1"/>
  <c r="P897" i="11"/>
  <c r="M848" i="11"/>
  <c r="O848" i="11" s="1"/>
  <c r="P848" i="11"/>
  <c r="M807" i="11"/>
  <c r="O807" i="11" s="1"/>
  <c r="P807" i="11"/>
  <c r="M766" i="11"/>
  <c r="O766" i="11" s="1"/>
  <c r="P766" i="11"/>
  <c r="M725" i="11"/>
  <c r="O725" i="11" s="1"/>
  <c r="P725" i="11"/>
  <c r="M700" i="11"/>
  <c r="O700" i="11" s="1"/>
  <c r="P700" i="11"/>
  <c r="M1914" i="11"/>
  <c r="O1914" i="11" s="1"/>
  <c r="P1914" i="11"/>
  <c r="M1890" i="11"/>
  <c r="O1890" i="11" s="1"/>
  <c r="P1890" i="11"/>
  <c r="M1858" i="11"/>
  <c r="O1858" i="11" s="1"/>
  <c r="P1858" i="11"/>
  <c r="M1834" i="11"/>
  <c r="O1834" i="11" s="1"/>
  <c r="P1834" i="11"/>
  <c r="M1807" i="11"/>
  <c r="O1807" i="11" s="1"/>
  <c r="P1807" i="11"/>
  <c r="M1780" i="11"/>
  <c r="O1780" i="11" s="1"/>
  <c r="P1780" i="11"/>
  <c r="M1756" i="11"/>
  <c r="O1756" i="11" s="1"/>
  <c r="P1756" i="11"/>
  <c r="M1732" i="11"/>
  <c r="O1732" i="11" s="1"/>
  <c r="P1732" i="11"/>
  <c r="M1708" i="11"/>
  <c r="O1708" i="11" s="1"/>
  <c r="P1708" i="11"/>
  <c r="M1684" i="11"/>
  <c r="O1684" i="11" s="1"/>
  <c r="P1684" i="11"/>
  <c r="M1651" i="11"/>
  <c r="O1651" i="11" s="1"/>
  <c r="P1651" i="11"/>
  <c r="M1626" i="11"/>
  <c r="O1626" i="11" s="1"/>
  <c r="P1626" i="11"/>
  <c r="M1602" i="11"/>
  <c r="O1602" i="11" s="1"/>
  <c r="P1602" i="11"/>
  <c r="M1578" i="11"/>
  <c r="O1578" i="11" s="1"/>
  <c r="P1578" i="11"/>
  <c r="M1554" i="11"/>
  <c r="O1554" i="11" s="1"/>
  <c r="P1554" i="11"/>
  <c r="M1530" i="11"/>
  <c r="O1530" i="11" s="1"/>
  <c r="P1530" i="11"/>
  <c r="M1514" i="11"/>
  <c r="O1514" i="11" s="1"/>
  <c r="P1514" i="11"/>
  <c r="M1490" i="11"/>
  <c r="O1490" i="11" s="1"/>
  <c r="P1490" i="11"/>
  <c r="M1450" i="11"/>
  <c r="O1450" i="11" s="1"/>
  <c r="P1450" i="11"/>
  <c r="M1442" i="11"/>
  <c r="O1442" i="11" s="1"/>
  <c r="P1442" i="11"/>
  <c r="M1410" i="11"/>
  <c r="O1410" i="11" s="1"/>
  <c r="P1410" i="11"/>
  <c r="M1378" i="11"/>
  <c r="O1378" i="11" s="1"/>
  <c r="P1378" i="11"/>
  <c r="M1346" i="11"/>
  <c r="O1346" i="11" s="1"/>
  <c r="P1346" i="11"/>
  <c r="M1305" i="11"/>
  <c r="O1305" i="11" s="1"/>
  <c r="P1305" i="11"/>
  <c r="M1265" i="11"/>
  <c r="O1265" i="11" s="1"/>
  <c r="P1265" i="11"/>
  <c r="M1103" i="11"/>
  <c r="O1103" i="11" s="1"/>
  <c r="P1103" i="11"/>
  <c r="M1889" i="11"/>
  <c r="O1889" i="11" s="1"/>
  <c r="P1889" i="11"/>
  <c r="M1857" i="11"/>
  <c r="O1857" i="11" s="1"/>
  <c r="P1857" i="11"/>
  <c r="M1825" i="11"/>
  <c r="O1825" i="11" s="1"/>
  <c r="P1825" i="11"/>
  <c r="M1788" i="11"/>
  <c r="O1788" i="11" s="1"/>
  <c r="P1788" i="11"/>
  <c r="M1755" i="11"/>
  <c r="O1755" i="11" s="1"/>
  <c r="P1755" i="11"/>
  <c r="M1723" i="11"/>
  <c r="O1723" i="11" s="1"/>
  <c r="P1723" i="11"/>
  <c r="M1691" i="11"/>
  <c r="O1691" i="11" s="1"/>
  <c r="P1691" i="11"/>
  <c r="M1659" i="11"/>
  <c r="O1659" i="11" s="1"/>
  <c r="P1659" i="11"/>
  <c r="M1633" i="11"/>
  <c r="O1633" i="11" s="1"/>
  <c r="P1633" i="11"/>
  <c r="M1601" i="11"/>
  <c r="O1601" i="11" s="1"/>
  <c r="P1601" i="11"/>
  <c r="M1577" i="11"/>
  <c r="O1577" i="11" s="1"/>
  <c r="P1577" i="11"/>
  <c r="M1553" i="11"/>
  <c r="O1553" i="11" s="1"/>
  <c r="P1553" i="11"/>
  <c r="M1521" i="11"/>
  <c r="O1521" i="11" s="1"/>
  <c r="P1521" i="11"/>
  <c r="M1497" i="11"/>
  <c r="O1497" i="11" s="1"/>
  <c r="P1497" i="11"/>
  <c r="M1441" i="11"/>
  <c r="O1441" i="11" s="1"/>
  <c r="P1441" i="11"/>
  <c r="M1896" i="11"/>
  <c r="O1896" i="11" s="1"/>
  <c r="P1896" i="11"/>
  <c r="M1795" i="11"/>
  <c r="O1795" i="11" s="1"/>
  <c r="P1795" i="11"/>
  <c r="M1910" i="11"/>
  <c r="O1910" i="11" s="1"/>
  <c r="P1910" i="11"/>
  <c r="M1902" i="11"/>
  <c r="O1902" i="11" s="1"/>
  <c r="P1902" i="11"/>
  <c r="M1894" i="11"/>
  <c r="O1894" i="11" s="1"/>
  <c r="P1894" i="11"/>
  <c r="M1886" i="11"/>
  <c r="O1886" i="11" s="1"/>
  <c r="P1886" i="11"/>
  <c r="M1878" i="11"/>
  <c r="O1878" i="11" s="1"/>
  <c r="P1878" i="11"/>
  <c r="M1870" i="11"/>
  <c r="O1870" i="11" s="1"/>
  <c r="P1870" i="11"/>
  <c r="M1862" i="11"/>
  <c r="O1862" i="11" s="1"/>
  <c r="P1862" i="11"/>
  <c r="M1854" i="11"/>
  <c r="O1854" i="11" s="1"/>
  <c r="P1854" i="11"/>
  <c r="M1846" i="11"/>
  <c r="O1846" i="11" s="1"/>
  <c r="P1846" i="11"/>
  <c r="M1838" i="11"/>
  <c r="O1838" i="11" s="1"/>
  <c r="P1838" i="11"/>
  <c r="M1830" i="11"/>
  <c r="O1830" i="11" s="1"/>
  <c r="P1830" i="11"/>
  <c r="M1820" i="11"/>
  <c r="O1820" i="11" s="1"/>
  <c r="P1820" i="11"/>
  <c r="M1811" i="11"/>
  <c r="O1811" i="11" s="1"/>
  <c r="P1811" i="11"/>
  <c r="M1801" i="11"/>
  <c r="O1801" i="11" s="1"/>
  <c r="P1801" i="11"/>
  <c r="M1793" i="11"/>
  <c r="O1793" i="11" s="1"/>
  <c r="P1793" i="11"/>
  <c r="M1784" i="11"/>
  <c r="O1784" i="11" s="1"/>
  <c r="P1784" i="11"/>
  <c r="M1776" i="11"/>
  <c r="O1776" i="11" s="1"/>
  <c r="P1776" i="11"/>
  <c r="M1768" i="11"/>
  <c r="O1768" i="11" s="1"/>
  <c r="P1768" i="11"/>
  <c r="M1760" i="11"/>
  <c r="O1760" i="11" s="1"/>
  <c r="P1760" i="11"/>
  <c r="M1752" i="11"/>
  <c r="O1752" i="11" s="1"/>
  <c r="P1752" i="11"/>
  <c r="M1744" i="11"/>
  <c r="O1744" i="11" s="1"/>
  <c r="P1744" i="11"/>
  <c r="M1736" i="11"/>
  <c r="O1736" i="11" s="1"/>
  <c r="P1736" i="11"/>
  <c r="M1728" i="11"/>
  <c r="O1728" i="11" s="1"/>
  <c r="P1728" i="11"/>
  <c r="M1720" i="11"/>
  <c r="O1720" i="11" s="1"/>
  <c r="P1720" i="11"/>
  <c r="M1712" i="11"/>
  <c r="O1712" i="11" s="1"/>
  <c r="P1712" i="11"/>
  <c r="M1704" i="11"/>
  <c r="O1704" i="11" s="1"/>
  <c r="P1704" i="11"/>
  <c r="M1696" i="11"/>
  <c r="O1696" i="11" s="1"/>
  <c r="P1696" i="11"/>
  <c r="M1688" i="11"/>
  <c r="O1688" i="11" s="1"/>
  <c r="P1688" i="11"/>
  <c r="M1680" i="11"/>
  <c r="O1680" i="11" s="1"/>
  <c r="P1680" i="11"/>
  <c r="M1672" i="11"/>
  <c r="O1672" i="11" s="1"/>
  <c r="P1672" i="11"/>
  <c r="M1664" i="11"/>
  <c r="O1664" i="11" s="1"/>
  <c r="P1664" i="11"/>
  <c r="M1655" i="11"/>
  <c r="O1655" i="11" s="1"/>
  <c r="P1655" i="11"/>
  <c r="M1646" i="11"/>
  <c r="O1646" i="11" s="1"/>
  <c r="P1646" i="11"/>
  <c r="M1638" i="11"/>
  <c r="O1638" i="11" s="1"/>
  <c r="P1638" i="11"/>
  <c r="M1630" i="11"/>
  <c r="O1630" i="11" s="1"/>
  <c r="P1630" i="11"/>
  <c r="M1622" i="11"/>
  <c r="O1622" i="11" s="1"/>
  <c r="P1622" i="11"/>
  <c r="M1614" i="11"/>
  <c r="O1614" i="11" s="1"/>
  <c r="P1614" i="11"/>
  <c r="M1606" i="11"/>
  <c r="O1606" i="11" s="1"/>
  <c r="P1606" i="11"/>
  <c r="M1598" i="11"/>
  <c r="O1598" i="11" s="1"/>
  <c r="P1598" i="11"/>
  <c r="M1590" i="11"/>
  <c r="O1590" i="11" s="1"/>
  <c r="P1590" i="11"/>
  <c r="M1582" i="11"/>
  <c r="O1582" i="11" s="1"/>
  <c r="P1582" i="11"/>
  <c r="M1574" i="11"/>
  <c r="O1574" i="11" s="1"/>
  <c r="P1574" i="11"/>
  <c r="M1566" i="11"/>
  <c r="O1566" i="11" s="1"/>
  <c r="P1566" i="11"/>
  <c r="M1558" i="11"/>
  <c r="O1558" i="11" s="1"/>
  <c r="P1558" i="11"/>
  <c r="M1550" i="11"/>
  <c r="O1550" i="11" s="1"/>
  <c r="P1550" i="11"/>
  <c r="M1542" i="11"/>
  <c r="O1542" i="11" s="1"/>
  <c r="P1542" i="11"/>
  <c r="M1534" i="11"/>
  <c r="O1534" i="11" s="1"/>
  <c r="P1534" i="11"/>
  <c r="M1526" i="11"/>
  <c r="O1526" i="11" s="1"/>
  <c r="P1526" i="11"/>
  <c r="M1518" i="11"/>
  <c r="O1518" i="11" s="1"/>
  <c r="P1518" i="11"/>
  <c r="M1510" i="11"/>
  <c r="O1510" i="11" s="1"/>
  <c r="P1510" i="11"/>
  <c r="M1502" i="11"/>
  <c r="O1502" i="11" s="1"/>
  <c r="P1502" i="11"/>
  <c r="M1494" i="11"/>
  <c r="O1494" i="11" s="1"/>
  <c r="P1494" i="11"/>
  <c r="M1486" i="11"/>
  <c r="O1486" i="11" s="1"/>
  <c r="P1486" i="11"/>
  <c r="M1478" i="11"/>
  <c r="O1478" i="11" s="1"/>
  <c r="P1478" i="11"/>
  <c r="M1470" i="11"/>
  <c r="O1470" i="11" s="1"/>
  <c r="P1470" i="11"/>
  <c r="M1462" i="11"/>
  <c r="O1462" i="11" s="1"/>
  <c r="P1462" i="11"/>
  <c r="M1454" i="11"/>
  <c r="O1454" i="11" s="1"/>
  <c r="P1454" i="11"/>
  <c r="M1446" i="11"/>
  <c r="O1446" i="11" s="1"/>
  <c r="P1446" i="11"/>
  <c r="M1438" i="11"/>
  <c r="O1438" i="11" s="1"/>
  <c r="P1438" i="11"/>
  <c r="M1430" i="11"/>
  <c r="O1430" i="11" s="1"/>
  <c r="P1430" i="11"/>
  <c r="M1422" i="11"/>
  <c r="O1422" i="11" s="1"/>
  <c r="P1422" i="11"/>
  <c r="M1414" i="11"/>
  <c r="O1414" i="11" s="1"/>
  <c r="P1414" i="11"/>
  <c r="M1406" i="11"/>
  <c r="O1406" i="11" s="1"/>
  <c r="P1406" i="11"/>
  <c r="M1398" i="11"/>
  <c r="O1398" i="11" s="1"/>
  <c r="P1398" i="11"/>
  <c r="M1390" i="11"/>
  <c r="O1390" i="11" s="1"/>
  <c r="P1390" i="11"/>
  <c r="M1382" i="11"/>
  <c r="O1382" i="11" s="1"/>
  <c r="P1382" i="11"/>
  <c r="M1374" i="11"/>
  <c r="O1374" i="11" s="1"/>
  <c r="P1374" i="11"/>
  <c r="M1366" i="11"/>
  <c r="O1366" i="11" s="1"/>
  <c r="P1366" i="11"/>
  <c r="M1358" i="11"/>
  <c r="O1358" i="11" s="1"/>
  <c r="P1358" i="11"/>
  <c r="M1350" i="11"/>
  <c r="O1350" i="11" s="1"/>
  <c r="P1350" i="11"/>
  <c r="M1342" i="11"/>
  <c r="O1342" i="11" s="1"/>
  <c r="P1342" i="11"/>
  <c r="M1334" i="11"/>
  <c r="O1334" i="11" s="1"/>
  <c r="P1334" i="11"/>
  <c r="M1325" i="11"/>
  <c r="O1325" i="11" s="1"/>
  <c r="P1325" i="11"/>
  <c r="M1317" i="11"/>
  <c r="O1317" i="11" s="1"/>
  <c r="P1317" i="11"/>
  <c r="M1309" i="11"/>
  <c r="O1309" i="11" s="1"/>
  <c r="P1309" i="11"/>
  <c r="M1301" i="11"/>
  <c r="O1301" i="11" s="1"/>
  <c r="P1301" i="11"/>
  <c r="M1293" i="11"/>
  <c r="O1293" i="11" s="1"/>
  <c r="P1293" i="11"/>
  <c r="M1285" i="11"/>
  <c r="O1285" i="11" s="1"/>
  <c r="P1285" i="11"/>
  <c r="M1277" i="11"/>
  <c r="O1277" i="11" s="1"/>
  <c r="P1277" i="11"/>
  <c r="M1269" i="11"/>
  <c r="O1269" i="11" s="1"/>
  <c r="P1269" i="11"/>
  <c r="M1261" i="11"/>
  <c r="O1261" i="11" s="1"/>
  <c r="P1261" i="11"/>
  <c r="M1253" i="11"/>
  <c r="O1253" i="11" s="1"/>
  <c r="P1253" i="11"/>
  <c r="M1245" i="11"/>
  <c r="O1245" i="11" s="1"/>
  <c r="P1245" i="11"/>
  <c r="M1237" i="11"/>
  <c r="O1237" i="11" s="1"/>
  <c r="P1237" i="11"/>
  <c r="M1229" i="11"/>
  <c r="O1229" i="11" s="1"/>
  <c r="P1229" i="11"/>
  <c r="M1221" i="11"/>
  <c r="O1221" i="11" s="1"/>
  <c r="P1221" i="11"/>
  <c r="M1213" i="11"/>
  <c r="O1213" i="11" s="1"/>
  <c r="P1213" i="11"/>
  <c r="M1205" i="11"/>
  <c r="O1205" i="11" s="1"/>
  <c r="P1205" i="11"/>
  <c r="M1197" i="11"/>
  <c r="O1197" i="11" s="1"/>
  <c r="P1197" i="11"/>
  <c r="M1189" i="11"/>
  <c r="O1189" i="11" s="1"/>
  <c r="P1189" i="11"/>
  <c r="M1181" i="11"/>
  <c r="O1181" i="11" s="1"/>
  <c r="P1181" i="11"/>
  <c r="M1173" i="11"/>
  <c r="O1173" i="11" s="1"/>
  <c r="P1173" i="11"/>
  <c r="M1165" i="11"/>
  <c r="O1165" i="11" s="1"/>
  <c r="P1165" i="11"/>
  <c r="M1157" i="11"/>
  <c r="O1157" i="11" s="1"/>
  <c r="P1157" i="11"/>
  <c r="M1147" i="11"/>
  <c r="O1147" i="11" s="1"/>
  <c r="P1147" i="11"/>
  <c r="M1139" i="11"/>
  <c r="O1139" i="11" s="1"/>
  <c r="P1139" i="11"/>
  <c r="M1131" i="11"/>
  <c r="O1131" i="11" s="1"/>
  <c r="P1131" i="11"/>
  <c r="M1123" i="11"/>
  <c r="O1123" i="11" s="1"/>
  <c r="P1123" i="11"/>
  <c r="M1115" i="11"/>
  <c r="O1115" i="11" s="1"/>
  <c r="P1115" i="11"/>
  <c r="M1107" i="11"/>
  <c r="O1107" i="11" s="1"/>
  <c r="P1107" i="11"/>
  <c r="M1099" i="11"/>
  <c r="O1099" i="11" s="1"/>
  <c r="P1099" i="11"/>
  <c r="M1091" i="11"/>
  <c r="O1091" i="11" s="1"/>
  <c r="P1091" i="11"/>
  <c r="M1083" i="11"/>
  <c r="O1083" i="11" s="1"/>
  <c r="P1083" i="11"/>
  <c r="M1075" i="11"/>
  <c r="O1075" i="11" s="1"/>
  <c r="P1075" i="11"/>
  <c r="M1067" i="11"/>
  <c r="O1067" i="11" s="1"/>
  <c r="P1067" i="11"/>
  <c r="M1059" i="11"/>
  <c r="O1059" i="11" s="1"/>
  <c r="P1059" i="11"/>
  <c r="M1051" i="11"/>
  <c r="O1051" i="11" s="1"/>
  <c r="P1051" i="11"/>
  <c r="M1043" i="11"/>
  <c r="O1043" i="11" s="1"/>
  <c r="P1043" i="11"/>
  <c r="M1035" i="11"/>
  <c r="O1035" i="11" s="1"/>
  <c r="P1035" i="11"/>
  <c r="M1027" i="11"/>
  <c r="O1027" i="11" s="1"/>
  <c r="P1027" i="11"/>
  <c r="M1019" i="11"/>
  <c r="O1019" i="11" s="1"/>
  <c r="P1019" i="11"/>
  <c r="M1011" i="11"/>
  <c r="O1011" i="11" s="1"/>
  <c r="P1011" i="11"/>
  <c r="M1003" i="11"/>
  <c r="O1003" i="11" s="1"/>
  <c r="P1003" i="11"/>
  <c r="M995" i="11"/>
  <c r="O995" i="11" s="1"/>
  <c r="P995" i="11"/>
  <c r="M987" i="11"/>
  <c r="O987" i="11" s="1"/>
  <c r="P987" i="11"/>
  <c r="M979" i="11"/>
  <c r="O979" i="11" s="1"/>
  <c r="P979" i="11"/>
  <c r="M963" i="11"/>
  <c r="O963" i="11" s="1"/>
  <c r="P963" i="11"/>
  <c r="M955" i="11"/>
  <c r="O955" i="11" s="1"/>
  <c r="P955" i="11"/>
  <c r="M947" i="11"/>
  <c r="O947" i="11" s="1"/>
  <c r="P947" i="11"/>
  <c r="M939" i="11"/>
  <c r="O939" i="11" s="1"/>
  <c r="P939" i="11"/>
  <c r="M931" i="11"/>
  <c r="O931" i="11" s="1"/>
  <c r="P931" i="11"/>
  <c r="M923" i="11"/>
  <c r="O923" i="11" s="1"/>
  <c r="P923" i="11"/>
  <c r="M915" i="11"/>
  <c r="O915" i="11" s="1"/>
  <c r="P915" i="11"/>
  <c r="M899" i="11"/>
  <c r="O899" i="11" s="1"/>
  <c r="P899" i="11"/>
  <c r="M891" i="11"/>
  <c r="O891" i="11" s="1"/>
  <c r="P891" i="11"/>
  <c r="M883" i="11"/>
  <c r="O883" i="11" s="1"/>
  <c r="P883" i="11"/>
  <c r="M875" i="11"/>
  <c r="O875" i="11" s="1"/>
  <c r="P875" i="11"/>
  <c r="M858" i="11"/>
  <c r="O858" i="11" s="1"/>
  <c r="P858" i="11"/>
  <c r="M850" i="11"/>
  <c r="O850" i="11" s="1"/>
  <c r="P850" i="11"/>
  <c r="M842" i="11"/>
  <c r="O842" i="11" s="1"/>
  <c r="P842" i="11"/>
  <c r="M833" i="11"/>
  <c r="O833" i="11" s="1"/>
  <c r="P833" i="11"/>
  <c r="M825" i="11"/>
  <c r="O825" i="11" s="1"/>
  <c r="P825" i="11"/>
  <c r="M817" i="11"/>
  <c r="O817" i="11" s="1"/>
  <c r="P817" i="11"/>
  <c r="M809" i="11"/>
  <c r="O809" i="11" s="1"/>
  <c r="P809" i="11"/>
  <c r="M801" i="11"/>
  <c r="O801" i="11" s="1"/>
  <c r="P801" i="11"/>
  <c r="M793" i="11"/>
  <c r="O793" i="11" s="1"/>
  <c r="P793" i="11"/>
  <c r="M785" i="11"/>
  <c r="O785" i="11" s="1"/>
  <c r="P785" i="11"/>
  <c r="M776" i="11"/>
  <c r="O776" i="11" s="1"/>
  <c r="P776" i="11"/>
  <c r="M768" i="11"/>
  <c r="O768" i="11" s="1"/>
  <c r="P768" i="11"/>
  <c r="M760" i="11"/>
  <c r="O760" i="11" s="1"/>
  <c r="P760" i="11"/>
  <c r="M751" i="11"/>
  <c r="O751" i="11" s="1"/>
  <c r="P751" i="11"/>
  <c r="M743" i="11"/>
  <c r="O743" i="11" s="1"/>
  <c r="P743" i="11"/>
  <c r="M735" i="11"/>
  <c r="O735" i="11" s="1"/>
  <c r="P735" i="11"/>
  <c r="M727" i="11"/>
  <c r="O727" i="11" s="1"/>
  <c r="P727" i="11"/>
  <c r="M719" i="11"/>
  <c r="O719" i="11" s="1"/>
  <c r="P719" i="11"/>
  <c r="M711" i="11"/>
  <c r="O711" i="11" s="1"/>
  <c r="P711" i="11"/>
  <c r="M702" i="11"/>
  <c r="O702" i="11" s="1"/>
  <c r="P702" i="11"/>
  <c r="M694" i="11"/>
  <c r="O694" i="11" s="1"/>
  <c r="P694" i="11"/>
  <c r="M685" i="11"/>
  <c r="O685" i="11" s="1"/>
  <c r="P685" i="11"/>
  <c r="M677" i="11"/>
  <c r="O677" i="11" s="1"/>
  <c r="P677" i="11"/>
  <c r="M668" i="11"/>
  <c r="O668" i="11" s="1"/>
  <c r="P668" i="11"/>
  <c r="M660" i="11"/>
  <c r="O660" i="11" s="1"/>
  <c r="P660" i="11"/>
  <c r="M651" i="11"/>
  <c r="O651" i="11" s="1"/>
  <c r="P651" i="11"/>
  <c r="M643" i="11"/>
  <c r="O643" i="11" s="1"/>
  <c r="P643" i="11"/>
  <c r="M634" i="11"/>
  <c r="O634" i="11" s="1"/>
  <c r="P634" i="11"/>
  <c r="M626" i="11"/>
  <c r="O626" i="11" s="1"/>
  <c r="P626" i="11"/>
  <c r="M618" i="11"/>
  <c r="O618" i="11" s="1"/>
  <c r="P618" i="11"/>
  <c r="M610" i="11"/>
  <c r="O610" i="11" s="1"/>
  <c r="P610" i="11"/>
  <c r="M601" i="11"/>
  <c r="O601" i="11" s="1"/>
  <c r="P601" i="11"/>
  <c r="M593" i="11"/>
  <c r="O593" i="11" s="1"/>
  <c r="P593" i="11"/>
  <c r="M585" i="11"/>
  <c r="O585" i="11" s="1"/>
  <c r="P585" i="11"/>
  <c r="M577" i="11"/>
  <c r="O577" i="11" s="1"/>
  <c r="P577" i="11"/>
  <c r="M568" i="11"/>
  <c r="O568" i="11" s="1"/>
  <c r="P568" i="11"/>
  <c r="M559" i="11"/>
  <c r="O559" i="11" s="1"/>
  <c r="P559" i="11"/>
  <c r="M551" i="11"/>
  <c r="O551" i="11" s="1"/>
  <c r="P551" i="11"/>
  <c r="M543" i="11"/>
  <c r="O543" i="11" s="1"/>
  <c r="P543" i="11"/>
  <c r="M535" i="11"/>
  <c r="O535" i="11" s="1"/>
  <c r="P535" i="11"/>
  <c r="M527" i="11"/>
  <c r="O527" i="11" s="1"/>
  <c r="P527" i="11"/>
  <c r="P1492" i="11"/>
  <c r="P1364" i="11"/>
  <c r="P1244" i="11"/>
  <c r="P1048" i="11"/>
  <c r="P866" i="11"/>
  <c r="M1412" i="11"/>
  <c r="O1412" i="11" s="1"/>
  <c r="P1412" i="11"/>
  <c r="M1380" i="11"/>
  <c r="O1380" i="11" s="1"/>
  <c r="P1380" i="11"/>
  <c r="M1348" i="11"/>
  <c r="O1348" i="11" s="1"/>
  <c r="P1348" i="11"/>
  <c r="M1307" i="11"/>
  <c r="O1307" i="11" s="1"/>
  <c r="P1307" i="11"/>
  <c r="M1259" i="11"/>
  <c r="O1259" i="11" s="1"/>
  <c r="P1259" i="11"/>
  <c r="M1211" i="11"/>
  <c r="O1211" i="11" s="1"/>
  <c r="P1211" i="11"/>
  <c r="M1171" i="11"/>
  <c r="O1171" i="11" s="1"/>
  <c r="P1171" i="11"/>
  <c r="M1155" i="11"/>
  <c r="O1155" i="11" s="1"/>
  <c r="P1155" i="11"/>
  <c r="M1105" i="11"/>
  <c r="O1105" i="11" s="1"/>
  <c r="P1105" i="11"/>
  <c r="M1073" i="11"/>
  <c r="O1073" i="11" s="1"/>
  <c r="P1073" i="11"/>
  <c r="M1033" i="11"/>
  <c r="O1033" i="11" s="1"/>
  <c r="P1033" i="11"/>
  <c r="M985" i="11"/>
  <c r="O985" i="11" s="1"/>
  <c r="P985" i="11"/>
  <c r="M945" i="11"/>
  <c r="O945" i="11" s="1"/>
  <c r="P945" i="11"/>
  <c r="M905" i="11"/>
  <c r="O905" i="11" s="1"/>
  <c r="P905" i="11"/>
  <c r="M864" i="11"/>
  <c r="O864" i="11" s="1"/>
  <c r="P864" i="11"/>
  <c r="M823" i="11"/>
  <c r="O823" i="11" s="1"/>
  <c r="P823" i="11"/>
  <c r="M783" i="11"/>
  <c r="O783" i="11" s="1"/>
  <c r="P783" i="11"/>
  <c r="M749" i="11"/>
  <c r="O749" i="11" s="1"/>
  <c r="P749" i="11"/>
  <c r="M692" i="11"/>
  <c r="O692" i="11" s="1"/>
  <c r="P692" i="11"/>
  <c r="M1898" i="11"/>
  <c r="O1898" i="11" s="1"/>
  <c r="P1898" i="11"/>
  <c r="M1866" i="11"/>
  <c r="O1866" i="11" s="1"/>
  <c r="P1866" i="11"/>
  <c r="M1842" i="11"/>
  <c r="O1842" i="11" s="1"/>
  <c r="P1842" i="11"/>
  <c r="M1815" i="11"/>
  <c r="O1815" i="11" s="1"/>
  <c r="P1815" i="11"/>
  <c r="M1789" i="11"/>
  <c r="O1789" i="11" s="1"/>
  <c r="P1789" i="11"/>
  <c r="M1764" i="11"/>
  <c r="O1764" i="11" s="1"/>
  <c r="P1764" i="11"/>
  <c r="M1740" i="11"/>
  <c r="O1740" i="11" s="1"/>
  <c r="P1740" i="11"/>
  <c r="M1716" i="11"/>
  <c r="O1716" i="11" s="1"/>
  <c r="P1716" i="11"/>
  <c r="M1692" i="11"/>
  <c r="O1692" i="11" s="1"/>
  <c r="P1692" i="11"/>
  <c r="M1668" i="11"/>
  <c r="O1668" i="11" s="1"/>
  <c r="P1668" i="11"/>
  <c r="M1642" i="11"/>
  <c r="O1642" i="11" s="1"/>
  <c r="P1642" i="11"/>
  <c r="M1618" i="11"/>
  <c r="O1618" i="11" s="1"/>
  <c r="P1618" i="11"/>
  <c r="M1594" i="11"/>
  <c r="O1594" i="11" s="1"/>
  <c r="P1594" i="11"/>
  <c r="M1570" i="11"/>
  <c r="O1570" i="11" s="1"/>
  <c r="P1570" i="11"/>
  <c r="M1546" i="11"/>
  <c r="O1546" i="11" s="1"/>
  <c r="P1546" i="11"/>
  <c r="M1522" i="11"/>
  <c r="O1522" i="11" s="1"/>
  <c r="P1522" i="11"/>
  <c r="M1498" i="11"/>
  <c r="O1498" i="11" s="1"/>
  <c r="P1498" i="11"/>
  <c r="M1474" i="11"/>
  <c r="O1474" i="11" s="1"/>
  <c r="P1474" i="11"/>
  <c r="M1458" i="11"/>
  <c r="O1458" i="11" s="1"/>
  <c r="P1458" i="11"/>
  <c r="M1434" i="11"/>
  <c r="O1434" i="11" s="1"/>
  <c r="P1434" i="11"/>
  <c r="M1402" i="11"/>
  <c r="O1402" i="11" s="1"/>
  <c r="P1402" i="11"/>
  <c r="M1370" i="11"/>
  <c r="O1370" i="11" s="1"/>
  <c r="P1370" i="11"/>
  <c r="M1338" i="11"/>
  <c r="O1338" i="11" s="1"/>
  <c r="P1338" i="11"/>
  <c r="M1297" i="11"/>
  <c r="O1297" i="11" s="1"/>
  <c r="P1297" i="11"/>
  <c r="M1273" i="11"/>
  <c r="O1273" i="11" s="1"/>
  <c r="P1273" i="11"/>
  <c r="M1249" i="11"/>
  <c r="O1249" i="11" s="1"/>
  <c r="P1249" i="11"/>
  <c r="M1225" i="11"/>
  <c r="O1225" i="11" s="1"/>
  <c r="P1225" i="11"/>
  <c r="M1201" i="11"/>
  <c r="O1201" i="11" s="1"/>
  <c r="P1201" i="11"/>
  <c r="M1177" i="11"/>
  <c r="O1177" i="11" s="1"/>
  <c r="P1177" i="11"/>
  <c r="M1161" i="11"/>
  <c r="O1161" i="11" s="1"/>
  <c r="P1161" i="11"/>
  <c r="M1135" i="11"/>
  <c r="O1135" i="11" s="1"/>
  <c r="P1135" i="11"/>
  <c r="M1119" i="11"/>
  <c r="O1119" i="11" s="1"/>
  <c r="P1119" i="11"/>
  <c r="M1079" i="11"/>
  <c r="O1079" i="11" s="1"/>
  <c r="P1079" i="11"/>
  <c r="M1913" i="11"/>
  <c r="O1913" i="11" s="1"/>
  <c r="P1913" i="11"/>
  <c r="M1881" i="11"/>
  <c r="O1881" i="11" s="1"/>
  <c r="P1881" i="11"/>
  <c r="M1841" i="11"/>
  <c r="O1841" i="11" s="1"/>
  <c r="P1841" i="11"/>
  <c r="M1804" i="11"/>
  <c r="O1804" i="11" s="1"/>
  <c r="P1804" i="11"/>
  <c r="M1779" i="11"/>
  <c r="O1779" i="11" s="1"/>
  <c r="P1779" i="11"/>
  <c r="M1739" i="11"/>
  <c r="O1739" i="11" s="1"/>
  <c r="P1739" i="11"/>
  <c r="M1707" i="11"/>
  <c r="O1707" i="11" s="1"/>
  <c r="P1707" i="11"/>
  <c r="M1683" i="11"/>
  <c r="O1683" i="11" s="1"/>
  <c r="P1683" i="11"/>
  <c r="M1650" i="11"/>
  <c r="O1650" i="11" s="1"/>
  <c r="P1650" i="11"/>
  <c r="M1625" i="11"/>
  <c r="O1625" i="11" s="1"/>
  <c r="P1625" i="11"/>
  <c r="M1609" i="11"/>
  <c r="O1609" i="11" s="1"/>
  <c r="P1609" i="11"/>
  <c r="M1585" i="11"/>
  <c r="O1585" i="11" s="1"/>
  <c r="P1585" i="11"/>
  <c r="M1569" i="11"/>
  <c r="O1569" i="11" s="1"/>
  <c r="P1569" i="11"/>
  <c r="M1537" i="11"/>
  <c r="O1537" i="11" s="1"/>
  <c r="P1537" i="11"/>
  <c r="M1513" i="11"/>
  <c r="O1513" i="11" s="1"/>
  <c r="P1513" i="11"/>
  <c r="M1489" i="11"/>
  <c r="O1489" i="11" s="1"/>
  <c r="P1489" i="11"/>
  <c r="M1473" i="11"/>
  <c r="O1473" i="11" s="1"/>
  <c r="P1473" i="11"/>
  <c r="M1457" i="11"/>
  <c r="O1457" i="11" s="1"/>
  <c r="P1457" i="11"/>
  <c r="M1425" i="11"/>
  <c r="O1425" i="11" s="1"/>
  <c r="P1425" i="11"/>
  <c r="M1912" i="11"/>
  <c r="O1912" i="11" s="1"/>
  <c r="P1912" i="11"/>
  <c r="M1880" i="11"/>
  <c r="O1880" i="11" s="1"/>
  <c r="P1880" i="11"/>
  <c r="M1856" i="11"/>
  <c r="O1856" i="11" s="1"/>
  <c r="P1856" i="11"/>
  <c r="M1832" i="11"/>
  <c r="O1832" i="11" s="1"/>
  <c r="P1832" i="11"/>
  <c r="M1786" i="11"/>
  <c r="O1786" i="11" s="1"/>
  <c r="P1786" i="11"/>
  <c r="M4" i="11"/>
  <c r="P4" i="11"/>
  <c r="M1909" i="11"/>
  <c r="O1909" i="11" s="1"/>
  <c r="P1909" i="11"/>
  <c r="M1901" i="11"/>
  <c r="O1901" i="11" s="1"/>
  <c r="P1901" i="11"/>
  <c r="M1893" i="11"/>
  <c r="O1893" i="11" s="1"/>
  <c r="P1893" i="11"/>
  <c r="M1885" i="11"/>
  <c r="O1885" i="11" s="1"/>
  <c r="P1885" i="11"/>
  <c r="M1877" i="11"/>
  <c r="O1877" i="11" s="1"/>
  <c r="P1877" i="11"/>
  <c r="M1869" i="11"/>
  <c r="O1869" i="11" s="1"/>
  <c r="P1869" i="11"/>
  <c r="M1861" i="11"/>
  <c r="O1861" i="11" s="1"/>
  <c r="P1861" i="11"/>
  <c r="M1853" i="11"/>
  <c r="O1853" i="11" s="1"/>
  <c r="P1853" i="11"/>
  <c r="M1845" i="11"/>
  <c r="O1845" i="11" s="1"/>
  <c r="P1845" i="11"/>
  <c r="M1837" i="11"/>
  <c r="O1837" i="11" s="1"/>
  <c r="P1837" i="11"/>
  <c r="M1829" i="11"/>
  <c r="O1829" i="11" s="1"/>
  <c r="P1829" i="11"/>
  <c r="M1818" i="11"/>
  <c r="O1818" i="11" s="1"/>
  <c r="P1818" i="11"/>
  <c r="M1810" i="11"/>
  <c r="O1810" i="11" s="1"/>
  <c r="P1810" i="11"/>
  <c r="M1800" i="11"/>
  <c r="O1800" i="11" s="1"/>
  <c r="P1800" i="11"/>
  <c r="M1792" i="11"/>
  <c r="O1792" i="11" s="1"/>
  <c r="P1792" i="11"/>
  <c r="M1783" i="11"/>
  <c r="O1783" i="11" s="1"/>
  <c r="P1783" i="11"/>
  <c r="M1775" i="11"/>
  <c r="O1775" i="11" s="1"/>
  <c r="P1775" i="11"/>
  <c r="M1767" i="11"/>
  <c r="O1767" i="11" s="1"/>
  <c r="P1767" i="11"/>
  <c r="M1759" i="11"/>
  <c r="O1759" i="11" s="1"/>
  <c r="P1759" i="11"/>
  <c r="M1751" i="11"/>
  <c r="O1751" i="11" s="1"/>
  <c r="P1751" i="11"/>
  <c r="M1743" i="11"/>
  <c r="O1743" i="11" s="1"/>
  <c r="P1743" i="11"/>
  <c r="M1735" i="11"/>
  <c r="O1735" i="11" s="1"/>
  <c r="P1735" i="11"/>
  <c r="M1727" i="11"/>
  <c r="O1727" i="11" s="1"/>
  <c r="P1727" i="11"/>
  <c r="M1719" i="11"/>
  <c r="O1719" i="11" s="1"/>
  <c r="P1719" i="11"/>
  <c r="M1711" i="11"/>
  <c r="O1711" i="11" s="1"/>
  <c r="P1711" i="11"/>
  <c r="M1703" i="11"/>
  <c r="O1703" i="11" s="1"/>
  <c r="P1703" i="11"/>
  <c r="M1695" i="11"/>
  <c r="O1695" i="11" s="1"/>
  <c r="P1695" i="11"/>
  <c r="M1687" i="11"/>
  <c r="O1687" i="11" s="1"/>
  <c r="P1687" i="11"/>
  <c r="M1679" i="11"/>
  <c r="O1679" i="11" s="1"/>
  <c r="P1679" i="11"/>
  <c r="M1671" i="11"/>
  <c r="O1671" i="11" s="1"/>
  <c r="P1671" i="11"/>
  <c r="M1663" i="11"/>
  <c r="O1663" i="11" s="1"/>
  <c r="P1663" i="11"/>
  <c r="M1654" i="11"/>
  <c r="O1654" i="11" s="1"/>
  <c r="P1654" i="11"/>
  <c r="M1645" i="11"/>
  <c r="O1645" i="11" s="1"/>
  <c r="P1645" i="11"/>
  <c r="M1637" i="11"/>
  <c r="O1637" i="11" s="1"/>
  <c r="P1637" i="11"/>
  <c r="M1629" i="11"/>
  <c r="O1629" i="11" s="1"/>
  <c r="P1629" i="11"/>
  <c r="M1621" i="11"/>
  <c r="O1621" i="11" s="1"/>
  <c r="P1621" i="11"/>
  <c r="M1613" i="11"/>
  <c r="O1613" i="11" s="1"/>
  <c r="P1613" i="11"/>
  <c r="M1605" i="11"/>
  <c r="O1605" i="11" s="1"/>
  <c r="P1605" i="11"/>
  <c r="M1597" i="11"/>
  <c r="O1597" i="11" s="1"/>
  <c r="P1597" i="11"/>
  <c r="M1589" i="11"/>
  <c r="O1589" i="11" s="1"/>
  <c r="P1589" i="11"/>
  <c r="M1581" i="11"/>
  <c r="O1581" i="11" s="1"/>
  <c r="P1581" i="11"/>
  <c r="M1573" i="11"/>
  <c r="O1573" i="11" s="1"/>
  <c r="P1573" i="11"/>
  <c r="M1565" i="11"/>
  <c r="O1565" i="11" s="1"/>
  <c r="P1565" i="11"/>
  <c r="M1557" i="11"/>
  <c r="O1557" i="11" s="1"/>
  <c r="P1557" i="11"/>
  <c r="M1549" i="11"/>
  <c r="O1549" i="11" s="1"/>
  <c r="P1549" i="11"/>
  <c r="M1541" i="11"/>
  <c r="O1541" i="11" s="1"/>
  <c r="P1541" i="11"/>
  <c r="M1533" i="11"/>
  <c r="O1533" i="11" s="1"/>
  <c r="P1533" i="11"/>
  <c r="M1525" i="11"/>
  <c r="O1525" i="11" s="1"/>
  <c r="P1525" i="11"/>
  <c r="M1517" i="11"/>
  <c r="O1517" i="11" s="1"/>
  <c r="P1517" i="11"/>
  <c r="M1509" i="11"/>
  <c r="O1509" i="11" s="1"/>
  <c r="P1509" i="11"/>
  <c r="M1501" i="11"/>
  <c r="O1501" i="11" s="1"/>
  <c r="P1501" i="11"/>
  <c r="M1493" i="11"/>
  <c r="O1493" i="11" s="1"/>
  <c r="P1493" i="11"/>
  <c r="M1485" i="11"/>
  <c r="O1485" i="11" s="1"/>
  <c r="P1485" i="11"/>
  <c r="M1477" i="11"/>
  <c r="O1477" i="11" s="1"/>
  <c r="P1477" i="11"/>
  <c r="M1469" i="11"/>
  <c r="O1469" i="11" s="1"/>
  <c r="P1469" i="11"/>
  <c r="M1461" i="11"/>
  <c r="O1461" i="11" s="1"/>
  <c r="P1461" i="11"/>
  <c r="M1453" i="11"/>
  <c r="O1453" i="11" s="1"/>
  <c r="P1453" i="11"/>
  <c r="M1445" i="11"/>
  <c r="O1445" i="11" s="1"/>
  <c r="P1445" i="11"/>
  <c r="M1437" i="11"/>
  <c r="O1437" i="11" s="1"/>
  <c r="P1437" i="11"/>
  <c r="M1429" i="11"/>
  <c r="O1429" i="11" s="1"/>
  <c r="P1429" i="11"/>
  <c r="M1421" i="11"/>
  <c r="O1421" i="11" s="1"/>
  <c r="P1421" i="11"/>
  <c r="M1413" i="11"/>
  <c r="O1413" i="11" s="1"/>
  <c r="P1413" i="11"/>
  <c r="M1405" i="11"/>
  <c r="O1405" i="11" s="1"/>
  <c r="P1405" i="11"/>
  <c r="M1397" i="11"/>
  <c r="O1397" i="11" s="1"/>
  <c r="P1397" i="11"/>
  <c r="M1389" i="11"/>
  <c r="O1389" i="11" s="1"/>
  <c r="P1389" i="11"/>
  <c r="M1381" i="11"/>
  <c r="O1381" i="11" s="1"/>
  <c r="P1381" i="11"/>
  <c r="M1373" i="11"/>
  <c r="O1373" i="11" s="1"/>
  <c r="P1373" i="11"/>
  <c r="M1365" i="11"/>
  <c r="O1365" i="11" s="1"/>
  <c r="P1365" i="11"/>
  <c r="M1357" i="11"/>
  <c r="O1357" i="11" s="1"/>
  <c r="P1357" i="11"/>
  <c r="M1349" i="11"/>
  <c r="O1349" i="11" s="1"/>
  <c r="P1349" i="11"/>
  <c r="M1341" i="11"/>
  <c r="O1341" i="11" s="1"/>
  <c r="P1341" i="11"/>
  <c r="M1333" i="11"/>
  <c r="O1333" i="11" s="1"/>
  <c r="P1333" i="11"/>
  <c r="M1324" i="11"/>
  <c r="O1324" i="11" s="1"/>
  <c r="P1324" i="11"/>
  <c r="M1316" i="11"/>
  <c r="O1316" i="11" s="1"/>
  <c r="P1316" i="11"/>
  <c r="M1292" i="11"/>
  <c r="O1292" i="11" s="1"/>
  <c r="P1292" i="11"/>
  <c r="M1284" i="11"/>
  <c r="O1284" i="11" s="1"/>
  <c r="P1284" i="11"/>
  <c r="M1260" i="11"/>
  <c r="O1260" i="11" s="1"/>
  <c r="P1260" i="11"/>
  <c r="M1252" i="11"/>
  <c r="O1252" i="11" s="1"/>
  <c r="P1252" i="11"/>
  <c r="M1228" i="11"/>
  <c r="O1228" i="11" s="1"/>
  <c r="P1228" i="11"/>
  <c r="M1220" i="11"/>
  <c r="O1220" i="11" s="1"/>
  <c r="P1220" i="11"/>
  <c r="M1196" i="11"/>
  <c r="O1196" i="11" s="1"/>
  <c r="P1196" i="11"/>
  <c r="M1188" i="11"/>
  <c r="O1188" i="11" s="1"/>
  <c r="P1188" i="11"/>
  <c r="M1164" i="11"/>
  <c r="O1164" i="11" s="1"/>
  <c r="P1164" i="11"/>
  <c r="M1156" i="11"/>
  <c r="O1156" i="11" s="1"/>
  <c r="P1156" i="11"/>
  <c r="M1146" i="11"/>
  <c r="O1146" i="11" s="1"/>
  <c r="P1146" i="11"/>
  <c r="M1138" i="11"/>
  <c r="O1138" i="11" s="1"/>
  <c r="P1138" i="11"/>
  <c r="M1130" i="11"/>
  <c r="O1130" i="11" s="1"/>
  <c r="P1130" i="11"/>
  <c r="M1122" i="11"/>
  <c r="O1122" i="11" s="1"/>
  <c r="P1122" i="11"/>
  <c r="M1114" i="11"/>
  <c r="O1114" i="11" s="1"/>
  <c r="P1114" i="11"/>
  <c r="M1106" i="11"/>
  <c r="O1106" i="11" s="1"/>
  <c r="P1106" i="11"/>
  <c r="M1098" i="11"/>
  <c r="O1098" i="11" s="1"/>
  <c r="P1098" i="11"/>
  <c r="M1090" i="11"/>
  <c r="O1090" i="11" s="1"/>
  <c r="P1090" i="11"/>
  <c r="M1082" i="11"/>
  <c r="O1082" i="11" s="1"/>
  <c r="P1082" i="11"/>
  <c r="M1074" i="11"/>
  <c r="O1074" i="11" s="1"/>
  <c r="P1074" i="11"/>
  <c r="M1066" i="11"/>
  <c r="O1066" i="11" s="1"/>
  <c r="P1066" i="11"/>
  <c r="M1058" i="11"/>
  <c r="O1058" i="11" s="1"/>
  <c r="P1058" i="11"/>
  <c r="M1050" i="11"/>
  <c r="O1050" i="11" s="1"/>
  <c r="P1050" i="11"/>
  <c r="M1042" i="11"/>
  <c r="O1042" i="11" s="1"/>
  <c r="P1042" i="11"/>
  <c r="M1034" i="11"/>
  <c r="O1034" i="11" s="1"/>
  <c r="P1034" i="11"/>
  <c r="M1018" i="11"/>
  <c r="O1018" i="11" s="1"/>
  <c r="P1018" i="11"/>
  <c r="M1010" i="11"/>
  <c r="O1010" i="11" s="1"/>
  <c r="P1010" i="11"/>
  <c r="M994" i="11"/>
  <c r="O994" i="11" s="1"/>
  <c r="P994" i="11"/>
  <c r="M986" i="11"/>
  <c r="O986" i="11" s="1"/>
  <c r="P986" i="11"/>
  <c r="M978" i="11"/>
  <c r="O978" i="11" s="1"/>
  <c r="P978" i="11"/>
  <c r="M970" i="11"/>
  <c r="O970" i="11" s="1"/>
  <c r="P970" i="11"/>
  <c r="M954" i="11"/>
  <c r="O954" i="11" s="1"/>
  <c r="P954" i="11"/>
  <c r="M946" i="11"/>
  <c r="O946" i="11" s="1"/>
  <c r="P946" i="11"/>
  <c r="M930" i="11"/>
  <c r="O930" i="11" s="1"/>
  <c r="P930" i="11"/>
  <c r="M922" i="11"/>
  <c r="O922" i="11" s="1"/>
  <c r="P922" i="11"/>
  <c r="M914" i="11"/>
  <c r="O914" i="11" s="1"/>
  <c r="P914" i="11"/>
  <c r="M906" i="11"/>
  <c r="O906" i="11" s="1"/>
  <c r="P906" i="11"/>
  <c r="M898" i="11"/>
  <c r="O898" i="11" s="1"/>
  <c r="P898" i="11"/>
  <c r="M890" i="11"/>
  <c r="O890" i="11" s="1"/>
  <c r="P890" i="11"/>
  <c r="M882" i="11"/>
  <c r="O882" i="11" s="1"/>
  <c r="P882" i="11"/>
  <c r="M874" i="11"/>
  <c r="O874" i="11" s="1"/>
  <c r="P874" i="11"/>
  <c r="M865" i="11"/>
  <c r="O865" i="11" s="1"/>
  <c r="P865" i="11"/>
  <c r="M857" i="11"/>
  <c r="O857" i="11" s="1"/>
  <c r="P857" i="11"/>
  <c r="M849" i="11"/>
  <c r="O849" i="11" s="1"/>
  <c r="P849" i="11"/>
  <c r="M841" i="11"/>
  <c r="O841" i="11" s="1"/>
  <c r="P841" i="11"/>
  <c r="M832" i="11"/>
  <c r="O832" i="11" s="1"/>
  <c r="P832" i="11"/>
  <c r="M824" i="11"/>
  <c r="O824" i="11" s="1"/>
  <c r="P824" i="11"/>
  <c r="M816" i="11"/>
  <c r="O816" i="11" s="1"/>
  <c r="P816" i="11"/>
  <c r="M808" i="11"/>
  <c r="O808" i="11" s="1"/>
  <c r="P808" i="11"/>
  <c r="M800" i="11"/>
  <c r="O800" i="11" s="1"/>
  <c r="P800" i="11"/>
  <c r="M792" i="11"/>
  <c r="O792" i="11" s="1"/>
  <c r="P792" i="11"/>
  <c r="M784" i="11"/>
  <c r="O784" i="11" s="1"/>
  <c r="P784" i="11"/>
  <c r="M775" i="11"/>
  <c r="O775" i="11" s="1"/>
  <c r="P775" i="11"/>
  <c r="M767" i="11"/>
  <c r="O767" i="11" s="1"/>
  <c r="P767" i="11"/>
  <c r="M759" i="11"/>
  <c r="O759" i="11" s="1"/>
  <c r="P759" i="11"/>
  <c r="M750" i="11"/>
  <c r="O750" i="11" s="1"/>
  <c r="P750" i="11"/>
  <c r="M742" i="11"/>
  <c r="O742" i="11" s="1"/>
  <c r="P742" i="11"/>
  <c r="M734" i="11"/>
  <c r="O734" i="11" s="1"/>
  <c r="P734" i="11"/>
  <c r="M726" i="11"/>
  <c r="O726" i="11" s="1"/>
  <c r="P726" i="11"/>
  <c r="M718" i="11"/>
  <c r="O718" i="11" s="1"/>
  <c r="P718" i="11"/>
  <c r="M710" i="11"/>
  <c r="O710" i="11" s="1"/>
  <c r="P710" i="11"/>
  <c r="M701" i="11"/>
  <c r="O701" i="11" s="1"/>
  <c r="P701" i="11"/>
  <c r="M693" i="11"/>
  <c r="O693" i="11" s="1"/>
  <c r="P693" i="11"/>
  <c r="M684" i="11"/>
  <c r="O684" i="11" s="1"/>
  <c r="P684" i="11"/>
  <c r="M676" i="11"/>
  <c r="O676" i="11" s="1"/>
  <c r="P676" i="11"/>
  <c r="M667" i="11"/>
  <c r="O667" i="11" s="1"/>
  <c r="P667" i="11"/>
  <c r="P1532" i="11"/>
  <c r="P1404" i="11"/>
  <c r="P1236" i="11"/>
  <c r="P1088" i="11"/>
  <c r="P938" i="11"/>
  <c r="M514" i="11"/>
  <c r="O514" i="11" s="1"/>
  <c r="P514" i="11"/>
  <c r="M506" i="11"/>
  <c r="O506" i="11" s="1"/>
  <c r="P506" i="11"/>
  <c r="M498" i="11"/>
  <c r="O498" i="11" s="1"/>
  <c r="P498" i="11"/>
  <c r="M490" i="11"/>
  <c r="O490" i="11" s="1"/>
  <c r="P490" i="11"/>
  <c r="M482" i="11"/>
  <c r="O482" i="11" s="1"/>
  <c r="P482" i="11"/>
  <c r="M474" i="11"/>
  <c r="O474" i="11" s="1"/>
  <c r="P474" i="11"/>
  <c r="M466" i="11"/>
  <c r="O466" i="11" s="1"/>
  <c r="P466" i="11"/>
  <c r="M458" i="11"/>
  <c r="O458" i="11" s="1"/>
  <c r="P458" i="11"/>
  <c r="M450" i="11"/>
  <c r="O450" i="11" s="1"/>
  <c r="P450" i="11"/>
  <c r="M442" i="11"/>
  <c r="O442" i="11" s="1"/>
  <c r="P442" i="11"/>
  <c r="M434" i="11"/>
  <c r="O434" i="11" s="1"/>
  <c r="P434" i="11"/>
  <c r="M426" i="11"/>
  <c r="O426" i="11" s="1"/>
  <c r="P426" i="11"/>
  <c r="M418" i="11"/>
  <c r="O418" i="11" s="1"/>
  <c r="P418" i="11"/>
  <c r="M410" i="11"/>
  <c r="O410" i="11" s="1"/>
  <c r="P410" i="11"/>
  <c r="M402" i="11"/>
  <c r="O402" i="11" s="1"/>
  <c r="P402" i="11"/>
  <c r="M394" i="11"/>
  <c r="O394" i="11" s="1"/>
  <c r="P394" i="11"/>
  <c r="M386" i="11"/>
  <c r="O386" i="11" s="1"/>
  <c r="P386" i="11"/>
  <c r="M378" i="11"/>
  <c r="O378" i="11" s="1"/>
  <c r="P378" i="11"/>
  <c r="M370" i="11"/>
  <c r="O370" i="11" s="1"/>
  <c r="P370" i="11"/>
  <c r="M362" i="11"/>
  <c r="O362" i="11" s="1"/>
  <c r="P362" i="11"/>
  <c r="M354" i="11"/>
  <c r="O354" i="11" s="1"/>
  <c r="P354" i="11"/>
  <c r="M346" i="11"/>
  <c r="O346" i="11" s="1"/>
  <c r="P346" i="11"/>
  <c r="M338" i="11"/>
  <c r="O338" i="11" s="1"/>
  <c r="P338" i="11"/>
  <c r="M330" i="11"/>
  <c r="O330" i="11" s="1"/>
  <c r="P330" i="11"/>
  <c r="M322" i="11"/>
  <c r="O322" i="11" s="1"/>
  <c r="P322" i="11"/>
  <c r="M314" i="11"/>
  <c r="O314" i="11" s="1"/>
  <c r="P314" i="11"/>
  <c r="M306" i="11"/>
  <c r="O306" i="11" s="1"/>
  <c r="P306" i="11"/>
  <c r="M298" i="11"/>
  <c r="O298" i="11" s="1"/>
  <c r="P298" i="11"/>
  <c r="M290" i="11"/>
  <c r="O290" i="11" s="1"/>
  <c r="P290" i="11"/>
  <c r="M282" i="11"/>
  <c r="O282" i="11" s="1"/>
  <c r="P282" i="11"/>
  <c r="M273" i="11"/>
  <c r="O273" i="11" s="1"/>
  <c r="P273" i="11"/>
  <c r="M265" i="11"/>
  <c r="O265" i="11" s="1"/>
  <c r="P265" i="11"/>
  <c r="M257" i="11"/>
  <c r="O257" i="11" s="1"/>
  <c r="P257" i="11"/>
  <c r="M249" i="11"/>
  <c r="O249" i="11" s="1"/>
  <c r="P249" i="11"/>
  <c r="M241" i="11"/>
  <c r="O241" i="11" s="1"/>
  <c r="P241" i="11"/>
  <c r="M233" i="11"/>
  <c r="O233" i="11" s="1"/>
  <c r="P233" i="11"/>
  <c r="M225" i="11"/>
  <c r="O225" i="11" s="1"/>
  <c r="P225" i="11"/>
  <c r="M217" i="11"/>
  <c r="O217" i="11" s="1"/>
  <c r="P217" i="11"/>
  <c r="M209" i="11"/>
  <c r="O209" i="11" s="1"/>
  <c r="P209" i="11"/>
  <c r="M201" i="11"/>
  <c r="O201" i="11" s="1"/>
  <c r="P201" i="11"/>
  <c r="M193" i="11"/>
  <c r="O193" i="11" s="1"/>
  <c r="P193" i="11"/>
  <c r="M185" i="11"/>
  <c r="O185" i="11" s="1"/>
  <c r="P185" i="11"/>
  <c r="M177" i="11"/>
  <c r="O177" i="11" s="1"/>
  <c r="P177" i="11"/>
  <c r="M169" i="11"/>
  <c r="O169" i="11" s="1"/>
  <c r="P169" i="11"/>
  <c r="M160" i="11"/>
  <c r="O160" i="11" s="1"/>
  <c r="P160" i="11"/>
  <c r="M152" i="11"/>
  <c r="O152" i="11" s="1"/>
  <c r="P152" i="11"/>
  <c r="M144" i="11"/>
  <c r="O144" i="11" s="1"/>
  <c r="P144" i="11"/>
  <c r="M136" i="11"/>
  <c r="O136" i="11" s="1"/>
  <c r="P136" i="11"/>
  <c r="M128" i="11"/>
  <c r="O128" i="11" s="1"/>
  <c r="P128" i="11"/>
  <c r="M120" i="11"/>
  <c r="O120" i="11" s="1"/>
  <c r="P120" i="11"/>
  <c r="M112" i="11"/>
  <c r="O112" i="11" s="1"/>
  <c r="P112" i="11"/>
  <c r="M104" i="11"/>
  <c r="O104" i="11" s="1"/>
  <c r="P104" i="11"/>
  <c r="M96" i="11"/>
  <c r="O96" i="11" s="1"/>
  <c r="P96" i="11"/>
  <c r="M88" i="11"/>
  <c r="O88" i="11" s="1"/>
  <c r="P88" i="11"/>
  <c r="M80" i="11"/>
  <c r="O80" i="11" s="1"/>
  <c r="P80" i="11"/>
  <c r="M72" i="11"/>
  <c r="O72" i="11" s="1"/>
  <c r="P72" i="11"/>
  <c r="M64" i="11"/>
  <c r="O64" i="11" s="1"/>
  <c r="P64" i="11"/>
  <c r="M56" i="11"/>
  <c r="O56" i="11" s="1"/>
  <c r="P56" i="11"/>
  <c r="M48" i="11"/>
  <c r="O48" i="11" s="1"/>
  <c r="P48" i="11"/>
  <c r="M40" i="11"/>
  <c r="O40" i="11" s="1"/>
  <c r="P40" i="11"/>
  <c r="M32" i="11"/>
  <c r="O32" i="11" s="1"/>
  <c r="P32" i="11"/>
  <c r="M24" i="11"/>
  <c r="O24" i="11" s="1"/>
  <c r="P24" i="11"/>
  <c r="M16" i="11"/>
  <c r="O16" i="11" s="1"/>
  <c r="P16" i="11"/>
  <c r="M8" i="11"/>
  <c r="O8" i="11" s="1"/>
  <c r="P8" i="11"/>
  <c r="M352" i="11"/>
  <c r="O352" i="11" s="1"/>
  <c r="P352" i="11"/>
  <c r="M344" i="11"/>
  <c r="O344" i="11" s="1"/>
  <c r="P344" i="11"/>
  <c r="M336" i="11"/>
  <c r="O336" i="11" s="1"/>
  <c r="P336" i="11"/>
  <c r="M328" i="11"/>
  <c r="O328" i="11" s="1"/>
  <c r="P328" i="11"/>
  <c r="M320" i="11"/>
  <c r="O320" i="11" s="1"/>
  <c r="P320" i="11"/>
  <c r="M312" i="11"/>
  <c r="O312" i="11" s="1"/>
  <c r="P312" i="11"/>
  <c r="M304" i="11"/>
  <c r="O304" i="11" s="1"/>
  <c r="P304" i="11"/>
  <c r="M296" i="11"/>
  <c r="O296" i="11" s="1"/>
  <c r="P296" i="11"/>
  <c r="M288" i="11"/>
  <c r="O288" i="11" s="1"/>
  <c r="P288" i="11"/>
  <c r="M280" i="11"/>
  <c r="O280" i="11" s="1"/>
  <c r="P280" i="11"/>
  <c r="M271" i="11"/>
  <c r="O271" i="11" s="1"/>
  <c r="P271" i="11"/>
  <c r="M263" i="11"/>
  <c r="O263" i="11" s="1"/>
  <c r="P263" i="11"/>
  <c r="M255" i="11"/>
  <c r="O255" i="11" s="1"/>
  <c r="P255" i="11"/>
  <c r="M247" i="11"/>
  <c r="O247" i="11" s="1"/>
  <c r="P247" i="11"/>
  <c r="M239" i="11"/>
  <c r="O239" i="11" s="1"/>
  <c r="P239" i="11"/>
  <c r="M231" i="11"/>
  <c r="O231" i="11" s="1"/>
  <c r="P231" i="11"/>
  <c r="M223" i="11"/>
  <c r="O223" i="11" s="1"/>
  <c r="P223" i="11"/>
  <c r="M215" i="11"/>
  <c r="O215" i="11" s="1"/>
  <c r="P215" i="11"/>
  <c r="M207" i="11"/>
  <c r="O207" i="11" s="1"/>
  <c r="P207" i="11"/>
  <c r="M199" i="11"/>
  <c r="O199" i="11" s="1"/>
  <c r="P199" i="11"/>
  <c r="M191" i="11"/>
  <c r="O191" i="11" s="1"/>
  <c r="P191" i="11"/>
  <c r="M183" i="11"/>
  <c r="O183" i="11" s="1"/>
  <c r="P183" i="11"/>
  <c r="M175" i="11"/>
  <c r="O175" i="11" s="1"/>
  <c r="P175" i="11"/>
  <c r="M166" i="11"/>
  <c r="O166" i="11" s="1"/>
  <c r="P166" i="11"/>
  <c r="M158" i="11"/>
  <c r="O158" i="11" s="1"/>
  <c r="P158" i="11"/>
  <c r="M150" i="11"/>
  <c r="O150" i="11" s="1"/>
  <c r="P150" i="11"/>
  <c r="M142" i="11"/>
  <c r="O142" i="11" s="1"/>
  <c r="P142" i="11"/>
  <c r="M134" i="11"/>
  <c r="O134" i="11" s="1"/>
  <c r="P134" i="11"/>
  <c r="M126" i="11"/>
  <c r="O126" i="11" s="1"/>
  <c r="P126" i="11"/>
  <c r="M118" i="11"/>
  <c r="O118" i="11" s="1"/>
  <c r="P118" i="11"/>
  <c r="M110" i="11"/>
  <c r="O110" i="11" s="1"/>
  <c r="P110" i="11"/>
  <c r="M102" i="11"/>
  <c r="O102" i="11" s="1"/>
  <c r="P102" i="11"/>
  <c r="M94" i="11"/>
  <c r="O94" i="11" s="1"/>
  <c r="P94" i="11"/>
  <c r="M86" i="11"/>
  <c r="O86" i="11" s="1"/>
  <c r="P86" i="11"/>
  <c r="M78" i="11"/>
  <c r="O78" i="11" s="1"/>
  <c r="P78" i="11"/>
  <c r="M70" i="11"/>
  <c r="O70" i="11" s="1"/>
  <c r="P70" i="11"/>
  <c r="M62" i="11"/>
  <c r="O62" i="11" s="1"/>
  <c r="P62" i="11"/>
  <c r="M54" i="11"/>
  <c r="O54" i="11" s="1"/>
  <c r="P54" i="11"/>
  <c r="M46" i="11"/>
  <c r="O46" i="11" s="1"/>
  <c r="P46" i="11"/>
  <c r="M38" i="11"/>
  <c r="O38" i="11" s="1"/>
  <c r="P38" i="11"/>
  <c r="M30" i="11"/>
  <c r="O30" i="11" s="1"/>
  <c r="P30" i="11"/>
  <c r="M22" i="11"/>
  <c r="O22" i="11" s="1"/>
  <c r="P22" i="11"/>
  <c r="M14" i="11"/>
  <c r="O14" i="11" s="1"/>
  <c r="P14" i="11"/>
  <c r="M6" i="11"/>
  <c r="O6" i="11" s="1"/>
  <c r="P6" i="11"/>
  <c r="M519" i="11"/>
  <c r="O519" i="11" s="1"/>
  <c r="P519" i="11"/>
  <c r="M511" i="11"/>
  <c r="O511" i="11" s="1"/>
  <c r="P511" i="11"/>
  <c r="M503" i="11"/>
  <c r="O503" i="11" s="1"/>
  <c r="P503" i="11"/>
  <c r="M495" i="11"/>
  <c r="O495" i="11" s="1"/>
  <c r="P495" i="11"/>
  <c r="M487" i="11"/>
  <c r="O487" i="11" s="1"/>
  <c r="P487" i="11"/>
  <c r="M479" i="11"/>
  <c r="O479" i="11" s="1"/>
  <c r="P479" i="11"/>
  <c r="M471" i="11"/>
  <c r="O471" i="11" s="1"/>
  <c r="P471" i="11"/>
  <c r="M463" i="11"/>
  <c r="O463" i="11" s="1"/>
  <c r="P463" i="11"/>
  <c r="M455" i="11"/>
  <c r="O455" i="11" s="1"/>
  <c r="P455" i="11"/>
  <c r="M447" i="11"/>
  <c r="O447" i="11" s="1"/>
  <c r="P447" i="11"/>
  <c r="M439" i="11"/>
  <c r="O439" i="11" s="1"/>
  <c r="P439" i="11"/>
  <c r="M431" i="11"/>
  <c r="O431" i="11" s="1"/>
  <c r="P431" i="11"/>
  <c r="M423" i="11"/>
  <c r="O423" i="11" s="1"/>
  <c r="P423" i="11"/>
  <c r="M415" i="11"/>
  <c r="O415" i="11" s="1"/>
  <c r="P415" i="11"/>
  <c r="M407" i="11"/>
  <c r="O407" i="11" s="1"/>
  <c r="P407" i="11"/>
  <c r="M399" i="11"/>
  <c r="O399" i="11" s="1"/>
  <c r="P399" i="11"/>
  <c r="M391" i="11"/>
  <c r="O391" i="11" s="1"/>
  <c r="P391" i="11"/>
  <c r="M383" i="11"/>
  <c r="O383" i="11" s="1"/>
  <c r="P383" i="11"/>
  <c r="M375" i="11"/>
  <c r="O375" i="11" s="1"/>
  <c r="P375" i="11"/>
  <c r="M367" i="11"/>
  <c r="O367" i="11" s="1"/>
  <c r="P367" i="11"/>
  <c r="M359" i="11"/>
  <c r="O359" i="11" s="1"/>
  <c r="P359" i="11"/>
  <c r="M351" i="11"/>
  <c r="O351" i="11" s="1"/>
  <c r="P351" i="11"/>
  <c r="M343" i="11"/>
  <c r="O343" i="11" s="1"/>
  <c r="P343" i="11"/>
  <c r="M335" i="11"/>
  <c r="O335" i="11" s="1"/>
  <c r="P335" i="11"/>
  <c r="M327" i="11"/>
  <c r="O327" i="11" s="1"/>
  <c r="P327" i="11"/>
  <c r="M319" i="11"/>
  <c r="O319" i="11" s="1"/>
  <c r="P319" i="11"/>
  <c r="M311" i="11"/>
  <c r="O311" i="11" s="1"/>
  <c r="P311" i="11"/>
  <c r="M303" i="11"/>
  <c r="O303" i="11" s="1"/>
  <c r="P303" i="11"/>
  <c r="M295" i="11"/>
  <c r="O295" i="11" s="1"/>
  <c r="P295" i="11"/>
  <c r="M287" i="11"/>
  <c r="O287" i="11" s="1"/>
  <c r="P287" i="11"/>
  <c r="M279" i="11"/>
  <c r="O279" i="11" s="1"/>
  <c r="P279" i="11"/>
  <c r="M270" i="11"/>
  <c r="O270" i="11" s="1"/>
  <c r="P270" i="11"/>
  <c r="M262" i="11"/>
  <c r="O262" i="11" s="1"/>
  <c r="P262" i="11"/>
  <c r="M254" i="11"/>
  <c r="O254" i="11" s="1"/>
  <c r="P254" i="11"/>
  <c r="M246" i="11"/>
  <c r="O246" i="11" s="1"/>
  <c r="P246" i="11"/>
  <c r="M238" i="11"/>
  <c r="O238" i="11" s="1"/>
  <c r="P238" i="11"/>
  <c r="M230" i="11"/>
  <c r="O230" i="11" s="1"/>
  <c r="P230" i="11"/>
  <c r="M222" i="11"/>
  <c r="O222" i="11" s="1"/>
  <c r="P222" i="11"/>
  <c r="M214" i="11"/>
  <c r="O214" i="11" s="1"/>
  <c r="P214" i="11"/>
  <c r="M206" i="11"/>
  <c r="O206" i="11" s="1"/>
  <c r="P206" i="11"/>
  <c r="M198" i="11"/>
  <c r="O198" i="11" s="1"/>
  <c r="P198" i="11"/>
  <c r="M190" i="11"/>
  <c r="O190" i="11" s="1"/>
  <c r="P190" i="11"/>
  <c r="M182" i="11"/>
  <c r="O182" i="11" s="1"/>
  <c r="P182" i="11"/>
  <c r="M174" i="11"/>
  <c r="O174" i="11" s="1"/>
  <c r="P174" i="11"/>
  <c r="M165" i="11"/>
  <c r="O165" i="11" s="1"/>
  <c r="P165" i="11"/>
  <c r="M157" i="11"/>
  <c r="O157" i="11" s="1"/>
  <c r="P157" i="11"/>
  <c r="M149" i="11"/>
  <c r="O149" i="11" s="1"/>
  <c r="P149" i="11"/>
  <c r="M141" i="11"/>
  <c r="O141" i="11" s="1"/>
  <c r="P141" i="11"/>
  <c r="M133" i="11"/>
  <c r="O133" i="11" s="1"/>
  <c r="P133" i="11"/>
  <c r="M125" i="11"/>
  <c r="O125" i="11" s="1"/>
  <c r="P125" i="11"/>
  <c r="M117" i="11"/>
  <c r="O117" i="11" s="1"/>
  <c r="P117" i="11"/>
  <c r="M109" i="11"/>
  <c r="O109" i="11" s="1"/>
  <c r="P109" i="11"/>
  <c r="M101" i="11"/>
  <c r="O101" i="11" s="1"/>
  <c r="P101" i="11"/>
  <c r="M93" i="11"/>
  <c r="O93" i="11" s="1"/>
  <c r="P93" i="11"/>
  <c r="M85" i="11"/>
  <c r="O85" i="11" s="1"/>
  <c r="P85" i="11"/>
  <c r="M77" i="11"/>
  <c r="O77" i="11" s="1"/>
  <c r="P77" i="11"/>
  <c r="M69" i="11"/>
  <c r="O69" i="11" s="1"/>
  <c r="P69" i="11"/>
  <c r="M61" i="11"/>
  <c r="O61" i="11" s="1"/>
  <c r="P61" i="11"/>
  <c r="M53" i="11"/>
  <c r="O53" i="11" s="1"/>
  <c r="P53" i="11"/>
  <c r="M45" i="11"/>
  <c r="O45" i="11" s="1"/>
  <c r="P45" i="11"/>
  <c r="M37" i="11"/>
  <c r="O37" i="11" s="1"/>
  <c r="P37" i="11"/>
  <c r="M29" i="11"/>
  <c r="O29" i="11" s="1"/>
  <c r="P29" i="11"/>
  <c r="M21" i="11"/>
  <c r="O21" i="11" s="1"/>
  <c r="P21" i="11"/>
  <c r="M13" i="11"/>
  <c r="O13" i="11" s="1"/>
  <c r="P13" i="11"/>
  <c r="M5" i="11"/>
  <c r="O5" i="11" s="1"/>
  <c r="P5" i="11"/>
  <c r="M659" i="11"/>
  <c r="O659" i="11" s="1"/>
  <c r="P659" i="11"/>
  <c r="M650" i="11"/>
  <c r="O650" i="11" s="1"/>
  <c r="P650" i="11"/>
  <c r="M642" i="11"/>
  <c r="O642" i="11" s="1"/>
  <c r="P642" i="11"/>
  <c r="M633" i="11"/>
  <c r="O633" i="11" s="1"/>
  <c r="P633" i="11"/>
  <c r="M625" i="11"/>
  <c r="O625" i="11" s="1"/>
  <c r="P625" i="11"/>
  <c r="M617" i="11"/>
  <c r="O617" i="11" s="1"/>
  <c r="P617" i="11"/>
  <c r="M609" i="11"/>
  <c r="O609" i="11" s="1"/>
  <c r="P609" i="11"/>
  <c r="M600" i="11"/>
  <c r="O600" i="11" s="1"/>
  <c r="P600" i="11"/>
  <c r="M592" i="11"/>
  <c r="O592" i="11" s="1"/>
  <c r="P592" i="11"/>
  <c r="M584" i="11"/>
  <c r="O584" i="11" s="1"/>
  <c r="P584" i="11"/>
  <c r="M576" i="11"/>
  <c r="O576" i="11" s="1"/>
  <c r="P576" i="11"/>
  <c r="M567" i="11"/>
  <c r="O567" i="11" s="1"/>
  <c r="P567" i="11"/>
  <c r="M558" i="11"/>
  <c r="O558" i="11" s="1"/>
  <c r="P558" i="11"/>
  <c r="M550" i="11"/>
  <c r="O550" i="11" s="1"/>
  <c r="P550" i="11"/>
  <c r="M542" i="11"/>
  <c r="O542" i="11" s="1"/>
  <c r="P542" i="11"/>
  <c r="M534" i="11"/>
  <c r="O534" i="11" s="1"/>
  <c r="P534" i="11"/>
  <c r="M526" i="11"/>
  <c r="O526" i="11" s="1"/>
  <c r="P526" i="11"/>
  <c r="M518" i="11"/>
  <c r="O518" i="11" s="1"/>
  <c r="P518" i="11"/>
  <c r="M510" i="11"/>
  <c r="O510" i="11" s="1"/>
  <c r="P510" i="11"/>
  <c r="M502" i="11"/>
  <c r="O502" i="11" s="1"/>
  <c r="P502" i="11"/>
  <c r="M494" i="11"/>
  <c r="O494" i="11" s="1"/>
  <c r="P494" i="11"/>
  <c r="M486" i="11"/>
  <c r="O486" i="11" s="1"/>
  <c r="P486" i="11"/>
  <c r="M478" i="11"/>
  <c r="O478" i="11" s="1"/>
  <c r="P478" i="11"/>
  <c r="M470" i="11"/>
  <c r="O470" i="11" s="1"/>
  <c r="P470" i="11"/>
  <c r="M462" i="11"/>
  <c r="O462" i="11" s="1"/>
  <c r="P462" i="11"/>
  <c r="M454" i="11"/>
  <c r="O454" i="11" s="1"/>
  <c r="P454" i="11"/>
  <c r="M446" i="11"/>
  <c r="O446" i="11" s="1"/>
  <c r="P446" i="11"/>
  <c r="M438" i="11"/>
  <c r="O438" i="11" s="1"/>
  <c r="P438" i="11"/>
  <c r="M430" i="11"/>
  <c r="O430" i="11" s="1"/>
  <c r="P430" i="11"/>
  <c r="M422" i="11"/>
  <c r="O422" i="11" s="1"/>
  <c r="P422" i="11"/>
  <c r="M414" i="11"/>
  <c r="O414" i="11" s="1"/>
  <c r="P414" i="11"/>
  <c r="M406" i="11"/>
  <c r="O406" i="11" s="1"/>
  <c r="P406" i="11"/>
  <c r="M398" i="11"/>
  <c r="O398" i="11" s="1"/>
  <c r="P398" i="11"/>
  <c r="M390" i="11"/>
  <c r="O390" i="11" s="1"/>
  <c r="P390" i="11"/>
  <c r="M382" i="11"/>
  <c r="O382" i="11" s="1"/>
  <c r="P382" i="11"/>
  <c r="M374" i="11"/>
  <c r="O374" i="11" s="1"/>
  <c r="P374" i="11"/>
  <c r="M366" i="11"/>
  <c r="O366" i="11" s="1"/>
  <c r="P366" i="11"/>
  <c r="M358" i="11"/>
  <c r="O358" i="11" s="1"/>
  <c r="P358" i="11"/>
  <c r="M350" i="11"/>
  <c r="O350" i="11" s="1"/>
  <c r="P350" i="11"/>
  <c r="M342" i="11"/>
  <c r="O342" i="11" s="1"/>
  <c r="P342" i="11"/>
  <c r="M334" i="11"/>
  <c r="O334" i="11" s="1"/>
  <c r="P334" i="11"/>
  <c r="M326" i="11"/>
  <c r="O326" i="11" s="1"/>
  <c r="P326" i="11"/>
  <c r="M318" i="11"/>
  <c r="O318" i="11" s="1"/>
  <c r="P318" i="11"/>
  <c r="M310" i="11"/>
  <c r="O310" i="11" s="1"/>
  <c r="P310" i="11"/>
  <c r="M302" i="11"/>
  <c r="O302" i="11" s="1"/>
  <c r="P302" i="11"/>
  <c r="M294" i="11"/>
  <c r="O294" i="11" s="1"/>
  <c r="P294" i="11"/>
  <c r="M286" i="11"/>
  <c r="O286" i="11" s="1"/>
  <c r="P286" i="11"/>
  <c r="M278" i="11"/>
  <c r="O278" i="11" s="1"/>
  <c r="P278" i="11"/>
  <c r="M269" i="11"/>
  <c r="O269" i="11" s="1"/>
  <c r="P269" i="11"/>
  <c r="M261" i="11"/>
  <c r="O261" i="11" s="1"/>
  <c r="P261" i="11"/>
  <c r="M253" i="11"/>
  <c r="O253" i="11" s="1"/>
  <c r="P253" i="11"/>
  <c r="M245" i="11"/>
  <c r="O245" i="11" s="1"/>
  <c r="P245" i="11"/>
  <c r="M237" i="11"/>
  <c r="O237" i="11" s="1"/>
  <c r="P237" i="11"/>
  <c r="M229" i="11"/>
  <c r="O229" i="11" s="1"/>
  <c r="P229" i="11"/>
  <c r="M221" i="11"/>
  <c r="O221" i="11" s="1"/>
  <c r="P221" i="11"/>
  <c r="M213" i="11"/>
  <c r="O213" i="11" s="1"/>
  <c r="P213" i="11"/>
  <c r="M205" i="11"/>
  <c r="O205" i="11" s="1"/>
  <c r="P205" i="11"/>
  <c r="M197" i="11"/>
  <c r="O197" i="11" s="1"/>
  <c r="P197" i="11"/>
  <c r="M189" i="11"/>
  <c r="O189" i="11" s="1"/>
  <c r="P189" i="11"/>
  <c r="M181" i="11"/>
  <c r="O181" i="11" s="1"/>
  <c r="P181" i="11"/>
  <c r="M173" i="11"/>
  <c r="O173" i="11" s="1"/>
  <c r="P173" i="11"/>
  <c r="M164" i="11"/>
  <c r="O164" i="11" s="1"/>
  <c r="P164" i="11"/>
  <c r="M156" i="11"/>
  <c r="O156" i="11" s="1"/>
  <c r="P156" i="11"/>
  <c r="M148" i="11"/>
  <c r="O148" i="11" s="1"/>
  <c r="P148" i="11"/>
  <c r="M140" i="11"/>
  <c r="O140" i="11" s="1"/>
  <c r="P140" i="11"/>
  <c r="M132" i="11"/>
  <c r="O132" i="11" s="1"/>
  <c r="P132" i="11"/>
  <c r="M124" i="11"/>
  <c r="O124" i="11" s="1"/>
  <c r="P124" i="11"/>
  <c r="M116" i="11"/>
  <c r="O116" i="11" s="1"/>
  <c r="P116" i="11"/>
  <c r="M108" i="11"/>
  <c r="O108" i="11" s="1"/>
  <c r="P108" i="11"/>
  <c r="M100" i="11"/>
  <c r="O100" i="11" s="1"/>
  <c r="P100" i="11"/>
  <c r="M92" i="11"/>
  <c r="O92" i="11" s="1"/>
  <c r="P92" i="11"/>
  <c r="M84" i="11"/>
  <c r="O84" i="11" s="1"/>
  <c r="P84" i="11"/>
  <c r="M76" i="11"/>
  <c r="O76" i="11" s="1"/>
  <c r="P76" i="11"/>
  <c r="M68" i="11"/>
  <c r="O68" i="11" s="1"/>
  <c r="P68" i="11"/>
  <c r="M60" i="11"/>
  <c r="O60" i="11" s="1"/>
  <c r="P60" i="11"/>
  <c r="M52" i="11"/>
  <c r="O52" i="11" s="1"/>
  <c r="P52" i="11"/>
  <c r="M44" i="11"/>
  <c r="O44" i="11" s="1"/>
  <c r="P44" i="11"/>
  <c r="M36" i="11"/>
  <c r="O36" i="11" s="1"/>
  <c r="P36" i="11"/>
  <c r="M28" i="11"/>
  <c r="O28" i="11" s="1"/>
  <c r="P28" i="11"/>
  <c r="M20" i="11"/>
  <c r="O20" i="11" s="1"/>
  <c r="P20" i="11"/>
  <c r="M12" i="11"/>
  <c r="O12" i="11" s="1"/>
  <c r="P12" i="11"/>
  <c r="M675" i="11"/>
  <c r="O675" i="11" s="1"/>
  <c r="P675" i="11"/>
  <c r="M666" i="11"/>
  <c r="O666" i="11" s="1"/>
  <c r="P666" i="11"/>
  <c r="M658" i="11"/>
  <c r="O658" i="11" s="1"/>
  <c r="P658" i="11"/>
  <c r="M649" i="11"/>
  <c r="O649" i="11" s="1"/>
  <c r="P649" i="11"/>
  <c r="M641" i="11"/>
  <c r="O641" i="11" s="1"/>
  <c r="P641" i="11"/>
  <c r="M632" i="11"/>
  <c r="O632" i="11" s="1"/>
  <c r="P632" i="11"/>
  <c r="M624" i="11"/>
  <c r="O624" i="11" s="1"/>
  <c r="P624" i="11"/>
  <c r="M616" i="11"/>
  <c r="O616" i="11" s="1"/>
  <c r="P616" i="11"/>
  <c r="M608" i="11"/>
  <c r="O608" i="11" s="1"/>
  <c r="P608" i="11"/>
  <c r="M599" i="11"/>
  <c r="O599" i="11" s="1"/>
  <c r="P599" i="11"/>
  <c r="M591" i="11"/>
  <c r="O591" i="11" s="1"/>
  <c r="P591" i="11"/>
  <c r="M583" i="11"/>
  <c r="O583" i="11" s="1"/>
  <c r="P583" i="11"/>
  <c r="M574" i="11"/>
  <c r="O574" i="11" s="1"/>
  <c r="P574" i="11"/>
  <c r="M566" i="11"/>
  <c r="O566" i="11" s="1"/>
  <c r="P566" i="11"/>
  <c r="M557" i="11"/>
  <c r="O557" i="11" s="1"/>
  <c r="P557" i="11"/>
  <c r="M549" i="11"/>
  <c r="O549" i="11" s="1"/>
  <c r="P549" i="11"/>
  <c r="M541" i="11"/>
  <c r="O541" i="11" s="1"/>
  <c r="P541" i="11"/>
  <c r="M533" i="11"/>
  <c r="O533" i="11" s="1"/>
  <c r="P533" i="11"/>
  <c r="M525" i="11"/>
  <c r="O525" i="11" s="1"/>
  <c r="P525" i="11"/>
  <c r="M517" i="11"/>
  <c r="O517" i="11" s="1"/>
  <c r="P517" i="11"/>
  <c r="M509" i="11"/>
  <c r="O509" i="11" s="1"/>
  <c r="P509" i="11"/>
  <c r="M501" i="11"/>
  <c r="O501" i="11" s="1"/>
  <c r="P501" i="11"/>
  <c r="M493" i="11"/>
  <c r="O493" i="11" s="1"/>
  <c r="P493" i="11"/>
  <c r="M485" i="11"/>
  <c r="O485" i="11" s="1"/>
  <c r="P485" i="11"/>
  <c r="M477" i="11"/>
  <c r="O477" i="11" s="1"/>
  <c r="P477" i="11"/>
  <c r="M469" i="11"/>
  <c r="O469" i="11" s="1"/>
  <c r="P469" i="11"/>
  <c r="M461" i="11"/>
  <c r="O461" i="11" s="1"/>
  <c r="P461" i="11"/>
  <c r="M453" i="11"/>
  <c r="O453" i="11" s="1"/>
  <c r="P453" i="11"/>
  <c r="M445" i="11"/>
  <c r="O445" i="11" s="1"/>
  <c r="P445" i="11"/>
  <c r="M437" i="11"/>
  <c r="O437" i="11" s="1"/>
  <c r="P437" i="11"/>
  <c r="M429" i="11"/>
  <c r="O429" i="11" s="1"/>
  <c r="P429" i="11"/>
  <c r="M421" i="11"/>
  <c r="O421" i="11" s="1"/>
  <c r="P421" i="11"/>
  <c r="M413" i="11"/>
  <c r="O413" i="11" s="1"/>
  <c r="P413" i="11"/>
  <c r="M405" i="11"/>
  <c r="O405" i="11" s="1"/>
  <c r="P405" i="11"/>
  <c r="M397" i="11"/>
  <c r="O397" i="11" s="1"/>
  <c r="P397" i="11"/>
  <c r="M389" i="11"/>
  <c r="O389" i="11" s="1"/>
  <c r="P389" i="11"/>
  <c r="M381" i="11"/>
  <c r="O381" i="11" s="1"/>
  <c r="P381" i="11"/>
  <c r="M373" i="11"/>
  <c r="O373" i="11" s="1"/>
  <c r="P373" i="11"/>
  <c r="M365" i="11"/>
  <c r="O365" i="11" s="1"/>
  <c r="P365" i="11"/>
  <c r="M357" i="11"/>
  <c r="O357" i="11" s="1"/>
  <c r="P357" i="11"/>
  <c r="M349" i="11"/>
  <c r="O349" i="11" s="1"/>
  <c r="P349" i="11"/>
  <c r="M341" i="11"/>
  <c r="O341" i="11" s="1"/>
  <c r="P341" i="11"/>
  <c r="M333" i="11"/>
  <c r="O333" i="11" s="1"/>
  <c r="P333" i="11"/>
  <c r="M325" i="11"/>
  <c r="O325" i="11" s="1"/>
  <c r="P325" i="11"/>
  <c r="M317" i="11"/>
  <c r="O317" i="11" s="1"/>
  <c r="P317" i="11"/>
  <c r="M309" i="11"/>
  <c r="O309" i="11" s="1"/>
  <c r="P309" i="11"/>
  <c r="M301" i="11"/>
  <c r="O301" i="11" s="1"/>
  <c r="P301" i="11"/>
  <c r="M293" i="11"/>
  <c r="O293" i="11" s="1"/>
  <c r="P293" i="11"/>
  <c r="M285" i="11"/>
  <c r="O285" i="11" s="1"/>
  <c r="P285" i="11"/>
  <c r="M276" i="11"/>
  <c r="O276" i="11" s="1"/>
  <c r="P276" i="11"/>
  <c r="M268" i="11"/>
  <c r="O268" i="11" s="1"/>
  <c r="P268" i="11"/>
  <c r="M260" i="11"/>
  <c r="O260" i="11" s="1"/>
  <c r="P260" i="11"/>
  <c r="M252" i="11"/>
  <c r="O252" i="11" s="1"/>
  <c r="P252" i="11"/>
  <c r="M244" i="11"/>
  <c r="O244" i="11" s="1"/>
  <c r="P244" i="11"/>
  <c r="M236" i="11"/>
  <c r="O236" i="11" s="1"/>
  <c r="P236" i="11"/>
  <c r="M228" i="11"/>
  <c r="O228" i="11" s="1"/>
  <c r="P228" i="11"/>
  <c r="M220" i="11"/>
  <c r="O220" i="11" s="1"/>
  <c r="P220" i="11"/>
  <c r="M212" i="11"/>
  <c r="O212" i="11" s="1"/>
  <c r="P212" i="11"/>
  <c r="M204" i="11"/>
  <c r="O204" i="11" s="1"/>
  <c r="P204" i="11"/>
  <c r="M196" i="11"/>
  <c r="O196" i="11" s="1"/>
  <c r="P196" i="11"/>
  <c r="M188" i="11"/>
  <c r="O188" i="11" s="1"/>
  <c r="P188" i="11"/>
  <c r="M180" i="11"/>
  <c r="O180" i="11" s="1"/>
  <c r="P180" i="11"/>
  <c r="M172" i="11"/>
  <c r="O172" i="11" s="1"/>
  <c r="P172" i="11"/>
  <c r="M163" i="11"/>
  <c r="O163" i="11" s="1"/>
  <c r="P163" i="11"/>
  <c r="M155" i="11"/>
  <c r="O155" i="11" s="1"/>
  <c r="P155" i="11"/>
  <c r="M147" i="11"/>
  <c r="O147" i="11" s="1"/>
  <c r="P147" i="11"/>
  <c r="M139" i="11"/>
  <c r="O139" i="11" s="1"/>
  <c r="P139" i="11"/>
  <c r="M131" i="11"/>
  <c r="O131" i="11" s="1"/>
  <c r="P131" i="11"/>
  <c r="M123" i="11"/>
  <c r="O123" i="11" s="1"/>
  <c r="P123" i="11"/>
  <c r="M115" i="11"/>
  <c r="O115" i="11" s="1"/>
  <c r="P115" i="11"/>
  <c r="M107" i="11"/>
  <c r="O107" i="11" s="1"/>
  <c r="P107" i="11"/>
  <c r="M99" i="11"/>
  <c r="O99" i="11" s="1"/>
  <c r="P99" i="11"/>
  <c r="M91" i="11"/>
  <c r="O91" i="11" s="1"/>
  <c r="P91" i="11"/>
  <c r="M83" i="11"/>
  <c r="O83" i="11" s="1"/>
  <c r="P83" i="11"/>
  <c r="M75" i="11"/>
  <c r="O75" i="11" s="1"/>
  <c r="P75" i="11"/>
  <c r="M67" i="11"/>
  <c r="O67" i="11" s="1"/>
  <c r="P67" i="11"/>
  <c r="M59" i="11"/>
  <c r="O59" i="11" s="1"/>
  <c r="P59" i="11"/>
  <c r="M51" i="11"/>
  <c r="O51" i="11" s="1"/>
  <c r="P51" i="11"/>
  <c r="M43" i="11"/>
  <c r="O43" i="11" s="1"/>
  <c r="P43" i="11"/>
  <c r="M35" i="11"/>
  <c r="O35" i="11" s="1"/>
  <c r="P35" i="11"/>
  <c r="M27" i="11"/>
  <c r="O27" i="11" s="1"/>
  <c r="P27" i="11"/>
  <c r="M19" i="11"/>
  <c r="O19" i="11" s="1"/>
  <c r="P19" i="11"/>
  <c r="M11" i="11"/>
  <c r="O11" i="11" s="1"/>
  <c r="P11" i="11"/>
  <c r="M516" i="11"/>
  <c r="O516" i="11" s="1"/>
  <c r="P516" i="11"/>
  <c r="M508" i="11"/>
  <c r="O508" i="11" s="1"/>
  <c r="P508" i="11"/>
  <c r="M500" i="11"/>
  <c r="O500" i="11" s="1"/>
  <c r="P500" i="11"/>
  <c r="M492" i="11"/>
  <c r="O492" i="11" s="1"/>
  <c r="P492" i="11"/>
  <c r="M484" i="11"/>
  <c r="O484" i="11" s="1"/>
  <c r="P484" i="11"/>
  <c r="M476" i="11"/>
  <c r="O476" i="11" s="1"/>
  <c r="P476" i="11"/>
  <c r="M468" i="11"/>
  <c r="O468" i="11" s="1"/>
  <c r="P468" i="11"/>
  <c r="M460" i="11"/>
  <c r="O460" i="11" s="1"/>
  <c r="P460" i="11"/>
  <c r="M452" i="11"/>
  <c r="O452" i="11" s="1"/>
  <c r="P452" i="11"/>
  <c r="M444" i="11"/>
  <c r="O444" i="11" s="1"/>
  <c r="P444" i="11"/>
  <c r="M436" i="11"/>
  <c r="O436" i="11" s="1"/>
  <c r="P436" i="11"/>
  <c r="M428" i="11"/>
  <c r="O428" i="11" s="1"/>
  <c r="P428" i="11"/>
  <c r="M420" i="11"/>
  <c r="O420" i="11" s="1"/>
  <c r="P420" i="11"/>
  <c r="M412" i="11"/>
  <c r="O412" i="11" s="1"/>
  <c r="P412" i="11"/>
  <c r="M404" i="11"/>
  <c r="O404" i="11" s="1"/>
  <c r="P404" i="11"/>
  <c r="M396" i="11"/>
  <c r="O396" i="11" s="1"/>
  <c r="P396" i="11"/>
  <c r="M388" i="11"/>
  <c r="O388" i="11" s="1"/>
  <c r="P388" i="11"/>
  <c r="M380" i="11"/>
  <c r="O380" i="11" s="1"/>
  <c r="P380" i="11"/>
  <c r="M372" i="11"/>
  <c r="O372" i="11" s="1"/>
  <c r="P372" i="11"/>
  <c r="M364" i="11"/>
  <c r="O364" i="11" s="1"/>
  <c r="P364" i="11"/>
  <c r="M356" i="11"/>
  <c r="O356" i="11" s="1"/>
  <c r="P356" i="11"/>
  <c r="M348" i="11"/>
  <c r="O348" i="11" s="1"/>
  <c r="P348" i="11"/>
  <c r="M340" i="11"/>
  <c r="O340" i="11" s="1"/>
  <c r="P340" i="11"/>
  <c r="M332" i="11"/>
  <c r="O332" i="11" s="1"/>
  <c r="P332" i="11"/>
  <c r="M324" i="11"/>
  <c r="O324" i="11" s="1"/>
  <c r="P324" i="11"/>
  <c r="M316" i="11"/>
  <c r="O316" i="11" s="1"/>
  <c r="P316" i="11"/>
  <c r="M308" i="11"/>
  <c r="O308" i="11" s="1"/>
  <c r="P308" i="11"/>
  <c r="M300" i="11"/>
  <c r="O300" i="11" s="1"/>
  <c r="P300" i="11"/>
  <c r="M292" i="11"/>
  <c r="O292" i="11" s="1"/>
  <c r="P292" i="11"/>
  <c r="M284" i="11"/>
  <c r="O284" i="11" s="1"/>
  <c r="P284" i="11"/>
  <c r="M275" i="11"/>
  <c r="O275" i="11" s="1"/>
  <c r="P275" i="11"/>
  <c r="M267" i="11"/>
  <c r="O267" i="11" s="1"/>
  <c r="P267" i="11"/>
  <c r="M259" i="11"/>
  <c r="O259" i="11" s="1"/>
  <c r="P259" i="11"/>
  <c r="M251" i="11"/>
  <c r="O251" i="11" s="1"/>
  <c r="P251" i="11"/>
  <c r="M243" i="11"/>
  <c r="O243" i="11" s="1"/>
  <c r="P243" i="11"/>
  <c r="M235" i="11"/>
  <c r="O235" i="11" s="1"/>
  <c r="P235" i="11"/>
  <c r="M227" i="11"/>
  <c r="O227" i="11" s="1"/>
  <c r="P227" i="11"/>
  <c r="M219" i="11"/>
  <c r="O219" i="11" s="1"/>
  <c r="P219" i="11"/>
  <c r="M211" i="11"/>
  <c r="O211" i="11" s="1"/>
  <c r="P211" i="11"/>
  <c r="M203" i="11"/>
  <c r="O203" i="11" s="1"/>
  <c r="P203" i="11"/>
  <c r="M195" i="11"/>
  <c r="O195" i="11" s="1"/>
  <c r="P195" i="11"/>
  <c r="M187" i="11"/>
  <c r="O187" i="11" s="1"/>
  <c r="P187" i="11"/>
  <c r="M179" i="11"/>
  <c r="O179" i="11" s="1"/>
  <c r="P179" i="11"/>
  <c r="M171" i="11"/>
  <c r="O171" i="11" s="1"/>
  <c r="P171" i="11"/>
  <c r="M162" i="11"/>
  <c r="O162" i="11" s="1"/>
  <c r="P162" i="11"/>
  <c r="M154" i="11"/>
  <c r="O154" i="11" s="1"/>
  <c r="P154" i="11"/>
  <c r="M146" i="11"/>
  <c r="O146" i="11" s="1"/>
  <c r="P146" i="11"/>
  <c r="M138" i="11"/>
  <c r="O138" i="11" s="1"/>
  <c r="P138" i="11"/>
  <c r="M130" i="11"/>
  <c r="O130" i="11" s="1"/>
  <c r="P130" i="11"/>
  <c r="M122" i="11"/>
  <c r="O122" i="11" s="1"/>
  <c r="P122" i="11"/>
  <c r="M114" i="11"/>
  <c r="O114" i="11" s="1"/>
  <c r="P114" i="11"/>
  <c r="M106" i="11"/>
  <c r="O106" i="11" s="1"/>
  <c r="P106" i="11"/>
  <c r="M98" i="11"/>
  <c r="O98" i="11" s="1"/>
  <c r="P98" i="11"/>
  <c r="M90" i="11"/>
  <c r="O90" i="11" s="1"/>
  <c r="P90" i="11"/>
  <c r="M82" i="11"/>
  <c r="O82" i="11" s="1"/>
  <c r="P82" i="11"/>
  <c r="M74" i="11"/>
  <c r="O74" i="11" s="1"/>
  <c r="P74" i="11"/>
  <c r="M66" i="11"/>
  <c r="O66" i="11" s="1"/>
  <c r="P66" i="11"/>
  <c r="M58" i="11"/>
  <c r="O58" i="11" s="1"/>
  <c r="P58" i="11"/>
  <c r="M50" i="11"/>
  <c r="O50" i="11" s="1"/>
  <c r="P50" i="11"/>
  <c r="M42" i="11"/>
  <c r="O42" i="11" s="1"/>
  <c r="P42" i="11"/>
  <c r="M34" i="11"/>
  <c r="O34" i="11" s="1"/>
  <c r="P34" i="11"/>
  <c r="M26" i="11"/>
  <c r="O26" i="11" s="1"/>
  <c r="P26" i="11"/>
  <c r="M18" i="11"/>
  <c r="O18" i="11" s="1"/>
  <c r="P18" i="11"/>
  <c r="M10" i="11"/>
  <c r="O10" i="11" s="1"/>
  <c r="P10" i="11"/>
  <c r="M1" i="10"/>
  <c r="M1809" i="10"/>
  <c r="M1585" i="10"/>
  <c r="M998" i="10"/>
  <c r="M1499" i="10"/>
  <c r="M1491" i="10"/>
  <c r="M362" i="10"/>
  <c r="M473" i="10"/>
  <c r="M1440" i="10"/>
  <c r="M359" i="10"/>
  <c r="M1621" i="10"/>
  <c r="M1599" i="10"/>
  <c r="M31" i="10"/>
  <c r="M1031" i="10"/>
  <c r="M1750" i="10"/>
  <c r="M351" i="10"/>
  <c r="M1184" i="10"/>
  <c r="M1628" i="10"/>
  <c r="N598" i="10"/>
  <c r="N1820" i="10"/>
  <c r="N124" i="10"/>
  <c r="N1948" i="10"/>
  <c r="N1656" i="10"/>
  <c r="N1556" i="10"/>
  <c r="N1124" i="10"/>
  <c r="N1648" i="10"/>
  <c r="N1628" i="10"/>
  <c r="N1440" i="10"/>
  <c r="N600" i="10"/>
  <c r="N1720" i="10"/>
  <c r="N996" i="10"/>
  <c r="N536" i="10"/>
  <c r="N1184" i="10"/>
  <c r="N1100" i="10"/>
  <c r="M210" i="10"/>
  <c r="N1400" i="10"/>
  <c r="M1720" i="10"/>
  <c r="N1947" i="10"/>
  <c r="N1923" i="10"/>
  <c r="N1855" i="10"/>
  <c r="N1831" i="10"/>
  <c r="N1787" i="10"/>
  <c r="N1655" i="10"/>
  <c r="N1647" i="10"/>
  <c r="N1599" i="10"/>
  <c r="N1575" i="10"/>
  <c r="N1571" i="10"/>
  <c r="N1515" i="10"/>
  <c r="N1499" i="10"/>
  <c r="N1491" i="10"/>
  <c r="N1407" i="10"/>
  <c r="N1171" i="10"/>
  <c r="N1127" i="10"/>
  <c r="N1119" i="10"/>
  <c r="N1063" i="10"/>
  <c r="N1031" i="10"/>
  <c r="N1015" i="10"/>
  <c r="N779" i="10"/>
  <c r="N547" i="10"/>
  <c r="N543" i="10"/>
  <c r="N471" i="10"/>
  <c r="N363" i="10"/>
  <c r="N359" i="10"/>
  <c r="N351" i="10"/>
  <c r="N31" i="10"/>
  <c r="N7" i="10"/>
  <c r="N1946" i="10"/>
  <c r="N1838" i="10"/>
  <c r="N1822" i="10"/>
  <c r="N1818" i="10"/>
  <c r="N1786" i="10"/>
  <c r="N1750" i="10"/>
  <c r="N1718" i="10"/>
  <c r="N1682" i="10"/>
  <c r="N1654" i="10"/>
  <c r="N1634" i="10"/>
  <c r="N1594" i="10"/>
  <c r="N1566" i="10"/>
  <c r="N1418" i="10"/>
  <c r="N1146" i="10"/>
  <c r="N1090" i="10"/>
  <c r="N1070" i="10"/>
  <c r="N1022" i="10"/>
  <c r="N998" i="10"/>
  <c r="N810" i="10"/>
  <c r="N518" i="10"/>
  <c r="N470" i="10"/>
  <c r="N362" i="10"/>
  <c r="N338" i="10"/>
  <c r="N326" i="10"/>
  <c r="N210" i="10"/>
  <c r="N134" i="10"/>
  <c r="N126" i="10"/>
  <c r="N102" i="10"/>
  <c r="N1508" i="10"/>
  <c r="N1248" i="10"/>
  <c r="N1825" i="10"/>
  <c r="N1809" i="10"/>
  <c r="N1745" i="10"/>
  <c r="N1713" i="10"/>
  <c r="N1657" i="10"/>
  <c r="N1629" i="10"/>
  <c r="N1621" i="10"/>
  <c r="N1593" i="10"/>
  <c r="N1585" i="10"/>
  <c r="N1513" i="10"/>
  <c r="N1501" i="10"/>
  <c r="N1489" i="10"/>
  <c r="N1253" i="10"/>
  <c r="N1245" i="10"/>
  <c r="N1153" i="10"/>
  <c r="N1133" i="10"/>
  <c r="N1101" i="10"/>
  <c r="N1009" i="10"/>
  <c r="N945" i="10"/>
  <c r="N773" i="10"/>
  <c r="N521" i="10"/>
  <c r="N509" i="10"/>
  <c r="N473" i="10"/>
  <c r="N369" i="10"/>
  <c r="N125" i="10"/>
  <c r="N57" i="10"/>
  <c r="N1652" i="10"/>
  <c r="L1" i="10"/>
  <c r="K1" i="10"/>
  <c r="M1640" i="10"/>
  <c r="M1688" i="10"/>
  <c r="M1191" i="10"/>
  <c r="I1" i="10"/>
  <c r="G1" i="10"/>
  <c r="H1" i="10"/>
  <c r="H1814" i="9"/>
  <c r="H534" i="9"/>
  <c r="H1634" i="9"/>
  <c r="M1648" i="11" s="1" a="1"/>
  <c r="H1134" i="9"/>
  <c r="H1579" i="9"/>
  <c r="H1118" i="9"/>
  <c r="H471" i="9"/>
  <c r="H1391" i="9"/>
  <c r="H1396" i="9"/>
  <c r="H1126" i="9"/>
  <c r="H1399" i="9"/>
  <c r="H29" i="9"/>
  <c r="H348" i="9"/>
  <c r="H3" i="9"/>
  <c r="H659" i="9"/>
  <c r="M602" i="11" s="1" a="1"/>
  <c r="N1" i="11" s="1"/>
  <c r="H781" i="9"/>
  <c r="M779" i="11" s="1" a="1"/>
  <c r="H1164" i="9"/>
  <c r="H1641" i="9"/>
  <c r="M1657" i="11" s="1" a="1"/>
  <c r="H1117" i="9"/>
  <c r="P1" i="11" l="1"/>
  <c r="O4" i="11"/>
  <c r="O1" i="11" s="1"/>
  <c r="M1" i="11"/>
  <c r="M1648" i="11"/>
  <c r="O1648" i="11" s="1"/>
  <c r="P1648" i="11"/>
  <c r="M1657" i="11"/>
  <c r="O1657" i="11" s="1"/>
  <c r="P1657" i="11"/>
  <c r="M779" i="11"/>
  <c r="O779" i="11" s="1"/>
  <c r="P779" i="11"/>
  <c r="M602" i="11"/>
  <c r="O602" i="11" s="1"/>
  <c r="P602" i="11"/>
  <c r="N1" i="10"/>
  <c r="F97" i="6"/>
  <c r="G97" i="6" s="1"/>
  <c r="G34" i="6"/>
  <c r="G11" i="3"/>
  <c r="G75" i="1"/>
  <c r="G7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<sst xmlns="http://schemas.openxmlformats.org/spreadsheetml/2006/main" count="25589" uniqueCount="2372">
  <si>
    <t>Fresh Stock Entries</t>
  </si>
  <si>
    <t>Warehouse:</t>
  </si>
  <si>
    <t/>
  </si>
  <si>
    <t>Floor:</t>
  </si>
  <si>
    <t>Submitted By:</t>
  </si>
  <si>
    <t>Submitted At:</t>
  </si>
  <si>
    <t>S.No</t>
  </si>
  <si>
    <t>Category (Group)</t>
  </si>
  <si>
    <t>Subcategory</t>
  </si>
  <si>
    <t>Item Description</t>
  </si>
  <si>
    <t>UOM (kg)</t>
  </si>
  <si>
    <t>Units</t>
  </si>
  <si>
    <t>Total Weight (kg)</t>
  </si>
  <si>
    <t>SEEDS</t>
  </si>
  <si>
    <t>CHIA</t>
  </si>
  <si>
    <t>BLACK CHIA SEEDS</t>
  </si>
  <si>
    <t>1.000</t>
  </si>
  <si>
    <t>CASHEW</t>
  </si>
  <si>
    <t>CASHEW - KERNEL</t>
  </si>
  <si>
    <t>CASHEW 320</t>
  </si>
  <si>
    <t>FLAX</t>
  </si>
  <si>
    <t>FLAX SEEDS (ALSI)</t>
  </si>
  <si>
    <t>MISCELLANEOUS - RM</t>
  </si>
  <si>
    <t>FLOUR</t>
  </si>
  <si>
    <t>RICE ATTA</t>
  </si>
  <si>
    <t>OTHER MISC</t>
  </si>
  <si>
    <t>SUGAR POWDER</t>
  </si>
  <si>
    <t>WATERMELON</t>
  </si>
  <si>
    <t>WATER MELON SEED</t>
  </si>
  <si>
    <t>PUMPKIN</t>
  </si>
  <si>
    <t>PUMPKIN SEED ( 5% )</t>
  </si>
  <si>
    <t>SUNFLOWER</t>
  </si>
  <si>
    <t>SUNFLOWER SEEDS</t>
  </si>
  <si>
    <t>TAJIR</t>
  </si>
  <si>
    <t>TAJIR - OTHER</t>
  </si>
  <si>
    <t>MAIZE STARCH</t>
  </si>
  <si>
    <t>ALMOND</t>
  </si>
  <si>
    <t>ALMOND - KERNELS</t>
  </si>
  <si>
    <t>AMERICAN ALMONDS RUNNING 25-27 COUNT</t>
  </si>
  <si>
    <t>WHEAT ATTA</t>
  </si>
  <si>
    <t>PISTA</t>
  </si>
  <si>
    <t>PISTA - INSHELL</t>
  </si>
  <si>
    <t>CALIFORNIA PISTA INSHELL</t>
  </si>
  <si>
    <t>RAISIN</t>
  </si>
  <si>
    <t>RAISIN - BLACK</t>
  </si>
  <si>
    <t>AFGHAN BLACK RAISINS SEEDLESS 1*2</t>
  </si>
  <si>
    <t>CARNIVAL ALMONDS 250 GM</t>
  </si>
  <si>
    <t>0.250</t>
  </si>
  <si>
    <t>PISTA - KERNEL</t>
  </si>
  <si>
    <t>PISTA MAGAZ SPLIT CALIFORNIA</t>
  </si>
  <si>
    <t>DATES</t>
  </si>
  <si>
    <t>SEEDLESS</t>
  </si>
  <si>
    <t>AL BARAKAH PREMIUM SEEDLESS DATES 500G</t>
  </si>
  <si>
    <t>0.500</t>
  </si>
  <si>
    <t>CALIFORNIA PISTA INSHELL ROASTED AND SALTED</t>
  </si>
  <si>
    <t>7.00</t>
  </si>
  <si>
    <t>EMIRATES</t>
  </si>
  <si>
    <t>AL BARAKAH PREMIUM EMIRATES DATES 500G</t>
  </si>
  <si>
    <t>NACHNI ATTA</t>
  </si>
  <si>
    <t>CITRIC ACID</t>
  </si>
  <si>
    <t>25.00</t>
  </si>
  <si>
    <t>SEASONING</t>
  </si>
  <si>
    <t>BARBEQUE SEASONING</t>
  </si>
  <si>
    <t>SUNFLOWER OIL</t>
  </si>
  <si>
    <t>PALM OIL</t>
  </si>
  <si>
    <t>GLUCOSE SYRUP / LIQUID GLUCOSE</t>
  </si>
  <si>
    <t>SALT</t>
  </si>
  <si>
    <t>REFINED FINE POWDER IODIZED SALT PRIME - TPL</t>
  </si>
  <si>
    <t>CHATPATA SEASONING</t>
  </si>
  <si>
    <t>CORN GRITS / MEAL</t>
  </si>
  <si>
    <t>TRAIL MIX</t>
  </si>
  <si>
    <t>NUTS &amp; SEED MIX</t>
  </si>
  <si>
    <t>SAYER</t>
  </si>
  <si>
    <t>PL CLASSIC DATES 500G</t>
  </si>
  <si>
    <t>CASHEW - BROKEN</t>
  </si>
  <si>
    <t>CASHEW TUKDA</t>
  </si>
  <si>
    <t>CASHEW 400</t>
  </si>
  <si>
    <t>CASHEW 240</t>
  </si>
  <si>
    <t>CANOLA OIL</t>
  </si>
  <si>
    <t>APRICOT</t>
  </si>
  <si>
    <t>APRICOT - TURKEY</t>
  </si>
  <si>
    <t>TURKEY APRICOT NO 3</t>
  </si>
  <si>
    <t>HEALTHY CHOICE ROASTED SUNFLOWER SEEDS 200 G</t>
  </si>
  <si>
    <t>0.200</t>
  </si>
  <si>
    <t>RAISIN - INDIAN</t>
  </si>
  <si>
    <t>INDIAN GREEN RAISINS</t>
  </si>
  <si>
    <t>HEALTHY CHOICE ROASTED PUMPKIN SEEDS 200 G</t>
  </si>
  <si>
    <t>HEALTHY CHOICE ROASTED PUMPKIN SEEDS 100 G</t>
  </si>
  <si>
    <t>0.100</t>
  </si>
  <si>
    <t>TOTAL</t>
  </si>
  <si>
    <t>Category</t>
  </si>
  <si>
    <t>Description</t>
  </si>
  <si>
    <t>Package Size (kg)</t>
  </si>
  <si>
    <t>Date Submitted</t>
  </si>
  <si>
    <t>Submitted By</t>
  </si>
  <si>
    <t>LIME CHILLI SEASONING</t>
  </si>
  <si>
    <t>2/22/2026, 8:18:55 PM</t>
  </si>
  <si>
    <t>RAJUPAIKRAO</t>
  </si>
  <si>
    <t>URBAN PLATTER CHIPOTLE SEASONING</t>
  </si>
  <si>
    <t>SMOKED ALMONDS</t>
  </si>
  <si>
    <t>PREMIUM NUTS</t>
  </si>
  <si>
    <t>PECAN NUTS</t>
  </si>
  <si>
    <t>PECANS NUTS INSHELL</t>
  </si>
  <si>
    <t>GENERAL</t>
  </si>
  <si>
    <t>OTHER</t>
  </si>
  <si>
    <t>KOKAM PHOOL</t>
  </si>
  <si>
    <t>CRUNCHY CARAMEL TRAIL MIX</t>
  </si>
  <si>
    <t>BLUEBERRY</t>
  </si>
  <si>
    <t>BLUEBERRY - PLAIN</t>
  </si>
  <si>
    <t>DRIED BLUEBERRY</t>
  </si>
  <si>
    <t>PURE MAPLE SYRUP</t>
  </si>
  <si>
    <t>DEHYDRATED FRUITS</t>
  </si>
  <si>
    <t>DF - ORANGE</t>
  </si>
  <si>
    <t>DRIED ORANGE PEEL</t>
  </si>
  <si>
    <t>DF - MANGO</t>
  </si>
  <si>
    <t>DEHYDRATED MANGO</t>
  </si>
  <si>
    <t>COCOA POWDER</t>
  </si>
  <si>
    <t>CHILLI POWDER</t>
  </si>
  <si>
    <t>DF - GINGER</t>
  </si>
  <si>
    <t>DRIED GINGER POWDER - SAUNTH POWDER</t>
  </si>
  <si>
    <t>COCKTAIL MIX</t>
  </si>
  <si>
    <t>PISTA KERNEL</t>
  </si>
  <si>
    <t>CHIPOTLE HONEY SEASONING</t>
  </si>
  <si>
    <t>TANDOORI SEASONING</t>
  </si>
  <si>
    <t>PRUNES</t>
  </si>
  <si>
    <t>PRUNES - PITTED</t>
  </si>
  <si>
    <t>DRIED PRUNES (PITTED)</t>
  </si>
  <si>
    <t>SMOKEY BBQ SEASONING</t>
  </si>
  <si>
    <t>PIZZA SEASONING</t>
  </si>
  <si>
    <t>CHILLI GARLIC MASALA SEASONING</t>
  </si>
  <si>
    <t>ORANGE PEEL</t>
  </si>
  <si>
    <t>ALMOND - BROKEN</t>
  </si>
  <si>
    <t>ALMONDS KERNEL CUBE CUT</t>
  </si>
  <si>
    <t>CASHEW KERNEL</t>
  </si>
  <si>
    <t>ALMOND BLANCHED, WHOLE</t>
  </si>
  <si>
    <t>HEMP</t>
  </si>
  <si>
    <t>HEMP SEEDS</t>
  </si>
  <si>
    <t>RAISIN - SHANDUKHANI</t>
  </si>
  <si>
    <t>AFGHAN SHANDUKHANI GREEN RAISINS</t>
  </si>
  <si>
    <t>CRANBERRY</t>
  </si>
  <si>
    <t>CRANBERRY - WHOLE</t>
  </si>
  <si>
    <t>CHATPATA CRANBERRY</t>
  </si>
  <si>
    <t>WALNUT</t>
  </si>
  <si>
    <t>WALNUT - KERNEL</t>
  </si>
  <si>
    <t>EZ WALNUT WHOLE LOOSE</t>
  </si>
  <si>
    <t>RAISIN - ABJOSH</t>
  </si>
  <si>
    <t>AFGHAN MUNAKKA / ABJOSH 1X2</t>
  </si>
  <si>
    <t>AMERICAN ALMOND DOUBLE TONCH</t>
  </si>
  <si>
    <t>WASABI SEASONING  AB343</t>
  </si>
  <si>
    <t>MACADAMIA NUTS</t>
  </si>
  <si>
    <t>MACADAMIA COMMERCIAL GRADE STYLE 4L</t>
  </si>
  <si>
    <t>DF - PINEAPPLE</t>
  </si>
  <si>
    <t>DRIED PINEAPPLE</t>
  </si>
  <si>
    <t>CALIFORNIA PISTA INSHELL JUMBO</t>
  </si>
  <si>
    <t>PERI PERI MARINATION SEASONING</t>
  </si>
  <si>
    <t>DF - BERRIES</t>
  </si>
  <si>
    <t>DRIED GOJI BERRY</t>
  </si>
  <si>
    <t>CRANBERRY - SLICED</t>
  </si>
  <si>
    <t>CRANBERRY SLICE APPLE INFUSED</t>
  </si>
  <si>
    <t>COATING MIX</t>
  </si>
  <si>
    <t>DRIED MANGO POWDER - AMCHUR</t>
  </si>
  <si>
    <t>MACADAMIA ROASTED - SIZE 4L</t>
  </si>
  <si>
    <t>PAAN SEASONING AB319</t>
  </si>
  <si>
    <t>SOUR CREAM AND ONION SEASONING</t>
  </si>
  <si>
    <t>MACADAMIA KERNEL ( KG )</t>
  </si>
  <si>
    <t>MACADAMIA ROASTED - SIZE 6</t>
  </si>
  <si>
    <t>MACADAMIA ROASTED - SIZE 4</t>
  </si>
  <si>
    <t>URBAN PLATTER SOYA CHAAP SEASONING</t>
  </si>
  <si>
    <t>BLACK PEPPER POWDER</t>
  </si>
  <si>
    <t>SWEET THAI CHILLI SEASONING</t>
  </si>
  <si>
    <t>PUDINA SEASONING</t>
  </si>
  <si>
    <t>BLUEBERRY - APPLE INFUSED</t>
  </si>
  <si>
    <t>DRIED BLUEBERRY APPLE INFUSED</t>
  </si>
  <si>
    <t>DARK COMPOUND CHIPS</t>
  </si>
  <si>
    <t>BLACK SALT, KALA NAMAK - CRYSTAL</t>
  </si>
  <si>
    <t>CHAT MASALA MDH</t>
  </si>
  <si>
    <t>DRY DATES</t>
  </si>
  <si>
    <t>DRY DATES-GRADE 2</t>
  </si>
  <si>
    <t>AMERICAN ALMONDS KERNAL SANORA</t>
  </si>
  <si>
    <t>BLACKCURRANT</t>
  </si>
  <si>
    <t>DRIED BLACKCURRANT</t>
  </si>
  <si>
    <t>GREEK DARK SEEDLESS RAISINS (BLACK CURRANT)</t>
  </si>
  <si>
    <t>PISTA - IRANI</t>
  </si>
  <si>
    <t>PISTA IRANI INSHELL ROASTED AND SALTED</t>
  </si>
  <si>
    <t>LEMON PEPPER SEASONING</t>
  </si>
  <si>
    <t>MAGIC MASALA SEASONING</t>
  </si>
  <si>
    <t>PINK SALT.</t>
  </si>
  <si>
    <t>CHEESY TOMATO SEASONING 2 (PR01895/001)</t>
  </si>
  <si>
    <t>URBAN PLATTER ARABIC GUM POWDER</t>
  </si>
  <si>
    <t>DRIED CRANBERRY WHOLE</t>
  </si>
  <si>
    <t>SYRUP</t>
  </si>
  <si>
    <t>AL BARAKAH DATES SYRUP (400G PACKING)</t>
  </si>
  <si>
    <t>0.400</t>
  </si>
  <si>
    <t>PREGEFLO C100</t>
  </si>
  <si>
    <t>SIDCOT STARCH</t>
  </si>
  <si>
    <t>DRIED CRANBERRY SLICED</t>
  </si>
  <si>
    <t>WALNUT - BROKEN</t>
  </si>
  <si>
    <t>WALNUT TUKDA</t>
  </si>
  <si>
    <t>ANARDANA POWDER</t>
  </si>
  <si>
    <t>ORANGE SLICE / PIECES</t>
  </si>
  <si>
    <t>NASURE 19</t>
  </si>
  <si>
    <t>ANARDANA CHURAN</t>
  </si>
  <si>
    <t>POWDER</t>
  </si>
  <si>
    <t>10KG AL BARAKAH DATE POWDER V2</t>
  </si>
  <si>
    <t>AL BARAKAH DATE SYRUP(1.15KG X 12)</t>
  </si>
  <si>
    <t>1.150</t>
  </si>
  <si>
    <t>HAZELNUTS</t>
  </si>
  <si>
    <t>HAZELNUT KERNAL</t>
  </si>
  <si>
    <t>PEANUTS</t>
  </si>
  <si>
    <t>PEANUT - WHOLE</t>
  </si>
  <si>
    <t>ROASTED BLANCHED PEANUT WHOLE</t>
  </si>
  <si>
    <t>PEANUT - COATED</t>
  </si>
  <si>
    <t>COATED PEANUT BASE</t>
  </si>
  <si>
    <t>SUNFLOWER SEEDS ROASTED</t>
  </si>
  <si>
    <t>PUMPKIN SEEDS ROASTED</t>
  </si>
  <si>
    <t>ROASTED &amp; SALTED ALMONDS</t>
  </si>
  <si>
    <t>BLACK PEPPER CASHEW</t>
  </si>
  <si>
    <t>BREAKFAST MIX BULK</t>
  </si>
  <si>
    <t>ROASTED &amp; SALTED CASHEW</t>
  </si>
  <si>
    <t>BLACK PEPPER SEASONING</t>
  </si>
  <si>
    <t>PISTA KERNAL ROASTED AND SALTED</t>
  </si>
  <si>
    <t>Off Grade/Rejection Entries</t>
  </si>
  <si>
    <t>KRACK NUT COATED PEANUTS TANDOORI TOOFAN 1 KG</t>
  </si>
  <si>
    <t>32.00</t>
  </si>
  <si>
    <t>Off Grade Rejection - A185 - COLD</t>
  </si>
  <si>
    <t>19.80</t>
  </si>
  <si>
    <t>TOTAL:</t>
  </si>
  <si>
    <t>WATERMELON SEEDS ROASTED</t>
  </si>
  <si>
    <t>AL BARAKAH PREMIUM EMIRATE DATE SEEDLESS 500GM</t>
  </si>
  <si>
    <t>KHALAS</t>
  </si>
  <si>
    <t>HEALTHY CHOICE CHIA SEEDS 200 G</t>
  </si>
  <si>
    <t>HEALTHY CHOICE ROASTED WATERMELON SEEDS 200 G</t>
  </si>
  <si>
    <t>HEALTHY CHOICE ROASTED WATERMELON SEEDS 100 G</t>
  </si>
  <si>
    <t>PREMIA BREAKFAST MIX 100G (100005226)</t>
  </si>
  <si>
    <t>PREMIA NUTS &amp; SEEDS MIX 100G (100005422)</t>
  </si>
  <si>
    <t>PREMIA TRAIL MIX 100G (100005227)</t>
  </si>
  <si>
    <t>PREMIA PRUNES 100GM</t>
  </si>
  <si>
    <t>DRIED CRANBERRY 100GM</t>
  </si>
  <si>
    <t>DRIED BLUEBERRY 100GM</t>
  </si>
  <si>
    <t>QWIKSNAX CRANBERRIES CHTPTA MIX-30G</t>
  </si>
  <si>
    <t>0.030</t>
  </si>
  <si>
    <t>QWIKSNAX ALMONDS &amp; CASHEWS MIX-25G</t>
  </si>
  <si>
    <t>0.025</t>
  </si>
  <si>
    <t>ROYAL TRADITON SNACK MASALA MIX 100G</t>
  </si>
  <si>
    <t>PREMIA CASHEW SALTED 100 GM</t>
  </si>
  <si>
    <t>PREMIA CASHEW BLACK PEPPER 100 GM</t>
  </si>
  <si>
    <t>PREMIA ALMOND SALTED 100 GM</t>
  </si>
  <si>
    <t>PREMIA ALMONDS SMOKD-100G</t>
  </si>
  <si>
    <t>PREMIA CHATPATA CRANBERRY 100GM</t>
  </si>
  <si>
    <t>HEALTHY CHOICE ROASTED SUNFLOWER SEEDS 100 G</t>
  </si>
  <si>
    <t>GOOD LIFE ALMOND 500 G PP</t>
  </si>
  <si>
    <t>HEALTHY CHOICE CHIA SEEDS 100 G</t>
  </si>
  <si>
    <t>HEALTHY CHOICE 5 IN 1 SEEDS MIX BULK</t>
  </si>
  <si>
    <t>TRAIL MIX BULK</t>
  </si>
  <si>
    <t>ANTIOXIDANT MIX 33GM</t>
  </si>
  <si>
    <t>0.033</t>
  </si>
  <si>
    <t>SEEDY SHEID- LIME CHILLY 33GM</t>
  </si>
  <si>
    <t>BOOSTER BERRIES 33GM</t>
  </si>
  <si>
    <t>GREENDOT COATED PEANUTS</t>
  </si>
  <si>
    <t xml:space="preserve">SMOKEY BBQ COATED PEANUT </t>
  </si>
  <si>
    <t xml:space="preserve">TANGY THAI COATED PEANUT </t>
  </si>
  <si>
    <t>NIMBU PUDINA MAKHANA</t>
  </si>
  <si>
    <t>PERI PERI MAKHANA</t>
  </si>
  <si>
    <t>TIKKA MASALA MAKHANA</t>
  </si>
  <si>
    <t>HIMALAYAN SALT MAKHANA</t>
  </si>
  <si>
    <t>MAKHANA</t>
  </si>
  <si>
    <t>MAKHANA - SUTA</t>
  </si>
  <si>
    <t>CHEESE MAKHANA</t>
  </si>
  <si>
    <t>CHATPATA SNACK MIX</t>
  </si>
  <si>
    <t>PIZZA FLAVOURED COATED PEANUTS</t>
  </si>
  <si>
    <t>MEXICAN FLAVOURED COATED PEANUTS</t>
  </si>
  <si>
    <t>CHEESE TOMATO FLAVOURED COATED PEANUTS</t>
  </si>
  <si>
    <t>KRACK NUT COATED PEANUTS THAI FIRANGI 1 KG</t>
  </si>
  <si>
    <t>PUDINA COATED KRACKNUT</t>
  </si>
  <si>
    <t>PLAIN COATED PEANUTS</t>
  </si>
  <si>
    <t>829.94</t>
  </si>
  <si>
    <t>Qty Changed</t>
  </si>
  <si>
    <t>Cocktail Mix</t>
  </si>
  <si>
    <t>Missing Item Added</t>
  </si>
  <si>
    <t xml:space="preserve">wrong qty entred </t>
  </si>
  <si>
    <t>All Ok.. With Changes</t>
  </si>
  <si>
    <t>122 kg</t>
  </si>
  <si>
    <t xml:space="preserve"> 2 kg only</t>
  </si>
  <si>
    <t>Please Change Add- Chilli Garlic Seassoning</t>
  </si>
  <si>
    <t>Please Remove This… This in  Service Material - 125 kg Recived And 115 Kg Was Dispatch To The Customer</t>
  </si>
  <si>
    <t>Black Raisin Seedless</t>
  </si>
  <si>
    <t>Addedd 60+48 kg witch is missing</t>
  </si>
  <si>
    <t>Missing Item</t>
  </si>
  <si>
    <t xml:space="preserve">this is classic Date </t>
  </si>
  <si>
    <t>Missing Qty</t>
  </si>
  <si>
    <t>Sr. No.</t>
  </si>
  <si>
    <t xml:space="preserve">ITEM </t>
  </si>
  <si>
    <t>FG/RM</t>
  </si>
  <si>
    <t>GROUP</t>
  </si>
  <si>
    <t>Sub-Group</t>
  </si>
  <si>
    <t>PACK SIZE</t>
  </si>
  <si>
    <t>Almond Blanched Sliced</t>
  </si>
  <si>
    <t>RM</t>
  </si>
  <si>
    <t>Almond - Broken</t>
  </si>
  <si>
    <t>Almond Powder</t>
  </si>
  <si>
    <t>Almond Sliced</t>
  </si>
  <si>
    <t>Almonds Kernel Cube Cut</t>
  </si>
  <si>
    <t>American Almonds Tukda</t>
  </si>
  <si>
    <t>BLANCHED ALMOND FLOUR</t>
  </si>
  <si>
    <t>Diced Almond</t>
  </si>
  <si>
    <t>Slivered Almonds</t>
  </si>
  <si>
    <t>AUSTRALIAN ALMOND INSHELL</t>
  </si>
  <si>
    <t>Almond - Inshell</t>
  </si>
  <si>
    <t>California Inshell Almonds</t>
  </si>
  <si>
    <t>Independent Almond Inshell</t>
  </si>
  <si>
    <t>Almond Blanched, whole</t>
  </si>
  <si>
    <t>Almond - Kernels</t>
  </si>
  <si>
    <t>Almond Kernel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</si>
  <si>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</si>
  <si>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</si>
  <si>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</si>
  <si>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</si>
  <si>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</si>
  <si>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</si>
  <si>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</si>
  <si>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</si>
  <si>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</si>
  <si>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</si>
  <si>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</si>
  <si>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</si>
  <si>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</si>
  <si>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[28-30 Count]</t>
  </si>
  <si>
    <t>American Almonds Running 25-27 count</t>
  </si>
  <si>
    <t>American Almonds Special</t>
  </si>
  <si>
    <t>American Almonds Tonch</t>
  </si>
  <si>
    <t>Honey Roast Almonds</t>
  </si>
  <si>
    <t>Independence Almonds</t>
  </si>
  <si>
    <t>Almond Mamra Touch</t>
  </si>
  <si>
    <t>Almond - Mamra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</si>
  <si>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</si>
  <si>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</si>
  <si>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</si>
  <si>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</si>
  <si>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</si>
  <si>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</si>
  <si>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</si>
  <si>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</si>
  <si>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</si>
  <si>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OFF-GRADE ALMOND</t>
  </si>
  <si>
    <t>Off-Grade</t>
  </si>
  <si>
    <t>Almond Flavoured Cajun Loose</t>
  </si>
  <si>
    <t>FG</t>
  </si>
  <si>
    <t>Almond Flavoured Smoked Paprika Loose</t>
  </si>
  <si>
    <t>Almond Kernal 150gm</t>
  </si>
  <si>
    <t>Almond Kernal 450gm</t>
  </si>
  <si>
    <t>Almond Masala</t>
  </si>
  <si>
    <t>Almond Peri Peri</t>
  </si>
  <si>
    <t>Almond Plain 75gm</t>
  </si>
  <si>
    <t>Almond Roasted</t>
  </si>
  <si>
    <t>Almond Selected 230g</t>
  </si>
  <si>
    <t>Almonds Halves Loose</t>
  </si>
  <si>
    <t>Barbeque Almonds</t>
  </si>
  <si>
    <t>Black Pepper Almonds</t>
  </si>
  <si>
    <t>CA PREMIUM ALMOND CALIFORNIA 218GM/P</t>
  </si>
  <si>
    <t>Cafe Galleries American Almond 25-27count - 250gm</t>
  </si>
  <si>
    <t>Cafe Galleries Selected American Almond 18 count - 250gm</t>
  </si>
  <si>
    <t>Cafe Galleries Selected American Almond 20-22 count - 250gm</t>
  </si>
  <si>
    <t>Carnial Almond Dragees 100gm</t>
  </si>
  <si>
    <t>Carnival Almond Smoked Paprika 100g</t>
  </si>
  <si>
    <t>Carnival Almond Smoked Paprika 200g</t>
  </si>
  <si>
    <t>Carnival Almonds - Indepance 200g Mono Carton</t>
  </si>
  <si>
    <t>Carnival Almonds - Independence 200g</t>
  </si>
  <si>
    <t>Carnival Almonds 250 Gm</t>
  </si>
  <si>
    <t>Carnival Almonds Independence 1Kg</t>
  </si>
  <si>
    <t>Carnival California Almonds Independence 1kg</t>
  </si>
  <si>
    <t>Carnival Classic Almonds 100g</t>
  </si>
  <si>
    <t>Carnival Classic Almonds 250g</t>
  </si>
  <si>
    <t>Carnival Festive Almonds (27-28 count) 100gm</t>
  </si>
  <si>
    <t>Carnival Festive Almonds (27-28 count) 125gm</t>
  </si>
  <si>
    <t>Carnival Festive Almonds (27-28 count) 150gm</t>
  </si>
  <si>
    <t>Carnival Festive Almonds (27-28 count) 200gm</t>
  </si>
  <si>
    <t>Carnival Festive Salted Almonds (27-28 count) 100gm</t>
  </si>
  <si>
    <t>Carnival Festive Salted Almonds (27-28 count) 150gm</t>
  </si>
  <si>
    <t>Carnival Festive Salted Almonds (27-28 Count) 230gm</t>
  </si>
  <si>
    <t>Carnival Festive Salted Almonds (27-28 count) 80gm</t>
  </si>
  <si>
    <t>Carnival Honey Roasted Almonds 100G</t>
  </si>
  <si>
    <t>Carnival Honey Roasted Almonds 230G</t>
  </si>
  <si>
    <t>Carnival Pudina Almonds 125g</t>
  </si>
  <si>
    <t>Carnival Roasted &amp; Salted Almonds 100g</t>
  </si>
  <si>
    <t>Carnival Roasted &amp; Salted Almonds 230g</t>
  </si>
  <si>
    <t>Carnival Roasted &amp; Salted Almonds 250g</t>
  </si>
  <si>
    <t>Carnival Smoked Almonds 100gm</t>
  </si>
  <si>
    <t>Carnival Smoked Almonds 200g</t>
  </si>
  <si>
    <t>Chat Almonds</t>
  </si>
  <si>
    <t>Chilli Almonds Bulk</t>
  </si>
  <si>
    <t>Cinnamon Glazed Almond</t>
  </si>
  <si>
    <t>Cocoa Glazed Almonds</t>
  </si>
  <si>
    <t>Dark Almond Draggies</t>
  </si>
  <si>
    <t>DCC Almonds</t>
  </si>
  <si>
    <t>Drangees Dark Almond</t>
  </si>
  <si>
    <t>Ez Almond California Bold Loose</t>
  </si>
  <si>
    <t>Ez Almond California Regular Loose</t>
  </si>
  <si>
    <t>Ez Almond Mammra Regular Loose</t>
  </si>
  <si>
    <t>Ez Almond Rstd Salted Loose</t>
  </si>
  <si>
    <t>FABSTA ALMOND 100G</t>
  </si>
  <si>
    <t>FABSTA ALMOND 1KG</t>
  </si>
  <si>
    <t>FABSTA ALMOND 200G</t>
  </si>
  <si>
    <t>FABSTA ALMOND 500G</t>
  </si>
  <si>
    <t>FABSTA ALMOND REGULAR 100G</t>
  </si>
  <si>
    <t>FABSTA ALMOND REGULAR 200G</t>
  </si>
  <si>
    <t>FABSTA ALMOND REGULAR 500G</t>
  </si>
  <si>
    <t>FNP Almonds 26-29 - Salted &amp; Roasted 50 gm</t>
  </si>
  <si>
    <t>FNP Choco Almonds 50gm</t>
  </si>
  <si>
    <t>FNP Fiery Almonds Sizzlin Peri Peri 50gm</t>
  </si>
  <si>
    <t>FNP Smokin Sweet N Smoky BBQ Almond 50gm</t>
  </si>
  <si>
    <t>GOOD LIFE ALMOND 100 g PP</t>
  </si>
  <si>
    <t>GOOD LIFE ALMOND 200 g PP</t>
  </si>
  <si>
    <t>GOOD LIFE ALMOND 500 g PP</t>
  </si>
  <si>
    <t>Ha Almond Mamro 250g (1340532)</t>
  </si>
  <si>
    <t>Ha Almond Mamro 500g (1350928)</t>
  </si>
  <si>
    <t>Kesar Almonds</t>
  </si>
  <si>
    <t>Mild Chilly Glazed Almonds</t>
  </si>
  <si>
    <t>Milk Almond Draggies</t>
  </si>
  <si>
    <t>NATAPURE Almond 200g</t>
  </si>
  <si>
    <t>NATAPURE Roasted Almonds 175gms</t>
  </si>
  <si>
    <t>Natures Almond Reg 500 Gm ( 1411652 )</t>
  </si>
  <si>
    <t>Natures Almonds Reg 200 Gm (1411651)</t>
  </si>
  <si>
    <t>Natures American Almond 100g (1340528)</t>
  </si>
  <si>
    <t>Natures American Almond 250g (1340524)</t>
  </si>
  <si>
    <t>Natures American Almond 500g (1350926)</t>
  </si>
  <si>
    <t>Natures American Almonds 1 KG (1416275)</t>
  </si>
  <si>
    <t>NB AMERICAN ALMOND LOOSE</t>
  </si>
  <si>
    <t>NB AMERICAN ALMOND SELECTED LOOSE</t>
  </si>
  <si>
    <t>NB BARBEQUE ALMOND LOOSE</t>
  </si>
  <si>
    <t>NB HONEY ROAST ALMOND LOOSE</t>
  </si>
  <si>
    <t>NB ROASTED &amp; SALTED ALMOND LOOSE</t>
  </si>
  <si>
    <t>NB SMOKED ALMOND LOOSE</t>
  </si>
  <si>
    <t>Pink Salt Almonds Bulk</t>
  </si>
  <si>
    <t>Plain Almonds 75gm</t>
  </si>
  <si>
    <t>Premia Almond Salted 100 Gm</t>
  </si>
  <si>
    <t>Roasted &amp; Salted Almonds</t>
  </si>
  <si>
    <t>Roasted &amp; Salted Almonds 140g</t>
  </si>
  <si>
    <t>Roasted &amp; Salted Almonds 75g</t>
  </si>
  <si>
    <t>Roasted &amp; Salted Almonds 90g</t>
  </si>
  <si>
    <t>Roasted &amp; Salted Almonds Bulk</t>
  </si>
  <si>
    <t>Roasted Independence Almonds Bulk</t>
  </si>
  <si>
    <t>Royal Traditions Almond 100g</t>
  </si>
  <si>
    <t>Royal Traditions Almonds Salted 100g</t>
  </si>
  <si>
    <t>Smoked Almonds</t>
  </si>
  <si>
    <t>Smoked Almonds Bulk</t>
  </si>
  <si>
    <t>SnackAmor Roasted Salted Almonds 170g</t>
  </si>
  <si>
    <t>Snackania American Almonds 480g</t>
  </si>
  <si>
    <t>Solimo Preimum Almonds 1kg (B01LPY9P2I) - FBA</t>
  </si>
  <si>
    <t>Solimo Premium Almonds 250g ( B01LPY9XY8 )</t>
  </si>
  <si>
    <t>SPAR SELECT ALMONDS 500G</t>
  </si>
  <si>
    <t>Tasties Chilli Almonds - Flavourful &amp; Crunchy 75 g</t>
  </si>
  <si>
    <t>Tasties Roasted Almonds With Pink Salt - Flavourful &amp; Crunchy 75 g</t>
  </si>
  <si>
    <t>Tasties Smoked Almonds - Flavourful &amp; Crunchy 75 g</t>
  </si>
  <si>
    <t>Vedaka Almonds 100g (B07GQZ7ZTZ) FBA</t>
  </si>
  <si>
    <t>Vedaka Almonds 1kg (B07GQNM6N2)</t>
  </si>
  <si>
    <t>Vedaka Almonds 500g (B07GQNQNJG)</t>
  </si>
  <si>
    <t>Vedaka Premium Roasted and Salted Almonds 200g B07GR346FM</t>
  </si>
  <si>
    <t>Vedaka Premium Roasted and Salted Almonds100g B07GQQJP1N</t>
  </si>
  <si>
    <t>White Almond Draggies</t>
  </si>
  <si>
    <t>CURATE MAMRA ALMOND 500G</t>
  </si>
  <si>
    <t>Curate Mamra Almonds 200g</t>
  </si>
  <si>
    <t>Curate Mamra Almonds 250g Jr</t>
  </si>
  <si>
    <t>Curate Mamra Almonds 600g Jr</t>
  </si>
  <si>
    <t>Ez Almond Mamra Regular Loose (1459019)</t>
  </si>
  <si>
    <t>HA ALMOND MAMRA 100g (1340535)</t>
  </si>
  <si>
    <t>NB MAMRA ALMOND CLASSIC LOOSE</t>
  </si>
  <si>
    <t>NB MAMRA ALMOND ROYAL LOOSE</t>
  </si>
  <si>
    <t xml:space="preserve">NB MAMRA ALMOND ROYAL LOOSE_x000D_
</t>
  </si>
  <si>
    <t>Anjeer (Figs)</t>
  </si>
  <si>
    <t>ANJEER</t>
  </si>
  <si>
    <t>Dried Figs</t>
  </si>
  <si>
    <t>Anjeer 1*1</t>
  </si>
  <si>
    <t>Anjeer 1*2</t>
  </si>
  <si>
    <t>Anjeer Chutta</t>
  </si>
  <si>
    <t>Anjeer Selected</t>
  </si>
  <si>
    <t>OFF-GRADE ANJEER</t>
  </si>
  <si>
    <t>Anjeer 1*2 75gm</t>
  </si>
  <si>
    <t>Cafe Galleries Anjeer 500g Big</t>
  </si>
  <si>
    <t>Carnival Anjeer Regular 400gm</t>
  </si>
  <si>
    <t>Carnival Classic Anjeer 250g</t>
  </si>
  <si>
    <t>Curate Anjeer 200g</t>
  </si>
  <si>
    <t>Curate Anjeer 250g Jr</t>
  </si>
  <si>
    <t>Dried Anjeer 200gm</t>
  </si>
  <si>
    <t>Ez Anjeer Big Loose (1459023)</t>
  </si>
  <si>
    <t>Ez Anjeer Small Loose</t>
  </si>
  <si>
    <t>Fabsta Anjeer 200gm</t>
  </si>
  <si>
    <t>Fabsta Figs Regular 500gm</t>
  </si>
  <si>
    <t>NATURES FIGS 250GM (1357008)</t>
  </si>
  <si>
    <t>NATURES FIGS 500G (1357009)</t>
  </si>
  <si>
    <t>NB ANJEER LARGE (SLW) LOOSE</t>
  </si>
  <si>
    <t>NB ANJEER SELECT (WHITE) LOOSE</t>
  </si>
  <si>
    <t>NB ANJEER SMALL (1X1W) LOOSE</t>
  </si>
  <si>
    <t>Solimo Figs 500g (B084429DVD) FBA</t>
  </si>
  <si>
    <t>Vedaka Dried Figs - 250g (B0D9NZ5GFV)</t>
  </si>
  <si>
    <t>Afghan Apricot 1*1</t>
  </si>
  <si>
    <t>Apricot - Afghan</t>
  </si>
  <si>
    <t>Afghan Apricot 1*2</t>
  </si>
  <si>
    <t>Afghan Apricot Selected</t>
  </si>
  <si>
    <t>Apricot Kernel</t>
  </si>
  <si>
    <t>Apricot - Kernel</t>
  </si>
  <si>
    <t>Turkey Apricot No 1</t>
  </si>
  <si>
    <t>Apricot - Turkey</t>
  </si>
  <si>
    <t>Turkey Apricot No 2</t>
  </si>
  <si>
    <t>Turkey Apricot No 3</t>
  </si>
  <si>
    <t>Turkey Apricot No. 0</t>
  </si>
  <si>
    <t>OFF-GRADE APRICOT</t>
  </si>
  <si>
    <t>Carnival Afghan Apricot 250gm</t>
  </si>
  <si>
    <t>Curate Apricot ( Jaradalu ) 550g Jr</t>
  </si>
  <si>
    <t>Curate Apricot ( Jardalu ) 250g Jr</t>
  </si>
  <si>
    <t>Ez Dried Apricot Loose</t>
  </si>
  <si>
    <t>FABSTA Apricots Dry 100gm</t>
  </si>
  <si>
    <t>FABSTA DRY APRICOT 200G</t>
  </si>
  <si>
    <t>HA APRICOT - JARDALOO 200g (1340540)</t>
  </si>
  <si>
    <t>NB APRICOT WHOLE DRIED LOOSE</t>
  </si>
  <si>
    <t>Snack Amor Dried Apricot 200g</t>
  </si>
  <si>
    <t>Solimo Premium Dried Apricots 500g 9B07PZWP8Z1</t>
  </si>
  <si>
    <t>Carnival Apricot Turkey 1x2 300gm</t>
  </si>
  <si>
    <t>Ez Khurmani Wet Apricot Loose (1459052)</t>
  </si>
  <si>
    <t>H Finest Turkey Appricot 300g(1340538)</t>
  </si>
  <si>
    <t>NB APRICOT SEEDLESS (TURKEY) DRIED LOOSE</t>
  </si>
  <si>
    <t>PL TURKEY APRICOTS 200G</t>
  </si>
  <si>
    <t>Vedaka Turkish Dried Apricots (500gm x 2) (B0D9P1DS9Q)</t>
  </si>
  <si>
    <t>3pcs date balls with blister</t>
  </si>
  <si>
    <t>BARS &amp; CEREALS</t>
  </si>
  <si>
    <t>Bites</t>
  </si>
  <si>
    <t>Carnival Almond Choco Bite (Dark Chocolate) 100g</t>
  </si>
  <si>
    <t>Carnival Almond Choco Bite (Milk Chocolate) 100g</t>
  </si>
  <si>
    <t>Carnival Almond Choco Bite (White Chocolate) 100g</t>
  </si>
  <si>
    <t>Carnival Classic Date Bites 357gm</t>
  </si>
  <si>
    <t>Classic Flavour Date Mewa 18gm</t>
  </si>
  <si>
    <t>Coconut Laddubar (Semi Finished)</t>
  </si>
  <si>
    <t>Coffe Date Bites (Semi)</t>
  </si>
  <si>
    <t>Coffee Laddoo 18gm</t>
  </si>
  <si>
    <t>Coffee Laddoo Semi Finished</t>
  </si>
  <si>
    <t>CURATE DATE BITES ASRTD RO/CA IND 420G</t>
  </si>
  <si>
    <t>CURATE DATE BITES COFFEE IND 210G</t>
  </si>
  <si>
    <t>CURATE DATE BITES IND 210G</t>
  </si>
  <si>
    <t>CURATE DATE BITES ROSE (Semi)- Not Use</t>
  </si>
  <si>
    <t>CURATE DATE BITES ROSE IND 210G</t>
  </si>
  <si>
    <t>CURATE DATE BITES ROSE IND 360G</t>
  </si>
  <si>
    <t>Date Bites Rose (Semi Finished)</t>
  </si>
  <si>
    <t>Date Bites Semi Finished</t>
  </si>
  <si>
    <t>Dates Mewa Classic (Semi)</t>
  </si>
  <si>
    <t>Dryfruit Instant Energy Laddubar Bites 9gm</t>
  </si>
  <si>
    <t>Energy Bars Oats and Dates (Semi Finished)</t>
  </si>
  <si>
    <t>Energy Bars Oats and Dates (Semi)</t>
  </si>
  <si>
    <t>Gondh Dryfruit Laddubar Semi Finished</t>
  </si>
  <si>
    <t>Milk Chocolate Coated Date Bites</t>
  </si>
  <si>
    <t>NOICE Choco Health Laddoo (18g*5)</t>
  </si>
  <si>
    <t>Noice Classic Flavour Date Mewa (Semi Finished)</t>
  </si>
  <si>
    <t>NOICE Date Bites (18g*5)</t>
  </si>
  <si>
    <t>On the Run Coffee Bite (Semi Finished)</t>
  </si>
  <si>
    <t>On the Run Coffee Bite 10g</t>
  </si>
  <si>
    <t>Ontherun Coffee Bite (Pack of 15x10g)</t>
  </si>
  <si>
    <t>Ontherun Coffee Bite (Pack of 6*10g)</t>
  </si>
  <si>
    <t>5 Grain Cereal 35gm</t>
  </si>
  <si>
    <t>Cereal</t>
  </si>
  <si>
    <t>5 Grain Cereal 50 GM</t>
  </si>
  <si>
    <t>ON THE RUN 5 Grain Cereal 300g - Original</t>
  </si>
  <si>
    <t>Planck Foods Multi Millet 5 GC puffs 210g</t>
  </si>
  <si>
    <t>Dark Chocolate Coated Macadamia 110g</t>
  </si>
  <si>
    <t>Chocolate</t>
  </si>
  <si>
    <t>CCD Energy Bar with Jaggery</t>
  </si>
  <si>
    <t>Energy Bars</t>
  </si>
  <si>
    <t>CCD Energy Bar with Jaggery Semi Finished</t>
  </si>
  <si>
    <t>Choco Crunch Energy Bar 38gm</t>
  </si>
  <si>
    <t>Cococart Almond &amp; Orange Dark Choco Date Bar 50gm</t>
  </si>
  <si>
    <t>Cococart Fruit &amp; Nut Date Bar 50gm</t>
  </si>
  <si>
    <t>Cococart Raspberry Almond Dark Choco Date Bar 50gm</t>
  </si>
  <si>
    <t>Coconut Laddubar Mini 9g</t>
  </si>
  <si>
    <t>Dr Batra Hair Health Protein Bar (Semi Finished)</t>
  </si>
  <si>
    <t>Dr Batra#s Hair Health Protein Bar 35gm</t>
  </si>
  <si>
    <t>Dryfruit instant Energy laddu Bar 35gm</t>
  </si>
  <si>
    <t>Dryfruit Instant Energy Laddubar (Semi Finished)</t>
  </si>
  <si>
    <t>Dryfruit Instant Energy LadduBar Master Carton (Pack of 5 - 54 units)</t>
  </si>
  <si>
    <t>Dryfruit Instant Energy Laddubar Mini Pack of 2 Master Carton (17 gms) - 300 units</t>
  </si>
  <si>
    <t>Dryfruit Instant Energy LadduBar Pack of 5</t>
  </si>
  <si>
    <t>Energy Bar - Choco Crunch (Semi Finished)</t>
  </si>
  <si>
    <t>Energy Bar - Choco Crunch 30gm</t>
  </si>
  <si>
    <t>Energy Bar - Fig &amp; Dates 30gm</t>
  </si>
  <si>
    <t>Energy Bar - Hazelnut Magic 30gm</t>
  </si>
  <si>
    <t>Energy Bar - Oats &amp; Apricot 30gm</t>
  </si>
  <si>
    <t>Energy Bar- Fig &amp; Dates (Semi Finished)</t>
  </si>
  <si>
    <t>Energy Bar- Hazelnut Magic (Semi Finished)</t>
  </si>
  <si>
    <t>Energy Bar- Oats &amp; Apricot (Semi Finished)</t>
  </si>
  <si>
    <t>Energy Bars Oats and Dates (Pack of 6) 210gm</t>
  </si>
  <si>
    <t>Fit Nutrition Berries Blast Bar 50g</t>
  </si>
  <si>
    <t>Gondh Dryfruit Laddu Bar 35gm</t>
  </si>
  <si>
    <t>Gondh Dryfruit LadduBar Pack of 6</t>
  </si>
  <si>
    <t>Methi Dryfruit Laddu bar 35gm</t>
  </si>
  <si>
    <t>Methi Dryfruit LadduBar Pack of 6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</si>
  <si>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</si>
  <si>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</si>
  <si>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</si>
  <si>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</si>
  <si>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- 45 Gm</t>
  </si>
  <si>
    <t>Moon Freeze Pineapple Date Fruit Bar -10 GM</t>
  </si>
  <si>
    <t>Moon Freeze Strawberry Date Fruit Bar - 45 Gm</t>
  </si>
  <si>
    <t>Moon Freeze Strawberry Date Fruit Bar -10 GM</t>
  </si>
  <si>
    <t>Nutrizoe Fenugreek Cinnamon Bars 45gm</t>
  </si>
  <si>
    <t>ON THE RUN Assorted Energy Bars (Pack of 12x30g)</t>
  </si>
  <si>
    <t>ON THE RUN Assorted Energy Bars (Pack of 6x30g)</t>
  </si>
  <si>
    <t>ON THE RUN Choco Crunch Energy Bars (Pack of 6x30g)</t>
  </si>
  <si>
    <t>ON THE RUN Choco Crunch Energy Bars 30g</t>
  </si>
  <si>
    <t>ON THE RUN Fig and Date Energy Bar (Pack of 6x30 g)</t>
  </si>
  <si>
    <t>ON THE RUN Fig and Date Energy Bar 30g</t>
  </si>
  <si>
    <t>ON THE RUN Hazelnut Magic Energy Bar 30g</t>
  </si>
  <si>
    <t>ON THE RUN Oats, Apricot &amp; Cranberry Energy Bar 30g</t>
  </si>
  <si>
    <t>ON THE RUN Oats, Apricot &amp; Cranberry Energy Bars (Pack of 6x30g)</t>
  </si>
  <si>
    <t>Rhine Valley Almond &amp; Coffee Date Bar 50gm</t>
  </si>
  <si>
    <t>Rhine Valley Almond &amp; Cranberry Date Bar 50gm</t>
  </si>
  <si>
    <t>Rhine Valley Almond &amp; Orange Dark Chocolate Date Bar 50gm</t>
  </si>
  <si>
    <t>Rhine Valley Fruit &amp; Nut Date Bar 50gm</t>
  </si>
  <si>
    <t>Rhine Valley Raspberry, Almond &amp; Dark Chocolate Date Bar 50gm</t>
  </si>
  <si>
    <t>Rhine Valley Rose &amp; Pistachio Date Bar 50gm</t>
  </si>
  <si>
    <t>Urban Platter Almond Blueberry Bar 45g</t>
  </si>
  <si>
    <t>Urban Platter Chocolate Vanilla Bar 45g</t>
  </si>
  <si>
    <t>Urban Platter Cranberry Orange Bar 45g</t>
  </si>
  <si>
    <t>Urban Platter Mocha Bar 45g</t>
  </si>
  <si>
    <t>Wholesome millet laddu bar (semi finished)</t>
  </si>
  <si>
    <t>Wholesome millet laddu bar 35gm</t>
  </si>
  <si>
    <t>Wholesome Millet LadduBar Pack of 6</t>
  </si>
  <si>
    <t>ON THE RUN Crunchy Granola Single serving Cup 50g</t>
  </si>
  <si>
    <t>Granola</t>
  </si>
  <si>
    <t>Dried Blackberry</t>
  </si>
  <si>
    <t>BLACKBERRY</t>
  </si>
  <si>
    <t>NB BLACKBERRY DRIED LOOSE</t>
  </si>
  <si>
    <t>Dried Black Currant</t>
  </si>
  <si>
    <t>Dried Blackcurrant</t>
  </si>
  <si>
    <t>GREEK DARK SEEDLESS RAISINS (Black Currant)</t>
  </si>
  <si>
    <t>BB Royal Black Current 250g</t>
  </si>
  <si>
    <t>BBroyal Black Current 100g</t>
  </si>
  <si>
    <t>HA BLACK CURRENT 250g (1340541)</t>
  </si>
  <si>
    <t>NB BLACKCURRANT DRIED LOOSE</t>
  </si>
  <si>
    <t>SnackAmor Dried Blackcurrant 100g</t>
  </si>
  <si>
    <t>Dried Blueberry Apple Infused</t>
  </si>
  <si>
    <t>Blueberry - Apple Infused</t>
  </si>
  <si>
    <t>Dried Blueberry</t>
  </si>
  <si>
    <t>Blueberry - Plain</t>
  </si>
  <si>
    <t>BB Royal Dried Blue Berries 100g</t>
  </si>
  <si>
    <t>BB Royal Dried Blue Berries 250g</t>
  </si>
  <si>
    <t>Blueberries 230g</t>
  </si>
  <si>
    <t>Blueberries 75gm</t>
  </si>
  <si>
    <t>Cafe Galleries Blueberry 250g</t>
  </si>
  <si>
    <t>Carnival Blueberries Dried - 250G</t>
  </si>
  <si>
    <t>Carnival Blueberry 100g</t>
  </si>
  <si>
    <t>Carnival Dried Blueberry 250g</t>
  </si>
  <si>
    <t>Carnival Dried Blueberry 250g - Tub</t>
  </si>
  <si>
    <t>CURATE BLUEBERRIES 200G</t>
  </si>
  <si>
    <t>Curate Dried Bluebrries 300g Jr</t>
  </si>
  <si>
    <t>Dried Blueberry 100gm</t>
  </si>
  <si>
    <t>Ez Blue Berry Loose</t>
  </si>
  <si>
    <t>NB BLUEBERRY DRIED LOOSE</t>
  </si>
  <si>
    <t>PL DRIED BLUEBERRIES 100G</t>
  </si>
  <si>
    <t>Snack Amor Dried Blueberry 100g</t>
  </si>
  <si>
    <t>Snackania Blueberry 230g</t>
  </si>
  <si>
    <t>Vedaka Dried Sweetened Blueberries 100gm (B07GR24VMZ)</t>
  </si>
  <si>
    <t>Vedaka Premium Blueberries 1kg (B07GR82XK8)</t>
  </si>
  <si>
    <t>Vedaka Premium Blueberries 200g (B07GQWST7K)</t>
  </si>
  <si>
    <t>Vedaka Premium Blueberries 500g (B07GR8MCNZ)</t>
  </si>
  <si>
    <t>Cashew Kani</t>
  </si>
  <si>
    <t>Cashew - Broken</t>
  </si>
  <si>
    <t>CASHEW POWDER</t>
  </si>
  <si>
    <t>Cashew Split</t>
  </si>
  <si>
    <t>Cashew Tukda</t>
  </si>
  <si>
    <t>Cashew 150</t>
  </si>
  <si>
    <t>Cashew - Kernel</t>
  </si>
  <si>
    <t>Cashew 180</t>
  </si>
  <si>
    <t>Cashew 210</t>
  </si>
  <si>
    <t>Cashew 240</t>
  </si>
  <si>
    <t>Cashew 280</t>
  </si>
  <si>
    <t>Cashew 300</t>
  </si>
  <si>
    <t>Cashew 320</t>
  </si>
  <si>
    <t>Cashew 400</t>
  </si>
  <si>
    <t>CASHEW 450</t>
  </si>
  <si>
    <t>Cashew Jumbo with Skin</t>
  </si>
  <si>
    <t>Cashew Kernel</t>
  </si>
  <si>
    <t>OFF-GRADE CASHEW</t>
  </si>
  <si>
    <t>Ez Cashew 4pc Loose</t>
  </si>
  <si>
    <t>FABSTA CASHEWNUT BROKEN 200G</t>
  </si>
  <si>
    <t>Natures Cashew Split 200g (1356008)</t>
  </si>
  <si>
    <t>Vedaka Broken Cashew 1kg (B0D9NZYHDC)</t>
  </si>
  <si>
    <t>Barbeque Cashew</t>
  </si>
  <si>
    <t>Barbeque Cashew Bulk</t>
  </si>
  <si>
    <t>Black Pepper Cashew Bulk</t>
  </si>
  <si>
    <t>CA GOA PRE CASHEW 230GM/P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</si>
  <si>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</si>
  <si>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</si>
  <si>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</si>
  <si>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</si>
  <si>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</si>
  <si>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</si>
  <si>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Cashew 240 - 500gm</t>
  </si>
  <si>
    <t>Cafe Galleries Cashew 320 - 250gm</t>
  </si>
  <si>
    <t>Cafe Galleries Cashew Black Pepper 250 Gm</t>
  </si>
  <si>
    <t>Cafe Galleries Cashew Salted 180 250g</t>
  </si>
  <si>
    <t>Cafe Galleries Salted Cashew 210- 250gm</t>
  </si>
  <si>
    <t>Carnival Barbeque Cashew 100gm</t>
  </si>
  <si>
    <t>Carnival Barbeque Cashew 200gm</t>
  </si>
  <si>
    <t>Carnival Cashew (400 - 450) 200g Mono Carton</t>
  </si>
  <si>
    <t>Carnival Cashew Nut 250g</t>
  </si>
  <si>
    <t>Carnival Cashew Roasted And Salted 250g</t>
  </si>
  <si>
    <t>Carnival Cheese Cashew 100g</t>
  </si>
  <si>
    <t>Carnival Cheese Cashew 230g</t>
  </si>
  <si>
    <t>Carnival Classic Cashew 200g</t>
  </si>
  <si>
    <t>Carnival Classic Cashew 250 Gms</t>
  </si>
  <si>
    <t>Carnival Everyday Cashew W450 - 1kg</t>
  </si>
  <si>
    <t>Carnival Festive Cashew (320) 100gm</t>
  </si>
  <si>
    <t>Carnival Festive Cashew (320) 125gm</t>
  </si>
  <si>
    <t>Carnival Festive Cashew (320) 150gm</t>
  </si>
  <si>
    <t>Carnival Festive Cashew (320) 200gm</t>
  </si>
  <si>
    <t>Carnival Festive Cashew (320) 80gm</t>
  </si>
  <si>
    <t>Carnival Festive Flavoured Cashew (320) 100gm</t>
  </si>
  <si>
    <t>Carnival Festive Flavoured Cashew (320) 80gm</t>
  </si>
  <si>
    <t>Carnival Festive Salted Cashew (320) 150gm</t>
  </si>
  <si>
    <t>Carnival Festive Salted Cashew (320) 230gm</t>
  </si>
  <si>
    <t>Carnival FestiveSalted Cashew (320) 100gm</t>
  </si>
  <si>
    <t>Carnival Green Chilli Cashew 100g</t>
  </si>
  <si>
    <t>Carnival Green Chilli Cashew 230g</t>
  </si>
  <si>
    <t>Carnival Jumbo Salted Cashew with Skin 200g</t>
  </si>
  <si>
    <t>Carnival Pepper Cashew 100G</t>
  </si>
  <si>
    <t>Carnival Pepper Cashew 125gm</t>
  </si>
  <si>
    <t>Carnival Pepper Cashew 200G</t>
  </si>
  <si>
    <t>Carnival Peri Peri Cashew 100 Gms</t>
  </si>
  <si>
    <t>Carnival Peri Peri Cashew 150gm</t>
  </si>
  <si>
    <t>Carnival Peri Peri Cashew 200gm</t>
  </si>
  <si>
    <t>Carnival Roasted &amp; Salted Cashew 100g</t>
  </si>
  <si>
    <t>Carnival Roasted &amp; Salted Cashew 230g</t>
  </si>
  <si>
    <t>Carnival Spanish Tomato Cashew 100G</t>
  </si>
  <si>
    <t>Cashew 100g (B07GQZSS49) FBA</t>
  </si>
  <si>
    <t>Cashew 230gm</t>
  </si>
  <si>
    <t>Cashew 240 230g</t>
  </si>
  <si>
    <t>Cashew 500g (B07GQW1HHN)</t>
  </si>
  <si>
    <t>Cashew Flavoured Rosemary Loose</t>
  </si>
  <si>
    <t>Cashew Jumbo with Skin Roasted and Salted</t>
  </si>
  <si>
    <t>Cashew Masala</t>
  </si>
  <si>
    <t>Cashew Pink salt</t>
  </si>
  <si>
    <t>Cashew Roasted</t>
  </si>
  <si>
    <t>CASHEW RSTD SAL W320 250G</t>
  </si>
  <si>
    <t>Cashew Wasabi</t>
  </si>
  <si>
    <t>Cheese Cashew</t>
  </si>
  <si>
    <t>Chilli Garlic Cashew Bulk</t>
  </si>
  <si>
    <t>Curate Cashew 550g Jr</t>
  </si>
  <si>
    <t>Curate Cashews 200g</t>
  </si>
  <si>
    <t>Curate Cashews 250g Jr</t>
  </si>
  <si>
    <t>Curate Cashews 500g</t>
  </si>
  <si>
    <t>Ez Cashew 210 Loose</t>
  </si>
  <si>
    <t>Ez Cashew 240 Loose</t>
  </si>
  <si>
    <t>Ez Cashew 320 Loose</t>
  </si>
  <si>
    <t>Ez Cashew Roasted Salted Loose</t>
  </si>
  <si>
    <t>FABSTA CASHEW RS W320 100G</t>
  </si>
  <si>
    <t>FABSTA CASHEW RS W320 200G</t>
  </si>
  <si>
    <t>FABSTA CASHEWNUT 240 COUNT 200g</t>
  </si>
  <si>
    <t>FNP Salt &amp; Pepper Cashew 50gm</t>
  </si>
  <si>
    <t>FNP Smokin Sweet N Smoky BBQ Cashew 50g</t>
  </si>
  <si>
    <t>Garlic Cashew</t>
  </si>
  <si>
    <t>Green Chilli Cashew Bulk</t>
  </si>
  <si>
    <t>Green Chilly Cashew</t>
  </si>
  <si>
    <t>Lemon Pepper Cashew Bulk</t>
  </si>
  <si>
    <t>Lime  &amp; Chilly Cashew</t>
  </si>
  <si>
    <t>Masala Cashew</t>
  </si>
  <si>
    <t>Mild Chilly Glazed Cashew</t>
  </si>
  <si>
    <t>Natures Cashew Reg 200 Gm ( 1411653 )</t>
  </si>
  <si>
    <t>Natures Cashew W 210 500g (1356007)</t>
  </si>
  <si>
    <t>Natures Cashew W210 100g (1340520)</t>
  </si>
  <si>
    <t>Natures Cashew W210 250g (1340525)</t>
  </si>
  <si>
    <t>NB BARBEQUE CASHEW LOOSE</t>
  </si>
  <si>
    <t>NB BLACK PEPPER CASHEW LOOSE</t>
  </si>
  <si>
    <t>NB CASHEW W150 LOOSE</t>
  </si>
  <si>
    <t>NB CASHEW W180 LOOSE</t>
  </si>
  <si>
    <t>NB CASHEW W240 LOOSE</t>
  </si>
  <si>
    <t>NB CHARCOAL CASHEW LOOSE</t>
  </si>
  <si>
    <t>NB CHEESE CASHEW LOOSE</t>
  </si>
  <si>
    <t>NB GREEN CHILLY CASHEW LOOSE</t>
  </si>
  <si>
    <t>NB MASALA CASHEW LOOSE</t>
  </si>
  <si>
    <t>NB PERI-PERI CASHEW LOOSE</t>
  </si>
  <si>
    <t>NB ROASTED &amp; SALTED CASHEW LOOSE</t>
  </si>
  <si>
    <t>NB SRIRACHA CASHEW LOOSE</t>
  </si>
  <si>
    <t>Paneer Tikka Cashew</t>
  </si>
  <si>
    <t>Pani Puri Cashew</t>
  </si>
  <si>
    <t>Peper Garlic Cashew</t>
  </si>
  <si>
    <t>Pepper Cashew</t>
  </si>
  <si>
    <t>Peri Peri Cashew</t>
  </si>
  <si>
    <t>Peri Peri Cashew Bulk</t>
  </si>
  <si>
    <t>Premia Cashew Black Pepper 100 Gm</t>
  </si>
  <si>
    <t>Premia Cashew Salted 100 Gm</t>
  </si>
  <si>
    <t>Pudina Cashew</t>
  </si>
  <si>
    <t>Roasted &amp; Salted Cashew</t>
  </si>
  <si>
    <t>Roasted &amp; Salted Cashew  140g</t>
  </si>
  <si>
    <t>Roasted &amp; Salted Cashew 75gm</t>
  </si>
  <si>
    <t>Roasted &amp; Salted Cashew 90gm</t>
  </si>
  <si>
    <t>Roasted &amp; Salted Cashew Bulk</t>
  </si>
  <si>
    <t>Roasted Cashew Bulk</t>
  </si>
  <si>
    <t>Royal Traditions Cashew 100g</t>
  </si>
  <si>
    <t>Royal Traditions Cashew Black Pepper 100g</t>
  </si>
  <si>
    <t>Royal Traditions Cashew Salted 100g</t>
  </si>
  <si>
    <t>Salt and Pepper Cashew Bulk</t>
  </si>
  <si>
    <t>Smokey BBQ Cashew Bulk</t>
  </si>
  <si>
    <t>Snack Amor Black Pepper Cashew 170g</t>
  </si>
  <si>
    <t>Snack Amor Roasted Cashew 170 Gm</t>
  </si>
  <si>
    <t>Snackania Cashew 480g</t>
  </si>
  <si>
    <t>Snackania Green Chilli Cashew 230g</t>
  </si>
  <si>
    <t>Snacktive Green Chilli Cashew 250 gm</t>
  </si>
  <si>
    <t>Solimo Cashew 250g (B01LPY9PHI)-FBA</t>
  </si>
  <si>
    <t>Solimo Cashew 500g (B01LPY9UG4) FBA</t>
  </si>
  <si>
    <t>Sour &amp; Cream Cashew Bulk</t>
  </si>
  <si>
    <t>Tasties Chilli Garlic Cashew - Flavourful &amp; Crunchy 75 g</t>
  </si>
  <si>
    <t>Tasties Lemon Pepper Cashew - Flavourful &amp; Crunchy 75 g</t>
  </si>
  <si>
    <t>Tasties Peri Peri Cashew - Flavourful &amp; Crunchy 75 g</t>
  </si>
  <si>
    <t>Vedaka Black pepper Cashew 200g (B0BTHWW69R)</t>
  </si>
  <si>
    <t>Vedaka Cashew 200g (B07GQZSS48)</t>
  </si>
  <si>
    <t>Vedaka Cashews - Broken 500g (B0D9NYHTG1)</t>
  </si>
  <si>
    <t>Vedaka Peri Peri Cashew 200g (B0BVVRRYVC)</t>
  </si>
  <si>
    <t>Vedaka Popular Cashew Broken 100g FBA(B07GR3S1RL)</t>
  </si>
  <si>
    <t>Vedaka Popular Cashew Broken 200g FBA(B07GQWS1BS)</t>
  </si>
  <si>
    <t>Vedaka Whole Cashews (Grade W320) 1kg (B0D9NY9M32)</t>
  </si>
  <si>
    <t>YUMASANA CASHEWS- BARBEQUE 150g</t>
  </si>
  <si>
    <t>YUMASANA CASHEWS- PEPPER 150g</t>
  </si>
  <si>
    <t>YUMASANA CASHEWS- SALTED 150g</t>
  </si>
  <si>
    <t>YUMASANA CASHEWS- SOUR CREAM 150g</t>
  </si>
  <si>
    <t>Cranberry Slice</t>
  </si>
  <si>
    <t>Cranberry - Sliced</t>
  </si>
  <si>
    <t>Cranberry Slice Apple Infused</t>
  </si>
  <si>
    <t>Dried Cranberry Sliced</t>
  </si>
  <si>
    <t>Dried Cranberry Whole</t>
  </si>
  <si>
    <t>Cranberry - Whole</t>
  </si>
  <si>
    <t>Dried Meduri Cranberry Whole</t>
  </si>
  <si>
    <t>OFF-GRADE CRANBERRY</t>
  </si>
  <si>
    <t>Cafe Galleries Slice Cranberry 250g</t>
  </si>
  <si>
    <t>Carnival Cranberry Classic Slice 200 G (110001359)</t>
  </si>
  <si>
    <t>Carnival Cranberry Sliced 250 Gms</t>
  </si>
  <si>
    <t>Carnival Festive Chatpata Cranberry 100gm</t>
  </si>
  <si>
    <t>Carnival Festive Chatpata Cranberry 120g</t>
  </si>
  <si>
    <t>Carnival Festive Chatpata Cranberry 250gm</t>
  </si>
  <si>
    <t>Carnival Festive Chatpata Cranberry 80gm</t>
  </si>
  <si>
    <t>PL SLICED CRANBERRIES 100G</t>
  </si>
  <si>
    <t>Snack Amor Cranberry Slice 100 Gm</t>
  </si>
  <si>
    <t>SnackAmor Masala Cranberry 150g</t>
  </si>
  <si>
    <t>BB Royal Dried Cran Berries 100g</t>
  </si>
  <si>
    <t>BB Royal Dried Cran Berry 250g</t>
  </si>
  <si>
    <t>CA PREMIUM DRY CANBERRY 230GM/P</t>
  </si>
  <si>
    <t>Cafe Galleries Cranberry Whole 250g</t>
  </si>
  <si>
    <t>Carnival Chatpata Cranberry 100G</t>
  </si>
  <si>
    <t>Carnival Chatpata Cranberry 250gm</t>
  </si>
  <si>
    <t>Carnival Cranberry Flavoured Chatpata 200g</t>
  </si>
  <si>
    <t>Carnival Cranberry Premium Whole 200 G (110001358)</t>
  </si>
  <si>
    <t>Carnival Cranberry Whole - 100gm</t>
  </si>
  <si>
    <t>Carnival Cranberry Whole 250G</t>
  </si>
  <si>
    <t>Carnival Dried Cranberry Whole 100g (PP)</t>
  </si>
  <si>
    <t>Carnival Dried Cranberry Whole 250g - Tub</t>
  </si>
  <si>
    <t>Carnival Festive Paan Cranberry 125gm</t>
  </si>
  <si>
    <t>Chatpata Cranberry</t>
  </si>
  <si>
    <t>Chatpata Cranberry 75gm</t>
  </si>
  <si>
    <t>Cranberry Whole 230g</t>
  </si>
  <si>
    <t>CURATE WHOLE CRANBERRIES 200G</t>
  </si>
  <si>
    <t>Curate Whole Cranberries 300g Jr</t>
  </si>
  <si>
    <t>Curate Whole Cranberries 300gm</t>
  </si>
  <si>
    <t>Delmonte Cranberries 130gm</t>
  </si>
  <si>
    <t>Dried Cranberry 100gm</t>
  </si>
  <si>
    <t>Ez Cranberry Loose</t>
  </si>
  <si>
    <t>NB CRANBERRY DRIED LOOSE</t>
  </si>
  <si>
    <t>Pan Cranberry</t>
  </si>
  <si>
    <t>Premia Chatpata Cranberry 100gm</t>
  </si>
  <si>
    <t>Royal Traditions Cranberries Chatpata 100g</t>
  </si>
  <si>
    <t>Snackania Cranberry 230g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</si>
  <si>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</si>
  <si>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</si>
  <si>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</si>
  <si>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</si>
  <si>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Ajwa Dates</t>
  </si>
  <si>
    <t>Ajwa</t>
  </si>
  <si>
    <t>Dates Ajwa Loose</t>
  </si>
  <si>
    <t>Organic Ajwa Premium Large</t>
  </si>
  <si>
    <t>Amary Dates</t>
  </si>
  <si>
    <t>Amary</t>
  </si>
  <si>
    <t>Ameri Dates</t>
  </si>
  <si>
    <t>Dates Ameri Loose</t>
  </si>
  <si>
    <t>AL BARAKAH BARHI DATES 10KG</t>
  </si>
  <si>
    <t>Barhi</t>
  </si>
  <si>
    <t>Barhi Grade-B</t>
  </si>
  <si>
    <t>Deglet Dates</t>
  </si>
  <si>
    <t>Deglet</t>
  </si>
  <si>
    <t>DEGLET NOUR BRANCHES 5KG</t>
  </si>
  <si>
    <t>DEGLET.908 GM</t>
  </si>
  <si>
    <t>Dates Oriental Loose</t>
  </si>
  <si>
    <t>Deri</t>
  </si>
  <si>
    <t>Deri Dates</t>
  </si>
  <si>
    <t>Deri Grade B</t>
  </si>
  <si>
    <t>Oriental Dates</t>
  </si>
  <si>
    <t>CARNIVAL PERMINUM KHARIK DRY DATES</t>
  </si>
  <si>
    <t>Dry Dates</t>
  </si>
  <si>
    <t>CARNIVAL STANDARD KHARIK DATES</t>
  </si>
  <si>
    <t>Kharik Tukda</t>
  </si>
  <si>
    <t>Red Kharik Dry Dates</t>
  </si>
  <si>
    <t>Seedless Chopped Dry Yellow Kharik Dates</t>
  </si>
  <si>
    <t>AL BARAKAH FARD DATES PREMIUM - 10KG</t>
  </si>
  <si>
    <t>Fard</t>
  </si>
  <si>
    <t>AL BARAKAH FARD DATES STANDARD</t>
  </si>
  <si>
    <t>Fard Grade B</t>
  </si>
  <si>
    <t>Fardh Dates</t>
  </si>
  <si>
    <t>Oman Dates</t>
  </si>
  <si>
    <t>AL BARAKAH KHALAS DATES</t>
  </si>
  <si>
    <t>Khalas</t>
  </si>
  <si>
    <t>Khalas Grade B</t>
  </si>
  <si>
    <t>Wet Dates Khalas</t>
  </si>
  <si>
    <t>AL BARAKAH KHANIZEE DATES</t>
  </si>
  <si>
    <t>Khaneizi</t>
  </si>
  <si>
    <t>Khaneizi Dates</t>
  </si>
  <si>
    <t>Organic Khidri Large dates</t>
  </si>
  <si>
    <t>Khidri</t>
  </si>
  <si>
    <t>Organic Khidri Premium Medium</t>
  </si>
  <si>
    <t>Organic Khidri Special Jumbo</t>
  </si>
  <si>
    <t>Dates Mazafati Loose</t>
  </si>
  <si>
    <t>Kimia</t>
  </si>
  <si>
    <t>Kimia Grade B</t>
  </si>
  <si>
    <t>Mazafati Dates</t>
  </si>
  <si>
    <t>Mazafati Grade B</t>
  </si>
  <si>
    <t>AL BARAKAH LULU RED DATES</t>
  </si>
  <si>
    <t>Lulu</t>
  </si>
  <si>
    <t>Mabroom Dates</t>
  </si>
  <si>
    <t>Mabroom</t>
  </si>
  <si>
    <t>Maryam Dates</t>
  </si>
  <si>
    <t>Maryam</t>
  </si>
  <si>
    <t>Medjoul Dates Premium Bon Bon</t>
  </si>
  <si>
    <t>Medjoul-Bon Bon</t>
  </si>
  <si>
    <t>AL BARAKAH MEDJOOL WET DATES PREMIUM</t>
  </si>
  <si>
    <t>Medjoul-General</t>
  </si>
  <si>
    <t>Medjoul Grade B</t>
  </si>
  <si>
    <t>Aldaka Medjool Premium Jumbo</t>
  </si>
  <si>
    <t>Medjoul-Jumbo</t>
  </si>
  <si>
    <t>Dates Medjool Jumbo Loose</t>
  </si>
  <si>
    <t>MEDJOUL DATES JUMBO</t>
  </si>
  <si>
    <t>Medjoul Dates Junior</t>
  </si>
  <si>
    <t>Medjoul-Junior</t>
  </si>
  <si>
    <t>Medjoul Dates Mini</t>
  </si>
  <si>
    <t>Aldaka Medjool Premium Large</t>
  </si>
  <si>
    <t>Medjoul-Large</t>
  </si>
  <si>
    <t>Dates Medjool Large Loose</t>
  </si>
  <si>
    <t>Medjoul Dates Large</t>
  </si>
  <si>
    <t>Medjoul Dates Medium</t>
  </si>
  <si>
    <t>Medjoul-Medium</t>
  </si>
  <si>
    <t>Dates Medjool Super Jumbo Loose</t>
  </si>
  <si>
    <t>Medjoul-Super Jumbo</t>
  </si>
  <si>
    <t>Medjoul Dates Super Jumbo</t>
  </si>
  <si>
    <t>OFF-GRADE DATES</t>
  </si>
  <si>
    <t>AL Barakah Date Paste</t>
  </si>
  <si>
    <t>Paste</t>
  </si>
  <si>
    <t>AL BARAKAH DATE PASTE (1 KG packing)</t>
  </si>
  <si>
    <t>AL BARAKAH DEHYDRATED DATE POWDER - BULK PACK 10KG</t>
  </si>
  <si>
    <t>Powder</t>
  </si>
  <si>
    <t>AL BARAKAH REZIZ DATES 10KG</t>
  </si>
  <si>
    <t>Reziz</t>
  </si>
  <si>
    <t>Dates Safavi Loose</t>
  </si>
  <si>
    <t>Safavi</t>
  </si>
  <si>
    <t>Safavi Grade B</t>
  </si>
  <si>
    <t>Wet Dates Safavi</t>
  </si>
  <si>
    <t>Wet Dates Seedless Safavi</t>
  </si>
  <si>
    <t>AL BARAKAH SAYER DATES THERMO(500GM X 16)</t>
  </si>
  <si>
    <t>Sayer</t>
  </si>
  <si>
    <t>Sayer Dates</t>
  </si>
  <si>
    <t>Sayer Grade B</t>
  </si>
  <si>
    <t>UAE SEEDLESS BLACK DATES</t>
  </si>
  <si>
    <t>Seedless</t>
  </si>
  <si>
    <t>UAE Seedless Red dates</t>
  </si>
  <si>
    <t>Wet Dates Seedless Khalas</t>
  </si>
  <si>
    <t>Dates Seeds</t>
  </si>
  <si>
    <t>Seeds</t>
  </si>
  <si>
    <t>Wet Dates Seggai</t>
  </si>
  <si>
    <t>Seggai</t>
  </si>
  <si>
    <t>Organic Seqee Premium Large</t>
  </si>
  <si>
    <t>Seqee</t>
  </si>
  <si>
    <t>10KG AL BARKAH SUFRI DATES</t>
  </si>
  <si>
    <t>Sufri</t>
  </si>
  <si>
    <t>Sukkary Dates</t>
  </si>
  <si>
    <t>Sukhary</t>
  </si>
  <si>
    <t>Syrup</t>
  </si>
  <si>
    <t>AL BARAKAH DATES SYRUP</t>
  </si>
  <si>
    <t>AL BARAKAH DATES SYRUP (400G Packing)</t>
  </si>
  <si>
    <t>Organic Wanan Premium Jumbo</t>
  </si>
  <si>
    <t>Wanan</t>
  </si>
  <si>
    <t>Organic Wanan Premium Large</t>
  </si>
  <si>
    <t>Dates Zahidi Loose</t>
  </si>
  <si>
    <t>Zahidi</t>
  </si>
  <si>
    <t>Zahidi Dates</t>
  </si>
  <si>
    <t>Zahidi Grade B</t>
  </si>
  <si>
    <t>Al Barakah Ajwa Dates 400gm</t>
  </si>
  <si>
    <t>Al Barakah Ajwa Dates 500G</t>
  </si>
  <si>
    <t>BB Royal Ajwa Dates 500g</t>
  </si>
  <si>
    <t>BB Royal Dates - Ajwa 250g</t>
  </si>
  <si>
    <t>HA AJWA DATES 300GM (1357012)</t>
  </si>
  <si>
    <t>Royal Delight Ajwa Dates 250 Gms</t>
  </si>
  <si>
    <t>Royal Delight Dates Ajwa 800g</t>
  </si>
  <si>
    <t>Snackania Ajwa Dates 480g</t>
  </si>
  <si>
    <t>Amary Dates 250g (1356293)</t>
  </si>
  <si>
    <t>Royal Delight Assorted Dates 500gm</t>
  </si>
  <si>
    <t>Assorted</t>
  </si>
  <si>
    <t>Al Barakah Dates Golden 300g</t>
  </si>
  <si>
    <t>Carnival Arabian 350gm</t>
  </si>
  <si>
    <t>Vedaka Fresh Dates 500g (102219254)</t>
  </si>
  <si>
    <t>BB Royal Dates - Deri 500 g</t>
  </si>
  <si>
    <t>Curate Oriental Dates 500gm</t>
  </si>
  <si>
    <t>Deri Dates 250g (1359841)</t>
  </si>
  <si>
    <t>King Solomon Oriental Dates 250g</t>
  </si>
  <si>
    <t>King Solomon Oriental Dates 500gm</t>
  </si>
  <si>
    <t>Royal Delight Dates Stuffed Deri Acrylic Box 27 Pcs</t>
  </si>
  <si>
    <t>Al Barakah Emirate Dates 500gm</t>
  </si>
  <si>
    <t>Emirates</t>
  </si>
  <si>
    <t>Al Barakah Emirates Dates 500 Gm</t>
  </si>
  <si>
    <t>Al Barakah Premium Emirate Date Seedless (500gmx16)</t>
  </si>
  <si>
    <t>Al Barakah Premium Emirate Date Seedless 500gm</t>
  </si>
  <si>
    <t>Al Barakah Premium Emirates Dates (500gm x 16 Nos)</t>
  </si>
  <si>
    <t>AL BARAKAH PREMIUM EMIRATES DATES 500G.</t>
  </si>
  <si>
    <t>Al Barakah Fard Dates 400g</t>
  </si>
  <si>
    <t>AL BARAKAH FARD DATES PREMIUM - 500g</t>
  </si>
  <si>
    <t>Ar Barakah Fard Dates 1kg</t>
  </si>
  <si>
    <t>BB Royal Dates - Omani 250g</t>
  </si>
  <si>
    <t>Dates Fard Loose</t>
  </si>
  <si>
    <t>FARD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</si>
  <si>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</si>
  <si>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</si>
  <si>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</si>
  <si>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</si>
  <si>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</si>
  <si>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</si>
  <si>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GOOD LIFE FARD DATES 500 g</t>
  </si>
  <si>
    <t>Royal Delight Oman Dates 400 Gms</t>
  </si>
  <si>
    <t>Snack Amor Omani Dates 250 Gm</t>
  </si>
  <si>
    <t>Snackania Fard Dates Premium 480g</t>
  </si>
  <si>
    <t>Solimo Fard Dates 500gm (B0CZ9MC4B3)</t>
  </si>
  <si>
    <t>Vedaka Fard Dates (Omani) - (500gm x 2) (B0D9NZY7RK)</t>
  </si>
  <si>
    <t>Al Barakah Dates Gulf 300g</t>
  </si>
  <si>
    <t>Gulf</t>
  </si>
  <si>
    <t>Al Barakah Gulf Dates 250gm</t>
  </si>
  <si>
    <t>Al Barakah Arabian Dates 300gm</t>
  </si>
  <si>
    <t>Al Barakah Arabian Dates 600g</t>
  </si>
  <si>
    <t>Al Barakah Dates Arabian 400g</t>
  </si>
  <si>
    <t>Al Barakah Dates Golden 500g</t>
  </si>
  <si>
    <t>Al Barakah Dates Gulf 500g</t>
  </si>
  <si>
    <t>AL BARAKAH KHALAS DATES 1KG</t>
  </si>
  <si>
    <t>Al Barakah Khalas Dates 400g</t>
  </si>
  <si>
    <t>AL BARAKAH KHALAS DATES 500 Gm</t>
  </si>
  <si>
    <t>BB Royal Dates - Golden 500 g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</si>
  <si>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</si>
  <si>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</si>
  <si>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</si>
  <si>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</si>
  <si>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</si>
  <si>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</si>
  <si>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Royal Delight Arabian Dates 200gm</t>
  </si>
  <si>
    <t>Royal Delight Arabian Dates 250g</t>
  </si>
  <si>
    <t>Royal Delight Arabian Dates 300gm</t>
  </si>
  <si>
    <t>Royal Delight Arabian Dates 500gm</t>
  </si>
  <si>
    <t>Snackania Khalas Dates 480g</t>
  </si>
  <si>
    <t>Vedaka Fresh Dates 500gm (Pack of 2) [B0D9P11T76]</t>
  </si>
  <si>
    <t>Al Barakah Khanezi Dates 500 GM</t>
  </si>
  <si>
    <t>Al Barakah Khenaizi Dates 400g</t>
  </si>
  <si>
    <t>Solimo Dates 500g (B085NTZMVR)</t>
  </si>
  <si>
    <t>Al Barakah Kimia Dates 500 Gm</t>
  </si>
  <si>
    <t>BB Royal Dates - Mazafati 250g</t>
  </si>
  <si>
    <t>BB Royal Mazafati Dates 500g</t>
  </si>
  <si>
    <t>DATES IMPORTED 500 Gm</t>
  </si>
  <si>
    <t>Royal Delight Kimia Dates 1kg</t>
  </si>
  <si>
    <t>Royal Delight Kimia Dates 350gm</t>
  </si>
  <si>
    <t>BB Royal Red Dates - With Seeds 500gm</t>
  </si>
  <si>
    <t>HA MABOROOM DATES 300GM (1357011)</t>
  </si>
  <si>
    <t>Royal Delight Mabroom Dates 250 Gms</t>
  </si>
  <si>
    <t>Ha Maryam Dates 300g(1340537)</t>
  </si>
  <si>
    <t>Al Barakah Medjoul Dates 500Gm</t>
  </si>
  <si>
    <t>Al Barakah Premium Medjool 800gm</t>
  </si>
  <si>
    <t>BB Royal Dates - Medjool 250g</t>
  </si>
  <si>
    <t>BB Royal Medjool Dates 500g</t>
  </si>
  <si>
    <t>Ha Premium Dates Medjool 300g(1340530)</t>
  </si>
  <si>
    <t>King Solomon Medjoul Dates 250 Gms</t>
  </si>
  <si>
    <t>King Solomon Medjoul Dates 500 Gms</t>
  </si>
  <si>
    <t>Royal Delight Medjool Dates 800g</t>
  </si>
  <si>
    <t>Royal Delight Medjoul Dates 250 Gms</t>
  </si>
  <si>
    <t>Royal delight Medjoul Dates 400gm</t>
  </si>
  <si>
    <t>Royal Delight Stuff Medjoul Dates 21 Pcs</t>
  </si>
  <si>
    <t>Royal Delight Stuffed Medjoul Dates 12 Pcs</t>
  </si>
  <si>
    <t>King Solomon Medjoul Dates Jumbo 1kg</t>
  </si>
  <si>
    <t>King Solomon Medjoul Jumbo Dates 500gm</t>
  </si>
  <si>
    <t>Dates Medjoul Junior Loose</t>
  </si>
  <si>
    <t>King Solomon Medjoul Dates Junior 1kg</t>
  </si>
  <si>
    <t>King Solomon Medjoul Dates Mini 500 Gm</t>
  </si>
  <si>
    <t>King Solomon Medjoul Junior 500g</t>
  </si>
  <si>
    <t>King Solomon 3 Dates 2 Go</t>
  </si>
  <si>
    <t>King Solomon Medjoul Dates Large 1kg</t>
  </si>
  <si>
    <t>Royal Delight Stuffed Medjul Large Dates 12 Pieces</t>
  </si>
  <si>
    <t>Stuffed Medjoul Dates Large Single Pc</t>
  </si>
  <si>
    <t>Stuffed Medjoul Large Pc</t>
  </si>
  <si>
    <t>Stuffed Medjoul Large Pc with Almond</t>
  </si>
  <si>
    <t>Stuffed Medjoul Large Pc with Cashew</t>
  </si>
  <si>
    <t>Stuffed Medjoul Large Pc with Dried Pomelo</t>
  </si>
  <si>
    <t>Stuffed Medjoul Large Pc with Hazel Nut</t>
  </si>
  <si>
    <t>Stuffed Medjoul Large Pc with Macadamia</t>
  </si>
  <si>
    <t>Stuffed Medjoul Large Pc with Orange Peel</t>
  </si>
  <si>
    <t>Stuffed Medjoul Large Pc with Pecan Nut</t>
  </si>
  <si>
    <t>Stuffed Medjoul Large Pc with Pista</t>
  </si>
  <si>
    <t>King Solomon Dates Medjool Medium 200g</t>
  </si>
  <si>
    <t>King Solomon Dates Medjoul Medium [Y1562] 200gm</t>
  </si>
  <si>
    <t>King Solomon Medjoul Dates Medium 1kg</t>
  </si>
  <si>
    <t>King Solomon Medjoul Dates Medium 500 Gm</t>
  </si>
  <si>
    <t>Royal Delight Dates Medjool Medium 250g</t>
  </si>
  <si>
    <t>King Solomon Medjoul Super Jumbo 1kg</t>
  </si>
  <si>
    <t>King Solomon Medjoul Super Jumbo 500gm</t>
  </si>
  <si>
    <t>Al Barakah Oman 600g</t>
  </si>
  <si>
    <t>Oman</t>
  </si>
  <si>
    <t>Al Barakah Oman Dates 400g</t>
  </si>
  <si>
    <t>Al Barakah Oman Dates 500gm Tub</t>
  </si>
  <si>
    <t>Bb Royal Omani Dates 500gm</t>
  </si>
  <si>
    <t>Carnival Oman Dates 250g</t>
  </si>
  <si>
    <t>Oman Dates 250g (1356292)</t>
  </si>
  <si>
    <t>Royal Delight Oman Dates 1 Kgs</t>
  </si>
  <si>
    <t>Al Barakah Dehydrated Date Powder 250g</t>
  </si>
  <si>
    <t>Amazon Brand- Vedaka Dry Dates powder 200g</t>
  </si>
  <si>
    <t>Vedaka Dry Dates powder 250gm (B0DRDCLY1Q)</t>
  </si>
  <si>
    <t>Vedaka Dry Dates powder 500g (B0DRD9F8G2)</t>
  </si>
  <si>
    <t>Al Barakah Dates Safavi 400g</t>
  </si>
  <si>
    <t>Al Barakah Dates Safavi Seedless 400g</t>
  </si>
  <si>
    <t>AL BARAKAH SAFAVI DATES 500gm</t>
  </si>
  <si>
    <t>Azmah Dates 500 Gms (110002703)</t>
  </si>
  <si>
    <t>BB Royal Dates - Safawi 250g</t>
  </si>
  <si>
    <t>BB Royal Safavi Dates 500g</t>
  </si>
  <si>
    <t>Ha Premium Saudi Dates 300g(1340536)</t>
  </si>
  <si>
    <t>Ha Premium Saudi Dates 500g(1356005)</t>
  </si>
  <si>
    <t>Royal Delight Safavi Dates 250 Gms</t>
  </si>
  <si>
    <t>Royal Delight Safavi Dates 5kg</t>
  </si>
  <si>
    <t>Single Safavi Stuffed Dates</t>
  </si>
  <si>
    <t>Snack Amor Kalmi Dates 250g</t>
  </si>
  <si>
    <t>Snackania Safavi Dates 480g</t>
  </si>
  <si>
    <t>Dates Sayer Loose</t>
  </si>
  <si>
    <t>GOOD LIFE ARABIAN DATES 500 g</t>
  </si>
  <si>
    <t>KINGDOM OF DATES SAYER DATES</t>
  </si>
  <si>
    <t>Al Barakah Dates Oman Seedless 1kg</t>
  </si>
  <si>
    <t>AL BARAKAH KHALAS DATES SEEDLESS 350GM</t>
  </si>
  <si>
    <t>BB Royal Dates - Red, Seedless 250 g</t>
  </si>
  <si>
    <t>Carnival Dates Khalas Seedless 350g</t>
  </si>
  <si>
    <t>Carnival Seedless Oman Dates 250G</t>
  </si>
  <si>
    <t>Red Dates Seedless 500 Gm</t>
  </si>
  <si>
    <t>HA SEGAI DATES 300GM (1357010)</t>
  </si>
  <si>
    <t>Al Barakah Dates Arabian 500g</t>
  </si>
  <si>
    <t>HA SUKHRY DATES 300GM (1357013)</t>
  </si>
  <si>
    <t>BB Royal Dates - Zahidi 500 g</t>
  </si>
  <si>
    <t>PL ZAHIDI DATES 500G</t>
  </si>
  <si>
    <t>Royal Delight Zahidi Dates 1 Kg</t>
  </si>
  <si>
    <t>Royal Delight Zahidi Dates 900g</t>
  </si>
  <si>
    <t>Sweet Amala Candy</t>
  </si>
  <si>
    <t>DF - Amla</t>
  </si>
  <si>
    <t>Sweet Amala Candy 5%</t>
  </si>
  <si>
    <t>Dehydrated Strawberry fruit</t>
  </si>
  <si>
    <t>DF - Berries</t>
  </si>
  <si>
    <t>Dried Cherry (Red)</t>
  </si>
  <si>
    <t>Dried Goji Berry</t>
  </si>
  <si>
    <t>Dried Pomelo</t>
  </si>
  <si>
    <t>Dried Raspberry</t>
  </si>
  <si>
    <t>Dried Strawberry</t>
  </si>
  <si>
    <t>Goji Berries - 12%</t>
  </si>
  <si>
    <t>Crystal Ginger</t>
  </si>
  <si>
    <t>DF - Ginger</t>
  </si>
  <si>
    <t>Dehydrated Ginger</t>
  </si>
  <si>
    <t>Dried Ginger Cubes</t>
  </si>
  <si>
    <t>Dried Ginger Powder - Saunth Powder</t>
  </si>
  <si>
    <t>Dehydrated Guava Sliced</t>
  </si>
  <si>
    <t>DF - Guava</t>
  </si>
  <si>
    <t>Dried Kiwi</t>
  </si>
  <si>
    <t>DF - Kiwi</t>
  </si>
  <si>
    <t>Dehydrated Mango</t>
  </si>
  <si>
    <t>DF - Mango</t>
  </si>
  <si>
    <t>Dehydrated Mango fruit</t>
  </si>
  <si>
    <t>Dehydrated Mango Papad (Aam Papad)</t>
  </si>
  <si>
    <t>Dehydrated Mango Slice</t>
  </si>
  <si>
    <t>Dried Mango</t>
  </si>
  <si>
    <t>Dried Mango Loose</t>
  </si>
  <si>
    <t>Dehydrated Mixed Fruits</t>
  </si>
  <si>
    <t>DF - Mix</t>
  </si>
  <si>
    <t>DEHYDRATED BABY ORANGE</t>
  </si>
  <si>
    <t>DF - Orange</t>
  </si>
  <si>
    <t>Dehydrated Lemon (Candied)</t>
  </si>
  <si>
    <t>Dried Orange Peel</t>
  </si>
  <si>
    <t>Orange Peel</t>
  </si>
  <si>
    <t>Orange Slice / Pieces</t>
  </si>
  <si>
    <t>Dehydrated Aloe Vera Chunk</t>
  </si>
  <si>
    <t>DF - Other</t>
  </si>
  <si>
    <t>Dehydrated Chikoo fruit</t>
  </si>
  <si>
    <t>Dehydrated Jamun fruit</t>
  </si>
  <si>
    <t>Dried Apple</t>
  </si>
  <si>
    <t>WATER CHESNUT LOOSE</t>
  </si>
  <si>
    <t>Dehydrated Papaya Chunk</t>
  </si>
  <si>
    <t>DF - Papaya</t>
  </si>
  <si>
    <t>DEHYDRATED PEACH GREEN</t>
  </si>
  <si>
    <t>DF - Peach</t>
  </si>
  <si>
    <t>DEHYDRATED PEACH RED</t>
  </si>
  <si>
    <t>DEHYDRATED PEACH YELLOW</t>
  </si>
  <si>
    <t>Dried Peach</t>
  </si>
  <si>
    <t>DEHYDRATED PINEAPPLE COIN</t>
  </si>
  <si>
    <t>DF - Pineapple</t>
  </si>
  <si>
    <t>DEHYDRATED PINEAPPLE RING</t>
  </si>
  <si>
    <t>Dried Pineapple</t>
  </si>
  <si>
    <t>Ez Honey Amla Loose (1459048)</t>
  </si>
  <si>
    <t>Natures Dried Amla 200 Gm ( 1411660 )</t>
  </si>
  <si>
    <t>Natures Dried Cherry 200 Gm ( 1411661 )</t>
  </si>
  <si>
    <t>Natures Dried Strawberry 200 Gm (1411657)</t>
  </si>
  <si>
    <t>NB DEHYDRATED CHERRY LOOSE</t>
  </si>
  <si>
    <t>NB DEHYDRATED STRAWBERRY LOOSE</t>
  </si>
  <si>
    <t>NB GOJI BERRY DRIED LOOSE</t>
  </si>
  <si>
    <t>NB DEHYDRATED GINGER LOOSE</t>
  </si>
  <si>
    <t>NB DEHYDRATED GUAVA LOOSE</t>
  </si>
  <si>
    <t>Dried Masala Kiwi</t>
  </si>
  <si>
    <t>Nature Dried Kiwi 200 Gm ( 1411658 )</t>
  </si>
  <si>
    <t>NB DEHYDRATED KIWI LOOSE</t>
  </si>
  <si>
    <t>Dried Masala Mango</t>
  </si>
  <si>
    <t>NB DEHYDRATED MANGO SLICED LOOSE</t>
  </si>
  <si>
    <t>Ez Dried Fruits Mixed (1459045)</t>
  </si>
  <si>
    <t>NB DEHYDRATED BABY ORANGE LOOSE</t>
  </si>
  <si>
    <t>NB DEHYDRATED PEACH GREEN LOOSE</t>
  </si>
  <si>
    <t>NB DEHYDRATED PEACH RED LOOSE</t>
  </si>
  <si>
    <t>NB DEHYDRATED PEACH YELLOW LOOSE</t>
  </si>
  <si>
    <t>Dried Masala Pineapple</t>
  </si>
  <si>
    <t>Natures Dried Pineapple 200 Gm ( 1411659 )</t>
  </si>
  <si>
    <t>NB DEHYDRATED PINEAPPLE COIN LOOSE</t>
  </si>
  <si>
    <t>NB DEHYDRATED PINEAPPLE RING LOOSE</t>
  </si>
  <si>
    <t>3 Jar Jute Bag Gift Hamper</t>
  </si>
  <si>
    <t>FESTIVE HAMPERS</t>
  </si>
  <si>
    <t>Gifting</t>
  </si>
  <si>
    <t>4 PET WOODEN BOX WITH LID HAMPER</t>
  </si>
  <si>
    <t>Amazon Brand - Vedaka Premium Dry Fruits Combo 400 gm Gift Box ( B0BBDJMLYR )</t>
  </si>
  <si>
    <t>Banarasi Box Hamper 03</t>
  </si>
  <si>
    <t>BLISSFUL CELEBRATION 360gm</t>
  </si>
  <si>
    <t>Carnival A Garden of Bloom 300g</t>
  </si>
  <si>
    <t>Carnival Ganpati Date Mewa Box 242g</t>
  </si>
  <si>
    <t>Carnival Madhur Mahotsav DF Box 4P 400g</t>
  </si>
  <si>
    <t>Carnival Magic Moments 4P 600gm</t>
  </si>
  <si>
    <t>Carnival Mangalmay Utsav DF Box 6P 600g</t>
  </si>
  <si>
    <t>CARNIVAL Mayur Ratna Big 520g</t>
  </si>
  <si>
    <t>CARNIVAL Mayur Ratna Big 520gm</t>
  </si>
  <si>
    <t>CARNIVAL Mayur Ratna Small 360g</t>
  </si>
  <si>
    <t>CARNIVAL Mayur Ratna Small 360gm</t>
  </si>
  <si>
    <t>Carnival Ramayana DF Box 6P 600gm</t>
  </si>
  <si>
    <t>Carnival Rasleela DF Box 4P 400g</t>
  </si>
  <si>
    <t>CARNIVAL Royal divine 550g</t>
  </si>
  <si>
    <t>Carnival Shubhakamnayein 3P 300g</t>
  </si>
  <si>
    <t>CARNIVAL Utsav 700g</t>
  </si>
  <si>
    <t>CELEBRATING MOMENTS 300gm</t>
  </si>
  <si>
    <t>Celebration Exclusive 4P 800g Customized</t>
  </si>
  <si>
    <t>Celebration Sleek Box 200g</t>
  </si>
  <si>
    <t>CELEBRATION SLEEK BOX 300gm</t>
  </si>
  <si>
    <t>Celebration Sleek Box Hamper 01</t>
  </si>
  <si>
    <t>Celebration Sleek Box Hamper 02</t>
  </si>
  <si>
    <t>CELEBRATIONS 550gm</t>
  </si>
  <si>
    <t>CLASSIC WOODEN BOX 480gm</t>
  </si>
  <si>
    <t>Date Mewa Festive Gifting &amp; Feast Parcel 500gm</t>
  </si>
  <si>
    <t>Dry Fruit Hamper</t>
  </si>
  <si>
    <t>Fan Bag 300g</t>
  </si>
  <si>
    <t>Festive Box - Magic Moments 600g</t>
  </si>
  <si>
    <t>Festive Box - Supreme 1000g</t>
  </si>
  <si>
    <t>FESTIVE GREETING 560gm</t>
  </si>
  <si>
    <t>Festive Hamper 01</t>
  </si>
  <si>
    <t>Festive Hamper 02</t>
  </si>
  <si>
    <t>Festive Hamper 03</t>
  </si>
  <si>
    <t>FIESTA DryFruit Box 800gm</t>
  </si>
  <si>
    <t>Floppy Bag Gift Hamper</t>
  </si>
  <si>
    <t>Good Health Dry Fruit Box 750 g</t>
  </si>
  <si>
    <t>Green Leafy Trunk Gift Hamper</t>
  </si>
  <si>
    <t>Grey Carry All Basket Hamper</t>
  </si>
  <si>
    <t>HARDIK SHUBHKAMANYEN 280gm</t>
  </si>
  <si>
    <t>HOH Raksha Bandhan Box 190 Gm</t>
  </si>
  <si>
    <t>HOH Raksha Bandhan Box 268g</t>
  </si>
  <si>
    <t>Jute Drawstring  300g</t>
  </si>
  <si>
    <t>Jute Floppy Bag Hamper</t>
  </si>
  <si>
    <t>MDF Premium Medjoul Dates Box 18 Pcs</t>
  </si>
  <si>
    <t>Royal Traditions Mahotsav Dry Fruits 500gm</t>
  </si>
  <si>
    <t>ROYAL TRADITIONS SHUBHKAMNA-300G (14179)</t>
  </si>
  <si>
    <t>Royal Traditions Tyohar 400gm</t>
  </si>
  <si>
    <t>Royal Traditions Utsav 300g</t>
  </si>
  <si>
    <t>SHAHI UPHAR 300gm</t>
  </si>
  <si>
    <t>SHUBHKAMANYEN 180gm</t>
  </si>
  <si>
    <t>SIGNATURE COLLECTIONS 600gm</t>
  </si>
  <si>
    <t>Snack Amor Diwali Gift Box 400gm</t>
  </si>
  <si>
    <t>SPAR BANDHAN FESTIVE DRY FRUIT BOX 800G</t>
  </si>
  <si>
    <t>SUPREME 800gm</t>
  </si>
  <si>
    <t>Vedaka Premium Dry Fruits Combo 1000 gm Gift Box ( B0BBDP8GR2 )</t>
  </si>
  <si>
    <t>Vedaka Premium Flavored Dry Fruits 500 gm Gift Box (B0CGVC7DF2)</t>
  </si>
  <si>
    <t>Makhana</t>
  </si>
  <si>
    <t>Makhana - Suta</t>
  </si>
  <si>
    <t>Makhana 4+ Sutta</t>
  </si>
  <si>
    <t>Makhana 5 Suta</t>
  </si>
  <si>
    <t>OFF-GRADE MAKHANA</t>
  </si>
  <si>
    <t>Barbeque Makhana</t>
  </si>
  <si>
    <t>Carnival Barbeque Makhana 125 Gm</t>
  </si>
  <si>
    <t>Carnival Barbeque Makhana 55g</t>
  </si>
  <si>
    <t>Carnival Black Pepper Makhana 125 Gm</t>
  </si>
  <si>
    <t>Carnival Black Pepper Makhana 55g</t>
  </si>
  <si>
    <t>Carnival Cheese Makhana 125g</t>
  </si>
  <si>
    <t>Carnival Cheese Makhana 55g</t>
  </si>
  <si>
    <t>Carnival Makhana Plain 250g</t>
  </si>
  <si>
    <t>Carnival Peri Peri Makhana 125g</t>
  </si>
  <si>
    <t>Carnival Peri Peri Makhana 55g</t>
  </si>
  <si>
    <t>Carnival Popcorn Makhana 125g</t>
  </si>
  <si>
    <t>Carnival Popcorn Makhana 55gm</t>
  </si>
  <si>
    <t>Carnival Pudina Makhana 125 Gm</t>
  </si>
  <si>
    <t>Carnival Wasabi Makhana 55g</t>
  </si>
  <si>
    <t>Cheese Makhana</t>
  </si>
  <si>
    <t>Cococart Cheese Makhana 100gm</t>
  </si>
  <si>
    <t>Cococart Himalayan Pink Salt Makhana 100gm</t>
  </si>
  <si>
    <t>Cococart Lime Chilli Makhana 100gm</t>
  </si>
  <si>
    <t>Cococart Pudina Salt Makhana 100gm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</si>
  <si>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</si>
  <si>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</si>
  <si>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</si>
  <si>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</si>
  <si>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Makhana Black Pepper</t>
  </si>
  <si>
    <t>Makhana Black Salt 75gm</t>
  </si>
  <si>
    <t>Makhana Chilli Lime 75gm</t>
  </si>
  <si>
    <t>Makhana Himalayan Pink Salt</t>
  </si>
  <si>
    <t>Makhana Himalayan Pink Salt 75gm</t>
  </si>
  <si>
    <t>Makhana Masala</t>
  </si>
  <si>
    <t>Makhana Peri Peri</t>
  </si>
  <si>
    <t>Makhana Salted 50gm</t>
  </si>
  <si>
    <t>Makhana Tangy Tomato 75gm</t>
  </si>
  <si>
    <t>Pudina Makhana</t>
  </si>
  <si>
    <t>Pudina Makhana 50gm</t>
  </si>
  <si>
    <t>Roasted Makhana</t>
  </si>
  <si>
    <t>Snack Amor Popcorn Makhana 55 Gm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</si>
  <si>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</si>
  <si>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</si>
  <si>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</si>
  <si>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</si>
  <si>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Wasabi Makhana</t>
  </si>
  <si>
    <t>DARK CHOCOLATE COUVERTURE 811</t>
  </si>
  <si>
    <t>Dark Compound Chocolate</t>
  </si>
  <si>
    <t>MILK CHOCOLATE COUVERTURE 823</t>
  </si>
  <si>
    <t>Milk Compound Chocolate</t>
  </si>
  <si>
    <t>Morde Dark Chocolate - CHD45</t>
  </si>
  <si>
    <t>Morde Dark Chocolate - CHD55</t>
  </si>
  <si>
    <t>Morde White Chocolate - CHW35</t>
  </si>
  <si>
    <t>Premix- Chocolate &amp; Oats Bites</t>
  </si>
  <si>
    <t>Premix- Date &amp; Nuts Bites</t>
  </si>
  <si>
    <t>Premix-Cofee Nutribite</t>
  </si>
  <si>
    <t>Premix-Salted Caramel Nutribites</t>
  </si>
  <si>
    <t>Semi Sweet Compound</t>
  </si>
  <si>
    <t>Urban Platter Choco drizzle Waffle Chips, 1kg</t>
  </si>
  <si>
    <t>WHITE CHOCOLATE W2</t>
  </si>
  <si>
    <t>White Compound Chocolate</t>
  </si>
  <si>
    <t>Bajra Flakes</t>
  </si>
  <si>
    <t>Flakes</t>
  </si>
  <si>
    <t>Barley Flakes</t>
  </si>
  <si>
    <t>Corn Flakes</t>
  </si>
  <si>
    <t>Dried Coconut Flakes [Khaman Srifal]</t>
  </si>
  <si>
    <t>Jowar Flakes</t>
  </si>
  <si>
    <t>BAJRI AATA</t>
  </si>
  <si>
    <t>Flour</t>
  </si>
  <si>
    <t>BESAN AATA</t>
  </si>
  <si>
    <t>Maida 0%</t>
  </si>
  <si>
    <t>Nachni Atta</t>
  </si>
  <si>
    <t>Rajgira Atta</t>
  </si>
  <si>
    <t>Rice Atta</t>
  </si>
  <si>
    <t>Other Scrap</t>
  </si>
  <si>
    <t>Pista Shells / Kapchi</t>
  </si>
  <si>
    <t>Acacia Gum - Dink/ Gundar</t>
  </si>
  <si>
    <t>Other Misc</t>
  </si>
  <si>
    <t>Aloevra Extract</t>
  </si>
  <si>
    <t>Amarath Puff</t>
  </si>
  <si>
    <t>Amarath Puff  - 5%</t>
  </si>
  <si>
    <t>Amul Butter</t>
  </si>
  <si>
    <t>Ashwagandha Powder</t>
  </si>
  <si>
    <t>Barley Lahi</t>
  </si>
  <si>
    <t>Brahmi Extract</t>
  </si>
  <si>
    <t>Canola Oil</t>
  </si>
  <si>
    <t>CAPOL 254N</t>
  </si>
  <si>
    <t>CAPOL 425M</t>
  </si>
  <si>
    <t>Cheddar Cheese Seasoning</t>
  </si>
  <si>
    <t>Chironji , Charoli</t>
  </si>
  <si>
    <t>Cinnamon Flavour</t>
  </si>
  <si>
    <t>Citric Acid</t>
  </si>
  <si>
    <t>Coating Mix</t>
  </si>
  <si>
    <t>Cocoa Butter</t>
  </si>
  <si>
    <t>Cocoa Powder</t>
  </si>
  <si>
    <t>COCONUT POWDER</t>
  </si>
  <si>
    <t>COFFEE EXT AQU ALC - 4010000239</t>
  </si>
  <si>
    <t>Compound [Strawberry Flvours]</t>
  </si>
  <si>
    <t>Corn Grits / Meal</t>
  </si>
  <si>
    <t>CTC TEA</t>
  </si>
  <si>
    <t>Dark Compound Chips</t>
  </si>
  <si>
    <t>Desi Ghee</t>
  </si>
  <si>
    <t>Dill Seed - Suva</t>
  </si>
  <si>
    <t>Dried Coconut - Copra</t>
  </si>
  <si>
    <t>FOS L55</t>
  </si>
  <si>
    <t>GARLIC LIQUID - 4010003414</t>
  </si>
  <si>
    <t>Girnar Kahwa Tea</t>
  </si>
  <si>
    <t>Glucose Syrup / Liquid Glucose</t>
  </si>
  <si>
    <t>Glycerin</t>
  </si>
  <si>
    <t>Glycerol Monostearate (GMS) Powder</t>
  </si>
  <si>
    <t>GOUR GUM</t>
  </si>
  <si>
    <t>Green Tea Extract</t>
  </si>
  <si>
    <t>Green Tea Plain</t>
  </si>
  <si>
    <t>Hemp Seed Oil</t>
  </si>
  <si>
    <t>Hing Powder</t>
  </si>
  <si>
    <t>Honey Loose</t>
  </si>
  <si>
    <t>Instant Coffee Powder</t>
  </si>
  <si>
    <t>Jaggery Powder</t>
  </si>
  <si>
    <t>Jaggery Powder 0%</t>
  </si>
  <si>
    <t>Jawar Puff</t>
  </si>
  <si>
    <t>Kamar Kas Powder - Dink Powder</t>
  </si>
  <si>
    <t>Kara Coconut Milk 17% 200ml</t>
  </si>
  <si>
    <t>KHUS KHUS / POPPY SEEDS</t>
  </si>
  <si>
    <t>Leaf Green 500 Gm</t>
  </si>
  <si>
    <t>Lemon Pickle</t>
  </si>
  <si>
    <t>Maltitol Liquid</t>
  </si>
  <si>
    <t>Methi</t>
  </si>
  <si>
    <t>MILK MAID</t>
  </si>
  <si>
    <t>Millet</t>
  </si>
  <si>
    <t>Mishri / Crystal Sugar/ Khadi Sakhar</t>
  </si>
  <si>
    <t>MODIFIED STARCH- CRISPYTEC</t>
  </si>
  <si>
    <t>MOONG</t>
  </si>
  <si>
    <t>Moringa Extract</t>
  </si>
  <si>
    <t>NEALSOYA 16-B</t>
  </si>
  <si>
    <t>Nitrogen F Grade</t>
  </si>
  <si>
    <t>OATS</t>
  </si>
  <si>
    <t>Olive Oil</t>
  </si>
  <si>
    <t>Orange Zest Liquid Extract</t>
  </si>
  <si>
    <t>Palm Oil</t>
  </si>
  <si>
    <t>PERI PERI LIQUID - 4010003520</t>
  </si>
  <si>
    <t>Peri Peri Masala</t>
  </si>
  <si>
    <t>Pickwick 300g Roll Jar</t>
  </si>
  <si>
    <t>Pickwick Hollow Wafer Stick</t>
  </si>
  <si>
    <t>Pickwick Plain Wafers</t>
  </si>
  <si>
    <t>PREGEFLO C 100 G</t>
  </si>
  <si>
    <t>PSYLLIUM HUSK POWDER</t>
  </si>
  <si>
    <t>Pure Maple Syrup</t>
  </si>
  <si>
    <t>Quinoa Flakes</t>
  </si>
  <si>
    <t>Quinoa Puff Base</t>
  </si>
  <si>
    <t>RAGI</t>
  </si>
  <si>
    <t>Ragi Flakes</t>
  </si>
  <si>
    <t>Ragi Puff</t>
  </si>
  <si>
    <t>Rajgira Puff (Lahi)</t>
  </si>
  <si>
    <t>Rice Bran Oil</t>
  </si>
  <si>
    <t>Rice Crispy</t>
  </si>
  <si>
    <t>Rice Crispy - 18%</t>
  </si>
  <si>
    <t>Rice Lahi</t>
  </si>
  <si>
    <t>ROASTED CORN</t>
  </si>
  <si>
    <t>Roasted Papad Ball 5%</t>
  </si>
  <si>
    <t>Rose Petals</t>
  </si>
  <si>
    <t>Saffron (Kesar) - Irani</t>
  </si>
  <si>
    <t>Sama (Varai Rice)</t>
  </si>
  <si>
    <t>Shatavari Extract</t>
  </si>
  <si>
    <t>SidCoat H</t>
  </si>
  <si>
    <t>Sidflow22</t>
  </si>
  <si>
    <t>Silymarin Extract</t>
  </si>
  <si>
    <t>Sour Cream And Onion Seasoning</t>
  </si>
  <si>
    <t>Soy Isolate Protein (Supro 620)</t>
  </si>
  <si>
    <t>Soya Lecithin Liquid</t>
  </si>
  <si>
    <t>SOYA NUGGETS 570</t>
  </si>
  <si>
    <t>Strawberry Powder</t>
  </si>
  <si>
    <t>Sugar</t>
  </si>
  <si>
    <t>Sugar - Office</t>
  </si>
  <si>
    <t>Sugar Powder</t>
  </si>
  <si>
    <t>Sunflower Oil in KG</t>
  </si>
  <si>
    <t>Tapioca Starch</t>
  </si>
  <si>
    <t>Truffle Oil</t>
  </si>
  <si>
    <t>URBAN PLATTAR JAGGERY POWDER 1KG</t>
  </si>
  <si>
    <t>Urban Platter Castor Sugar, 1kg</t>
  </si>
  <si>
    <t>Urban Platter Organic Coconut Jaggery Sugar Powder 1 kg</t>
  </si>
  <si>
    <t>Vitamins and Minerals Premix</t>
  </si>
  <si>
    <t>Wheat Puff</t>
  </si>
  <si>
    <t>Whey Protein Isolate 90% Instant</t>
  </si>
  <si>
    <t>Xanthan Gum</t>
  </si>
  <si>
    <t>Yoghurt Powder</t>
  </si>
  <si>
    <t>Coffee Crush 1 Kg</t>
  </si>
  <si>
    <t>Urban Platter Pure Maple Syrup 250ml</t>
  </si>
  <si>
    <t>OFF-GRADE PEANUTS</t>
  </si>
  <si>
    <t>Blanched Kernels Peanut Split</t>
  </si>
  <si>
    <t>Peanut - Split</t>
  </si>
  <si>
    <t>Peanut Spilit (Groundnut)</t>
  </si>
  <si>
    <t>Blanched white Peanut Kernels</t>
  </si>
  <si>
    <t>Peanut - Whole</t>
  </si>
  <si>
    <t>Peanuts</t>
  </si>
  <si>
    <t>Roasted Peanuts</t>
  </si>
  <si>
    <t>Alpino Peanut Crackers Chipotle Honey 60g</t>
  </si>
  <si>
    <t>Peanut - Coated</t>
  </si>
  <si>
    <t>Alpino Peanut Crackers Smokey BBQ 60g</t>
  </si>
  <si>
    <t>Barbeque Coated Peanuts 60gm</t>
  </si>
  <si>
    <t>Cheese Tomato Flavoured Coated Peanuts</t>
  </si>
  <si>
    <t>Cheese Tomato Flavoured Coated Peanuts 35gm</t>
  </si>
  <si>
    <t>Chilly Garlic Coated Peanuts 60gm</t>
  </si>
  <si>
    <t>Chipotle Honey Coated Peanuts 200g</t>
  </si>
  <si>
    <t>Chipotle Honey Coated Peanuts 70gm</t>
  </si>
  <si>
    <t>Coated Peanut Base</t>
  </si>
  <si>
    <t>Coated Peanuts</t>
  </si>
  <si>
    <t>Coated Peanuts - Magic Masala 1Kg</t>
  </si>
  <si>
    <t>Greendot Coated Peanuts</t>
  </si>
  <si>
    <t>Krack Nut Coated Peanuts Magic Masala 110g</t>
  </si>
  <si>
    <t>Krack Nut Coated Peanuts Pudina Patakha 100g</t>
  </si>
  <si>
    <t>Krack Nut Coated Peanuts Pudina Patakha 25g Not Use</t>
  </si>
  <si>
    <t>Krack Nut Coated Peanuts Pudina Patakha 25gm</t>
  </si>
  <si>
    <t>Krack Nut Coated Peanuts Tandoori Toofan 1 Kg</t>
  </si>
  <si>
    <t>Krack Nut Coated Peanuts Thai Firangi 1 Kg</t>
  </si>
  <si>
    <t>Krack Nut Coated Peanuts Thai Firangi 100g</t>
  </si>
  <si>
    <t>Kracknut Coated Peanuts - Tandoori Toofan 110g</t>
  </si>
  <si>
    <t>Kracknut Coated Peanuts - Tandoori Toofan 160gm</t>
  </si>
  <si>
    <t>Kracknut Coated Peanuts - Tandoori Toofan 25g</t>
  </si>
  <si>
    <t>Kracknut Coated Peanuts - Thai Firangi 25g</t>
  </si>
  <si>
    <t>Kracknut Coated Peanuts-Pudhina Patakha 110g</t>
  </si>
  <si>
    <t>Kracknut Coated Peanuts-Pudhina Patakha 160gm</t>
  </si>
  <si>
    <t>Kracknut Coated Peanuts-Pudhina Patakha 1kg</t>
  </si>
  <si>
    <t>Kracknut Coated Peanuts-Thai Firangi 110g</t>
  </si>
  <si>
    <t>Kracknut Coated Peanuts-Thai Firangi 160gm</t>
  </si>
  <si>
    <t>Lime Chilly Coated Peanuts 60gm</t>
  </si>
  <si>
    <t>Mexican Coated Peanuts 60gm</t>
  </si>
  <si>
    <t>Mexican Flavoured Coated Peanuts</t>
  </si>
  <si>
    <t>Mexican Flavoured Coated Peanuts 35gm</t>
  </si>
  <si>
    <t>Peanut Coated Spanish Tomato</t>
  </si>
  <si>
    <t>Peanuts Coated Masala Loose</t>
  </si>
  <si>
    <t>Peri Peri Coated Peanuts 60gm</t>
  </si>
  <si>
    <t>Pizza Flavoured Coated Peanuts</t>
  </si>
  <si>
    <t>Pizza Flavoured Coated Peanuts 35gm</t>
  </si>
  <si>
    <t>Plain Coated Peanuts</t>
  </si>
  <si>
    <t>Smokey BBQ Coated Peanuts 200g</t>
  </si>
  <si>
    <t>Smokey BBQ Coated Peanuts 70gm</t>
  </si>
  <si>
    <t>snack amor Coated Peanuts Pudina Patakha 100g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</si>
  <si>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</si>
  <si>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</si>
  <si>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</si>
  <si>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Thai Chilly Coated Peanuts 60gm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</si>
  <si>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</si>
  <si>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</si>
  <si>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</si>
  <si>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</si>
  <si>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Roasted Peanuts Split</t>
  </si>
  <si>
    <t>Vedaka Salted Peanuts - 200g (B0CZ9GZ9F2)</t>
  </si>
  <si>
    <t>Vedaka Salted Peanuts 200 gm (102219262)</t>
  </si>
  <si>
    <t>OFF-GRADE PISTACHIO</t>
  </si>
  <si>
    <t>Pista Akbari 26-28 Count</t>
  </si>
  <si>
    <t>Pista - Akbari</t>
  </si>
  <si>
    <t>Pista Inshell Iranian Akbari 20-22 Count</t>
  </si>
  <si>
    <t>California Pista Inshell</t>
  </si>
  <si>
    <t>Pista - Inshell</t>
  </si>
  <si>
    <t>California Pista Inshell Jumbo</t>
  </si>
  <si>
    <t>Pista Inshell Iranian 26-28</t>
  </si>
  <si>
    <t>Pista - Irani</t>
  </si>
  <si>
    <t>Pista Irani 101 Inshell</t>
  </si>
  <si>
    <t>Pista Irani 999 Inshell</t>
  </si>
  <si>
    <t>Pista Irani Inshell</t>
  </si>
  <si>
    <t>Pista Irani Super Inshell</t>
  </si>
  <si>
    <t>Pink Lipstick Pista Magaz Premium</t>
  </si>
  <si>
    <t>Pista - Kernel</t>
  </si>
  <si>
    <t>Pista Kernal Tukda</t>
  </si>
  <si>
    <t>Pista Kernel</t>
  </si>
  <si>
    <t>Pista Kernel B</t>
  </si>
  <si>
    <t>Pista Magaz</t>
  </si>
  <si>
    <t>Pista Magaz Split California</t>
  </si>
  <si>
    <t>Pista sliced</t>
  </si>
  <si>
    <t>Pistachio Kernenal-Rozi Salted</t>
  </si>
  <si>
    <t>PISTACHIO KERNEL-PISHORI</t>
  </si>
  <si>
    <t>Pista - Pishori</t>
  </si>
  <si>
    <t>Curate Pista Akbari 250g JR</t>
  </si>
  <si>
    <t>Curate Pista Akbari 550g JR</t>
  </si>
  <si>
    <t>Ez Pista Roasted Salted Akbari Loose</t>
  </si>
  <si>
    <t>Ha Akbari Pista 200g (1357005)</t>
  </si>
  <si>
    <t>Pista Akbari Roasted and Salted</t>
  </si>
  <si>
    <t>Cafe Galleries  Pepper Pista Inshell 250gm</t>
  </si>
  <si>
    <t>Cafe Galleries American Pista Inshell Regular 250gm</t>
  </si>
  <si>
    <t>Cafe Galleries American Pista Inshell Selected 250g</t>
  </si>
  <si>
    <t>California Pista Inshell Black Pepper</t>
  </si>
  <si>
    <t>California Pista Inshell Pink Salted</t>
  </si>
  <si>
    <t>California Pista Inshell Roasted and Salted</t>
  </si>
  <si>
    <t>California Pista Inshell Roasted and Salted 75gm</t>
  </si>
  <si>
    <t>Carnival Black Pepper Pistachio 80g</t>
  </si>
  <si>
    <t>Carnival California Pista Roasted and Salted 800g</t>
  </si>
  <si>
    <t>Carnival California Pistachio 200g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</si>
  <si>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</si>
  <si>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</si>
  <si>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</si>
  <si>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200gm</t>
  </si>
  <si>
    <t>Carnival Festive California Pista (21-26) 80gm</t>
  </si>
  <si>
    <t>Carnival Himalayan Salt &amp; Pepper Pistachios 200gm</t>
  </si>
  <si>
    <t>Carnival Himalayan Salt &amp; Pepper Pistachios 25g</t>
  </si>
  <si>
    <t>Carnival Pepper Pistachios 200G</t>
  </si>
  <si>
    <t>Carnival Roasted &amp; Salted Pistachio 100g</t>
  </si>
  <si>
    <t>Carnival Roasted &amp; Salted Pistachio 200g</t>
  </si>
  <si>
    <t>Carnival Roasted &amp; Salted Pistachio 250g</t>
  </si>
  <si>
    <t>Curate Pista Peshawari 300g Jr</t>
  </si>
  <si>
    <t>Ez Green Pista Loose (1459047)</t>
  </si>
  <si>
    <t>FABSTA PISTA CALIFORNIA 200G</t>
  </si>
  <si>
    <t>FNP Pistachios Salted &amp; Roasted 50 gm</t>
  </si>
  <si>
    <t>GL CALIFORNIA PISTA RSTED &amp; SLTD 500g PP</t>
  </si>
  <si>
    <t>GL ROSTED&amp;SLTD CALIFORNIA PISTA 200g PCH</t>
  </si>
  <si>
    <t>Natures California Pista Reg 200 Gm (1411656)</t>
  </si>
  <si>
    <t>Natures Pisto Unshelled 200g (1340526)</t>
  </si>
  <si>
    <t>NB PISTACHIO AKBARI LOOSE</t>
  </si>
  <si>
    <t>Pepper Pista 100g Pet</t>
  </si>
  <si>
    <t>Pepper Pista Inshell</t>
  </si>
  <si>
    <t>Pink Salt Pistachios 90gm</t>
  </si>
  <si>
    <t>PISTA PERI PERI</t>
  </si>
  <si>
    <t>Roasted &amp; Salted Pista 230g</t>
  </si>
  <si>
    <t>Roasted &amp; Salted Pista 75gm</t>
  </si>
  <si>
    <t>SnackAmor Roasted Salted Pistachio 170g</t>
  </si>
  <si>
    <t>Snackania California Pistachio Roasted &amp; Salted 230g</t>
  </si>
  <si>
    <t>Snackania Irani Pistachio Roasted &amp; Salted 230g</t>
  </si>
  <si>
    <t>Tasties Pink Salted Pistachio - Flavourful &amp; Crunchy 75 g</t>
  </si>
  <si>
    <t>Vedaka Roasted and Salted California Pistachios 500g (B0D9NY8F36)</t>
  </si>
  <si>
    <t>CA PREMIUM PINSHROSTSALTIRANIPISTA15 /P</t>
  </si>
  <si>
    <t>Carnival Classic Irani Pistachio Salted 80g</t>
  </si>
  <si>
    <t>Carnival Iranian Pistachio 250 Gm</t>
  </si>
  <si>
    <t>Carnival Roasted And Salted Irani Pista 250g</t>
  </si>
  <si>
    <t>Ez Pista Roasted Salted Irani Loose</t>
  </si>
  <si>
    <t>Natures Pista Iranian 100g (1340521)</t>
  </si>
  <si>
    <t>Natures Pista Iranian 250g (1340529)</t>
  </si>
  <si>
    <t>Natures Pistachia Iranian 500g (1340527)</t>
  </si>
  <si>
    <t>NB PISTACHIO IRANI LOOSE</t>
  </si>
  <si>
    <t>Pista Irani 101 Inshell Roasted and salted</t>
  </si>
  <si>
    <t>Pista Irani Inshell Roasted and Salted</t>
  </si>
  <si>
    <t>NB PISTACHIO KERNEL 5 STAR LOOSE</t>
  </si>
  <si>
    <t>NB PISTACHIO KERNEL PREMIUM LOOSE</t>
  </si>
  <si>
    <t>Pista Kernal Roasted and Salted</t>
  </si>
  <si>
    <t>Solimo Premium Pista Kernels - Plain 250g (B07Q1Z293G)</t>
  </si>
  <si>
    <t>Vedaka Whole California Pista Kernels 500gm [B0D9NY1V9X]</t>
  </si>
  <si>
    <t>Curate Pista Pishori 200g</t>
  </si>
  <si>
    <t>Brazil Nuts</t>
  </si>
  <si>
    <t>Hazelnut Blanched</t>
  </si>
  <si>
    <t>Hazelnuts</t>
  </si>
  <si>
    <t>Hazelnut Chocolate Spread</t>
  </si>
  <si>
    <t>Hazelnut Kernal</t>
  </si>
  <si>
    <t>Macadamia Commercial Grade Style 1</t>
  </si>
  <si>
    <t>Macadamia Nuts</t>
  </si>
  <si>
    <t>Macadamia Commercial Grade Style 4L</t>
  </si>
  <si>
    <t>Macadamia Inshell</t>
  </si>
  <si>
    <t>Macadamia Kernel ( Kg )</t>
  </si>
  <si>
    <t>Macadamia Kernel Style 0</t>
  </si>
  <si>
    <t>Macadamia Kernel Style 1L</t>
  </si>
  <si>
    <t>Macadamia Paste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</si>
  <si>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</si>
  <si>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</si>
  <si>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</si>
  <si>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</si>
  <si>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</si>
  <si>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</si>
  <si>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Roasted NIS Sawn</t>
  </si>
  <si>
    <t>Macadamia Roasted Salted - Size 1</t>
  </si>
  <si>
    <t>Macadamia Roasted Salted - Size 4</t>
  </si>
  <si>
    <t>Macadamia Vanilla Whole - 320* Cut</t>
  </si>
  <si>
    <t>Macadamia Whole - 320* Cut</t>
  </si>
  <si>
    <t>OFF-GRADE PREMIUM NUTS</t>
  </si>
  <si>
    <t>Pecan Nuts</t>
  </si>
  <si>
    <t>Pecan Nuts Kernel Split</t>
  </si>
  <si>
    <t>Pecans Nuts Inshell</t>
  </si>
  <si>
    <t>Pine Nut Kernel</t>
  </si>
  <si>
    <t>Pine Nuts</t>
  </si>
  <si>
    <t>PINE NUT KERNELS ROASTED</t>
  </si>
  <si>
    <t>Cafe Galleries Brazil Nuts 250g</t>
  </si>
  <si>
    <t>Carnival Premium Brazil Nuts, 250 Gms</t>
  </si>
  <si>
    <t>Ha Brazil Nut 200g (1340533)</t>
  </si>
  <si>
    <t>NB BRAZIL NUT LOOSE</t>
  </si>
  <si>
    <t>Tasties Brazil Nut - Gems Of South Africa 50 g</t>
  </si>
  <si>
    <t>Cafe Galleries Hazelnuts 250g</t>
  </si>
  <si>
    <t>Carnival Classic Hazelnut 250 GMS</t>
  </si>
  <si>
    <t>Cocoa Glazed Hazelnuts</t>
  </si>
  <si>
    <t>Curate Roasted Hazelnuts 200g</t>
  </si>
  <si>
    <t>Curate Roasted Hazelnuts 250g Jr</t>
  </si>
  <si>
    <t>Curate Roasted Hazelnuts 550g Jr</t>
  </si>
  <si>
    <t>Ha Hazulnut 250g (1340531)</t>
  </si>
  <si>
    <t>NB HAZELNUT LOOSE</t>
  </si>
  <si>
    <t>Solimo Premium Hazelnuts 250g (B07MLDJKTP) FBA</t>
  </si>
  <si>
    <t>Tasties Hazelnut - A Turkish Indulgence 50 g</t>
  </si>
  <si>
    <t>AUSTRALIA MACADAMIA HONEY ROAST 100G PCH</t>
  </si>
  <si>
    <t>AUSTRALIA MACADAMIA SWEETCHILLI 100G PCH</t>
  </si>
  <si>
    <t>AUSTRALIA MCADAMIA DARKCHOCOLTE 100G PCH</t>
  </si>
  <si>
    <t>AUSTRALIA MCDAMIA MILKCHOCOLATE 100G PCH</t>
  </si>
  <si>
    <t>Barbeque Macadamia</t>
  </si>
  <si>
    <t>Black Pepper Macadamia Trail Mix</t>
  </si>
  <si>
    <t>Cafe Galleries Macadamia Nut Salted 250g</t>
  </si>
  <si>
    <t>Carnival Macadamia 200gm</t>
  </si>
  <si>
    <t>Carnival Premium Macadamia Nut 250 Gms</t>
  </si>
  <si>
    <t>Carnival Roasted Macadamia Nuts 100g</t>
  </si>
  <si>
    <t>Carnival Roasted Macadamia Nuts 250g</t>
  </si>
  <si>
    <t>Curate Macadamia Nuts 250g Jr</t>
  </si>
  <si>
    <t>CURATE MACADEMIA NUTS 200G</t>
  </si>
  <si>
    <t>Dark Chocolate Macadamia Clusters 100gm</t>
  </si>
  <si>
    <t>Honey Roasted Macadamia Nut</t>
  </si>
  <si>
    <t>Honey Roasted Macadamias 100gm</t>
  </si>
  <si>
    <t>Mac Snack Macadamia Stlye 0 Premium-200gm</t>
  </si>
  <si>
    <t>Mac Snack Macadamia Style 1 Roasted &amp; Salted Premium 200g</t>
  </si>
  <si>
    <t>Macadamia Dark Chocolate Clusters</t>
  </si>
  <si>
    <t>MACADAMIA FINGER LIME &amp; JALAPENO</t>
  </si>
  <si>
    <t>Macadamia Inshell 150g</t>
  </si>
  <si>
    <t>Macadamia Kernal 150gm</t>
  </si>
  <si>
    <t>Macadamia Milk Chocolate Clusters</t>
  </si>
  <si>
    <t>MACADAMIA NIS - ROASTED SEA SALT</t>
  </si>
  <si>
    <t>Macadamia Roasted &amp; Salted style 4</t>
  </si>
  <si>
    <t>Macadamia Roasted Salted - Size 0</t>
  </si>
  <si>
    <t>MACADAMIA ROSEMARY &amp; SEA SALT</t>
  </si>
  <si>
    <t>MACSNACK DRYRST MCADAMIAMUNCHIE 100G PCH</t>
  </si>
  <si>
    <t>MACSNACK DRYRST MCADAMIAMUNCHIE 200G PCH</t>
  </si>
  <si>
    <t>MACSNACK R&amp;S MACADAMIA MUNCHIES 100G PCH</t>
  </si>
  <si>
    <t>MACSNACK R&amp;S MACADAMIA MUNCHIES 200G PCH</t>
  </si>
  <si>
    <t>Milk Chocolate Macadamia Clusters 100gm</t>
  </si>
  <si>
    <t>NATURES MACADAMIA ROASTED&amp;SALTED 100g (1443558)</t>
  </si>
  <si>
    <t>NB MACADAMIA INSHELL VANILLA LOOSE</t>
  </si>
  <si>
    <t>NB MACADAMIA LOOSE</t>
  </si>
  <si>
    <t>NB ROASTED MACADAMIA INSHELL LOOSE</t>
  </si>
  <si>
    <t>NUTWORKS FINGER LIME &amp; JALAPENO 75G PCH</t>
  </si>
  <si>
    <t>NUTWORKS ROAST SALT INSHELL 200G PCH</t>
  </si>
  <si>
    <t>NUTWORKS ROSEMARY &amp; SEASALT 75G PCH</t>
  </si>
  <si>
    <t>NUTWORKS WASABI 75G PCH</t>
  </si>
  <si>
    <t>Sea Salt Dry - Roasted Macadamia Nuts- Size 1</t>
  </si>
  <si>
    <t>Snack Amor Macadamia Nuts 50g</t>
  </si>
  <si>
    <t>Solimo Premium Macadamia Nuts 250g (B07MLD6WFQ)</t>
  </si>
  <si>
    <t>Sweet Chilli Macadamia Nut</t>
  </si>
  <si>
    <t>Sweet Chilli Macadamias 100gm</t>
  </si>
  <si>
    <t>Tasties Macadamia Nuts - From South Africa 50 g</t>
  </si>
  <si>
    <t>WASABI MACADAMIA STYLE 4</t>
  </si>
  <si>
    <t>American Pecan 50gm</t>
  </si>
  <si>
    <t>Black Pepper Pecannut</t>
  </si>
  <si>
    <t>Cafe Galleries Pecan nuts 250g</t>
  </si>
  <si>
    <t>Cajun Spice Pecan Nuts Loose</t>
  </si>
  <si>
    <t>Caramel Pecannut</t>
  </si>
  <si>
    <t>Carnival Premium Pecan Nuts 200g Mono Carton</t>
  </si>
  <si>
    <t>Carnival Premium Pecan Nuts 250 Gms</t>
  </si>
  <si>
    <t>Carnival Salted Caramel Pecannuts 80g</t>
  </si>
  <si>
    <t>Chocolate Dipped Pecan Nut Loose</t>
  </si>
  <si>
    <t>Cinnamon Glazed Pecan</t>
  </si>
  <si>
    <t>Ha Premium Pecans 150g (1340534)</t>
  </si>
  <si>
    <t>Habit Pecan Nuts 500gm</t>
  </si>
  <si>
    <t>HOH ZORRO PECAN MAPLE GLAZED 100G BOX</t>
  </si>
  <si>
    <t>HOH ZORRO PECAN ROASTED SALTED100G BOX</t>
  </si>
  <si>
    <t>HOH ZORRO PECAN SIMPLY PECAN 100G BOX</t>
  </si>
  <si>
    <t>HOH ZORRO PECAN SWEET &amp; SPICY 100G BOX</t>
  </si>
  <si>
    <t>HOH ZORRO PECANS FREE GRANOLA 100G BOX</t>
  </si>
  <si>
    <t>NB PECAN NUT LOOSE</t>
  </si>
  <si>
    <t>Pecannut Flavoured Rose Mary Loose</t>
  </si>
  <si>
    <t>Pecans Roasted and Salted</t>
  </si>
  <si>
    <t>Peri Peri Pecannut</t>
  </si>
  <si>
    <t>Roasted &amp; Salted Pecan Nuts 75gm</t>
  </si>
  <si>
    <t>Smoked Paprika Pecan Nuts Loose</t>
  </si>
  <si>
    <t>Solimo Premium Pecan Nuts, 250g (B07MF7K9HD)</t>
  </si>
  <si>
    <t>Sweet and Spicy Pecan</t>
  </si>
  <si>
    <t>Tasties Pecan Nuts - Iconic American Nut 50 g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</si>
  <si>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</si>
  <si>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</si>
  <si>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</si>
  <si>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</si>
  <si>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</si>
  <si>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Cafe Galleries Pine nut 250g</t>
  </si>
  <si>
    <t>Carnival Pine Nut 100 Gms</t>
  </si>
  <si>
    <t>Ha Pinenut 100g (1340543)</t>
  </si>
  <si>
    <t>NB PINENUT LOOSE</t>
  </si>
  <si>
    <t>Solimo Premium Pine Nuts, 250g (B07MF7FRRG)</t>
  </si>
  <si>
    <t>OFF-GRADE PRUNES</t>
  </si>
  <si>
    <t>Dried Prunes (Pitted)</t>
  </si>
  <si>
    <t>Prunes - Pitted</t>
  </si>
  <si>
    <t>Carnival California Pitted Prunes 300 Gms</t>
  </si>
  <si>
    <t>Carnival Chatpata Prunes 100gm</t>
  </si>
  <si>
    <t>Carnival Pitted Prunes 250g</t>
  </si>
  <si>
    <t>Chatpata Prunes</t>
  </si>
  <si>
    <t>Curate Pitted Prunes 300g Jr</t>
  </si>
  <si>
    <t>Curate Prunes 200g</t>
  </si>
  <si>
    <t>Delmonte Prunes 130g</t>
  </si>
  <si>
    <t>Delmonte Prunes 130g [1 Case x 40 unit]</t>
  </si>
  <si>
    <t>Delmonte Prunes 340g</t>
  </si>
  <si>
    <t>Delmonte Prunes 340g [1 Case x 20 unit]</t>
  </si>
  <si>
    <t>Ha Prunes 275g(1340539)</t>
  </si>
  <si>
    <t>NB PRUNES DRIED LOOSE</t>
  </si>
  <si>
    <t>PL CALIFORNIA PRUNES 200G</t>
  </si>
  <si>
    <t>Premia Prunes 100gm</t>
  </si>
  <si>
    <t>Prunes 1KG (B07GR24VN1)</t>
  </si>
  <si>
    <t>Prunes 200G (B07GQWRZKN)</t>
  </si>
  <si>
    <t>Prunes 500G (B07GQZSS53)</t>
  </si>
  <si>
    <t>Snack Amor Dried Prunes 200g</t>
  </si>
  <si>
    <t>OFF-GRADE RAISIN</t>
  </si>
  <si>
    <t>Afghan Munakka / Abjosh 1X1</t>
  </si>
  <si>
    <t>Raisin - Abjosh</t>
  </si>
  <si>
    <t>Afghan Munakka / Abjosh 1X2</t>
  </si>
  <si>
    <t>Afghan Raisins 1*1 Green round</t>
  </si>
  <si>
    <t>Raisin - Afghan</t>
  </si>
  <si>
    <t>Afghan Raisins 1*2 Green round</t>
  </si>
  <si>
    <t>Afghan Black Raisins Seeded 1*2</t>
  </si>
  <si>
    <t>Raisin - Black</t>
  </si>
  <si>
    <t>Afghan Black Raisins Seedless 1*1</t>
  </si>
  <si>
    <t>Afghan Black Raisins Seedless 1*2</t>
  </si>
  <si>
    <t>Afghan Raisins Black Seeded 1*1</t>
  </si>
  <si>
    <t>Indian Black Raisins</t>
  </si>
  <si>
    <t>Indian Green Raisins</t>
  </si>
  <si>
    <t>Raisin - Indian</t>
  </si>
  <si>
    <t>Indian Long Green Raisins</t>
  </si>
  <si>
    <t>Raisin Green</t>
  </si>
  <si>
    <t>Afghan Shandukhani Green Raisins</t>
  </si>
  <si>
    <t>Raisin - Shandukhani</t>
  </si>
  <si>
    <t>Premium Shandukhani Green Raisins</t>
  </si>
  <si>
    <t>Abjosh (Munakka) 100gm</t>
  </si>
  <si>
    <t>Carnival Premium Abjosh 100gm</t>
  </si>
  <si>
    <t>Ez Munakka Loose</t>
  </si>
  <si>
    <t>NB MUNAKKA LOOSE</t>
  </si>
  <si>
    <t>NB RAISIN AFGHAN</t>
  </si>
  <si>
    <t>Snackania Afghan Green Raisins 230g</t>
  </si>
  <si>
    <t>Carnival Chatpata Black Raisins 100g</t>
  </si>
  <si>
    <t>Carnival Deluxe Seeded Black Raisin 250gm</t>
  </si>
  <si>
    <t>Carnival Festive Black Raisin Seedless 150gm</t>
  </si>
  <si>
    <t>Carnival Festive Seedless Black Raisin 200gm</t>
  </si>
  <si>
    <t>Carnival Raisin Black Seeded 250gm</t>
  </si>
  <si>
    <t>Carnival Raisins Black Chatpata 200g</t>
  </si>
  <si>
    <t>Carnival Seedless Black Raisin 250 Gm</t>
  </si>
  <si>
    <t>Chatpata Black Raisin</t>
  </si>
  <si>
    <t>Ez Black Raisin Loose (1459026)</t>
  </si>
  <si>
    <t>Ez Black Raisin Seedless Loose</t>
  </si>
  <si>
    <t>FABSTA BLACK RAISINS 100G (1455547)</t>
  </si>
  <si>
    <t>FABSTA BLACK RAISINS 200G</t>
  </si>
  <si>
    <t>FABSTA BLACK RAISINS 500G</t>
  </si>
  <si>
    <t>Natures Black Raisin 200g (1340522)</t>
  </si>
  <si>
    <t>NB BLACK RAISIN SEEDLESS LOOSE</t>
  </si>
  <si>
    <t>Snackania Afghan Black Raisins 230g</t>
  </si>
  <si>
    <t>Vedaka Black Raisins - 500g (B0D9P37XTT)</t>
  </si>
  <si>
    <t>Vedaka Premium Black Raisins 100g B07GQVNVV8</t>
  </si>
  <si>
    <t>Vedaka Premium Black Raisins 200g (B07GR346FX)</t>
  </si>
  <si>
    <t>CA INDIAN PREMIUM QUALITY RAISINS 150/P</t>
  </si>
  <si>
    <t>Carnival Classic Indian Kishmish 500 Gms</t>
  </si>
  <si>
    <t>Carnival Classic Indian Raisins 250g</t>
  </si>
  <si>
    <t>Carnival Festive Indian Raisin 100gm</t>
  </si>
  <si>
    <t>Carnival Festive Indian Raisin 150gm</t>
  </si>
  <si>
    <t>Carnival Festive Indian Raisin 175gm</t>
  </si>
  <si>
    <t>Carnival Festive Indian Raisin 200gm</t>
  </si>
  <si>
    <t>Carnival Festive Indian Raisin 250gm</t>
  </si>
  <si>
    <t>Carnival Festive Paan Raisin 125gm</t>
  </si>
  <si>
    <t>Carnival Indian Green Raisins 200g</t>
  </si>
  <si>
    <t>Carnival Indian Kishmish 100g</t>
  </si>
  <si>
    <t>Carnival Pan Raisin 125g</t>
  </si>
  <si>
    <t>CARNIVAL RAISIN IDNIAN GREEN/GOLDEN ROUND 1KG</t>
  </si>
  <si>
    <t>Ez Kishmish Afghani Loose</t>
  </si>
  <si>
    <t>FABSTA INDIAN RAISINS 200G</t>
  </si>
  <si>
    <t>FABSTA INDIAN RAISINS 500G</t>
  </si>
  <si>
    <t>FABSTA Raisins Indian 100 Gm</t>
  </si>
  <si>
    <t>FNP Indian Raisins 70 gm</t>
  </si>
  <si>
    <t>Indian Green Raisins 230g</t>
  </si>
  <si>
    <t>Indian Green Raisins 90gm</t>
  </si>
  <si>
    <t>Masala Raisin</t>
  </si>
  <si>
    <t>Natures Indian Raisin Reg 200 Gm (1411654)</t>
  </si>
  <si>
    <t>Natures Indian Raisin Reg 500 Gm (1411655)</t>
  </si>
  <si>
    <t>Natures Raisin 100g (1340523)</t>
  </si>
  <si>
    <t>Natures Raisin 250g (1340519)</t>
  </si>
  <si>
    <t>Natures Raisin 500g (1356006)</t>
  </si>
  <si>
    <t>NB MASALA RAISIN LOOSE</t>
  </si>
  <si>
    <t>NB PAAN RAISIN LOOSE</t>
  </si>
  <si>
    <t>NB RAISIN INDIAN PREMIUM LOOSE</t>
  </si>
  <si>
    <t>Pan Raisin</t>
  </si>
  <si>
    <t>Popular Raisins, 500 g (B07GR3S1RR)</t>
  </si>
  <si>
    <t>Premia Indian Raisin 100gm</t>
  </si>
  <si>
    <t>Raisins 200G (B07GRBFFMR) FBA</t>
  </si>
  <si>
    <t>Royal Traditions Plain Raisins 100g</t>
  </si>
  <si>
    <t>SnackAmor Paan Raisins 100g</t>
  </si>
  <si>
    <t>Solimo Premium Raisin 250g (B01LPYAB9O)</t>
  </si>
  <si>
    <t>Solimo Premium Raisins, 500 g (B07RJXW87Z)</t>
  </si>
  <si>
    <t>Vedaka Popular Raisins, 1 kg (B07GR82XJR)</t>
  </si>
  <si>
    <t>Vedaka Popular Raisins, 100 g (B07GRBFFMS)</t>
  </si>
  <si>
    <t>Curate Sandhukhani Kismis 300g Jr</t>
  </si>
  <si>
    <t>Curate Sandhukhani Kismis 600g Jr</t>
  </si>
  <si>
    <t>HA SINDUKANI RAISIN 250GM</t>
  </si>
  <si>
    <t>NB RAISIN SANDUKANI LOOSE</t>
  </si>
  <si>
    <t>Black Salt, Kala Namak - Crystal</t>
  </si>
  <si>
    <t>Salt</t>
  </si>
  <si>
    <t>Pink Salt.</t>
  </si>
  <si>
    <t>Refined Fine Powder Iodized Salt Prime</t>
  </si>
  <si>
    <t>Refined Fine Powder Iodized Salt Prime - TPL</t>
  </si>
  <si>
    <t>Rock Salt -Sendha Namak Powder</t>
  </si>
  <si>
    <t>OFF-GRADE SEASONING</t>
  </si>
  <si>
    <t>Anardana Churan</t>
  </si>
  <si>
    <t>Seasoning</t>
  </si>
  <si>
    <t>Anardana Powder</t>
  </si>
  <si>
    <t>Banana flavour (241114) NATURAL</t>
  </si>
  <si>
    <t>Barbeque Flavour</t>
  </si>
  <si>
    <t>Barbeque seasoning</t>
  </si>
  <si>
    <t>Black Pepper Powder</t>
  </si>
  <si>
    <t>Black Pepper Seasoning</t>
  </si>
  <si>
    <t>BLACK PEPPER TOPNOTE LIQUID</t>
  </si>
  <si>
    <t>BLACKPEPPER SEASONING BLEND</t>
  </si>
  <si>
    <t>Caramel Sweet Popcorn Flavour</t>
  </si>
  <si>
    <t>Cayenne Pepper Powder</t>
  </si>
  <si>
    <t>CHAT MASALA</t>
  </si>
  <si>
    <t>Chatpata Seasoning</t>
  </si>
  <si>
    <t>CHEESE SEASONING</t>
  </si>
  <si>
    <t>Cheesy Tomato Seasoning 2 (PR01895/001)</t>
  </si>
  <si>
    <t>Chilli Garlic Flavour</t>
  </si>
  <si>
    <t>Chilli Garlic Masala Seasoning</t>
  </si>
  <si>
    <t>Chilli Powder</t>
  </si>
  <si>
    <t>Chilli Seasoning</t>
  </si>
  <si>
    <t>Chipotle Honey Seasoning</t>
  </si>
  <si>
    <t>Choco Chips</t>
  </si>
  <si>
    <t>Chocolate Flavour</t>
  </si>
  <si>
    <t>Chocolate Flavour 170522</t>
  </si>
  <si>
    <t>Coffee Beans</t>
  </si>
  <si>
    <t>Coffee Flavour</t>
  </si>
  <si>
    <t>CORIANDER / DHANIYA / Cilantro seeds</t>
  </si>
  <si>
    <t>Cranberry Flavour 280619</t>
  </si>
  <si>
    <t>Dalchini (Cinnamon) Powder</t>
  </si>
  <si>
    <t>Desi Masala Seasoning</t>
  </si>
  <si>
    <t>Dried Mango Powder - Amchur</t>
  </si>
  <si>
    <t>DRIED ROSEMARY</t>
  </si>
  <si>
    <t>GARLIC POWDER - SPICES</t>
  </si>
  <si>
    <t>Green Chilli ( 4010000169 )</t>
  </si>
  <si>
    <t>Hing Jeera - CP2218</t>
  </si>
  <si>
    <t>Jav</t>
  </si>
  <si>
    <t>Kerry N&amp;A Butter Flavour - TPL</t>
  </si>
  <si>
    <t>Lemon Pepper Seasoning</t>
  </si>
  <si>
    <t>Lime Chilli Seasoning</t>
  </si>
  <si>
    <t>Maggi Masala Flavours</t>
  </si>
  <si>
    <t>Magic Masala Seasoning</t>
  </si>
  <si>
    <t>Mango Flavour 291018</t>
  </si>
  <si>
    <t>Mango Slice Chilli Seasoning</t>
  </si>
  <si>
    <t>Masala Seasoning</t>
  </si>
  <si>
    <t>Mexican Chilli Seasoning (PR01027/001)</t>
  </si>
  <si>
    <t>Mint Chutney Flavour 1</t>
  </si>
  <si>
    <t>Mint Chutney Flavour 2</t>
  </si>
  <si>
    <t>Natural Pineapple Falvour 170914</t>
  </si>
  <si>
    <t>Onion garlic seasoning</t>
  </si>
  <si>
    <t>Onion Powder-spices</t>
  </si>
  <si>
    <t>Orange Flavour 220509</t>
  </si>
  <si>
    <t>ORANGE SUPREME OIL FLAVOUR</t>
  </si>
  <si>
    <t>OREGANO</t>
  </si>
  <si>
    <t>Paan Seasoning AB319</t>
  </si>
  <si>
    <t>Paneer Tikka Seasoning</t>
  </si>
  <si>
    <t>Panipuri Seasoning</t>
  </si>
  <si>
    <t>Peri Peri Liquid</t>
  </si>
  <si>
    <t>Peri Peri Marination Seasoning</t>
  </si>
  <si>
    <t>Pizza Seasoning</t>
  </si>
  <si>
    <t>Powder Black Pepper spices</t>
  </si>
  <si>
    <t>PREGEFLO CH 10 G</t>
  </si>
  <si>
    <t>Pudina seasoning</t>
  </si>
  <si>
    <t>Raspberry Flavour 240323</t>
  </si>
  <si>
    <t>Red Chilli Oleoresin (Cap Oleoresin 4010000030)</t>
  </si>
  <si>
    <t>Rose Flavour 060721</t>
  </si>
  <si>
    <t>Salt &amp; Pepper Seasoning</t>
  </si>
  <si>
    <t>Salted Caramel Flavour</t>
  </si>
  <si>
    <t>Schezwan Seasoning</t>
  </si>
  <si>
    <t>Sesame Seeds (White Til)</t>
  </si>
  <si>
    <t>Smoke Paprika Flavour F170</t>
  </si>
  <si>
    <t>Smoke Seasoning</t>
  </si>
  <si>
    <t>Smokey BBQ seasoning</t>
  </si>
  <si>
    <t>Sour Cream And Seasoning</t>
  </si>
  <si>
    <t>Spanish Tomato Seasoning</t>
  </si>
  <si>
    <t>Strawberry Flavour 260323</t>
  </si>
  <si>
    <t>SWEET PAPRIKA POWDER</t>
  </si>
  <si>
    <t>Tandoori Masala</t>
  </si>
  <si>
    <t>Tandoori Seasoning</t>
  </si>
  <si>
    <t>TANGY TOMATO SEASONING</t>
  </si>
  <si>
    <t>Urban Platter Chipotle Seasoning</t>
  </si>
  <si>
    <t>Urban Platter Lemon Pepper Seasoning</t>
  </si>
  <si>
    <t>Urban Platter Soya Chaap Seasoning</t>
  </si>
  <si>
    <t>Vanila Flavour 19112020</t>
  </si>
  <si>
    <t>Vanilla Flavour</t>
  </si>
  <si>
    <t>VANILLA LIQUID EXTRACT</t>
  </si>
  <si>
    <t>Wasabi Seasoning  AB343</t>
  </si>
  <si>
    <t>Whey Protein Concentrate 80% Regular</t>
  </si>
  <si>
    <t>White Pepper (White Miri)</t>
  </si>
  <si>
    <t>Black Chia Seeds</t>
  </si>
  <si>
    <t>Chia</t>
  </si>
  <si>
    <t>Edamame Beans</t>
  </si>
  <si>
    <t>Edamame</t>
  </si>
  <si>
    <t>Flax Seeds (Alsi)</t>
  </si>
  <si>
    <t>FLax</t>
  </si>
  <si>
    <t>Hemp Seeds</t>
  </si>
  <si>
    <t>Hemp</t>
  </si>
  <si>
    <t>Kalunji Seeds</t>
  </si>
  <si>
    <t>Kalunji</t>
  </si>
  <si>
    <t>Kakdi Magaj</t>
  </si>
  <si>
    <t>Melon</t>
  </si>
  <si>
    <t>Muskmelon Seeds</t>
  </si>
  <si>
    <t>Khira Magaj - Cucumbar Seeds</t>
  </si>
  <si>
    <t>Melon Seeds</t>
  </si>
  <si>
    <t>OFF-GRADE SEEDS</t>
  </si>
  <si>
    <t>Quinoa Seeds</t>
  </si>
  <si>
    <t>Other Seeds</t>
  </si>
  <si>
    <t>Pumpkin Seed ( 5% )</t>
  </si>
  <si>
    <t>Pumpkin</t>
  </si>
  <si>
    <t>Pumpkin Seed 12%</t>
  </si>
  <si>
    <t>Basil Seeds (Sabja)</t>
  </si>
  <si>
    <t>Sabja</t>
  </si>
  <si>
    <t>Black Sesame seeds - Kali Til</t>
  </si>
  <si>
    <t>Sesame</t>
  </si>
  <si>
    <t>Sunflower Seeds</t>
  </si>
  <si>
    <t>Sunflower</t>
  </si>
  <si>
    <t>Sunflower Seeds Roasted and Salted</t>
  </si>
  <si>
    <t>Water Melon Seed</t>
  </si>
  <si>
    <t>Watermelon</t>
  </si>
  <si>
    <t>Watermelon Seeds Roasted</t>
  </si>
  <si>
    <t>Cafe Galleries Chia seeds 250g</t>
  </si>
  <si>
    <t>Carnival Classic Chia Seeds 1 Kg</t>
  </si>
  <si>
    <t>Carnival Classic Chia Seeds 100gm</t>
  </si>
  <si>
    <t>Chia Seeds 100G (B07GQZCP91)</t>
  </si>
  <si>
    <t>Chia Seeds 200G (B07GQQLZPD)</t>
  </si>
  <si>
    <t>Chia Seeds 500G (B07GQZSJFH)</t>
  </si>
  <si>
    <t>GOOD LIFE CHIA SEED 100G</t>
  </si>
  <si>
    <t>Healthy Choice Chia Seeds 100 g</t>
  </si>
  <si>
    <t>Healthy Choice Chia Seeds 200 g</t>
  </si>
  <si>
    <t>NB CHIA SEED LOOSE</t>
  </si>
  <si>
    <t>SnackAmor Roasted Chia Seeds 200g</t>
  </si>
  <si>
    <t>Vedaka Chia Seeds 1kg ( B0D9P16WZQ )</t>
  </si>
  <si>
    <t>Cafe Galleries Flax seeds 250g</t>
  </si>
  <si>
    <t>Carnival Flax Seeds 100G</t>
  </si>
  <si>
    <t>Fabsta Rstd Flax Seeds 100g</t>
  </si>
  <si>
    <t>Flaxseeds 200G (B07GR346G4)</t>
  </si>
  <si>
    <t>Flaxseeds 500G (B07GQZ7ZVT)</t>
  </si>
  <si>
    <t>GOOD LIFE FLAX SEED 100G</t>
  </si>
  <si>
    <t>NB FLAX SEED LOOSE</t>
  </si>
  <si>
    <t>Roasted Flax Seeds</t>
  </si>
  <si>
    <t>Flax</t>
  </si>
  <si>
    <t>Roasted Salted Flax Seeds</t>
  </si>
  <si>
    <t>Vedaka Raw Flaxseed 1kg (B0D9NZS3JT)</t>
  </si>
  <si>
    <t>Fabsta Rstd Melon Seeds 100g</t>
  </si>
  <si>
    <t>MElon</t>
  </si>
  <si>
    <t>Roasted Black Sesame (Kale Til) Seeds</t>
  </si>
  <si>
    <t>Roasted Poppy Seed</t>
  </si>
  <si>
    <t>Roasted White Sesame (Safed Til) Seeds</t>
  </si>
  <si>
    <t>Cafe Galleries Pumpkin Seeds 250g</t>
  </si>
  <si>
    <t>Cafe Galleries Salted Pumpkin Seeds 250g</t>
  </si>
  <si>
    <t>Carnival Classic Pumpkin Seeds 100g</t>
  </si>
  <si>
    <t>Fabsta Rstd Pumpkin Seeds 100g</t>
  </si>
  <si>
    <t>GOOD LIFE PUMPKIN SEED 100G</t>
  </si>
  <si>
    <t>Healthy Choice Roasted Pumpkin Seeds 100 g</t>
  </si>
  <si>
    <t>Healthy Choice Roasted Pumpkin Seeds 200 g</t>
  </si>
  <si>
    <t>NB PUMPKIN SEED LOOSE</t>
  </si>
  <si>
    <t>Pumpkin Seed 200g (B07GQW1HJC)</t>
  </si>
  <si>
    <t>Pumpkin Seeds 100g (B07GQRWYNP)</t>
  </si>
  <si>
    <t>Pumpkin Seeds 500G (B07GQWST7Y) FBA</t>
  </si>
  <si>
    <t>Pumpkin Seeds Roasted</t>
  </si>
  <si>
    <t>Pumpkin Seeds Roasted and Salted</t>
  </si>
  <si>
    <t>SnackAmor Roasted Pumpkin Seeds 200g</t>
  </si>
  <si>
    <t>Vedaka Premium Raw Pumpkin Seeds (B0D9NZ6BHJ)</t>
  </si>
  <si>
    <t>Amazon Brand - Vedaka Raw Sunflower Seeds 1 Kg B0D9P1N25J</t>
  </si>
  <si>
    <t>Cafe Galleries Sunflower Seeds - 250gm</t>
  </si>
  <si>
    <t>Carnival Classic Sunflower Seeds 100G</t>
  </si>
  <si>
    <t>Fabsta Rstd Sunflower Seeds 100g</t>
  </si>
  <si>
    <t>GOOD LIFE SUNFLOWER SEED 100G</t>
  </si>
  <si>
    <t>Healthy Choice Roasted Sunflower Seeds 100 g</t>
  </si>
  <si>
    <t>Healthy Choice Roasted Sunflower Seeds 200 g</t>
  </si>
  <si>
    <t>NB SUNFLLOWER SEED LOOSE</t>
  </si>
  <si>
    <t>Sunflower Seed 100g (B07GR6G24J) FBA</t>
  </si>
  <si>
    <t>Sunflower Seeds 200g (B07GQNLN8S) FBA</t>
  </si>
  <si>
    <t>Sunflower Seeds Roasted</t>
  </si>
  <si>
    <t>Vedaka Premium Sunflower Seeds 500g (B07GR2G67L)</t>
  </si>
  <si>
    <t>Healthy Choice Roasted Watermelon Seeds 100 g</t>
  </si>
  <si>
    <t>Healthy Choice Roasted Watermelon Seeds 200 g</t>
  </si>
  <si>
    <t>NB WATERMELON SEED LOOSE</t>
  </si>
  <si>
    <t>Cardamom Powder</t>
  </si>
  <si>
    <t>SPICES</t>
  </si>
  <si>
    <t>Ground Spices</t>
  </si>
  <si>
    <t>Jeera Powder</t>
  </si>
  <si>
    <t>Turmeric (Haldi) Powder</t>
  </si>
  <si>
    <t>Black Cardamom</t>
  </si>
  <si>
    <t>Whole Spices</t>
  </si>
  <si>
    <t>Black Pepper (Kali Miri Whole)</t>
  </si>
  <si>
    <t>Boria Mirch - Round Red Chilli / Boriya Chilli</t>
  </si>
  <si>
    <t>Cinnamon Quills</t>
  </si>
  <si>
    <t>Fennel Seed / Saunf / Variyali</t>
  </si>
  <si>
    <t>Green Cardamom</t>
  </si>
  <si>
    <t>JEERA (CUMIN SEEDS)</t>
  </si>
  <si>
    <t>SHAHI JEERA (CUMIN SEEDS)</t>
  </si>
  <si>
    <t>Carnival Premium Kesar 0.5 Gms</t>
  </si>
  <si>
    <t>Kara Coconut Cream Powder (Instant) 15kg/1 - TPL</t>
  </si>
  <si>
    <t>Tajir - CCP</t>
  </si>
  <si>
    <t>Kara Coconut Milk 17% 400ml</t>
  </si>
  <si>
    <t>CHEESE SEASONING - TPL</t>
  </si>
  <si>
    <t>Tajir - Other</t>
  </si>
  <si>
    <t>Kara Coconut Milk 17% 200ml New</t>
  </si>
  <si>
    <t>Kara Coconut Milk 17% 400ml New</t>
  </si>
  <si>
    <t>KERRY ARTIFICIAL CHEESE FLAVOR - TPL</t>
  </si>
  <si>
    <t>KERRY SAUCE MIX POWDER 25KG TPL</t>
  </si>
  <si>
    <t>KFI FLAVORCREST UNC NF - TPL</t>
  </si>
  <si>
    <t>Maize Starch</t>
  </si>
  <si>
    <t>Maltodextrin - TPL</t>
  </si>
  <si>
    <t>Natural Red Colour - TPL</t>
  </si>
  <si>
    <t>Sugar Powder -TPL</t>
  </si>
  <si>
    <t>Wheat Aata (Wheat Flour)- TPL</t>
  </si>
  <si>
    <t>Wheat Aata (Wheat Flour)- TPL - 5%</t>
  </si>
  <si>
    <t>Wheat Atta</t>
  </si>
  <si>
    <t>Wheat Starch - TPL</t>
  </si>
  <si>
    <t>Habit Coconut Cream Powder 1 Kg (Bakery Division)</t>
  </si>
  <si>
    <t>Habit Coconut Cream Powder 1 Kg (Instant)</t>
  </si>
  <si>
    <t>Habit Coconut Cream Powder 1 Kg (Plain)</t>
  </si>
  <si>
    <t>Extra Cheese Seasoning (UNC) 1Kg</t>
  </si>
  <si>
    <t>Extra Cheese Seasoning Extreme</t>
  </si>
  <si>
    <t>Extra Cheese Seasoning-UNC( Malaysian) 15kg</t>
  </si>
  <si>
    <t>Extra Cheese Seasoning-UNC( Malaysian) 1kg</t>
  </si>
  <si>
    <t>Extreme Cheese Seasoning( Malaysian) 1kg</t>
  </si>
  <si>
    <t>Habit Extra Cheese Seasoning (15kg)</t>
  </si>
  <si>
    <t>OFF-GRADE TRAIL MIX</t>
  </si>
  <si>
    <t>Acrylic 40 Pc Dates Box</t>
  </si>
  <si>
    <t>Date Bite Bulk</t>
  </si>
  <si>
    <t>Date Bites 9gm</t>
  </si>
  <si>
    <t>FNP Choco Berry Bites 50gm</t>
  </si>
  <si>
    <t>Date Balls Coated Coconut (22G X 3)</t>
  </si>
  <si>
    <t>Date Balls Coated Dark (22g x 3)</t>
  </si>
  <si>
    <t>Date Balls Coated Milk (22g x 3)</t>
  </si>
  <si>
    <t>Date Balls Coated White (22g x 3)</t>
  </si>
  <si>
    <t>Ajfan Barbeque Trail Mix Nuts 125g</t>
  </si>
  <si>
    <t>Trail Mix</t>
  </si>
  <si>
    <t>Ajfan Caramel &amp; Himalayan Salt Trail Mix Nuts 125g</t>
  </si>
  <si>
    <t>Ajfan Roasted &amp; Salted Trail Mix 125g</t>
  </si>
  <si>
    <t>Almond Apricot and Seeds Date Balls 48 gms</t>
  </si>
  <si>
    <t>Almond Cranberry Black currant and seeds Date Balls 48 gms</t>
  </si>
  <si>
    <t>Amazon Brand Nuts Berries and Seed Mix 200g (B0B69J57QV)</t>
  </si>
  <si>
    <t>Amazon Brand Vedaka Dryfruits and Berries Mix 200g (B0B69KXW9J)</t>
  </si>
  <si>
    <t>Amazon Brand Vedaka Dryfruits and Nut Mix 200g (B0B69KB4GB)</t>
  </si>
  <si>
    <t>Antioxidant Mix 33gm</t>
  </si>
  <si>
    <t>Antioxidant Mix 35gm</t>
  </si>
  <si>
    <t>Berry Mix</t>
  </si>
  <si>
    <t>Black Pepper Nutty Seed Mix 250gm</t>
  </si>
  <si>
    <t>Blackcurrant Date Balls 48 gms</t>
  </si>
  <si>
    <t>Booster Berries 33gm</t>
  </si>
  <si>
    <t>Booster Berries 35gm</t>
  </si>
  <si>
    <t>Breakfast Mix Bulk</t>
  </si>
  <si>
    <t>Cafe Galleries Cocktail Mix 250g(Almond,Cashew,Pista,Black Raisins)</t>
  </si>
  <si>
    <t>Cafe Galleries Healthy Mewa Mix 250g</t>
  </si>
  <si>
    <t>Cafe Galleries Premium Cocktail Mix 250g</t>
  </si>
  <si>
    <t>Cafe Galleries Seeds Mix, 250g</t>
  </si>
  <si>
    <t>Carnival Berry Barbeque Trail Mix 200g</t>
  </si>
  <si>
    <t>Carnival Cocktail Mix 100g</t>
  </si>
  <si>
    <t>Carnival Cocktail Mix 200g</t>
  </si>
  <si>
    <t>Carnival Cocktail Mix 250g</t>
  </si>
  <si>
    <t>Carnival Cocktail Mix Plain Pouch 100g</t>
  </si>
  <si>
    <t>Carnival Crunchy Caramel Trail Mix 100g</t>
  </si>
  <si>
    <t>Carnival Crunchy Caramel Trail Mix 200g</t>
  </si>
  <si>
    <t>Carnival Crunchy Caramel Trail Mix 250g</t>
  </si>
  <si>
    <t>Carnival Daily Mewa Health Mix 250g</t>
  </si>
  <si>
    <t>Carnival Festive Crunchy Caramel Trail Mix 250g</t>
  </si>
  <si>
    <t>Carnival Festive Nuts &amp; Seeds Mix 120g</t>
  </si>
  <si>
    <t>Carnival Kishmish Almond Mix 100g</t>
  </si>
  <si>
    <t>Carnival Mocha Mojo Trail Mix 100g</t>
  </si>
  <si>
    <t>Carnival Mocha Mojo Trail Mix 200g</t>
  </si>
  <si>
    <t>Carnival Mocha Mojo Trail Mix 250g</t>
  </si>
  <si>
    <t>Carnival Nuts &amp; Seed Mix 100gm</t>
  </si>
  <si>
    <t>Carnival Premium Cocktail Mix 100g</t>
  </si>
  <si>
    <t>Carnival Premium Cocktail Mix 250 Gms</t>
  </si>
  <si>
    <t>Carnival Simply Thandai 100g</t>
  </si>
  <si>
    <t>Carnival Simply Thandai Mix 200gm</t>
  </si>
  <si>
    <t>Cheeky Cheese Trail Mix 250gm</t>
  </si>
  <si>
    <t>Chocolate Coated Almond Dragees 50gm</t>
  </si>
  <si>
    <t>Chocolate Coated Blueberries Dragees 50gm</t>
  </si>
  <si>
    <t>CHOCOLATE MODAK 110g</t>
  </si>
  <si>
    <t>Cocktail Mix 230g</t>
  </si>
  <si>
    <t>Cocoa Peanut Date Balls 48 gms</t>
  </si>
  <si>
    <t>Cococart Barbeque Trail Mix 60gm</t>
  </si>
  <si>
    <t>Cococart Black Pepper Trail Mix 60gm</t>
  </si>
  <si>
    <t>Cococart Himalayan Salt Trail Mix 75gm</t>
  </si>
  <si>
    <t>Cococart Peri Peri Trail Mix 60gm</t>
  </si>
  <si>
    <t>Cranberry Date Balls 48 gms</t>
  </si>
  <si>
    <t>Crunchy Caramel Trail Mix</t>
  </si>
  <si>
    <t>Crunchy Caramel Trail Mix 230g</t>
  </si>
  <si>
    <t>Daily Mewa Healthy Mix</t>
  </si>
  <si>
    <t>Dark Chocolate Coated Almond Stuffed Khalas Single</t>
  </si>
  <si>
    <t>Dark Chocolate Coated Cashew Stuffed Khalas Single</t>
  </si>
  <si>
    <t>Dark Chocolate Coated Deri Date with Almond Single</t>
  </si>
  <si>
    <t>Dark Chocolate Coated Fard Date with Almond Single</t>
  </si>
  <si>
    <t>Dark Chocolate Coated Safavi Stuffed Dates Pc</t>
  </si>
  <si>
    <t>Date Mewa Bon Bon Laddu (18g x 3)</t>
  </si>
  <si>
    <t>Date Mewa Ladu 18gm</t>
  </si>
  <si>
    <t>Dates Delight Khajur Pak 375gm</t>
  </si>
  <si>
    <t>Dates Mewa Assorted 210gm</t>
  </si>
  <si>
    <t>Dates Mewa Classic 210gm</t>
  </si>
  <si>
    <t>Dragees Dark Cranberry</t>
  </si>
  <si>
    <t>Dragees Milk Cranberry</t>
  </si>
  <si>
    <t>Dragees White Cranberry</t>
  </si>
  <si>
    <t>Ez Mix Dry Fruit Regular Loose (1459062)</t>
  </si>
  <si>
    <t>Ez Seeds And Berries Mix Loose (1459071)</t>
  </si>
  <si>
    <t>Foodsquare Truffle Laquered Nuts (Bulk)</t>
  </si>
  <si>
    <t>Foodsquare Truffle Laquered Nuts 200gm</t>
  </si>
  <si>
    <t>Forsi Coctail Mix</t>
  </si>
  <si>
    <t>Forsi Panchmewa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</si>
  <si>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</si>
  <si>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</si>
  <si>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</si>
  <si>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</si>
  <si>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</si>
  <si>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</si>
  <si>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Healthy Choice 5 in 1 Seeds Mix 200gm</t>
  </si>
  <si>
    <t>Himalayan Pink Salt Trail Mix 150g</t>
  </si>
  <si>
    <t>HOH Panch Mewa Mix Loose</t>
  </si>
  <si>
    <t>Hot Wasabi Trail Mix 150g</t>
  </si>
  <si>
    <t>Masala Masti Trail Mix 150g</t>
  </si>
  <si>
    <t>MILK CHOCOLATE ALMOND DATE</t>
  </si>
  <si>
    <t>Milk Chocolate Coated Almond Stuffed Khalas Single</t>
  </si>
  <si>
    <t>Millennium Nut Mix</t>
  </si>
  <si>
    <t>Mocha Mojo Trail Mix</t>
  </si>
  <si>
    <t>Natch Glazed Nut Mix Chilli 120gm</t>
  </si>
  <si>
    <t>Natch Glazed Nut Mix Cinnamon 120gm</t>
  </si>
  <si>
    <t>Natch Glazed Nut Mix Cocoa 120gm</t>
  </si>
  <si>
    <t>Natures Premium Mixed Dry Fruits 250g(1356314)</t>
  </si>
  <si>
    <t>NB MILLENNIUM NUT MIX LOOSE</t>
  </si>
  <si>
    <t>NB TRAIL MIX - POWER SEED LOOSE</t>
  </si>
  <si>
    <t>NB TRAIL MIX - PREMIUM NUT LOOSE</t>
  </si>
  <si>
    <t>NB TRAIL MIX- EVERY HEALTH LOOSE</t>
  </si>
  <si>
    <t>NB TRAIL MIX SALTED COCKTAIL LOOSE</t>
  </si>
  <si>
    <t>Nut Flex - Italian Herbs 33gm</t>
  </si>
  <si>
    <t>Nut Flex - Italian Herbs 35gm</t>
  </si>
  <si>
    <t>Nuts &amp; Seed Mix</t>
  </si>
  <si>
    <t>Nuts and Cardamom Date Balls 48 gms</t>
  </si>
  <si>
    <t>Omega Mix- Lemon Pepper 33gm</t>
  </si>
  <si>
    <t>Omega Mix- Lemon Pepper 35gm</t>
  </si>
  <si>
    <t>On The Run Quinoa Cheesy Balls 50gm</t>
  </si>
  <si>
    <t>PEANUT BUTTER</t>
  </si>
  <si>
    <t>PEPPER SNACK MIX</t>
  </si>
  <si>
    <t>Peri Peri Trail Mix 150g</t>
  </si>
  <si>
    <t>Planck foods Quinoa puffs sour cream 30gm</t>
  </si>
  <si>
    <t>Premia Breakfast Mix 100g (100005226)</t>
  </si>
  <si>
    <t>Premia Nuts &amp; Seeds Mix 100g (100005422)</t>
  </si>
  <si>
    <t>Premia Trail Mix 100g (100005227)</t>
  </si>
  <si>
    <t>Premium Trail Mix 100gm</t>
  </si>
  <si>
    <t>Rhine Valley Barbeque Trail Mix 100gm</t>
  </si>
  <si>
    <t>Rhine Valley Black Pepper Trail Mix 100gm</t>
  </si>
  <si>
    <t>Rhine Valley Himalayan Pink Salt Trail Mix 100gm</t>
  </si>
  <si>
    <t>Rhine Valley Masala Trail mix 100g</t>
  </si>
  <si>
    <t>Rhine Valley Peri Peri Trail Mix 100gm</t>
  </si>
  <si>
    <t>ROYAL TRADITON SNACK MIX CHATPATA-100G</t>
  </si>
  <si>
    <t>Safavi Dates Almond Praline Single Pc</t>
  </si>
  <si>
    <t>Safavi Dates Pistachio Praline Single Pc</t>
  </si>
  <si>
    <t>Salted Premium Nut Mix</t>
  </si>
  <si>
    <t>Seed Mix</t>
  </si>
  <si>
    <t>Seed Trail Mix</t>
  </si>
  <si>
    <t>Seedy Sheid- Lime Chilly 33gm</t>
  </si>
  <si>
    <t>Seedy Sheid- Lime Chilly 35gm</t>
  </si>
  <si>
    <t>Simply Thandai 1 kg</t>
  </si>
  <si>
    <t>Snack Amor Fruit N Nut Mix 200g</t>
  </si>
  <si>
    <t>Snack Amor Seed Mix (Unroasted), 175g</t>
  </si>
  <si>
    <t>Snack Amor Trail Mix 175g</t>
  </si>
  <si>
    <t>SnackAmor Seed Mix 175g</t>
  </si>
  <si>
    <t>Snackania Cocktail Mix 480g</t>
  </si>
  <si>
    <t>Stuffed Dates 1kg</t>
  </si>
  <si>
    <t>STUFFED DERI DATES WITH ALMOND SINGLE</t>
  </si>
  <si>
    <t>STUFFED FARD DATES WITH ALMOND SINGLE</t>
  </si>
  <si>
    <t>Stuffed Medjoul Large with Ginger Single Pc</t>
  </si>
  <si>
    <t>Tasties Trail Mix - Mixed Berries 75 g</t>
  </si>
  <si>
    <t>Tasties Trail Mix - Mixed Dry Fruits 75 g</t>
  </si>
  <si>
    <t>Tasties Trail Mix - Wholesome Nut Mix 75 g</t>
  </si>
  <si>
    <t>Trail Mix - Every Health</t>
  </si>
  <si>
    <t>Trail Mix Bulk</t>
  </si>
  <si>
    <t>UP Berry Mix</t>
  </si>
  <si>
    <t>UP Trail Mix Brazil Nut Based</t>
  </si>
  <si>
    <t>UP Trail Mix Edamame Babsed</t>
  </si>
  <si>
    <t>UP Trail Mix Tandoori Tikka</t>
  </si>
  <si>
    <t>Urban Platter Panchmewa</t>
  </si>
  <si>
    <t>Vedaka Almonds, Raisins, Cashews, and Pista (4 X 200 gm)B0BVVV1SMF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</si>
  <si>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</si>
  <si>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</si>
  <si>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</si>
  <si>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Healthy Seed Mix 200gm(B0B69L57PV)</t>
  </si>
  <si>
    <t>YUMSANA CHOCO HAZELNUT SPREAD 340GM</t>
  </si>
  <si>
    <t>OFF-GRADE WALNUTS</t>
  </si>
  <si>
    <t>California Walnut Tukda</t>
  </si>
  <si>
    <t>Walnut - Broken</t>
  </si>
  <si>
    <t>Chilean Walnut Kernel Kani</t>
  </si>
  <si>
    <t>Chilean Walnut Kernel Quarter</t>
  </si>
  <si>
    <t>Walnut Tukda</t>
  </si>
  <si>
    <t>California Walnut Inshell</t>
  </si>
  <si>
    <t>Walnut - Inshell</t>
  </si>
  <si>
    <t>Chilean Walnut Inshell</t>
  </si>
  <si>
    <t>California Walnut Kernels 2pc</t>
  </si>
  <si>
    <t>Walnut - Kernel</t>
  </si>
  <si>
    <t>Chilean Walnut Kernel 2 pcs</t>
  </si>
  <si>
    <t>Kashmiri Walnut Kernels</t>
  </si>
  <si>
    <t>Carnival Classic Walnut Quarter 250 Gms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</si>
  <si>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</si>
  <si>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</si>
  <si>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</si>
  <si>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</si>
  <si>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</si>
  <si>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Ez Walnut Broken Loose</t>
  </si>
  <si>
    <t>FABSTA Walnut Split 100gm</t>
  </si>
  <si>
    <t>FABSTA WALNUT SPLIT 250G</t>
  </si>
  <si>
    <t>Fabsta Walnut Split 500g</t>
  </si>
  <si>
    <t>Solimo Premium Walnut Kernels - Broken 500g B07LF8HCLL</t>
  </si>
  <si>
    <t>Solimo Walnut Kernels – Broken 500g (Pack of 2) B07LFJZR4G</t>
  </si>
  <si>
    <t>Walnut Flavoured Salt &amp; Pepper (Quarters) Loose</t>
  </si>
  <si>
    <t>Ha Walnut Whole 500g(1350935)</t>
  </si>
  <si>
    <t>NB WALNUTS CHILEAN INSHELL LOOSE /P</t>
  </si>
  <si>
    <t>Vedaka Premium Inshell Walnuts 500g (Pack of 2)B07MSXKDNQ</t>
  </si>
  <si>
    <t>Vedaka Premium Inshell Walnuts 500g(B07LFJZR46)</t>
  </si>
  <si>
    <t>CA WALNUT CHILE (VACUUM PACKING)250GM /P</t>
  </si>
  <si>
    <t>Cafe Galleria Walnut Kernel 250g</t>
  </si>
  <si>
    <t>Carnival Caramel Sesame Walnut 150g</t>
  </si>
  <si>
    <t>Carnival Caramel Sesame Walnut 70g</t>
  </si>
  <si>
    <t>Carnival Choco Orange Walnut 150gm</t>
  </si>
  <si>
    <t>Carnival Peri Peri Walnut 150g</t>
  </si>
  <si>
    <t>Carnival Premium Walnut Kernels 250 Gms</t>
  </si>
  <si>
    <t>Carnival Salt &amp; Pepper Walnut 150g</t>
  </si>
  <si>
    <t>Carnival Walnut Kernal 2pc 200gm</t>
  </si>
  <si>
    <t>Chilean  Walnut Kernel 2pc 230g</t>
  </si>
  <si>
    <t>Ez Chilean Walnut Giri Regular Loose</t>
  </si>
  <si>
    <t>Ez Chilean Walnut Giri Small Loose (1459038)</t>
  </si>
  <si>
    <t>Ez Walnut Whole Loose</t>
  </si>
  <si>
    <t>Ha Walnut Kernal 250g(1340542)</t>
  </si>
  <si>
    <t>Ha Walnut Kernal 500g(1350930)</t>
  </si>
  <si>
    <t>NB WALNUTS CHILEAN LOOSE</t>
  </si>
  <si>
    <t>Snackania California Walnut Kernel 800g</t>
  </si>
  <si>
    <t>Snackania Chile Walnut Kernel 230g</t>
  </si>
  <si>
    <t>Snackania Chile Walnut Kernel 800g</t>
  </si>
  <si>
    <t>Solimo Premium Walnut Kernal 250g (B0754LKDJ4)</t>
  </si>
  <si>
    <t>Solimo Premium Walnut Kernels 500g (B07LFH2JNR)</t>
  </si>
  <si>
    <t>Solimo Premium Walnut Kernels 500g (Pack of 2) B07LF8HGDB</t>
  </si>
  <si>
    <t>Nutmag</t>
  </si>
  <si>
    <t>Halim</t>
  </si>
  <si>
    <t>Tej Patta</t>
  </si>
  <si>
    <t>itakian Hurb Seassoning</t>
  </si>
  <si>
    <t>Chilli Glaze Nut &amp; Seed 120 G</t>
  </si>
  <si>
    <t>BBq Coated Peanut</t>
  </si>
  <si>
    <t xml:space="preserve">SNACK MASALA MIX </t>
  </si>
  <si>
    <t>unit</t>
  </si>
  <si>
    <t>In kg</t>
  </si>
  <si>
    <t>Rejction</t>
  </si>
  <si>
    <t>tukda</t>
  </si>
  <si>
    <t>RTV</t>
  </si>
  <si>
    <t>Stock Take Compilation</t>
  </si>
  <si>
    <t>Location:</t>
  </si>
  <si>
    <t>NB MAMRA ALMOND ROYAL LOOSE (Not in Use)</t>
  </si>
  <si>
    <t>Energy Bar with Jaggery 30gm</t>
  </si>
  <si>
    <t>Al Barakah Dates Ajwa 35gm</t>
  </si>
  <si>
    <t>Apollo Life Arabian Dates 500g</t>
  </si>
  <si>
    <t>Al Barakah Dates Khalas 35gm</t>
  </si>
  <si>
    <t>Al Barakah Dates Khaneizi 35gm</t>
  </si>
  <si>
    <t>Fresho Kimia Dates 500gm</t>
  </si>
  <si>
    <t>King Solomon Medjoul Dates 3 Dates 2 Go</t>
  </si>
  <si>
    <t>MEDJOUL LARGE PITTED WET DATES</t>
  </si>
  <si>
    <t>Al Barakah Dates Safavi 35gm</t>
  </si>
  <si>
    <t>Freeze Dried Mango</t>
  </si>
  <si>
    <t>Freeze Dried Strawberry</t>
  </si>
  <si>
    <t>DF - Strawberry</t>
  </si>
  <si>
    <t>Off-Grade Misc</t>
  </si>
  <si>
    <t>Off-Grade Shells</t>
  </si>
  <si>
    <t>Peanut Crackers Chipotle Honey Bulk</t>
  </si>
  <si>
    <t>Peanut Crackers Smokey BBQ Bulk</t>
  </si>
  <si>
    <t>NUTWORKS ROAST SALT INSHELL 100G PCH</t>
  </si>
  <si>
    <t>Healthy Choice 5 in 1 Seeds Mix Bulk</t>
  </si>
  <si>
    <t>NUT BAR ALMOND BUTTER</t>
  </si>
  <si>
    <t>NUT BAR PEANUT BUTTER</t>
  </si>
  <si>
    <t>Premia Breakfast Mix Bulk</t>
  </si>
  <si>
    <t>Premia Nuts &amp; Seeds Mix Bulk</t>
  </si>
  <si>
    <t>Premia Trail Mix Bulk</t>
  </si>
  <si>
    <t>NB ROASTED MACADAMIA INSHELL LOOSE (1431996)</t>
  </si>
  <si>
    <t>Khalas milk coated dates (Ahlan)</t>
  </si>
  <si>
    <t>Flax seed date ball</t>
  </si>
  <si>
    <t>Fig Paste (Yash sir)</t>
  </si>
  <si>
    <t>Dry Kokam Phool</t>
  </si>
  <si>
    <t>Organic Cinnamon-Samruddhi Organic</t>
  </si>
  <si>
    <t>Smoke BBQ Coated Peanut</t>
  </si>
  <si>
    <t>Udid dal</t>
  </si>
  <si>
    <t xml:space="preserve">Rhine Valley Barbeque Trail Mix </t>
  </si>
  <si>
    <t xml:space="preserve">Rhine Valley Black Pepper Trail Mix </t>
  </si>
  <si>
    <t xml:space="preserve">Rhine Valley Peri Peri Trail Mix </t>
  </si>
  <si>
    <t xml:space="preserve">Rhine Valley Himalayan Pink Salt Trail Mix </t>
  </si>
  <si>
    <t>Bluberry Powder</t>
  </si>
  <si>
    <t>PEPPER PEANUT</t>
  </si>
  <si>
    <t>Roasted salted peanuts</t>
  </si>
  <si>
    <t>5 GC dark chocolate</t>
  </si>
  <si>
    <t>Indian Raisin 210 G</t>
  </si>
  <si>
    <t>Cashew Roasted Salted 210 G</t>
  </si>
  <si>
    <t xml:space="preserve">Honey Chipotle Coated Peanut </t>
  </si>
  <si>
    <t>Barbeque Coated Peanut</t>
  </si>
  <si>
    <t>Besan Laddu bite  (EMPL)</t>
  </si>
  <si>
    <t>Coconut Laddubar Mini 9g (SEMI FINISHED)</t>
  </si>
  <si>
    <t xml:space="preserve">Kamarkas laddu bar </t>
  </si>
  <si>
    <t>Cocoa Glazed chilli cashew</t>
  </si>
  <si>
    <t>Jaiphal (Nutmeg)</t>
  </si>
  <si>
    <t>White chocolate with rose almond dragees</t>
  </si>
  <si>
    <t>White chocolate coated khalas date</t>
  </si>
  <si>
    <t>Dark chocolate coated macademia</t>
  </si>
  <si>
    <t>Dark chocolate coated pecan</t>
  </si>
  <si>
    <t>Total Quantity</t>
  </si>
  <si>
    <t>Qty. in KG</t>
  </si>
  <si>
    <t>Rack &amp; Dock</t>
  </si>
  <si>
    <t>Production</t>
  </si>
  <si>
    <t>Packing</t>
  </si>
  <si>
    <t>Fumigation</t>
  </si>
  <si>
    <t>Row Labels</t>
  </si>
  <si>
    <t>Grand Total</t>
  </si>
  <si>
    <t>Sum of Units</t>
  </si>
  <si>
    <t>Sum of Total Weight (kg)</t>
  </si>
  <si>
    <t>Total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</si>
</sst>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"/>
    <numFmt numFmtId="165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1E3A8A"/>
      <name val="Calibri"/>
      <family val="2"/>
    </font>
    <font>
      <b/>
      <sz val="11"/>
      <color rgb="FF1E3A8A"/>
      <name val="Calibri"/>
      <family val="2"/>
    </font>
    <font>
      <sz val="11"/>
      <color rgb="FFFF0000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CFCF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5" fillId="5" borderId="0" xfId="0" applyFont="1" applyFill="1"/>
    <xf numFmtId="0" fontId="0" fillId="6" borderId="0" xfId="0" applyFill="1"/>
    <xf numFmtId="0" fontId="2" fillId="3" borderId="0" xfId="0" applyFont="1" applyFill="1" applyAlignment="1">
      <alignment horizontal="left" vertical="center"/>
    </xf>
    <xf numFmtId="0" fontId="2" fillId="5" borderId="0" xfId="0" applyFont="1" applyFill="1"/>
    <xf numFmtId="0" fontId="0" fillId="7" borderId="1" xfId="0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 vertical="center"/>
    </xf>
    <xf numFmtId="0" fontId="8" fillId="0" borderId="0" xfId="0" applyFont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6" fillId="0" borderId="2" xfId="0" applyFont="1" applyBorder="1" applyAlignment="1">
      <alignment horizontal="center"/>
    </xf>
    <xf numFmtId="0" fontId="0" fillId="7" borderId="0" xfId="0" applyFill="1"/>
    <xf numFmtId="0" fontId="6" fillId="7" borderId="0" xfId="0" applyFont="1" applyFill="1"/>
    <xf numFmtId="0" fontId="6" fillId="6" borderId="0" xfId="0" applyFont="1" applyFill="1"/>
    <xf numFmtId="4" fontId="11" fillId="0" borderId="3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164" fontId="13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/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5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left" vertical="center"/>
    </xf>
    <xf numFmtId="0" fontId="13" fillId="9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65" fontId="10" fillId="0" borderId="3" xfId="1" applyNumberFormat="1" applyFont="1" applyBorder="1" applyAlignment="1">
      <alignment horizontal="center" vertical="center" wrapText="1"/>
    </xf>
    <xf numFmtId="0" fontId="12" fillId="10" borderId="3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5" fontId="10" fillId="0" borderId="3" xfId="1" applyNumberFormat="1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2" fillId="0" borderId="0" xfId="0" applyFont="1"/>
    <xf numFmtId="0" fontId="4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ndor%20Foods\Desktop\Stock%20Take\2025-26\Stock%20Feb%2022%202026\Working%20February\Physical%20Stock%20Compilation%2022-02-2026%20Repaired.xlsx" TargetMode="External"/><Relationship Id="rId1" Type="http://schemas.openxmlformats.org/officeDocument/2006/relationships/externalLinkPath" Target="Working%20February/Physical%20Stock%20Compilation%2022-02-2026%20Repai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iled"/>
      <sheetName val="CFPL"/>
      <sheetName val="CDPL"/>
    </sheetNames>
    <sheetDataSet>
      <sheetData sheetId="0"/>
      <sheetData sheetId="1">
        <row r="1">
          <cell r="B1" t="str">
            <v>CANDOR FOODS PVT LTD</v>
          </cell>
        </row>
        <row r="2">
          <cell r="B2" t="str">
            <v>Stock Take Compilation</v>
          </cell>
          <cell r="D2">
            <v>46075</v>
          </cell>
          <cell r="E2" t="str">
            <v>Location:</v>
          </cell>
        </row>
        <row r="3">
          <cell r="B3" t="str">
            <v xml:space="preserve">ITEM </v>
          </cell>
          <cell r="C3" t="str">
            <v>FG/RM</v>
          </cell>
          <cell r="D3" t="str">
            <v>GROUP</v>
          </cell>
          <cell r="E3" t="str">
            <v>Sub-Group</v>
          </cell>
        </row>
        <row r="4">
          <cell r="B4" t="str">
            <v>Almond Blanched Sliced</v>
          </cell>
          <cell r="C4" t="str">
            <v>RM</v>
          </cell>
          <cell r="D4" t="str">
            <v>ALMOND</v>
          </cell>
          <cell r="E4" t="str">
            <v>Almond - Broken</v>
          </cell>
        </row>
        <row r="5">
          <cell r="B5" t="str">
            <v>Almond Powder</v>
          </cell>
          <cell r="C5" t="str">
            <v>RM</v>
          </cell>
          <cell r="D5" t="str">
            <v>ALMOND</v>
          </cell>
          <cell r="E5" t="str">
            <v>Almond - Broken</v>
          </cell>
        </row>
        <row r="6">
          <cell r="B6" t="str">
            <v>Almond Sliced</v>
          </cell>
          <cell r="C6" t="str">
            <v>RM</v>
          </cell>
          <cell r="D6" t="str">
            <v>ALMOND</v>
          </cell>
          <cell r="E6" t="str">
            <v>Almond - Broken</v>
          </cell>
        </row>
        <row r="7">
          <cell r="B7" t="str">
            <v>Almonds Kernel Cube Cut</v>
          </cell>
          <cell r="C7" t="str">
            <v>RM</v>
          </cell>
          <cell r="D7" t="str">
            <v>ALMOND</v>
          </cell>
          <cell r="E7" t="str">
            <v>Almond - Broken</v>
          </cell>
        </row>
        <row r="8">
          <cell r="B8" t="str">
            <v>American Almonds Tukda</v>
          </cell>
          <cell r="C8" t="str">
            <v>RM</v>
          </cell>
          <cell r="D8" t="str">
            <v>ALMOND</v>
          </cell>
          <cell r="E8" t="str">
            <v>Almond - Broken</v>
          </cell>
        </row>
        <row r="9">
          <cell r="B9" t="str">
            <v>BLANCHED ALMOND FLOUR</v>
          </cell>
          <cell r="C9" t="str">
            <v>RM</v>
          </cell>
          <cell r="D9" t="str">
            <v>ALMOND</v>
          </cell>
          <cell r="E9" t="str">
            <v>Almond - Broken</v>
          </cell>
        </row>
        <row r="10">
          <cell r="B10" t="str">
            <v>Diced Almond</v>
          </cell>
          <cell r="C10" t="str">
            <v>RM</v>
          </cell>
          <cell r="D10" t="str">
            <v>ALMOND</v>
          </cell>
          <cell r="E10" t="str">
            <v>Almond - Broken</v>
          </cell>
        </row>
        <row r="11">
          <cell r="B11" t="str">
            <v>Slivered Almonds</v>
          </cell>
          <cell r="C11" t="str">
            <v>RM</v>
          </cell>
          <cell r="D11" t="str">
            <v>ALMOND</v>
          </cell>
          <cell r="E11" t="str">
            <v>Almond - Broken</v>
          </cell>
        </row>
        <row r="12">
          <cell r="B12" t="str">
            <v>AUSTRALIAN ALMOND INSHELL</v>
          </cell>
          <cell r="C12" t="str">
            <v>RM</v>
          </cell>
          <cell r="D12" t="str">
            <v>ALMOND</v>
          </cell>
          <cell r="E12" t="str">
            <v>Almond - Inshell</v>
          </cell>
        </row>
        <row r="13">
          <cell r="B13" t="str">
            <v>California Inshell Almonds</v>
          </cell>
          <cell r="C13" t="str">
            <v>RM</v>
          </cell>
          <cell r="D13" t="str">
            <v>ALMOND</v>
          </cell>
          <cell r="E13" t="str">
            <v>Almond - Inshell</v>
          </cell>
        </row>
        <row r="14">
          <cell r="B14" t="str">
            <v>Independent Almond Inshell</v>
          </cell>
          <cell r="C14" t="str">
            <v>RM</v>
          </cell>
          <cell r="D14" t="str">
            <v>ALMOND</v>
          </cell>
          <cell r="E14" t="str">
            <v>Almond - Inshell</v>
          </cell>
        </row>
        <row r="15">
          <cell r="B15" t="str">
            <v>Almond Blanched, whole</v>
          </cell>
          <cell r="C15" t="str">
            <v>RM</v>
          </cell>
          <cell r="D15" t="str">
            <v>ALMOND</v>
          </cell>
          <cell r="E15" t="str">
            <v>Almond - Kernels</v>
          </cell>
        </row>
        <row r="16">
          <cell r="B16" t="str">
            <v>Almond Kernel</v>
          </cell>
          <cell r="C16" t="str">
            <v>RM</v>
          </cell>
          <cell r="D16" t="str">
            <v>ALMOND</v>
          </cell>
          <cell r="E16" t="str">
            <v>Almond - Kernels</v>
          </cell>
        </row>
        <row r="17">
          <cell r="B17" t="str">
            <v>American Almond Double Tonch</v>
          </cell>
          <cell r="C17" t="str">
            <v>RM</v>
          </cell>
          <cell r="D17" t="str">
            <v>ALMOND</v>
          </cell>
          <cell r="E17" t="str">
            <v>Almond - Kernels</v>
          </cell>
        </row>
        <row r="18">
          <cell r="B18" t="str">
            <v>American Almonds ( 18-20 Count)</v>
          </cell>
          <cell r="C18" t="str">
            <v>RM</v>
          </cell>
          <cell r="D18" t="str">
            <v>ALMOND</v>
          </cell>
          <cell r="E18" t="str">
            <v>Almond - Kernels</v>
          </cell>
        </row>
        <row r="19">
          <cell r="B19" t="str">
            <v>American Almonds (22-23 Count)</v>
          </cell>
          <cell r="C19" t="str">
            <v>RM</v>
          </cell>
          <cell r="D19" t="str">
            <v>ALMOND</v>
          </cell>
          <cell r="E19" t="str">
            <v>Almond - Kernels</v>
          </cell>
        </row>
        <row r="20">
          <cell r="B20" t="str">
            <v>American Almonds (23-25 Count)</v>
          </cell>
          <cell r="C20" t="str">
            <v>RM</v>
          </cell>
          <cell r="D20" t="str">
            <v>ALMOND</v>
          </cell>
          <cell r="E20" t="str">
            <v>Almond - Kernels</v>
          </cell>
        </row>
        <row r="21">
          <cell r="B21" t="str">
            <v>American Almonds (24-25 Count)</v>
          </cell>
          <cell r="C21" t="str">
            <v>RM</v>
          </cell>
          <cell r="D21" t="str">
            <v>ALMOND</v>
          </cell>
          <cell r="E21" t="str">
            <v>Almond - Kernels</v>
          </cell>
        </row>
        <row r="22">
          <cell r="B22" t="str">
            <v>American Almonds (Caramel) Tounch</v>
          </cell>
          <cell r="C22" t="str">
            <v>RM</v>
          </cell>
          <cell r="D22" t="str">
            <v>ALMOND</v>
          </cell>
          <cell r="E22" t="str">
            <v>Almond - Kernels</v>
          </cell>
        </row>
        <row r="23">
          <cell r="B23" t="str">
            <v>American Almonds Dagi</v>
          </cell>
          <cell r="C23" t="str">
            <v>RM</v>
          </cell>
          <cell r="D23" t="str">
            <v>ALMOND</v>
          </cell>
          <cell r="E23" t="str">
            <v>Almond - Kernels</v>
          </cell>
        </row>
        <row r="24">
          <cell r="B24" t="str">
            <v>American Almonds Kernal Sanora</v>
          </cell>
          <cell r="C24" t="str">
            <v>RM</v>
          </cell>
          <cell r="D24" t="str">
            <v>ALMOND</v>
          </cell>
          <cell r="E24" t="str">
            <v>Almond - Kernels</v>
          </cell>
        </row>
        <row r="25">
          <cell r="B25" t="str">
            <v>American Almonds Kernel 20-22 count</v>
          </cell>
          <cell r="C25" t="str">
            <v>RM</v>
          </cell>
          <cell r="D25" t="str">
            <v>ALMOND</v>
          </cell>
          <cell r="E25" t="str">
            <v>Almond - Kernels</v>
          </cell>
        </row>
        <row r="26">
          <cell r="B26" t="str">
            <v>American Almonds Kernel 30-32 count</v>
          </cell>
          <cell r="C26" t="str">
            <v>RM</v>
          </cell>
          <cell r="D26" t="str">
            <v>ALMOND</v>
          </cell>
          <cell r="E26" t="str">
            <v>Almond - Kernels</v>
          </cell>
        </row>
        <row r="27">
          <cell r="B27" t="str">
            <v>American Almonds Kernel 32-34 count</v>
          </cell>
          <cell r="C27" t="str">
            <v>RM</v>
          </cell>
          <cell r="D27" t="str">
            <v>ALMOND</v>
          </cell>
          <cell r="E27" t="str">
            <v>Almond - Kernels</v>
          </cell>
        </row>
        <row r="28">
          <cell r="B28" t="str">
            <v>American Almonds Pin Tonch</v>
          </cell>
          <cell r="C28" t="str">
            <v>RM</v>
          </cell>
          <cell r="D28" t="str">
            <v>ALMOND</v>
          </cell>
          <cell r="E28" t="str">
            <v>Almond - Kernels</v>
          </cell>
        </row>
        <row r="29">
          <cell r="B29" t="str">
            <v>American Almonds Premium</v>
          </cell>
          <cell r="C29" t="str">
            <v>RM</v>
          </cell>
          <cell r="D29" t="str">
            <v>ALMOND</v>
          </cell>
          <cell r="E29" t="str">
            <v>Almond - Kernels</v>
          </cell>
        </row>
        <row r="30">
          <cell r="B30" t="str">
            <v>American Almonds Running [28-30 Count]</v>
          </cell>
          <cell r="C30" t="str">
            <v>RM</v>
          </cell>
          <cell r="D30" t="str">
            <v>ALMOND</v>
          </cell>
          <cell r="E30" t="str">
            <v>Almond - Kernels</v>
          </cell>
        </row>
        <row r="31">
          <cell r="B31" t="str">
            <v>American Almonds Running 25-27 count</v>
          </cell>
          <cell r="C31" t="str">
            <v>RM</v>
          </cell>
          <cell r="D31" t="str">
            <v>ALMOND</v>
          </cell>
          <cell r="E31" t="str">
            <v>Almond - Kernels</v>
          </cell>
        </row>
        <row r="32">
          <cell r="B32" t="str">
            <v>American Almonds Special</v>
          </cell>
          <cell r="C32" t="str">
            <v>RM</v>
          </cell>
          <cell r="D32" t="str">
            <v>ALMOND</v>
          </cell>
          <cell r="E32" t="str">
            <v>Almond - Kernels</v>
          </cell>
        </row>
        <row r="33">
          <cell r="B33" t="str">
            <v>American Almonds Tonch</v>
          </cell>
          <cell r="C33" t="str">
            <v>RM</v>
          </cell>
          <cell r="D33" t="str">
            <v>ALMOND</v>
          </cell>
          <cell r="E33" t="str">
            <v>Almond - Kernels</v>
          </cell>
        </row>
        <row r="34">
          <cell r="B34" t="str">
            <v>Honey Roast Almonds</v>
          </cell>
          <cell r="C34" t="str">
            <v>RM</v>
          </cell>
          <cell r="D34" t="str">
            <v>ALMOND</v>
          </cell>
          <cell r="E34" t="str">
            <v>Almond - Kernels</v>
          </cell>
        </row>
        <row r="35">
          <cell r="B35" t="str">
            <v>Independence Almonds</v>
          </cell>
          <cell r="C35" t="str">
            <v>RM</v>
          </cell>
          <cell r="D35" t="str">
            <v>ALMOND</v>
          </cell>
          <cell r="E35" t="str">
            <v>Almond - Kernels</v>
          </cell>
        </row>
        <row r="36">
          <cell r="B36" t="str">
            <v>Almond Flavoured Cajun Loose</v>
          </cell>
          <cell r="C36" t="str">
            <v>FG</v>
          </cell>
          <cell r="D36" t="str">
            <v>ALMOND</v>
          </cell>
          <cell r="E36" t="str">
            <v>Almond - Kernels</v>
          </cell>
        </row>
        <row r="37">
          <cell r="B37" t="str">
            <v>Almond Flavoured Smoked Paprika Loose</v>
          </cell>
          <cell r="C37" t="str">
            <v>FG</v>
          </cell>
          <cell r="D37" t="str">
            <v>ALMOND</v>
          </cell>
          <cell r="E37" t="str">
            <v>Almond - Kernels</v>
          </cell>
        </row>
        <row r="38">
          <cell r="B38" t="str">
            <v>Almond Kernal 150gm</v>
          </cell>
          <cell r="C38" t="str">
            <v>FG</v>
          </cell>
          <cell r="D38" t="str">
            <v>ALMOND</v>
          </cell>
          <cell r="E38" t="str">
            <v>Almond - Kernels</v>
          </cell>
        </row>
        <row r="39">
          <cell r="B39" t="str">
            <v>Almond Kernal 450gm</v>
          </cell>
          <cell r="C39" t="str">
            <v>FG</v>
          </cell>
          <cell r="D39" t="str">
            <v>ALMOND</v>
          </cell>
          <cell r="E39" t="str">
            <v>Almond - Kernels</v>
          </cell>
        </row>
        <row r="40">
          <cell r="B40" t="str">
            <v>Almond Masala</v>
          </cell>
          <cell r="C40" t="str">
            <v>FG</v>
          </cell>
          <cell r="D40" t="str">
            <v>ALMOND</v>
          </cell>
          <cell r="E40" t="str">
            <v>Almond - Kernels</v>
          </cell>
        </row>
        <row r="41">
          <cell r="B41" t="str">
            <v>Almond Peri Peri</v>
          </cell>
          <cell r="C41" t="str">
            <v>FG</v>
          </cell>
          <cell r="D41" t="str">
            <v>ALMOND</v>
          </cell>
          <cell r="E41" t="str">
            <v>Almond - Kernels</v>
          </cell>
        </row>
        <row r="42">
          <cell r="B42" t="str">
            <v>Almond Plain 75gm</v>
          </cell>
          <cell r="C42" t="str">
            <v>FG</v>
          </cell>
          <cell r="D42" t="str">
            <v>ALMOND</v>
          </cell>
          <cell r="E42" t="str">
            <v>Almond - Kernels</v>
          </cell>
        </row>
        <row r="43">
          <cell r="B43" t="str">
            <v>Almond Roasted</v>
          </cell>
          <cell r="C43" t="str">
            <v>FG</v>
          </cell>
          <cell r="D43" t="str">
            <v>ALMOND</v>
          </cell>
          <cell r="E43" t="str">
            <v>Almond - Kernels</v>
          </cell>
        </row>
        <row r="44">
          <cell r="B44" t="str">
            <v>Almond Selected 230g</v>
          </cell>
          <cell r="C44" t="str">
            <v>FG</v>
          </cell>
          <cell r="D44" t="str">
            <v>ALMOND</v>
          </cell>
          <cell r="E44" t="str">
            <v>Almond - Kernels</v>
          </cell>
        </row>
        <row r="45">
          <cell r="B45" t="str">
            <v>Almonds Halves Loose</v>
          </cell>
          <cell r="C45" t="str">
            <v>FG</v>
          </cell>
          <cell r="D45" t="str">
            <v>ALMOND</v>
          </cell>
          <cell r="E45" t="str">
            <v>Almond - Kernels</v>
          </cell>
        </row>
        <row r="46">
          <cell r="B46" t="str">
            <v>Barbeque Almonds</v>
          </cell>
          <cell r="C46" t="str">
            <v>FG</v>
          </cell>
          <cell r="D46" t="str">
            <v>ALMOND</v>
          </cell>
          <cell r="E46" t="str">
            <v>Almond - Kernels</v>
          </cell>
        </row>
        <row r="47">
          <cell r="B47" t="str">
            <v>Black Pepper Almonds</v>
          </cell>
          <cell r="C47" t="str">
            <v>FG</v>
          </cell>
          <cell r="D47" t="str">
            <v>ALMOND</v>
          </cell>
          <cell r="E47" t="str">
            <v>Almond - Kernels</v>
          </cell>
        </row>
        <row r="48">
          <cell r="B48" t="str">
            <v>CA PREMIUM ALMOND CALIFORNIA 218GM/P</v>
          </cell>
          <cell r="C48" t="str">
            <v>FG</v>
          </cell>
          <cell r="D48" t="str">
            <v>ALMOND</v>
          </cell>
          <cell r="E48" t="str">
            <v>Almond - Kernels</v>
          </cell>
        </row>
        <row r="49">
          <cell r="B49" t="str">
            <v>Cafe Galleries American Almond 25-27count - 250gm</v>
          </cell>
          <cell r="C49" t="str">
            <v>FG</v>
          </cell>
          <cell r="D49" t="str">
            <v>ALMOND</v>
          </cell>
          <cell r="E49" t="str">
            <v>Almond - Kernels</v>
          </cell>
        </row>
        <row r="50">
          <cell r="B50" t="str">
            <v>Cafe Galleries Selected American Almond 18 count - 250gm</v>
          </cell>
          <cell r="C50" t="str">
            <v>FG</v>
          </cell>
          <cell r="D50" t="str">
            <v>ALMOND</v>
          </cell>
          <cell r="E50" t="str">
            <v>Almond - Kernels</v>
          </cell>
        </row>
        <row r="51">
          <cell r="B51" t="str">
            <v>Cafe Galleries Selected American Almond 20-22 count - 250gm</v>
          </cell>
          <cell r="C51" t="str">
            <v>FG</v>
          </cell>
          <cell r="D51" t="str">
            <v>ALMOND</v>
          </cell>
          <cell r="E51" t="str">
            <v>Almond - Kernels</v>
          </cell>
        </row>
        <row r="52">
          <cell r="B52" t="str">
            <v>Carnial Almond Dragees 100gm</v>
          </cell>
          <cell r="C52" t="str">
            <v>FG</v>
          </cell>
          <cell r="D52" t="str">
            <v>ALMOND</v>
          </cell>
          <cell r="E52" t="str">
            <v>Almond - Kernels</v>
          </cell>
        </row>
        <row r="53">
          <cell r="B53" t="str">
            <v>Carnival Almond Smoked Paprika 100g</v>
          </cell>
          <cell r="C53" t="str">
            <v>FG</v>
          </cell>
          <cell r="D53" t="str">
            <v>ALMOND</v>
          </cell>
          <cell r="E53" t="str">
            <v>Almond - Kernels</v>
          </cell>
        </row>
        <row r="54">
          <cell r="B54" t="str">
            <v>Carnival Almond Smoked Paprika 200g</v>
          </cell>
          <cell r="C54" t="str">
            <v>FG</v>
          </cell>
          <cell r="D54" t="str">
            <v>ALMOND</v>
          </cell>
          <cell r="E54" t="str">
            <v>Almond - Kernels</v>
          </cell>
        </row>
        <row r="55">
          <cell r="B55" t="str">
            <v>Carnival Almonds - Indepance 200g Mono Carton</v>
          </cell>
          <cell r="C55" t="str">
            <v>FG</v>
          </cell>
          <cell r="D55" t="str">
            <v>ALMOND</v>
          </cell>
          <cell r="E55" t="str">
            <v>Almond - Kernels</v>
          </cell>
        </row>
        <row r="56">
          <cell r="B56" t="str">
            <v>Carnival Almonds - Independence 200g</v>
          </cell>
          <cell r="C56" t="str">
            <v>FG</v>
          </cell>
          <cell r="D56" t="str">
            <v>ALMOND</v>
          </cell>
          <cell r="E56" t="str">
            <v>Almond - Kernels</v>
          </cell>
        </row>
        <row r="57">
          <cell r="B57" t="str">
            <v>Carnival Almonds 250 Gm</v>
          </cell>
          <cell r="C57" t="str">
            <v>FG</v>
          </cell>
          <cell r="D57" t="str">
            <v>ALMOND</v>
          </cell>
          <cell r="E57" t="str">
            <v>Almond - Kernels</v>
          </cell>
        </row>
        <row r="58">
          <cell r="B58" t="str">
            <v>Carnival Almonds Independence 1Kg</v>
          </cell>
          <cell r="C58" t="str">
            <v>FG</v>
          </cell>
          <cell r="D58" t="str">
            <v>ALMOND</v>
          </cell>
          <cell r="E58" t="str">
            <v>Almond - Kernels</v>
          </cell>
        </row>
        <row r="59">
          <cell r="B59" t="str">
            <v>Carnival California Almonds Independence 1kg</v>
          </cell>
          <cell r="C59" t="str">
            <v>FG</v>
          </cell>
          <cell r="D59" t="str">
            <v>ALMOND</v>
          </cell>
          <cell r="E59" t="str">
            <v>Almond - Kernels</v>
          </cell>
        </row>
        <row r="60">
          <cell r="B60" t="str">
            <v>Carnival Classic Almonds 100g</v>
          </cell>
          <cell r="C60" t="str">
            <v>FG</v>
          </cell>
          <cell r="D60" t="str">
            <v>ALMOND</v>
          </cell>
          <cell r="E60" t="str">
            <v>Almond - Kernels</v>
          </cell>
        </row>
        <row r="61">
          <cell r="B61" t="str">
            <v>Carnival Classic Almonds 250g</v>
          </cell>
          <cell r="C61" t="str">
            <v>FG</v>
          </cell>
          <cell r="D61" t="str">
            <v>ALMOND</v>
          </cell>
          <cell r="E61" t="str">
            <v>Almond - Kernels</v>
          </cell>
        </row>
        <row r="62">
          <cell r="B62" t="str">
            <v>Carnival Festive Almonds (27-28 count) 100gm</v>
          </cell>
          <cell r="C62" t="str">
            <v>FG</v>
          </cell>
          <cell r="D62" t="str">
            <v>ALMOND</v>
          </cell>
          <cell r="E62" t="str">
            <v>Almond - Kernels</v>
          </cell>
        </row>
        <row r="63">
          <cell r="B63" t="str">
            <v>Carnival Festive Almonds (27-28 count) 125gm</v>
          </cell>
          <cell r="C63" t="str">
            <v>FG</v>
          </cell>
          <cell r="D63" t="str">
            <v>ALMOND</v>
          </cell>
          <cell r="E63" t="str">
            <v>Almond - Kernels</v>
          </cell>
        </row>
        <row r="64">
          <cell r="B64" t="str">
            <v>Carnival Festive Almonds (27-28 count) 150gm</v>
          </cell>
          <cell r="C64" t="str">
            <v>FG</v>
          </cell>
          <cell r="D64" t="str">
            <v>ALMOND</v>
          </cell>
          <cell r="E64" t="str">
            <v>Almond - Kernels</v>
          </cell>
        </row>
        <row r="65">
          <cell r="B65" t="str">
            <v>Carnival Festive Almonds (27-28 count) 200gm</v>
          </cell>
          <cell r="C65" t="str">
            <v>FG</v>
          </cell>
          <cell r="D65" t="str">
            <v>ALMOND</v>
          </cell>
          <cell r="E65" t="str">
            <v>Almond - Kernels</v>
          </cell>
        </row>
        <row r="66">
          <cell r="B66" t="str">
            <v>Carnival Festive Salted Almonds (27-28 count) 100gm</v>
          </cell>
          <cell r="C66" t="str">
            <v>FG</v>
          </cell>
          <cell r="D66" t="str">
            <v>ALMOND</v>
          </cell>
          <cell r="E66" t="str">
            <v>Almond - Kernels</v>
          </cell>
        </row>
        <row r="67">
          <cell r="B67" t="str">
            <v>Carnival Festive Salted Almonds (27-28 count) 150gm</v>
          </cell>
          <cell r="C67" t="str">
            <v>FG</v>
          </cell>
          <cell r="D67" t="str">
            <v>ALMOND</v>
          </cell>
          <cell r="E67" t="str">
            <v>Almond - Kernels</v>
          </cell>
        </row>
        <row r="68">
          <cell r="B68" t="str">
            <v>Carnival Festive Salted Almonds (27-28 Count) 230gm</v>
          </cell>
          <cell r="C68" t="str">
            <v>FG</v>
          </cell>
          <cell r="D68" t="str">
            <v>ALMOND</v>
          </cell>
          <cell r="E68" t="str">
            <v>Almond - Kernels</v>
          </cell>
        </row>
        <row r="69">
          <cell r="B69" t="str">
            <v>Carnival Festive Salted Almonds (27-28 count) 80gm</v>
          </cell>
          <cell r="C69" t="str">
            <v>FG</v>
          </cell>
          <cell r="D69" t="str">
            <v>ALMOND</v>
          </cell>
          <cell r="E69" t="str">
            <v>Almond - Kernels</v>
          </cell>
        </row>
        <row r="70">
          <cell r="B70" t="str">
            <v>Carnival Honey Roasted Almonds 100G</v>
          </cell>
          <cell r="C70" t="str">
            <v>FG</v>
          </cell>
          <cell r="D70" t="str">
            <v>ALMOND</v>
          </cell>
          <cell r="E70" t="str">
            <v>Almond - Kernels</v>
          </cell>
        </row>
        <row r="71">
          <cell r="B71" t="str">
            <v>Carnival Honey Roasted Almonds 230G</v>
          </cell>
          <cell r="C71" t="str">
            <v>FG</v>
          </cell>
          <cell r="D71" t="str">
            <v>ALMOND</v>
          </cell>
          <cell r="E71" t="str">
            <v>Almond - Kernels</v>
          </cell>
        </row>
        <row r="72">
          <cell r="B72" t="str">
            <v>Carnival Pudina Almonds 125g</v>
          </cell>
          <cell r="C72" t="str">
            <v>FG</v>
          </cell>
          <cell r="D72" t="str">
            <v>ALMOND</v>
          </cell>
          <cell r="E72" t="str">
            <v>Almond - Kernels</v>
          </cell>
        </row>
        <row r="73">
          <cell r="B73" t="str">
            <v>Carnival Roasted &amp; Salted Almonds 100g</v>
          </cell>
          <cell r="C73" t="str">
            <v>FG</v>
          </cell>
          <cell r="D73" t="str">
            <v>ALMOND</v>
          </cell>
          <cell r="E73" t="str">
            <v>Almond - Kernels</v>
          </cell>
        </row>
        <row r="74">
          <cell r="B74" t="str">
            <v>Carnival Roasted &amp; Salted Almonds 230g</v>
          </cell>
          <cell r="C74" t="str">
            <v>FG</v>
          </cell>
          <cell r="D74" t="str">
            <v>ALMOND</v>
          </cell>
          <cell r="E74" t="str">
            <v>Almond - Kernels</v>
          </cell>
        </row>
        <row r="75">
          <cell r="B75" t="str">
            <v>Carnival Roasted &amp; Salted Almonds 250g</v>
          </cell>
          <cell r="C75" t="str">
            <v>FG</v>
          </cell>
          <cell r="D75" t="str">
            <v>ALMOND</v>
          </cell>
          <cell r="E75" t="str">
            <v>Almond - Kernels</v>
          </cell>
        </row>
        <row r="76">
          <cell r="B76" t="str">
            <v>Carnival Smoked Almonds 100gm</v>
          </cell>
          <cell r="C76" t="str">
            <v>FG</v>
          </cell>
          <cell r="D76" t="str">
            <v>ALMOND</v>
          </cell>
          <cell r="E76" t="str">
            <v>Almond - Kernels</v>
          </cell>
        </row>
        <row r="77">
          <cell r="B77" t="str">
            <v>Carnival Smoked Almonds 200g</v>
          </cell>
          <cell r="C77" t="str">
            <v>FG</v>
          </cell>
          <cell r="D77" t="str">
            <v>ALMOND</v>
          </cell>
          <cell r="E77" t="str">
            <v>Almond - Kernels</v>
          </cell>
        </row>
        <row r="78">
          <cell r="B78" t="str">
            <v>Chat Almonds</v>
          </cell>
          <cell r="C78" t="str">
            <v>FG</v>
          </cell>
          <cell r="D78" t="str">
            <v>ALMOND</v>
          </cell>
          <cell r="E78" t="str">
            <v>Almond - Kernels</v>
          </cell>
        </row>
        <row r="79">
          <cell r="B79" t="str">
            <v>Chilli Almonds Bulk</v>
          </cell>
          <cell r="C79" t="str">
            <v>FG</v>
          </cell>
          <cell r="D79" t="str">
            <v>ALMOND</v>
          </cell>
          <cell r="E79" t="str">
            <v>Almond - Kernels</v>
          </cell>
        </row>
        <row r="80">
          <cell r="B80" t="str">
            <v>Cinnamon Glazed Almond</v>
          </cell>
          <cell r="C80" t="str">
            <v>FG</v>
          </cell>
          <cell r="D80" t="str">
            <v>ALMOND</v>
          </cell>
          <cell r="E80" t="str">
            <v>Almond - Kernels</v>
          </cell>
        </row>
        <row r="81">
          <cell r="B81" t="str">
            <v>Cocoa Glazed Almonds</v>
          </cell>
          <cell r="C81" t="str">
            <v>FG</v>
          </cell>
          <cell r="D81" t="str">
            <v>ALMOND</v>
          </cell>
          <cell r="E81" t="str">
            <v>Almond - Kernels</v>
          </cell>
        </row>
        <row r="82">
          <cell r="B82" t="str">
            <v>Dark Almond Draggies</v>
          </cell>
          <cell r="C82" t="str">
            <v>FG</v>
          </cell>
          <cell r="D82" t="str">
            <v>ALMOND</v>
          </cell>
          <cell r="E82" t="str">
            <v>Almond - Kernels</v>
          </cell>
        </row>
        <row r="83">
          <cell r="B83" t="str">
            <v>DCC Almonds</v>
          </cell>
          <cell r="C83" t="str">
            <v>FG</v>
          </cell>
          <cell r="D83" t="str">
            <v>ALMOND</v>
          </cell>
          <cell r="E83" t="str">
            <v>Almond - Kernels</v>
          </cell>
        </row>
        <row r="84">
          <cell r="B84" t="str">
            <v>Drangees Dark Almond</v>
          </cell>
          <cell r="C84" t="str">
            <v>FG</v>
          </cell>
          <cell r="D84" t="str">
            <v>ALMOND</v>
          </cell>
          <cell r="E84" t="str">
            <v>Almond - Kernels</v>
          </cell>
        </row>
        <row r="85">
          <cell r="B85" t="str">
            <v>Ez Almond California Bold Loose</v>
          </cell>
          <cell r="C85" t="str">
            <v>FG</v>
          </cell>
          <cell r="D85" t="str">
            <v>ALMOND</v>
          </cell>
          <cell r="E85" t="str">
            <v>Almond - Kernels</v>
          </cell>
        </row>
        <row r="86">
          <cell r="B86" t="str">
            <v>Ez Almond California Regular Loose</v>
          </cell>
          <cell r="C86" t="str">
            <v>FG</v>
          </cell>
          <cell r="D86" t="str">
            <v>ALMOND</v>
          </cell>
          <cell r="E86" t="str">
            <v>Almond - Kernels</v>
          </cell>
        </row>
        <row r="87">
          <cell r="B87" t="str">
            <v>Ez Almond Mammra Regular Loose</v>
          </cell>
          <cell r="C87" t="str">
            <v>FG</v>
          </cell>
          <cell r="D87" t="str">
            <v>ALMOND</v>
          </cell>
          <cell r="E87" t="str">
            <v>Almond - Kernels</v>
          </cell>
        </row>
        <row r="88">
          <cell r="B88" t="str">
            <v>Ez Almond Rstd Salted Loose</v>
          </cell>
          <cell r="C88" t="str">
            <v>FG</v>
          </cell>
          <cell r="D88" t="str">
            <v>ALMOND</v>
          </cell>
          <cell r="E88" t="str">
            <v>Almond - Kernels</v>
          </cell>
        </row>
        <row r="89">
          <cell r="B89" t="str">
            <v>FABSTA ALMOND 100G</v>
          </cell>
          <cell r="C89" t="str">
            <v>FG</v>
          </cell>
          <cell r="D89" t="str">
            <v>ALMOND</v>
          </cell>
          <cell r="E89" t="str">
            <v>Almond - Kernels</v>
          </cell>
        </row>
        <row r="90">
          <cell r="B90" t="str">
            <v>FABSTA ALMOND 1KG</v>
          </cell>
          <cell r="C90" t="str">
            <v>FG</v>
          </cell>
          <cell r="D90" t="str">
            <v>ALMOND</v>
          </cell>
          <cell r="E90" t="str">
            <v>Almond - Kernels</v>
          </cell>
        </row>
        <row r="91">
          <cell r="B91" t="str">
            <v>FABSTA ALMOND 200G</v>
          </cell>
          <cell r="C91" t="str">
            <v>FG</v>
          </cell>
          <cell r="D91" t="str">
            <v>ALMOND</v>
          </cell>
          <cell r="E91" t="str">
            <v>Almond - Kernels</v>
          </cell>
        </row>
        <row r="92">
          <cell r="B92" t="str">
            <v>FABSTA ALMOND 500G</v>
          </cell>
          <cell r="C92" t="str">
            <v>FG</v>
          </cell>
          <cell r="D92" t="str">
            <v>ALMOND</v>
          </cell>
          <cell r="E92" t="str">
            <v>Almond - Kernels</v>
          </cell>
        </row>
        <row r="93">
          <cell r="B93" t="str">
            <v>FABSTA ALMOND REGULAR 100G</v>
          </cell>
          <cell r="C93" t="str">
            <v>FG</v>
          </cell>
          <cell r="D93" t="str">
            <v>ALMOND</v>
          </cell>
          <cell r="E93" t="str">
            <v>Almond - Kernels</v>
          </cell>
        </row>
        <row r="94">
          <cell r="B94" t="str">
            <v>FABSTA ALMOND REGULAR 200G</v>
          </cell>
          <cell r="C94" t="str">
            <v>FG</v>
          </cell>
          <cell r="D94" t="str">
            <v>ALMOND</v>
          </cell>
          <cell r="E94" t="str">
            <v>Almond - Kernels</v>
          </cell>
        </row>
        <row r="95">
          <cell r="B95" t="str">
            <v>FABSTA ALMOND REGULAR 500G</v>
          </cell>
          <cell r="C95" t="str">
            <v>FG</v>
          </cell>
          <cell r="D95" t="str">
            <v>ALMOND</v>
          </cell>
          <cell r="E95" t="str">
            <v>Almond - Kernels</v>
          </cell>
        </row>
        <row r="96">
          <cell r="B96" t="str">
            <v>FNP Almonds 26-29 - Salted &amp; Roasted 50 gm</v>
          </cell>
          <cell r="C96" t="str">
            <v>FG</v>
          </cell>
          <cell r="D96" t="str">
            <v>ALMOND</v>
          </cell>
          <cell r="E96" t="str">
            <v>Almond - Kernels</v>
          </cell>
        </row>
        <row r="97">
          <cell r="B97" t="str">
            <v>FNP Choco Almonds 50gm</v>
          </cell>
          <cell r="C97" t="str">
            <v>FG</v>
          </cell>
          <cell r="D97" t="str">
            <v>ALMOND</v>
          </cell>
          <cell r="E97" t="str">
            <v>Almond - Kernels</v>
          </cell>
        </row>
        <row r="98">
          <cell r="B98" t="str">
            <v>FNP Fiery Almonds Sizzlin Peri Peri 50gm</v>
          </cell>
          <cell r="C98" t="str">
            <v>FG</v>
          </cell>
          <cell r="D98" t="str">
            <v>ALMOND</v>
          </cell>
          <cell r="E98" t="str">
            <v>Almond - Kernels</v>
          </cell>
        </row>
        <row r="99">
          <cell r="B99" t="str">
            <v>FNP Smokin Sweet N Smoky BBQ Almond 50gm</v>
          </cell>
          <cell r="C99" t="str">
            <v>FG</v>
          </cell>
          <cell r="D99" t="str">
            <v>ALMOND</v>
          </cell>
          <cell r="E99" t="str">
            <v>Almond - Kernels</v>
          </cell>
        </row>
        <row r="100">
          <cell r="B100" t="str">
            <v>GOOD LIFE ALMOND 100 g PP</v>
          </cell>
          <cell r="C100" t="str">
            <v>FG</v>
          </cell>
          <cell r="D100" t="str">
            <v>ALMOND</v>
          </cell>
          <cell r="E100" t="str">
            <v>Almond - Kernels</v>
          </cell>
        </row>
        <row r="101">
          <cell r="B101" t="str">
            <v>GOOD LIFE ALMOND 200 g PP</v>
          </cell>
          <cell r="C101" t="str">
            <v>FG</v>
          </cell>
          <cell r="D101" t="str">
            <v>ALMOND</v>
          </cell>
          <cell r="E101" t="str">
            <v>Almond - Kernels</v>
          </cell>
        </row>
        <row r="102">
          <cell r="B102" t="str">
            <v>GOOD LIFE ALMOND 500 g PP</v>
          </cell>
          <cell r="C102" t="str">
            <v>FG</v>
          </cell>
          <cell r="D102" t="str">
            <v>ALMOND</v>
          </cell>
          <cell r="E102" t="str">
            <v>Almond - Kernels</v>
          </cell>
        </row>
        <row r="103">
          <cell r="B103" t="str">
            <v>Ha Almond Mamro 250g (1340532)</v>
          </cell>
          <cell r="C103" t="str">
            <v>FG</v>
          </cell>
          <cell r="D103" t="str">
            <v>ALMOND</v>
          </cell>
          <cell r="E103" t="str">
            <v>Almond - Kernels</v>
          </cell>
        </row>
        <row r="104">
          <cell r="B104" t="str">
            <v>Ha Almond Mamro 500g (1350928)</v>
          </cell>
          <cell r="C104" t="str">
            <v>FG</v>
          </cell>
          <cell r="D104" t="str">
            <v>ALMOND</v>
          </cell>
          <cell r="E104" t="str">
            <v>Almond - Kernels</v>
          </cell>
        </row>
        <row r="105">
          <cell r="B105" t="str">
            <v>Kesar Almonds</v>
          </cell>
          <cell r="C105" t="str">
            <v>FG</v>
          </cell>
          <cell r="D105" t="str">
            <v>ALMOND</v>
          </cell>
          <cell r="E105" t="str">
            <v>Almond - Kernels</v>
          </cell>
        </row>
        <row r="106">
          <cell r="B106" t="str">
            <v>Mild Chilly Glazed Almonds</v>
          </cell>
          <cell r="C106" t="str">
            <v>FG</v>
          </cell>
          <cell r="D106" t="str">
            <v>ALMOND</v>
          </cell>
          <cell r="E106" t="str">
            <v>Almond - Kernels</v>
          </cell>
        </row>
        <row r="107">
          <cell r="B107" t="str">
            <v>Milk Almond Draggies</v>
          </cell>
          <cell r="C107" t="str">
            <v>FG</v>
          </cell>
          <cell r="D107" t="str">
            <v>ALMOND</v>
          </cell>
          <cell r="E107" t="str">
            <v>Almond - Kernels</v>
          </cell>
        </row>
        <row r="108">
          <cell r="B108" t="str">
            <v>NATAPURE Almond 200g</v>
          </cell>
          <cell r="C108" t="str">
            <v>FG</v>
          </cell>
          <cell r="D108" t="str">
            <v>ALMOND</v>
          </cell>
          <cell r="E108" t="str">
            <v>Almond - Kernels</v>
          </cell>
        </row>
        <row r="109">
          <cell r="B109" t="str">
            <v>NATAPURE Roasted Almonds 175gms</v>
          </cell>
          <cell r="C109" t="str">
            <v>FG</v>
          </cell>
          <cell r="D109" t="str">
            <v>ALMOND</v>
          </cell>
          <cell r="E109" t="str">
            <v>Almond - Kernels</v>
          </cell>
        </row>
        <row r="110">
          <cell r="B110" t="str">
            <v>Natures Almond Reg 500 Gm ( 1411652 )</v>
          </cell>
          <cell r="C110" t="str">
            <v>FG</v>
          </cell>
          <cell r="D110" t="str">
            <v>ALMOND</v>
          </cell>
          <cell r="E110" t="str">
            <v>Almond - Kernels</v>
          </cell>
        </row>
        <row r="111">
          <cell r="B111" t="str">
            <v>Natures Almonds Reg 200 Gm (1411651)</v>
          </cell>
          <cell r="C111" t="str">
            <v>FG</v>
          </cell>
          <cell r="D111" t="str">
            <v>ALMOND</v>
          </cell>
          <cell r="E111" t="str">
            <v>Almond - Kernels</v>
          </cell>
        </row>
        <row r="112">
          <cell r="B112" t="str">
            <v>Natures American Almond 100g (1340528)</v>
          </cell>
          <cell r="C112" t="str">
            <v>FG</v>
          </cell>
          <cell r="D112" t="str">
            <v>ALMOND</v>
          </cell>
          <cell r="E112" t="str">
            <v>Almond - Kernels</v>
          </cell>
        </row>
        <row r="113">
          <cell r="B113" t="str">
            <v>Natures American Almond 250g (1340524)</v>
          </cell>
          <cell r="C113" t="str">
            <v>FG</v>
          </cell>
          <cell r="D113" t="str">
            <v>ALMOND</v>
          </cell>
          <cell r="E113" t="str">
            <v>Almond - Kernels</v>
          </cell>
        </row>
        <row r="114">
          <cell r="B114" t="str">
            <v>Natures American Almond 500g (1350926)</v>
          </cell>
          <cell r="C114" t="str">
            <v>FG</v>
          </cell>
          <cell r="D114" t="str">
            <v>ALMOND</v>
          </cell>
          <cell r="E114" t="str">
            <v>Almond - Kernels</v>
          </cell>
        </row>
        <row r="115">
          <cell r="B115" t="str">
            <v>Natures American Almonds 1 KG (1416275)</v>
          </cell>
          <cell r="C115" t="str">
            <v>FG</v>
          </cell>
          <cell r="D115" t="str">
            <v>ALMOND</v>
          </cell>
          <cell r="E115" t="str">
            <v>Almond - Kernels</v>
          </cell>
        </row>
        <row r="116">
          <cell r="B116" t="str">
            <v>NB AMERICAN ALMOND LOOSE</v>
          </cell>
          <cell r="C116" t="str">
            <v>FG</v>
          </cell>
          <cell r="D116" t="str">
            <v>ALMOND</v>
          </cell>
          <cell r="E116" t="str">
            <v>Almond - Kernels</v>
          </cell>
        </row>
        <row r="117">
          <cell r="B117" t="str">
            <v>NB AMERICAN ALMOND SELECTED LOOSE</v>
          </cell>
          <cell r="C117" t="str">
            <v>FG</v>
          </cell>
          <cell r="D117" t="str">
            <v>ALMOND</v>
          </cell>
          <cell r="E117" t="str">
            <v>Almond - Kernels</v>
          </cell>
        </row>
        <row r="118">
          <cell r="B118" t="str">
            <v>NB BARBEQUE ALMOND LOOSE</v>
          </cell>
          <cell r="C118" t="str">
            <v>FG</v>
          </cell>
          <cell r="D118" t="str">
            <v>ALMOND</v>
          </cell>
          <cell r="E118" t="str">
            <v>Almond - Kernels</v>
          </cell>
        </row>
        <row r="119">
          <cell r="B119" t="str">
            <v>NB HONEY ROAST ALMOND LOOSE</v>
          </cell>
          <cell r="C119" t="str">
            <v>FG</v>
          </cell>
          <cell r="D119" t="str">
            <v>ALMOND</v>
          </cell>
          <cell r="E119" t="str">
            <v>Almond - Kernels</v>
          </cell>
        </row>
        <row r="120">
          <cell r="B120" t="str">
            <v>NB ROASTED &amp; SALTED ALMOND LOOSE</v>
          </cell>
          <cell r="C120" t="str">
            <v>FG</v>
          </cell>
          <cell r="D120" t="str">
            <v>ALMOND</v>
          </cell>
          <cell r="E120" t="str">
            <v>Almond - Kernels</v>
          </cell>
        </row>
        <row r="121">
          <cell r="B121" t="str">
            <v>NB SMOKED ALMOND LOOSE</v>
          </cell>
          <cell r="C121" t="str">
            <v>FG</v>
          </cell>
          <cell r="D121" t="str">
            <v>ALMOND</v>
          </cell>
          <cell r="E121" t="str">
            <v>Almond - Kernels</v>
          </cell>
        </row>
        <row r="122">
          <cell r="B122" t="str">
            <v>Pink Salt Almonds Bulk</v>
          </cell>
          <cell r="C122" t="str">
            <v>FG</v>
          </cell>
          <cell r="D122" t="str">
            <v>ALMOND</v>
          </cell>
          <cell r="E122" t="str">
            <v>Almond - Kernels</v>
          </cell>
        </row>
        <row r="123">
          <cell r="B123" t="str">
            <v>Plain Almonds 75gm</v>
          </cell>
          <cell r="C123" t="str">
            <v>FG</v>
          </cell>
          <cell r="D123" t="str">
            <v>ALMOND</v>
          </cell>
          <cell r="E123" t="str">
            <v>Almond - Kernels</v>
          </cell>
        </row>
        <row r="124">
          <cell r="B124" t="str">
            <v>Premia Almond Salted 100 Gm</v>
          </cell>
          <cell r="C124" t="str">
            <v>FG</v>
          </cell>
          <cell r="D124" t="str">
            <v>ALMOND</v>
          </cell>
          <cell r="E124" t="str">
            <v>Almond - Kernels</v>
          </cell>
        </row>
        <row r="125">
          <cell r="B125" t="str">
            <v>PREMIA ALMONDS SMOKD-100G</v>
          </cell>
          <cell r="C125" t="str">
            <v>FG</v>
          </cell>
          <cell r="D125" t="str">
            <v>ALMOND</v>
          </cell>
          <cell r="E125" t="str">
            <v>Almond - Kernels</v>
          </cell>
        </row>
        <row r="126">
          <cell r="B126" t="str">
            <v>Roasted &amp; Salted Almonds</v>
          </cell>
          <cell r="C126" t="str">
            <v>FG</v>
          </cell>
          <cell r="D126" t="str">
            <v>ALMOND</v>
          </cell>
          <cell r="E126" t="str">
            <v>Almond - Kernels</v>
          </cell>
        </row>
        <row r="127">
          <cell r="B127" t="str">
            <v>Roasted &amp; Salted Almonds 140g</v>
          </cell>
          <cell r="C127" t="str">
            <v>FG</v>
          </cell>
          <cell r="D127" t="str">
            <v>ALMOND</v>
          </cell>
          <cell r="E127" t="str">
            <v>Almond - Kernels</v>
          </cell>
        </row>
        <row r="128">
          <cell r="B128" t="str">
            <v>Roasted &amp; Salted Almonds 75g</v>
          </cell>
          <cell r="C128" t="str">
            <v>FG</v>
          </cell>
          <cell r="D128" t="str">
            <v>ALMOND</v>
          </cell>
          <cell r="E128" t="str">
            <v>Almond - Kernels</v>
          </cell>
        </row>
        <row r="129">
          <cell r="B129" t="str">
            <v>Roasted &amp; Salted Almonds 90g</v>
          </cell>
          <cell r="C129" t="str">
            <v>FG</v>
          </cell>
          <cell r="D129" t="str">
            <v>ALMOND</v>
          </cell>
          <cell r="E129" t="str">
            <v>Almond - Kernels</v>
          </cell>
        </row>
        <row r="130">
          <cell r="B130" t="str">
            <v>Roasted &amp; Salted Almonds Bulk</v>
          </cell>
          <cell r="C130" t="str">
            <v>FG</v>
          </cell>
          <cell r="D130" t="str">
            <v>ALMOND</v>
          </cell>
          <cell r="E130" t="str">
            <v>Almond - Kernels</v>
          </cell>
        </row>
        <row r="131">
          <cell r="B131" t="str">
            <v>Roasted Independence Almonds Bulk</v>
          </cell>
          <cell r="C131" t="str">
            <v>FG</v>
          </cell>
          <cell r="D131" t="str">
            <v>ALMOND</v>
          </cell>
          <cell r="E131" t="str">
            <v>Almond - Kernels</v>
          </cell>
        </row>
        <row r="132">
          <cell r="B132" t="str">
            <v>Royal Traditions Almond 100g</v>
          </cell>
          <cell r="C132" t="str">
            <v>FG</v>
          </cell>
          <cell r="D132" t="str">
            <v>ALMOND</v>
          </cell>
          <cell r="E132" t="str">
            <v>Almond - Kernels</v>
          </cell>
        </row>
        <row r="133">
          <cell r="B133" t="str">
            <v>Royal Traditions Almonds Salted 100g</v>
          </cell>
          <cell r="C133" t="str">
            <v>FG</v>
          </cell>
          <cell r="D133" t="str">
            <v>ALMOND</v>
          </cell>
          <cell r="E133" t="str">
            <v>Almond - Kernels</v>
          </cell>
        </row>
        <row r="134">
          <cell r="B134" t="str">
            <v>Smoked Almonds</v>
          </cell>
          <cell r="C134" t="str">
            <v>FG</v>
          </cell>
          <cell r="D134" t="str">
            <v>ALMOND</v>
          </cell>
          <cell r="E134" t="str">
            <v>Almond - Kernels</v>
          </cell>
        </row>
        <row r="135">
          <cell r="B135" t="str">
            <v>Smoked Almonds Bulk</v>
          </cell>
          <cell r="C135" t="str">
            <v>FG</v>
          </cell>
          <cell r="D135" t="str">
            <v>ALMOND</v>
          </cell>
          <cell r="E135" t="str">
            <v>Almond - Kernels</v>
          </cell>
        </row>
        <row r="136">
          <cell r="B136" t="str">
            <v>SnackAmor Roasted Salted Almonds 170g</v>
          </cell>
          <cell r="C136" t="str">
            <v>FG</v>
          </cell>
          <cell r="D136" t="str">
            <v>ALMOND</v>
          </cell>
          <cell r="E136" t="str">
            <v>Almond - Kernels</v>
          </cell>
        </row>
        <row r="137">
          <cell r="B137" t="str">
            <v>Snackania American Almonds 480g</v>
          </cell>
          <cell r="C137" t="str">
            <v>FG</v>
          </cell>
          <cell r="D137" t="str">
            <v>ALMOND</v>
          </cell>
          <cell r="E137" t="str">
            <v>Almond - Kernels</v>
          </cell>
        </row>
        <row r="138">
          <cell r="B138" t="str">
            <v>Solimo Preimum Almonds 1kg (B01LPY9P2I) - FBA</v>
          </cell>
          <cell r="C138" t="str">
            <v>FG</v>
          </cell>
          <cell r="D138" t="str">
            <v>ALMOND</v>
          </cell>
          <cell r="E138" t="str">
            <v>Almond - Kernels</v>
          </cell>
        </row>
        <row r="139">
          <cell r="B139" t="str">
            <v>Solimo Premium Almonds 250g ( B01LPY9XY8 )</v>
          </cell>
          <cell r="C139" t="str">
            <v>FG</v>
          </cell>
          <cell r="D139" t="str">
            <v>ALMOND</v>
          </cell>
          <cell r="E139" t="str">
            <v>Almond - Kernels</v>
          </cell>
        </row>
        <row r="140">
          <cell r="B140" t="str">
            <v>SPAR SELECT ALMONDS 500G</v>
          </cell>
          <cell r="C140" t="str">
            <v>FG</v>
          </cell>
          <cell r="D140" t="str">
            <v>ALMOND</v>
          </cell>
          <cell r="E140" t="str">
            <v>Almond - Kernels</v>
          </cell>
        </row>
        <row r="141">
          <cell r="B141" t="str">
            <v>Tasties Chilli Almonds - Flavourful &amp; Crunchy 75 g</v>
          </cell>
          <cell r="C141" t="str">
            <v>FG</v>
          </cell>
          <cell r="D141" t="str">
            <v>ALMOND</v>
          </cell>
          <cell r="E141" t="str">
            <v>Almond - Kernels</v>
          </cell>
        </row>
        <row r="142">
          <cell r="B142" t="str">
            <v>Tasties Roasted Almonds With Pink Salt - Flavourful &amp; Crunchy 75 g</v>
          </cell>
          <cell r="C142" t="str">
            <v>FG</v>
          </cell>
          <cell r="D142" t="str">
            <v>ALMOND</v>
          </cell>
          <cell r="E142" t="str">
            <v>Almond - Kernels</v>
          </cell>
        </row>
        <row r="143">
          <cell r="B143" t="str">
            <v>Tasties Smoked Almonds - Flavourful &amp; Crunchy 75 g</v>
          </cell>
          <cell r="C143" t="str">
            <v>FG</v>
          </cell>
          <cell r="D143" t="str">
            <v>ALMOND</v>
          </cell>
          <cell r="E143" t="str">
            <v>Almond - Kernels</v>
          </cell>
        </row>
        <row r="144">
          <cell r="B144" t="str">
            <v>Vedaka Almonds 100g (B07GQZ7ZTZ) FBA</v>
          </cell>
          <cell r="C144" t="str">
            <v>FG</v>
          </cell>
          <cell r="D144" t="str">
            <v>ALMOND</v>
          </cell>
          <cell r="E144" t="str">
            <v>Almond - Kernels</v>
          </cell>
        </row>
        <row r="145">
          <cell r="B145" t="str">
            <v>Vedaka Almonds 1kg (B07GQNM6N2)</v>
          </cell>
          <cell r="C145" t="str">
            <v>FG</v>
          </cell>
          <cell r="D145" t="str">
            <v>ALMOND</v>
          </cell>
          <cell r="E145" t="str">
            <v>Almond - Kernels</v>
          </cell>
        </row>
        <row r="146">
          <cell r="B146" t="str">
            <v>Vedaka Almonds 500g (B07GQNQNJG)</v>
          </cell>
          <cell r="C146" t="str">
            <v>FG</v>
          </cell>
          <cell r="D146" t="str">
            <v>ALMOND</v>
          </cell>
          <cell r="E146" t="str">
            <v>Almond - Kernels</v>
          </cell>
        </row>
        <row r="147">
          <cell r="B147" t="str">
            <v>Vedaka Premium Roasted and Salted Almonds 200g B07GR346FM</v>
          </cell>
          <cell r="C147" t="str">
            <v>FG</v>
          </cell>
          <cell r="D147" t="str">
            <v>ALMOND</v>
          </cell>
          <cell r="E147" t="str">
            <v>Almond - Kernels</v>
          </cell>
        </row>
        <row r="148">
          <cell r="B148" t="str">
            <v>Vedaka Premium Roasted and Salted Almonds100g B07GQQJP1N</v>
          </cell>
          <cell r="C148" t="str">
            <v>FG</v>
          </cell>
          <cell r="D148" t="str">
            <v>ALMOND</v>
          </cell>
          <cell r="E148" t="str">
            <v>Almond - Kernels</v>
          </cell>
        </row>
        <row r="149">
          <cell r="B149" t="str">
            <v>White Almond Draggies</v>
          </cell>
          <cell r="C149" t="str">
            <v>FG</v>
          </cell>
          <cell r="D149" t="str">
            <v>ALMOND</v>
          </cell>
          <cell r="E149" t="str">
            <v>Almond - Kernels</v>
          </cell>
        </row>
        <row r="150">
          <cell r="B150" t="str">
            <v>Almond Mamra Touch</v>
          </cell>
          <cell r="C150" t="str">
            <v>RM</v>
          </cell>
          <cell r="D150" t="str">
            <v>ALMOND</v>
          </cell>
          <cell r="E150" t="str">
            <v>Almond - Mamra</v>
          </cell>
        </row>
        <row r="151">
          <cell r="B151" t="str">
            <v>Mamra Almonds 1A</v>
          </cell>
          <cell r="C151" t="str">
            <v>RM</v>
          </cell>
          <cell r="D151" t="str">
            <v>ALMOND</v>
          </cell>
          <cell r="E151" t="str">
            <v>Almond - Mamra</v>
          </cell>
        </row>
        <row r="152">
          <cell r="B152" t="str">
            <v>Mamra Almonds 2A</v>
          </cell>
          <cell r="C152" t="str">
            <v>RM</v>
          </cell>
          <cell r="D152" t="str">
            <v>ALMOND</v>
          </cell>
          <cell r="E152" t="str">
            <v>Almond - Mamra</v>
          </cell>
        </row>
        <row r="153">
          <cell r="B153" t="str">
            <v>Mamra Almonds 3A</v>
          </cell>
          <cell r="C153" t="str">
            <v>RM</v>
          </cell>
          <cell r="D153" t="str">
            <v>ALMOND</v>
          </cell>
          <cell r="E153" t="str">
            <v>Almond - Mamra</v>
          </cell>
        </row>
        <row r="154">
          <cell r="B154" t="str">
            <v>Mamra Almonds 4A</v>
          </cell>
          <cell r="C154" t="str">
            <v>RM</v>
          </cell>
          <cell r="D154" t="str">
            <v>ALMOND</v>
          </cell>
          <cell r="E154" t="str">
            <v>Almond - Mamra</v>
          </cell>
        </row>
        <row r="155">
          <cell r="B155" t="str">
            <v>Mamra Almonds 5A</v>
          </cell>
          <cell r="C155" t="str">
            <v>RM</v>
          </cell>
          <cell r="D155" t="str">
            <v>ALMOND</v>
          </cell>
          <cell r="E155" t="str">
            <v>Almond - Mamra</v>
          </cell>
        </row>
        <row r="156">
          <cell r="B156" t="str">
            <v>Mamra Almonds 6A</v>
          </cell>
          <cell r="C156" t="str">
            <v>RM</v>
          </cell>
          <cell r="D156" t="str">
            <v>ALMOND</v>
          </cell>
          <cell r="E156" t="str">
            <v>Almond - Mamra</v>
          </cell>
        </row>
        <row r="157">
          <cell r="B157" t="str">
            <v>Mamra Almonds 7A</v>
          </cell>
          <cell r="C157" t="str">
            <v>RM</v>
          </cell>
          <cell r="D157" t="str">
            <v>ALMOND</v>
          </cell>
          <cell r="E157" t="str">
            <v>Almond - Mamra</v>
          </cell>
        </row>
        <row r="158">
          <cell r="B158" t="str">
            <v>Mamra Almonds ES</v>
          </cell>
          <cell r="C158" t="str">
            <v>RM</v>
          </cell>
          <cell r="D158" t="str">
            <v>ALMOND</v>
          </cell>
          <cell r="E158" t="str">
            <v>Almond - Mamra</v>
          </cell>
        </row>
        <row r="159">
          <cell r="B159" t="str">
            <v>Mamra Selected</v>
          </cell>
          <cell r="C159" t="str">
            <v>RM</v>
          </cell>
          <cell r="D159" t="str">
            <v>ALMOND</v>
          </cell>
          <cell r="E159" t="str">
            <v>Almond - Mamra</v>
          </cell>
        </row>
        <row r="160">
          <cell r="B160" t="str">
            <v>CURATE MAMRA ALMOND 500G</v>
          </cell>
          <cell r="C160" t="str">
            <v>FG</v>
          </cell>
          <cell r="D160" t="str">
            <v>ALMOND</v>
          </cell>
          <cell r="E160" t="str">
            <v>Almond - Mamra</v>
          </cell>
        </row>
        <row r="161">
          <cell r="B161" t="str">
            <v>Curate Mamra Almonds 200g</v>
          </cell>
          <cell r="C161" t="str">
            <v>FG</v>
          </cell>
          <cell r="D161" t="str">
            <v>ALMOND</v>
          </cell>
          <cell r="E161" t="str">
            <v>Almond - Mamra</v>
          </cell>
        </row>
        <row r="162">
          <cell r="B162" t="str">
            <v>Curate Mamra Almonds 250g Jr</v>
          </cell>
          <cell r="C162" t="str">
            <v>FG</v>
          </cell>
          <cell r="D162" t="str">
            <v>ALMOND</v>
          </cell>
          <cell r="E162" t="str">
            <v>Almond - Mamra</v>
          </cell>
        </row>
        <row r="163">
          <cell r="B163" t="str">
            <v>Curate Mamra Almonds 600g Jr</v>
          </cell>
          <cell r="C163" t="str">
            <v>FG</v>
          </cell>
          <cell r="D163" t="str">
            <v>ALMOND</v>
          </cell>
          <cell r="E163" t="str">
            <v>Almond - Mamra</v>
          </cell>
        </row>
        <row r="164">
          <cell r="B164" t="str">
            <v>Ez Almond Mamra Regular Loose (1459019)</v>
          </cell>
          <cell r="C164" t="str">
            <v>FG</v>
          </cell>
          <cell r="D164" t="str">
            <v>ALMOND</v>
          </cell>
          <cell r="E164" t="str">
            <v>Almond - Mamra</v>
          </cell>
        </row>
        <row r="165">
          <cell r="B165" t="str">
            <v>HA ALMOND MAMRA 100g (1340535)</v>
          </cell>
          <cell r="C165" t="str">
            <v>FG</v>
          </cell>
          <cell r="D165" t="str">
            <v>ALMOND</v>
          </cell>
          <cell r="E165" t="str">
            <v>Almond - Mamra</v>
          </cell>
        </row>
        <row r="166">
          <cell r="B166" t="str">
            <v>NB MAMRA ALMOND CLASSIC LOOSE</v>
          </cell>
          <cell r="C166" t="str">
            <v>FG</v>
          </cell>
          <cell r="D166" t="str">
            <v>ALMOND</v>
          </cell>
          <cell r="E166" t="str">
            <v>Almond - Mamra</v>
          </cell>
        </row>
        <row r="167">
          <cell r="B167" t="str">
            <v>NB MAMRA ALMOND ROYAL LOOSE (Not in Use)</v>
          </cell>
          <cell r="C167" t="str">
            <v>FG</v>
          </cell>
          <cell r="D167" t="str">
            <v>ALMOND</v>
          </cell>
          <cell r="E167" t="str">
            <v>Almond - Mamra</v>
          </cell>
        </row>
        <row r="168">
          <cell r="B168" t="str">
            <v xml:space="preserve">NB MAMRA ALMOND ROYAL LOOSE_x000D_
</v>
          </cell>
          <cell r="C168" t="str">
            <v>FG</v>
          </cell>
          <cell r="D168" t="str">
            <v>ALMOND</v>
          </cell>
          <cell r="E168" t="str">
            <v>Almond - Mamra</v>
          </cell>
        </row>
        <row r="169">
          <cell r="B169" t="str">
            <v>OFF-GRADE ALMOND</v>
          </cell>
          <cell r="C169" t="str">
            <v>RM</v>
          </cell>
          <cell r="D169" t="str">
            <v>ALMOND</v>
          </cell>
          <cell r="E169" t="str">
            <v>OFF-GRADE ALMOND</v>
          </cell>
        </row>
        <row r="170">
          <cell r="B170" t="str">
            <v>Anjeer (Figs)</v>
          </cell>
          <cell r="C170" t="str">
            <v>RM</v>
          </cell>
          <cell r="D170" t="str">
            <v>ANJEER</v>
          </cell>
          <cell r="E170" t="str">
            <v>Dried Figs</v>
          </cell>
        </row>
        <row r="171">
          <cell r="B171" t="str">
            <v>Anjeer 1*1</v>
          </cell>
          <cell r="C171" t="str">
            <v>RM</v>
          </cell>
          <cell r="D171" t="str">
            <v>ANJEER</v>
          </cell>
          <cell r="E171" t="str">
            <v>Dried Figs</v>
          </cell>
        </row>
        <row r="172">
          <cell r="B172" t="str">
            <v>Anjeer 1*2</v>
          </cell>
          <cell r="C172" t="str">
            <v>RM</v>
          </cell>
          <cell r="D172" t="str">
            <v>ANJEER</v>
          </cell>
          <cell r="E172" t="str">
            <v>Dried Figs</v>
          </cell>
        </row>
        <row r="173">
          <cell r="B173" t="str">
            <v>Anjeer Chutta</v>
          </cell>
          <cell r="C173" t="str">
            <v>RM</v>
          </cell>
          <cell r="D173" t="str">
            <v>ANJEER</v>
          </cell>
          <cell r="E173" t="str">
            <v>Dried Figs</v>
          </cell>
        </row>
        <row r="174">
          <cell r="B174" t="str">
            <v>Anjeer Selected</v>
          </cell>
          <cell r="C174" t="str">
            <v>RM</v>
          </cell>
          <cell r="D174" t="str">
            <v>ANJEER</v>
          </cell>
          <cell r="E174" t="str">
            <v>Dried Figs</v>
          </cell>
        </row>
        <row r="175">
          <cell r="B175" t="str">
            <v>Anjeer 1*2 75gm</v>
          </cell>
          <cell r="C175" t="str">
            <v>FG</v>
          </cell>
          <cell r="D175" t="str">
            <v>ANJEER</v>
          </cell>
          <cell r="E175" t="str">
            <v>Dried Figs</v>
          </cell>
        </row>
        <row r="176">
          <cell r="B176" t="str">
            <v>Cafe Galleries Anjeer 500g Big</v>
          </cell>
          <cell r="C176" t="str">
            <v>FG</v>
          </cell>
          <cell r="D176" t="str">
            <v>ANJEER</v>
          </cell>
          <cell r="E176" t="str">
            <v>Dried Figs</v>
          </cell>
        </row>
        <row r="177">
          <cell r="B177" t="str">
            <v>Carnival Anjeer Regular 400gm</v>
          </cell>
          <cell r="C177" t="str">
            <v>FG</v>
          </cell>
          <cell r="D177" t="str">
            <v>ANJEER</v>
          </cell>
          <cell r="E177" t="str">
            <v>Dried Figs</v>
          </cell>
        </row>
        <row r="178">
          <cell r="B178" t="str">
            <v>Carnival Classic Anjeer 250g</v>
          </cell>
          <cell r="C178" t="str">
            <v>FG</v>
          </cell>
          <cell r="D178" t="str">
            <v>ANJEER</v>
          </cell>
          <cell r="E178" t="str">
            <v>Dried Figs</v>
          </cell>
        </row>
        <row r="179">
          <cell r="B179" t="str">
            <v>Curate Anjeer 200g</v>
          </cell>
          <cell r="C179" t="str">
            <v>FG</v>
          </cell>
          <cell r="D179" t="str">
            <v>ANJEER</v>
          </cell>
          <cell r="E179" t="str">
            <v>Dried Figs</v>
          </cell>
        </row>
        <row r="180">
          <cell r="B180" t="str">
            <v>Curate Anjeer 250g Jr</v>
          </cell>
          <cell r="C180" t="str">
            <v>FG</v>
          </cell>
          <cell r="D180" t="str">
            <v>ANJEER</v>
          </cell>
          <cell r="E180" t="str">
            <v>Dried Figs</v>
          </cell>
        </row>
        <row r="181">
          <cell r="B181" t="str">
            <v>Dried Anjeer 200gm</v>
          </cell>
          <cell r="C181" t="str">
            <v>FG</v>
          </cell>
          <cell r="D181" t="str">
            <v>ANJEER</v>
          </cell>
          <cell r="E181" t="str">
            <v>Dried Figs</v>
          </cell>
        </row>
        <row r="182">
          <cell r="B182" t="str">
            <v>Ez Anjeer Big Loose (1459023)</v>
          </cell>
          <cell r="C182" t="str">
            <v>FG</v>
          </cell>
          <cell r="D182" t="str">
            <v>ANJEER</v>
          </cell>
          <cell r="E182" t="str">
            <v>Dried Figs</v>
          </cell>
        </row>
        <row r="183">
          <cell r="B183" t="str">
            <v>Ez Anjeer Small Loose</v>
          </cell>
          <cell r="C183" t="str">
            <v>FG</v>
          </cell>
          <cell r="D183" t="str">
            <v>ANJEER</v>
          </cell>
          <cell r="E183" t="str">
            <v>Dried Figs</v>
          </cell>
        </row>
        <row r="184">
          <cell r="B184" t="str">
            <v>Fabsta Anjeer 200gm</v>
          </cell>
          <cell r="C184" t="str">
            <v>FG</v>
          </cell>
          <cell r="D184" t="str">
            <v>ANJEER</v>
          </cell>
          <cell r="E184" t="str">
            <v>Dried Figs</v>
          </cell>
        </row>
        <row r="185">
          <cell r="B185" t="str">
            <v>Fabsta Figs Regular 500gm</v>
          </cell>
          <cell r="C185" t="str">
            <v>FG</v>
          </cell>
          <cell r="D185" t="str">
            <v>ANJEER</v>
          </cell>
          <cell r="E185" t="str">
            <v>Dried Figs</v>
          </cell>
        </row>
        <row r="186">
          <cell r="B186" t="str">
            <v>NATURES FIGS 250GM (1357008)</v>
          </cell>
          <cell r="C186" t="str">
            <v>FG</v>
          </cell>
          <cell r="D186" t="str">
            <v>ANJEER</v>
          </cell>
          <cell r="E186" t="str">
            <v>Dried Figs</v>
          </cell>
        </row>
        <row r="187">
          <cell r="B187" t="str">
            <v>NATURES FIGS 500G (1357009)</v>
          </cell>
          <cell r="C187" t="str">
            <v>FG</v>
          </cell>
          <cell r="D187" t="str">
            <v>ANJEER</v>
          </cell>
          <cell r="E187" t="str">
            <v>Dried Figs</v>
          </cell>
        </row>
        <row r="188">
          <cell r="B188" t="str">
            <v>NB ANJEER LARGE (SLW) LOOSE</v>
          </cell>
          <cell r="C188" t="str">
            <v>FG</v>
          </cell>
          <cell r="D188" t="str">
            <v>ANJEER</v>
          </cell>
          <cell r="E188" t="str">
            <v>Dried Figs</v>
          </cell>
        </row>
        <row r="189">
          <cell r="B189" t="str">
            <v>NB ANJEER SELECT (WHITE) LOOSE</v>
          </cell>
          <cell r="C189" t="str">
            <v>FG</v>
          </cell>
          <cell r="D189" t="str">
            <v>ANJEER</v>
          </cell>
          <cell r="E189" t="str">
            <v>Dried Figs</v>
          </cell>
        </row>
        <row r="190">
          <cell r="B190" t="str">
            <v>NB ANJEER SMALL (1X1W) LOOSE</v>
          </cell>
          <cell r="C190" t="str">
            <v>FG</v>
          </cell>
          <cell r="D190" t="str">
            <v>ANJEER</v>
          </cell>
          <cell r="E190" t="str">
            <v>Dried Figs</v>
          </cell>
        </row>
        <row r="191">
          <cell r="B191" t="str">
            <v>Solimo Figs 500g (B084429DVD) FBA</v>
          </cell>
          <cell r="C191" t="str">
            <v>FG</v>
          </cell>
          <cell r="D191" t="str">
            <v>ANJEER</v>
          </cell>
          <cell r="E191" t="str">
            <v>Dried Figs</v>
          </cell>
        </row>
        <row r="192">
          <cell r="B192" t="str">
            <v>Vedaka Dried Figs - 250g (B0D9NZ5GFV)</v>
          </cell>
          <cell r="C192" t="str">
            <v>FG</v>
          </cell>
          <cell r="D192" t="str">
            <v>ANJEER</v>
          </cell>
          <cell r="E192" t="str">
            <v>Dried Figs</v>
          </cell>
        </row>
        <row r="193">
          <cell r="B193" t="str">
            <v>OFF-GRADE ANJEER</v>
          </cell>
          <cell r="C193" t="str">
            <v>RM</v>
          </cell>
          <cell r="D193" t="str">
            <v>ANJEER</v>
          </cell>
          <cell r="E193" t="str">
            <v>OFF-GRADE ANJEER</v>
          </cell>
        </row>
        <row r="194">
          <cell r="B194" t="str">
            <v>Afghan Apricot 1*1</v>
          </cell>
          <cell r="C194" t="str">
            <v>RM</v>
          </cell>
          <cell r="D194" t="str">
            <v>APRICOT</v>
          </cell>
          <cell r="E194" t="str">
            <v>Apricot - Afghan</v>
          </cell>
        </row>
        <row r="195">
          <cell r="B195" t="str">
            <v>Afghan Apricot 1*2</v>
          </cell>
          <cell r="C195" t="str">
            <v>RM</v>
          </cell>
          <cell r="D195" t="str">
            <v>APRICOT</v>
          </cell>
          <cell r="E195" t="str">
            <v>Apricot - Afghan</v>
          </cell>
        </row>
        <row r="196">
          <cell r="B196" t="str">
            <v>Afghan Apricot Selected</v>
          </cell>
          <cell r="C196" t="str">
            <v>RM</v>
          </cell>
          <cell r="D196" t="str">
            <v>APRICOT</v>
          </cell>
          <cell r="E196" t="str">
            <v>Apricot - Afghan</v>
          </cell>
        </row>
        <row r="197">
          <cell r="B197" t="str">
            <v>Carnival Afghan Apricot 250gm</v>
          </cell>
          <cell r="C197" t="str">
            <v>FG</v>
          </cell>
          <cell r="D197" t="str">
            <v>APRICOT</v>
          </cell>
          <cell r="E197" t="str">
            <v>Apricot - Afghan</v>
          </cell>
        </row>
        <row r="198">
          <cell r="B198" t="str">
            <v>Curate Apricot ( Jaradalu ) 550g Jr</v>
          </cell>
          <cell r="C198" t="str">
            <v>FG</v>
          </cell>
          <cell r="D198" t="str">
            <v>APRICOT</v>
          </cell>
          <cell r="E198" t="str">
            <v>Apricot - Afghan</v>
          </cell>
        </row>
        <row r="199">
          <cell r="B199" t="str">
            <v>Curate Apricot ( Jardalu ) 250g Jr</v>
          </cell>
          <cell r="C199" t="str">
            <v>FG</v>
          </cell>
          <cell r="D199" t="str">
            <v>APRICOT</v>
          </cell>
          <cell r="E199" t="str">
            <v>Apricot - Afghan</v>
          </cell>
        </row>
        <row r="200">
          <cell r="B200" t="str">
            <v>Ez Dried Apricot Loose</v>
          </cell>
          <cell r="C200" t="str">
            <v>FG</v>
          </cell>
          <cell r="D200" t="str">
            <v>APRICOT</v>
          </cell>
          <cell r="E200" t="str">
            <v>Apricot - Afghan</v>
          </cell>
        </row>
        <row r="201">
          <cell r="B201" t="str">
            <v>FABSTA Apricots Dry 100gm</v>
          </cell>
          <cell r="C201" t="str">
            <v>FG</v>
          </cell>
          <cell r="D201" t="str">
            <v>APRICOT</v>
          </cell>
          <cell r="E201" t="str">
            <v>Apricot - Afghan</v>
          </cell>
        </row>
        <row r="202">
          <cell r="B202" t="str">
            <v>FABSTA DRY APRICOT 200G</v>
          </cell>
          <cell r="C202" t="str">
            <v>FG</v>
          </cell>
          <cell r="D202" t="str">
            <v>APRICOT</v>
          </cell>
          <cell r="E202" t="str">
            <v>Apricot - Afghan</v>
          </cell>
        </row>
        <row r="203">
          <cell r="B203" t="str">
            <v>HA APRICOT - JARDALOO 200g (1340540)</v>
          </cell>
          <cell r="C203" t="str">
            <v>FG</v>
          </cell>
          <cell r="D203" t="str">
            <v>APRICOT</v>
          </cell>
          <cell r="E203" t="str">
            <v>Apricot - Afghan</v>
          </cell>
        </row>
        <row r="204">
          <cell r="B204" t="str">
            <v>NB APRICOT WHOLE DRIED LOOSE</v>
          </cell>
          <cell r="C204" t="str">
            <v>FG</v>
          </cell>
          <cell r="D204" t="str">
            <v>APRICOT</v>
          </cell>
          <cell r="E204" t="str">
            <v>Apricot - Afghan</v>
          </cell>
        </row>
        <row r="205">
          <cell r="B205" t="str">
            <v>Snack Amor Dried Apricot 200g</v>
          </cell>
          <cell r="C205" t="str">
            <v>FG</v>
          </cell>
          <cell r="D205" t="str">
            <v>APRICOT</v>
          </cell>
          <cell r="E205" t="str">
            <v>Apricot - Afghan</v>
          </cell>
        </row>
        <row r="206">
          <cell r="B206" t="str">
            <v>Solimo Premium Dried Apricots 500g 9B07PZWP8Z1</v>
          </cell>
          <cell r="C206" t="str">
            <v>FG</v>
          </cell>
          <cell r="D206" t="str">
            <v>APRICOT</v>
          </cell>
          <cell r="E206" t="str">
            <v>Apricot - Afghan</v>
          </cell>
        </row>
        <row r="207">
          <cell r="B207" t="str">
            <v>Apricot Kernel</v>
          </cell>
          <cell r="C207" t="str">
            <v>RM</v>
          </cell>
          <cell r="D207" t="str">
            <v>APRICOT</v>
          </cell>
          <cell r="E207" t="str">
            <v>Apricot - Kernel</v>
          </cell>
        </row>
        <row r="208">
          <cell r="B208" t="str">
            <v>Turkey Apricot No 1</v>
          </cell>
          <cell r="C208" t="str">
            <v>RM</v>
          </cell>
          <cell r="D208" t="str">
            <v>APRICOT</v>
          </cell>
          <cell r="E208" t="str">
            <v>Apricot - Turkey</v>
          </cell>
        </row>
        <row r="209">
          <cell r="B209" t="str">
            <v>Turkey Apricot No 2</v>
          </cell>
          <cell r="C209" t="str">
            <v>RM</v>
          </cell>
          <cell r="D209" t="str">
            <v>APRICOT</v>
          </cell>
          <cell r="E209" t="str">
            <v>Apricot - Turkey</v>
          </cell>
        </row>
        <row r="210">
          <cell r="B210" t="str">
            <v>Turkey Apricot No 3</v>
          </cell>
          <cell r="C210" t="str">
            <v>RM</v>
          </cell>
          <cell r="D210" t="str">
            <v>APRICOT</v>
          </cell>
          <cell r="E210" t="str">
            <v>Apricot - Turkey</v>
          </cell>
        </row>
        <row r="211">
          <cell r="B211" t="str">
            <v>Turkey Apricot No. 0</v>
          </cell>
          <cell r="C211" t="str">
            <v>RM</v>
          </cell>
          <cell r="D211" t="str">
            <v>APRICOT</v>
          </cell>
          <cell r="E211" t="str">
            <v>Apricot - Turkey</v>
          </cell>
        </row>
        <row r="212">
          <cell r="B212" t="str">
            <v>Carnival Apricot Turkey 1x2 300gm</v>
          </cell>
          <cell r="C212" t="str">
            <v>FG</v>
          </cell>
          <cell r="D212" t="str">
            <v>APRICOT</v>
          </cell>
          <cell r="E212" t="str">
            <v>Apricot - Turkey</v>
          </cell>
        </row>
        <row r="213">
          <cell r="B213" t="str">
            <v>Ez Khurmani Wet Apricot Loose (1459052)</v>
          </cell>
          <cell r="C213" t="str">
            <v>FG</v>
          </cell>
          <cell r="D213" t="str">
            <v>APRICOT</v>
          </cell>
          <cell r="E213" t="str">
            <v>Apricot - Turkey</v>
          </cell>
        </row>
        <row r="214">
          <cell r="B214" t="str">
            <v>H Finest Turkey Appricot 300g(1340538)</v>
          </cell>
          <cell r="C214" t="str">
            <v>FG</v>
          </cell>
          <cell r="D214" t="str">
            <v>APRICOT</v>
          </cell>
          <cell r="E214" t="str">
            <v>Apricot - Turkey</v>
          </cell>
        </row>
        <row r="215">
          <cell r="B215" t="str">
            <v>NB APRICOT SEEDLESS (TURKEY) DRIED LOOSE</v>
          </cell>
          <cell r="C215" t="str">
            <v>FG</v>
          </cell>
          <cell r="D215" t="str">
            <v>APRICOT</v>
          </cell>
          <cell r="E215" t="str">
            <v>Apricot - Turkey</v>
          </cell>
        </row>
        <row r="216">
          <cell r="B216" t="str">
            <v>PL TURKEY APRICOTS 200G</v>
          </cell>
          <cell r="C216" t="str">
            <v>FG</v>
          </cell>
          <cell r="D216" t="str">
            <v>APRICOT</v>
          </cell>
          <cell r="E216" t="str">
            <v>Apricot - Turkey</v>
          </cell>
        </row>
        <row r="217">
          <cell r="B217" t="str">
            <v>Vedaka Turkish Dried Apricots (500gm x 2) (B0D9P1DS9Q)</v>
          </cell>
          <cell r="C217" t="str">
            <v>FG</v>
          </cell>
          <cell r="D217" t="str">
            <v>APRICOT</v>
          </cell>
          <cell r="E217" t="str">
            <v>Apricot - Turkey</v>
          </cell>
        </row>
        <row r="218">
          <cell r="B218" t="str">
            <v>OFF-GRADE APRICOT</v>
          </cell>
          <cell r="C218" t="str">
            <v>RM</v>
          </cell>
          <cell r="D218" t="str">
            <v>APRICOT</v>
          </cell>
          <cell r="E218" t="str">
            <v>OFF-GRADE APRICOT</v>
          </cell>
        </row>
        <row r="219">
          <cell r="B219" t="str">
            <v>3pcs date balls with blister</v>
          </cell>
          <cell r="C219" t="str">
            <v>FG</v>
          </cell>
          <cell r="D219" t="str">
            <v>BARS &amp; CEREALS</v>
          </cell>
          <cell r="E219" t="str">
            <v>Bites</v>
          </cell>
        </row>
        <row r="220">
          <cell r="B220" t="str">
            <v>Carnival Almond Choco Bite (Dark Chocolate) 100g</v>
          </cell>
          <cell r="C220" t="str">
            <v>FG</v>
          </cell>
          <cell r="D220" t="str">
            <v>BARS &amp; CEREALS</v>
          </cell>
          <cell r="E220" t="str">
            <v>Bites</v>
          </cell>
        </row>
        <row r="221">
          <cell r="B221" t="str">
            <v>Carnival Almond Choco Bite (Milk Chocolate) 100g</v>
          </cell>
          <cell r="C221" t="str">
            <v>FG</v>
          </cell>
          <cell r="D221" t="str">
            <v>BARS &amp; CEREALS</v>
          </cell>
          <cell r="E221" t="str">
            <v>Bites</v>
          </cell>
        </row>
        <row r="222">
          <cell r="B222" t="str">
            <v>Carnival Almond Choco Bite (White Chocolate) 100g</v>
          </cell>
          <cell r="C222" t="str">
            <v>FG</v>
          </cell>
          <cell r="D222" t="str">
            <v>BARS &amp; CEREALS</v>
          </cell>
          <cell r="E222" t="str">
            <v>Bites</v>
          </cell>
        </row>
        <row r="223">
          <cell r="B223" t="str">
            <v>Carnival Classic Date Bites 357gm</v>
          </cell>
          <cell r="C223" t="str">
            <v>FG</v>
          </cell>
          <cell r="D223" t="str">
            <v>BARS &amp; CEREALS</v>
          </cell>
          <cell r="E223" t="str">
            <v>Bites</v>
          </cell>
        </row>
        <row r="224">
          <cell r="B224" t="str">
            <v>Classic Flavour Date Mewa 18gm</v>
          </cell>
          <cell r="C224" t="str">
            <v>FG</v>
          </cell>
          <cell r="D224" t="str">
            <v>BARS &amp; CEREALS</v>
          </cell>
          <cell r="E224" t="str">
            <v>Bites</v>
          </cell>
        </row>
        <row r="225">
          <cell r="B225" t="str">
            <v>Coconut Laddubar (Semi Finished)</v>
          </cell>
          <cell r="C225" t="str">
            <v>FG</v>
          </cell>
          <cell r="D225" t="str">
            <v>BARS &amp; CEREALS</v>
          </cell>
          <cell r="E225" t="str">
            <v>Bites</v>
          </cell>
        </row>
        <row r="226">
          <cell r="B226" t="str">
            <v>Coffe Date Bites (Semi)</v>
          </cell>
          <cell r="C226" t="str">
            <v>FG</v>
          </cell>
          <cell r="D226" t="str">
            <v>BARS &amp; CEREALS</v>
          </cell>
          <cell r="E226" t="str">
            <v>Bites</v>
          </cell>
        </row>
        <row r="227">
          <cell r="B227" t="str">
            <v>Coffee Laddoo 18gm</v>
          </cell>
          <cell r="C227" t="str">
            <v>FG</v>
          </cell>
          <cell r="D227" t="str">
            <v>BARS &amp; CEREALS</v>
          </cell>
          <cell r="E227" t="str">
            <v>Bites</v>
          </cell>
        </row>
        <row r="228">
          <cell r="B228" t="str">
            <v>Coffee Laddoo Semi Finished</v>
          </cell>
          <cell r="C228" t="str">
            <v>FG</v>
          </cell>
          <cell r="D228" t="str">
            <v>BARS &amp; CEREALS</v>
          </cell>
          <cell r="E228" t="str">
            <v>Bites</v>
          </cell>
        </row>
        <row r="229">
          <cell r="B229" t="str">
            <v>CURATE DATE BITES ASRTD RO/CA IND 420G</v>
          </cell>
          <cell r="C229" t="str">
            <v>FG</v>
          </cell>
          <cell r="D229" t="str">
            <v>BARS &amp; CEREALS</v>
          </cell>
          <cell r="E229" t="str">
            <v>Bites</v>
          </cell>
        </row>
        <row r="230">
          <cell r="B230" t="str">
            <v>CURATE DATE BITES COFFEE IND 210G</v>
          </cell>
          <cell r="C230" t="str">
            <v>FG</v>
          </cell>
          <cell r="D230" t="str">
            <v>BARS &amp; CEREALS</v>
          </cell>
          <cell r="E230" t="str">
            <v>Bites</v>
          </cell>
        </row>
        <row r="231">
          <cell r="B231" t="str">
            <v>CURATE DATE BITES IND 210G</v>
          </cell>
          <cell r="C231" t="str">
            <v>FG</v>
          </cell>
          <cell r="D231" t="str">
            <v>BARS &amp; CEREALS</v>
          </cell>
          <cell r="E231" t="str">
            <v>Bites</v>
          </cell>
        </row>
        <row r="232">
          <cell r="B232" t="str">
            <v>CURATE DATE BITES ROSE (Semi)- Not Use</v>
          </cell>
          <cell r="C232" t="str">
            <v>FG</v>
          </cell>
          <cell r="D232" t="str">
            <v>BARS &amp; CEREALS</v>
          </cell>
          <cell r="E232" t="str">
            <v>Bites</v>
          </cell>
        </row>
        <row r="233">
          <cell r="B233" t="str">
            <v>CURATE DATE BITES ROSE IND 210G</v>
          </cell>
          <cell r="C233" t="str">
            <v>FG</v>
          </cell>
          <cell r="D233" t="str">
            <v>BARS &amp; CEREALS</v>
          </cell>
          <cell r="E233" t="str">
            <v>Bites</v>
          </cell>
        </row>
        <row r="234">
          <cell r="B234" t="str">
            <v>CURATE DATE BITES ROSE IND 360G</v>
          </cell>
          <cell r="C234" t="str">
            <v>FG</v>
          </cell>
          <cell r="D234" t="str">
            <v>BARS &amp; CEREALS</v>
          </cell>
          <cell r="E234" t="str">
            <v>Bites</v>
          </cell>
        </row>
        <row r="235">
          <cell r="B235" t="str">
            <v>Date Bites Rose (Semi Finished)</v>
          </cell>
          <cell r="C235" t="str">
            <v>FG</v>
          </cell>
          <cell r="D235" t="str">
            <v>BARS &amp; CEREALS</v>
          </cell>
          <cell r="E235" t="str">
            <v>Bites</v>
          </cell>
        </row>
        <row r="236">
          <cell r="B236" t="str">
            <v>Date Bites Semi Finished</v>
          </cell>
          <cell r="C236" t="str">
            <v>FG</v>
          </cell>
          <cell r="D236" t="str">
            <v>BARS &amp; CEREALS</v>
          </cell>
          <cell r="E236" t="str">
            <v>Bites</v>
          </cell>
        </row>
        <row r="237">
          <cell r="B237" t="str">
            <v>Dates Mewa Classic (Semi)</v>
          </cell>
          <cell r="C237" t="str">
            <v>FG</v>
          </cell>
          <cell r="D237" t="str">
            <v>BARS &amp; CEREALS</v>
          </cell>
          <cell r="E237" t="str">
            <v>Bites</v>
          </cell>
        </row>
        <row r="238">
          <cell r="B238" t="str">
            <v>Dryfruit Instant Energy Laddubar Bites 9gm</v>
          </cell>
          <cell r="C238" t="str">
            <v>FG</v>
          </cell>
          <cell r="D238" t="str">
            <v>BARS &amp; CEREALS</v>
          </cell>
          <cell r="E238" t="str">
            <v>Bites</v>
          </cell>
        </row>
        <row r="239">
          <cell r="B239" t="str">
            <v>Energy Bars Oats and Dates (Semi Finished)</v>
          </cell>
          <cell r="C239" t="str">
            <v>FG</v>
          </cell>
          <cell r="D239" t="str">
            <v>BARS &amp; CEREALS</v>
          </cell>
          <cell r="E239" t="str">
            <v>Bites</v>
          </cell>
        </row>
        <row r="240">
          <cell r="B240" t="str">
            <v>Energy Bars Oats and Dates (Semi)</v>
          </cell>
          <cell r="C240" t="str">
            <v>FG</v>
          </cell>
          <cell r="D240" t="str">
            <v>BARS &amp; CEREALS</v>
          </cell>
          <cell r="E240" t="str">
            <v>Bites</v>
          </cell>
        </row>
        <row r="241">
          <cell r="B241" t="str">
            <v>Gondh Dryfruit Laddubar Semi Finished</v>
          </cell>
          <cell r="C241" t="str">
            <v>FG</v>
          </cell>
          <cell r="D241" t="str">
            <v>BARS &amp; CEREALS</v>
          </cell>
          <cell r="E241" t="str">
            <v>Bites</v>
          </cell>
        </row>
        <row r="242">
          <cell r="B242" t="str">
            <v>Milk Chocolate Coated Date Bites</v>
          </cell>
          <cell r="C242" t="str">
            <v>FG</v>
          </cell>
          <cell r="D242" t="str">
            <v>BARS &amp; CEREALS</v>
          </cell>
          <cell r="E242" t="str">
            <v>Bites</v>
          </cell>
        </row>
        <row r="243">
          <cell r="B243" t="str">
            <v>NOICE Choco Health Laddoo (18g*5)</v>
          </cell>
          <cell r="C243" t="str">
            <v>FG</v>
          </cell>
          <cell r="D243" t="str">
            <v>BARS &amp; CEREALS</v>
          </cell>
          <cell r="E243" t="str">
            <v>Bites</v>
          </cell>
        </row>
        <row r="244">
          <cell r="B244" t="str">
            <v>Noice Classic Flavour Date Mewa (Semi Finished)</v>
          </cell>
          <cell r="C244" t="str">
            <v>FG</v>
          </cell>
          <cell r="D244" t="str">
            <v>BARS &amp; CEREALS</v>
          </cell>
          <cell r="E244" t="str">
            <v>Bites</v>
          </cell>
        </row>
        <row r="245">
          <cell r="B245" t="str">
            <v>NOICE Date Bites (18g*5)</v>
          </cell>
          <cell r="C245" t="str">
            <v>FG</v>
          </cell>
          <cell r="D245" t="str">
            <v>BARS &amp; CEREALS</v>
          </cell>
          <cell r="E245" t="str">
            <v>Bites</v>
          </cell>
        </row>
        <row r="246">
          <cell r="B246" t="str">
            <v>On the Run Coffee Bite (Semi Finished)</v>
          </cell>
          <cell r="C246" t="str">
            <v>FG</v>
          </cell>
          <cell r="D246" t="str">
            <v>BARS &amp; CEREALS</v>
          </cell>
          <cell r="E246" t="str">
            <v>Bites</v>
          </cell>
        </row>
        <row r="247">
          <cell r="B247" t="str">
            <v>On the Run Coffee Bite 10g</v>
          </cell>
          <cell r="C247" t="str">
            <v>FG</v>
          </cell>
          <cell r="D247" t="str">
            <v>BARS &amp; CEREALS</v>
          </cell>
          <cell r="E247" t="str">
            <v>Bites</v>
          </cell>
        </row>
        <row r="248">
          <cell r="B248" t="str">
            <v>Ontherun Coffee Bite (Pack of 15x10g)</v>
          </cell>
          <cell r="C248" t="str">
            <v>FG</v>
          </cell>
          <cell r="D248" t="str">
            <v>BARS &amp; CEREALS</v>
          </cell>
          <cell r="E248" t="str">
            <v>Bites</v>
          </cell>
        </row>
        <row r="249">
          <cell r="B249" t="str">
            <v>Ontherun Coffee Bite (Pack of 6*10g)</v>
          </cell>
          <cell r="C249" t="str">
            <v>FG</v>
          </cell>
          <cell r="D249" t="str">
            <v>BARS &amp; CEREALS</v>
          </cell>
          <cell r="E249" t="str">
            <v>Bites</v>
          </cell>
        </row>
        <row r="250">
          <cell r="B250" t="str">
            <v>5 Grain Cereal 35gm</v>
          </cell>
          <cell r="C250" t="str">
            <v>FG</v>
          </cell>
          <cell r="D250" t="str">
            <v>BARS &amp; CEREALS</v>
          </cell>
          <cell r="E250" t="str">
            <v>Cereal</v>
          </cell>
        </row>
        <row r="251">
          <cell r="B251" t="str">
            <v>5 Grain Cereal 50 GM</v>
          </cell>
          <cell r="C251" t="str">
            <v>FG</v>
          </cell>
          <cell r="D251" t="str">
            <v>BARS &amp; CEREALS</v>
          </cell>
          <cell r="E251" t="str">
            <v>Cereal</v>
          </cell>
        </row>
        <row r="252">
          <cell r="B252" t="str">
            <v>ON THE RUN 5 Grain Cereal 300g - Original</v>
          </cell>
          <cell r="C252" t="str">
            <v>FG</v>
          </cell>
          <cell r="D252" t="str">
            <v>BARS &amp; CEREALS</v>
          </cell>
          <cell r="E252" t="str">
            <v>Cereal</v>
          </cell>
        </row>
        <row r="253">
          <cell r="B253" t="str">
            <v>Planck Foods Multi Millet 5 GC puffs 210g</v>
          </cell>
          <cell r="C253" t="str">
            <v>FG</v>
          </cell>
          <cell r="D253" t="str">
            <v>BARS &amp; CEREALS</v>
          </cell>
          <cell r="E253" t="str">
            <v>Cereal</v>
          </cell>
        </row>
        <row r="254">
          <cell r="B254" t="str">
            <v>Dark Chocolate Coated Macadamia 110g</v>
          </cell>
          <cell r="C254" t="str">
            <v>FG</v>
          </cell>
          <cell r="D254" t="str">
            <v>BARS &amp; CEREALS</v>
          </cell>
          <cell r="E254" t="str">
            <v>Chocolate</v>
          </cell>
        </row>
        <row r="255">
          <cell r="B255" t="str">
            <v>CCD Energy Bar with Jaggery</v>
          </cell>
          <cell r="C255" t="str">
            <v>FG</v>
          </cell>
          <cell r="D255" t="str">
            <v>BARS &amp; CEREALS</v>
          </cell>
          <cell r="E255" t="str">
            <v>Energy Bars</v>
          </cell>
        </row>
        <row r="256">
          <cell r="B256" t="str">
            <v>CCD Energy Bar with Jaggery Semi Finished</v>
          </cell>
          <cell r="C256" t="str">
            <v>FG</v>
          </cell>
          <cell r="D256" t="str">
            <v>BARS &amp; CEREALS</v>
          </cell>
          <cell r="E256" t="str">
            <v>Energy Bars</v>
          </cell>
        </row>
        <row r="257">
          <cell r="B257" t="str">
            <v>Choco Crunch Energy Bar 38gm</v>
          </cell>
          <cell r="C257" t="str">
            <v>FG</v>
          </cell>
          <cell r="D257" t="str">
            <v>BARS &amp; CEREALS</v>
          </cell>
          <cell r="E257" t="str">
            <v>Energy Bars</v>
          </cell>
        </row>
        <row r="258">
          <cell r="B258" t="str">
            <v>Cococart Almond &amp; Orange Dark Choco Date Bar 50gm</v>
          </cell>
          <cell r="C258" t="str">
            <v>FG</v>
          </cell>
          <cell r="D258" t="str">
            <v>BARS &amp; CEREALS</v>
          </cell>
          <cell r="E258" t="str">
            <v>Energy Bars</v>
          </cell>
        </row>
        <row r="259">
          <cell r="B259" t="str">
            <v>Cococart Fruit &amp; Nut Date Bar 50gm</v>
          </cell>
          <cell r="C259" t="str">
            <v>FG</v>
          </cell>
          <cell r="D259" t="str">
            <v>BARS &amp; CEREALS</v>
          </cell>
          <cell r="E259" t="str">
            <v>Energy Bars</v>
          </cell>
        </row>
        <row r="260">
          <cell r="B260" t="str">
            <v>Cococart Raspberry Almond Dark Choco Date Bar 50gm</v>
          </cell>
          <cell r="C260" t="str">
            <v>FG</v>
          </cell>
          <cell r="D260" t="str">
            <v>BARS &amp; CEREALS</v>
          </cell>
          <cell r="E260" t="str">
            <v>Energy Bars</v>
          </cell>
        </row>
        <row r="261">
          <cell r="B261" t="str">
            <v>Coconut Laddubar Mini 9g</v>
          </cell>
          <cell r="C261" t="str">
            <v>FG</v>
          </cell>
          <cell r="D261" t="str">
            <v>BARS &amp; CEREALS</v>
          </cell>
          <cell r="E261" t="str">
            <v>Energy Bars</v>
          </cell>
        </row>
        <row r="262">
          <cell r="B262" t="str">
            <v>Dr Batra Hair Health Protein Bar (Semi Finished)</v>
          </cell>
          <cell r="C262" t="str">
            <v>FG</v>
          </cell>
          <cell r="D262" t="str">
            <v>BARS &amp; CEREALS</v>
          </cell>
          <cell r="E262" t="str">
            <v>Energy Bars</v>
          </cell>
        </row>
        <row r="263">
          <cell r="B263" t="str">
            <v>Dr Batra#s Hair Health Protein Bar 35gm</v>
          </cell>
          <cell r="C263" t="str">
            <v>FG</v>
          </cell>
          <cell r="D263" t="str">
            <v>BARS &amp; CEREALS</v>
          </cell>
          <cell r="E263" t="str">
            <v>Energy Bars</v>
          </cell>
        </row>
        <row r="264">
          <cell r="B264" t="str">
            <v>Dryfruit instant Energy laddu Bar 35gm</v>
          </cell>
          <cell r="C264" t="str">
            <v>FG</v>
          </cell>
          <cell r="D264" t="str">
            <v>BARS &amp; CEREALS</v>
          </cell>
          <cell r="E264" t="str">
            <v>Energy Bars</v>
          </cell>
        </row>
        <row r="265">
          <cell r="B265" t="str">
            <v>Dryfruit Instant Energy Laddubar (Semi Finished)</v>
          </cell>
          <cell r="C265" t="str">
            <v>FG</v>
          </cell>
          <cell r="D265" t="str">
            <v>BARS &amp; CEREALS</v>
          </cell>
          <cell r="E265" t="str">
            <v>Energy Bars</v>
          </cell>
        </row>
        <row r="266">
          <cell r="B266" t="str">
            <v>Dryfruit Instant Energy LadduBar Master Carton (Pack of 5 - 54 units)</v>
          </cell>
          <cell r="C266" t="str">
            <v>FG</v>
          </cell>
          <cell r="D266" t="str">
            <v>BARS &amp; CEREALS</v>
          </cell>
          <cell r="E266" t="str">
            <v>Energy Bars</v>
          </cell>
        </row>
        <row r="267">
          <cell r="B267" t="str">
            <v>Dryfruit Instant Energy Laddubar Mini Pack of 2 Master Carton (17 gms) - 300 units</v>
          </cell>
          <cell r="C267" t="str">
            <v>FG</v>
          </cell>
          <cell r="D267" t="str">
            <v>BARS &amp; CEREALS</v>
          </cell>
          <cell r="E267" t="str">
            <v>Energy Bars</v>
          </cell>
        </row>
        <row r="268">
          <cell r="B268" t="str">
            <v>Dryfruit Instant Energy LadduBar Pack of 5</v>
          </cell>
          <cell r="C268" t="str">
            <v>FG</v>
          </cell>
          <cell r="D268" t="str">
            <v>BARS &amp; CEREALS</v>
          </cell>
          <cell r="E268" t="str">
            <v>Energy Bars</v>
          </cell>
        </row>
        <row r="269">
          <cell r="B269" t="str">
            <v>Energy Bar - Choco Crunch (Semi Finished)</v>
          </cell>
          <cell r="C269" t="str">
            <v>FG</v>
          </cell>
          <cell r="D269" t="str">
            <v>BARS &amp; CEREALS</v>
          </cell>
          <cell r="E269" t="str">
            <v>Energy Bars</v>
          </cell>
        </row>
        <row r="270">
          <cell r="B270" t="str">
            <v>Energy Bar - Choco Crunch 30gm</v>
          </cell>
          <cell r="C270" t="str">
            <v>FG</v>
          </cell>
          <cell r="D270" t="str">
            <v>BARS &amp; CEREALS</v>
          </cell>
          <cell r="E270" t="str">
            <v>Energy Bars</v>
          </cell>
        </row>
        <row r="271">
          <cell r="B271" t="str">
            <v>Energy Bar - Fig &amp; Dates 30gm</v>
          </cell>
          <cell r="C271" t="str">
            <v>FG</v>
          </cell>
          <cell r="D271" t="str">
            <v>BARS &amp; CEREALS</v>
          </cell>
          <cell r="E271" t="str">
            <v>Energy Bars</v>
          </cell>
        </row>
        <row r="272">
          <cell r="B272" t="str">
            <v>Energy Bar - Hazelnut Magic 30gm</v>
          </cell>
          <cell r="C272" t="str">
            <v>FG</v>
          </cell>
          <cell r="D272" t="str">
            <v>BARS &amp; CEREALS</v>
          </cell>
          <cell r="E272" t="str">
            <v>Energy Bars</v>
          </cell>
        </row>
        <row r="273">
          <cell r="B273" t="str">
            <v>Energy Bar - Oats &amp; Apricot 30gm</v>
          </cell>
          <cell r="C273" t="str">
            <v>FG</v>
          </cell>
          <cell r="D273" t="str">
            <v>BARS &amp; CEREALS</v>
          </cell>
          <cell r="E273" t="str">
            <v>Energy Bars</v>
          </cell>
        </row>
        <row r="274">
          <cell r="B274" t="str">
            <v>Energy Bar- Fig &amp; Dates (Semi Finished)</v>
          </cell>
          <cell r="C274" t="str">
            <v>FG</v>
          </cell>
          <cell r="D274" t="str">
            <v>BARS &amp; CEREALS</v>
          </cell>
          <cell r="E274" t="str">
            <v>Energy Bars</v>
          </cell>
        </row>
        <row r="275">
          <cell r="B275" t="str">
            <v>Energy Bar- Hazelnut Magic (Semi Finished)</v>
          </cell>
          <cell r="C275" t="str">
            <v>FG</v>
          </cell>
          <cell r="D275" t="str">
            <v>BARS &amp; CEREALS</v>
          </cell>
          <cell r="E275" t="str">
            <v>Energy Bars</v>
          </cell>
        </row>
        <row r="276">
          <cell r="B276" t="str">
            <v>Energy Bar- Oats &amp; Apricot (Semi Finished)</v>
          </cell>
          <cell r="C276" t="str">
            <v>FG</v>
          </cell>
          <cell r="D276" t="str">
            <v>BARS &amp; CEREALS</v>
          </cell>
          <cell r="E276" t="str">
            <v>Energy Bars</v>
          </cell>
        </row>
        <row r="277">
          <cell r="B277" t="str">
            <v>Energy Bar with Jaggery 30gm</v>
          </cell>
          <cell r="C277" t="str">
            <v>FG</v>
          </cell>
          <cell r="D277" t="str">
            <v>BARS &amp; CEREALS</v>
          </cell>
          <cell r="E277" t="str">
            <v>Energy Bars</v>
          </cell>
        </row>
        <row r="278">
          <cell r="B278" t="str">
            <v>Energy Bars Oats and Dates (Pack of 6) 210gm</v>
          </cell>
          <cell r="C278" t="str">
            <v>FG</v>
          </cell>
          <cell r="D278" t="str">
            <v>BARS &amp; CEREALS</v>
          </cell>
          <cell r="E278" t="str">
            <v>Energy Bars</v>
          </cell>
        </row>
        <row r="279">
          <cell r="B279" t="str">
            <v>Fit Nutrition Berries Blast Bar 50g</v>
          </cell>
          <cell r="C279" t="str">
            <v>FG</v>
          </cell>
          <cell r="D279" t="str">
            <v>BARS &amp; CEREALS</v>
          </cell>
          <cell r="E279" t="str">
            <v>Energy Bars</v>
          </cell>
        </row>
        <row r="280">
          <cell r="B280" t="str">
            <v>Gondh Dryfruit Laddu Bar 35gm</v>
          </cell>
          <cell r="C280" t="str">
            <v>FG</v>
          </cell>
          <cell r="D280" t="str">
            <v>BARS &amp; CEREALS</v>
          </cell>
          <cell r="E280" t="str">
            <v>Energy Bars</v>
          </cell>
        </row>
        <row r="281">
          <cell r="B281" t="str">
            <v>Gondh Dryfruit LadduBar Pack of 6</v>
          </cell>
          <cell r="C281" t="str">
            <v>FG</v>
          </cell>
          <cell r="D281" t="str">
            <v>BARS &amp; CEREALS</v>
          </cell>
          <cell r="E281" t="str">
            <v>Energy Bars</v>
          </cell>
        </row>
        <row r="282">
          <cell r="B282" t="str">
            <v>Methi Dryfruit Laddu bar 35gm</v>
          </cell>
          <cell r="C282" t="str">
            <v>FG</v>
          </cell>
          <cell r="D282" t="str">
            <v>BARS &amp; CEREALS</v>
          </cell>
          <cell r="E282" t="str">
            <v>Energy Bars</v>
          </cell>
        </row>
        <row r="283">
          <cell r="B283" t="str">
            <v>Methi Dryfruit LadduBar Pack of 6</v>
          </cell>
          <cell r="C283" t="str">
            <v>FG</v>
          </cell>
          <cell r="D283" t="str">
            <v>BARS &amp; CEREALS</v>
          </cell>
          <cell r="E283" t="str">
            <v>Energy Bars</v>
          </cell>
        </row>
        <row r="284">
          <cell r="B284" t="str">
            <v>Moon Freeze Banana Date Fruit Bar - 10 GM</v>
          </cell>
          <cell r="C284" t="str">
            <v>FG</v>
          </cell>
          <cell r="D284" t="str">
            <v>BARS &amp; CEREALS</v>
          </cell>
          <cell r="E284" t="str">
            <v>Energy Bars</v>
          </cell>
        </row>
        <row r="285">
          <cell r="B285" t="str">
            <v>Moon Freeze Banana Date Fruit Bar - 45 Gm</v>
          </cell>
          <cell r="C285" t="str">
            <v>FG</v>
          </cell>
          <cell r="D285" t="str">
            <v>BARS &amp; CEREALS</v>
          </cell>
          <cell r="E285" t="str">
            <v>Energy Bars</v>
          </cell>
        </row>
        <row r="286">
          <cell r="B286" t="str">
            <v>Moon Freeze Mango Date Fruit Bar - 10 GM</v>
          </cell>
          <cell r="C286" t="str">
            <v>FG</v>
          </cell>
          <cell r="D286" t="str">
            <v>BARS &amp; CEREALS</v>
          </cell>
          <cell r="E286" t="str">
            <v>Energy Bars</v>
          </cell>
        </row>
        <row r="287">
          <cell r="B287" t="str">
            <v>Moon Freeze Mango Date Fruit Bar - 45 Gm</v>
          </cell>
          <cell r="C287" t="str">
            <v>FG</v>
          </cell>
          <cell r="D287" t="str">
            <v>BARS &amp; CEREALS</v>
          </cell>
          <cell r="E287" t="str">
            <v>Energy Bars</v>
          </cell>
        </row>
        <row r="288">
          <cell r="B288" t="str">
            <v>Moon Freeze Pineapple Date Fruit Bar - 45 Gm</v>
          </cell>
          <cell r="C288" t="str">
            <v>FG</v>
          </cell>
          <cell r="D288" t="str">
            <v>BARS &amp; CEREALS</v>
          </cell>
          <cell r="E288" t="str">
            <v>Energy Bars</v>
          </cell>
        </row>
        <row r="289">
          <cell r="B289" t="str">
            <v>Moon Freeze Pineapple Date Fruit Bar -10 GM</v>
          </cell>
          <cell r="C289" t="str">
            <v>FG</v>
          </cell>
          <cell r="D289" t="str">
            <v>BARS &amp; CEREALS</v>
          </cell>
          <cell r="E289" t="str">
            <v>Energy Bars</v>
          </cell>
        </row>
        <row r="290">
          <cell r="B290" t="str">
            <v>Moon Freeze Strawberry Date Fruit Bar - 45 Gm</v>
          </cell>
          <cell r="C290" t="str">
            <v>FG</v>
          </cell>
          <cell r="D290" t="str">
            <v>BARS &amp; CEREALS</v>
          </cell>
          <cell r="E290" t="str">
            <v>Energy Bars</v>
          </cell>
        </row>
        <row r="291">
          <cell r="B291" t="str">
            <v>Moon Freeze Strawberry Date Fruit Bar -10 GM</v>
          </cell>
          <cell r="C291" t="str">
            <v>FG</v>
          </cell>
          <cell r="D291" t="str">
            <v>BARS &amp; CEREALS</v>
          </cell>
          <cell r="E291" t="str">
            <v>Energy Bars</v>
          </cell>
        </row>
        <row r="292">
          <cell r="B292" t="str">
            <v>Nutrizoe Fenugreek Cinnamon Bars 45gm</v>
          </cell>
          <cell r="C292" t="str">
            <v>FG</v>
          </cell>
          <cell r="D292" t="str">
            <v>BARS &amp; CEREALS</v>
          </cell>
          <cell r="E292" t="str">
            <v>Energy Bars</v>
          </cell>
        </row>
        <row r="293">
          <cell r="B293" t="str">
            <v>ON THE RUN Assorted Energy Bars (Pack of 12x30g)</v>
          </cell>
          <cell r="C293" t="str">
            <v>FG</v>
          </cell>
          <cell r="D293" t="str">
            <v>BARS &amp; CEREALS</v>
          </cell>
          <cell r="E293" t="str">
            <v>Energy Bars</v>
          </cell>
        </row>
        <row r="294">
          <cell r="B294" t="str">
            <v>ON THE RUN Assorted Energy Bars (Pack of 6x30g)</v>
          </cell>
          <cell r="C294" t="str">
            <v>FG</v>
          </cell>
          <cell r="D294" t="str">
            <v>BARS &amp; CEREALS</v>
          </cell>
          <cell r="E294" t="str">
            <v>Energy Bars</v>
          </cell>
        </row>
        <row r="295">
          <cell r="B295" t="str">
            <v>ON THE RUN Choco Crunch Energy Bars (Pack of 6x30g)</v>
          </cell>
          <cell r="C295" t="str">
            <v>FG</v>
          </cell>
          <cell r="D295" t="str">
            <v>BARS &amp; CEREALS</v>
          </cell>
          <cell r="E295" t="str">
            <v>Energy Bars</v>
          </cell>
        </row>
        <row r="296">
          <cell r="B296" t="str">
            <v>ON THE RUN Choco Crunch Energy Bars 30g</v>
          </cell>
          <cell r="C296" t="str">
            <v>FG</v>
          </cell>
          <cell r="D296" t="str">
            <v>BARS &amp; CEREALS</v>
          </cell>
          <cell r="E296" t="str">
            <v>Energy Bars</v>
          </cell>
        </row>
        <row r="297">
          <cell r="B297" t="str">
            <v>ON THE RUN Fig and Date Energy Bar (Pack of 6x30 g)</v>
          </cell>
          <cell r="C297" t="str">
            <v>FG</v>
          </cell>
          <cell r="D297" t="str">
            <v>BARS &amp; CEREALS</v>
          </cell>
          <cell r="E297" t="str">
            <v>Energy Bars</v>
          </cell>
        </row>
        <row r="298">
          <cell r="B298" t="str">
            <v>ON THE RUN Fig and Date Energy Bar 30g</v>
          </cell>
          <cell r="C298" t="str">
            <v>FG</v>
          </cell>
          <cell r="D298" t="str">
            <v>BARS &amp; CEREALS</v>
          </cell>
          <cell r="E298" t="str">
            <v>Energy Bars</v>
          </cell>
        </row>
        <row r="299">
          <cell r="B299" t="str">
            <v>ON THE RUN Hazelnut Magic Energy Bar 30g</v>
          </cell>
          <cell r="C299" t="str">
            <v>FG</v>
          </cell>
          <cell r="D299" t="str">
            <v>BARS &amp; CEREALS</v>
          </cell>
          <cell r="E299" t="str">
            <v>Energy Bars</v>
          </cell>
        </row>
        <row r="300">
          <cell r="B300" t="str">
            <v>ON THE RUN Oats, Apricot &amp; Cranberry Energy Bar 30g</v>
          </cell>
          <cell r="C300" t="str">
            <v>FG</v>
          </cell>
          <cell r="D300" t="str">
            <v>BARS &amp; CEREALS</v>
          </cell>
          <cell r="E300" t="str">
            <v>Energy Bars</v>
          </cell>
        </row>
        <row r="301">
          <cell r="B301" t="str">
            <v>ON THE RUN Oats, Apricot &amp; Cranberry Energy Bars (Pack of 6x30g)</v>
          </cell>
          <cell r="C301" t="str">
            <v>FG</v>
          </cell>
          <cell r="D301" t="str">
            <v>BARS &amp; CEREALS</v>
          </cell>
          <cell r="E301" t="str">
            <v>Energy Bars</v>
          </cell>
        </row>
        <row r="302">
          <cell r="B302" t="str">
            <v>Rhine Valley Almond &amp; Coffee Date Bar 50gm</v>
          </cell>
          <cell r="C302" t="str">
            <v>FG</v>
          </cell>
          <cell r="D302" t="str">
            <v>BARS &amp; CEREALS</v>
          </cell>
          <cell r="E302" t="str">
            <v>Energy Bars</v>
          </cell>
        </row>
        <row r="303">
          <cell r="B303" t="str">
            <v>Rhine Valley Almond &amp; Cranberry Date Bar 50gm</v>
          </cell>
          <cell r="C303" t="str">
            <v>FG</v>
          </cell>
          <cell r="D303" t="str">
            <v>BARS &amp; CEREALS</v>
          </cell>
          <cell r="E303" t="str">
            <v>Energy Bars</v>
          </cell>
        </row>
        <row r="304">
          <cell r="B304" t="str">
            <v>Rhine Valley Almond &amp; Orange Dark Chocolate Date Bar 50gm</v>
          </cell>
          <cell r="C304" t="str">
            <v>FG</v>
          </cell>
          <cell r="D304" t="str">
            <v>BARS &amp; CEREALS</v>
          </cell>
          <cell r="E304" t="str">
            <v>Energy Bars</v>
          </cell>
        </row>
        <row r="305">
          <cell r="B305" t="str">
            <v>Rhine Valley Fruit &amp; Nut Date Bar 50gm</v>
          </cell>
          <cell r="C305" t="str">
            <v>FG</v>
          </cell>
          <cell r="D305" t="str">
            <v>BARS &amp; CEREALS</v>
          </cell>
          <cell r="E305" t="str">
            <v>Energy Bars</v>
          </cell>
        </row>
        <row r="306">
          <cell r="B306" t="str">
            <v>Rhine Valley Raspberry, Almond &amp; Dark Chocolate Date Bar 50gm</v>
          </cell>
          <cell r="C306" t="str">
            <v>FG</v>
          </cell>
          <cell r="D306" t="str">
            <v>BARS &amp; CEREALS</v>
          </cell>
          <cell r="E306" t="str">
            <v>Energy Bars</v>
          </cell>
        </row>
        <row r="307">
          <cell r="B307" t="str">
            <v>Rhine Valley Rose &amp; Pistachio Date Bar 50gm</v>
          </cell>
          <cell r="C307" t="str">
            <v>FG</v>
          </cell>
          <cell r="D307" t="str">
            <v>BARS &amp; CEREALS</v>
          </cell>
          <cell r="E307" t="str">
            <v>Energy Bars</v>
          </cell>
        </row>
        <row r="308">
          <cell r="B308" t="str">
            <v>Urban Platter Almond Blueberry Bar 45g</v>
          </cell>
          <cell r="C308" t="str">
            <v>FG</v>
          </cell>
          <cell r="D308" t="str">
            <v>BARS &amp; CEREALS</v>
          </cell>
          <cell r="E308" t="str">
            <v>Energy Bars</v>
          </cell>
        </row>
        <row r="309">
          <cell r="B309" t="str">
            <v>Urban Platter Chocolate Vanilla Bar 45g</v>
          </cell>
          <cell r="C309" t="str">
            <v>FG</v>
          </cell>
          <cell r="D309" t="str">
            <v>BARS &amp; CEREALS</v>
          </cell>
          <cell r="E309" t="str">
            <v>Energy Bars</v>
          </cell>
        </row>
        <row r="310">
          <cell r="B310" t="str">
            <v>Urban Platter Cranberry Orange Bar 45g</v>
          </cell>
          <cell r="C310" t="str">
            <v>FG</v>
          </cell>
          <cell r="D310" t="str">
            <v>BARS &amp; CEREALS</v>
          </cell>
          <cell r="E310" t="str">
            <v>Energy Bars</v>
          </cell>
        </row>
        <row r="311">
          <cell r="B311" t="str">
            <v>Urban Platter Mocha Bar 45g</v>
          </cell>
          <cell r="C311" t="str">
            <v>FG</v>
          </cell>
          <cell r="D311" t="str">
            <v>BARS &amp; CEREALS</v>
          </cell>
          <cell r="E311" t="str">
            <v>Energy Bars</v>
          </cell>
        </row>
        <row r="312">
          <cell r="B312" t="str">
            <v>Wholesome millet laddu bar (semi finished)</v>
          </cell>
          <cell r="C312" t="str">
            <v>FG</v>
          </cell>
          <cell r="D312" t="str">
            <v>BARS &amp; CEREALS</v>
          </cell>
          <cell r="E312" t="str">
            <v>Energy Bars</v>
          </cell>
        </row>
        <row r="313">
          <cell r="B313" t="str">
            <v>Wholesome millet laddu bar 35gm</v>
          </cell>
          <cell r="C313" t="str">
            <v>FG</v>
          </cell>
          <cell r="D313" t="str">
            <v>BARS &amp; CEREALS</v>
          </cell>
          <cell r="E313" t="str">
            <v>Energy Bars</v>
          </cell>
        </row>
        <row r="314">
          <cell r="B314" t="str">
            <v>Wholesome Millet LadduBar Pack of 6</v>
          </cell>
          <cell r="C314" t="str">
            <v>FG</v>
          </cell>
          <cell r="D314" t="str">
            <v>BARS &amp; CEREALS</v>
          </cell>
          <cell r="E314" t="str">
            <v>Energy Bars</v>
          </cell>
        </row>
        <row r="315">
          <cell r="B315" t="str">
            <v>ON THE RUN Crunchy Granola Single serving Cup 50g</v>
          </cell>
          <cell r="C315" t="str">
            <v>FG</v>
          </cell>
          <cell r="D315" t="str">
            <v>BARS &amp; CEREALS</v>
          </cell>
          <cell r="E315" t="str">
            <v>Granola</v>
          </cell>
        </row>
        <row r="316">
          <cell r="B316" t="str">
            <v>Dried Blackberry</v>
          </cell>
          <cell r="C316" t="str">
            <v>RM</v>
          </cell>
          <cell r="D316" t="str">
            <v>BLACKBERRY</v>
          </cell>
          <cell r="E316" t="str">
            <v>Dried Blackberry</v>
          </cell>
        </row>
        <row r="317">
          <cell r="B317" t="str">
            <v>NB BLACKBERRY DRIED LOOSE</v>
          </cell>
          <cell r="C317" t="str">
            <v>FG</v>
          </cell>
          <cell r="D317" t="str">
            <v>BLACKBERRY</v>
          </cell>
          <cell r="E317" t="str">
            <v>Dried Blackberry</v>
          </cell>
        </row>
        <row r="318">
          <cell r="B318" t="str">
            <v>Dried Black Currant</v>
          </cell>
          <cell r="C318" t="str">
            <v>RM</v>
          </cell>
          <cell r="D318" t="str">
            <v>BLACKCURRANT</v>
          </cell>
          <cell r="E318" t="str">
            <v>Dried Blackcurrant</v>
          </cell>
        </row>
        <row r="319">
          <cell r="B319" t="str">
            <v>GREEK DARK SEEDLESS RAISINS (Black Currant)</v>
          </cell>
          <cell r="C319" t="str">
            <v>RM</v>
          </cell>
          <cell r="D319" t="str">
            <v>BLACKCURRANT</v>
          </cell>
          <cell r="E319" t="str">
            <v>Dried Blackcurrant</v>
          </cell>
        </row>
        <row r="320">
          <cell r="B320" t="str">
            <v>BB Royal Black Current 250g</v>
          </cell>
          <cell r="C320" t="str">
            <v>FG</v>
          </cell>
          <cell r="D320" t="str">
            <v>BLACKCURRANT</v>
          </cell>
          <cell r="E320" t="str">
            <v>Dried Blackcurrant</v>
          </cell>
        </row>
        <row r="321">
          <cell r="B321" t="str">
            <v>BBroyal Black Current 100g</v>
          </cell>
          <cell r="C321" t="str">
            <v>FG</v>
          </cell>
          <cell r="D321" t="str">
            <v>BLACKCURRANT</v>
          </cell>
          <cell r="E321" t="str">
            <v>Dried Blackcurrant</v>
          </cell>
        </row>
        <row r="322">
          <cell r="B322" t="str">
            <v>HA BLACK CURRENT 250g (1340541)</v>
          </cell>
          <cell r="C322" t="str">
            <v>FG</v>
          </cell>
          <cell r="D322" t="str">
            <v>BLACKCURRANT</v>
          </cell>
          <cell r="E322" t="str">
            <v>Dried Blackcurrant</v>
          </cell>
        </row>
        <row r="323">
          <cell r="B323" t="str">
            <v>NB BLACKCURRANT DRIED LOOSE</v>
          </cell>
          <cell r="C323" t="str">
            <v>FG</v>
          </cell>
          <cell r="D323" t="str">
            <v>BLACKCURRANT</v>
          </cell>
          <cell r="E323" t="str">
            <v>Dried Blackcurrant</v>
          </cell>
        </row>
        <row r="324">
          <cell r="B324" t="str">
            <v>SnackAmor Dried Blackcurrant 100g</v>
          </cell>
          <cell r="C324" t="str">
            <v>FG</v>
          </cell>
          <cell r="D324" t="str">
            <v>BLACKCURRANT</v>
          </cell>
          <cell r="E324" t="str">
            <v>Dried Blackcurrant</v>
          </cell>
        </row>
        <row r="325">
          <cell r="B325" t="str">
            <v>Dried Blueberry Apple Infused</v>
          </cell>
          <cell r="C325" t="str">
            <v>RM</v>
          </cell>
          <cell r="D325" t="str">
            <v>BLUEBERRY</v>
          </cell>
          <cell r="E325" t="str">
            <v>Blueberry - Apple Infused</v>
          </cell>
        </row>
        <row r="326">
          <cell r="B326" t="str">
            <v>Dried Blueberry</v>
          </cell>
          <cell r="C326" t="str">
            <v>RM</v>
          </cell>
          <cell r="D326" t="str">
            <v>BLUEBERRY</v>
          </cell>
          <cell r="E326" t="str">
            <v>Blueberry - Plain</v>
          </cell>
        </row>
        <row r="327">
          <cell r="B327" t="str">
            <v>BB Royal Dried Blue Berries 100g</v>
          </cell>
          <cell r="C327" t="str">
            <v>FG</v>
          </cell>
          <cell r="D327" t="str">
            <v>BLUEBERRY</v>
          </cell>
          <cell r="E327" t="str">
            <v>Blueberry - Plain</v>
          </cell>
        </row>
        <row r="328">
          <cell r="B328" t="str">
            <v>BB Royal Dried Blue Berries 250g</v>
          </cell>
          <cell r="C328" t="str">
            <v>FG</v>
          </cell>
          <cell r="D328" t="str">
            <v>BLUEBERRY</v>
          </cell>
          <cell r="E328" t="str">
            <v>Blueberry - Plain</v>
          </cell>
        </row>
        <row r="329">
          <cell r="B329" t="str">
            <v>Blueberries 230g</v>
          </cell>
          <cell r="C329" t="str">
            <v>FG</v>
          </cell>
          <cell r="D329" t="str">
            <v>BLUEBERRY</v>
          </cell>
          <cell r="E329" t="str">
            <v>Blueberry - Plain</v>
          </cell>
        </row>
        <row r="330">
          <cell r="B330" t="str">
            <v>Blueberries 75gm</v>
          </cell>
          <cell r="C330" t="str">
            <v>FG</v>
          </cell>
          <cell r="D330" t="str">
            <v>BLUEBERRY</v>
          </cell>
          <cell r="E330" t="str">
            <v>Blueberry - Plain</v>
          </cell>
        </row>
        <row r="331">
          <cell r="B331" t="str">
            <v>Cafe Galleries Blueberry 250g</v>
          </cell>
          <cell r="C331" t="str">
            <v>FG</v>
          </cell>
          <cell r="D331" t="str">
            <v>BLUEBERRY</v>
          </cell>
          <cell r="E331" t="str">
            <v>Blueberry - Plain</v>
          </cell>
        </row>
        <row r="332">
          <cell r="B332" t="str">
            <v>Carnival Blueberries Dried - 250G</v>
          </cell>
          <cell r="C332" t="str">
            <v>FG</v>
          </cell>
          <cell r="D332" t="str">
            <v>BLUEBERRY</v>
          </cell>
          <cell r="E332" t="str">
            <v>Blueberry - Plain</v>
          </cell>
        </row>
        <row r="333">
          <cell r="B333" t="str">
            <v>Carnival Blueberry 100g</v>
          </cell>
          <cell r="C333" t="str">
            <v>FG</v>
          </cell>
          <cell r="D333" t="str">
            <v>BLUEBERRY</v>
          </cell>
          <cell r="E333" t="str">
            <v>Blueberry - Plain</v>
          </cell>
        </row>
        <row r="334">
          <cell r="B334" t="str">
            <v>Carnival Dried Blueberry 250g</v>
          </cell>
          <cell r="C334" t="str">
            <v>FG</v>
          </cell>
          <cell r="D334" t="str">
            <v>BLUEBERRY</v>
          </cell>
          <cell r="E334" t="str">
            <v>Blueberry - Plain</v>
          </cell>
        </row>
        <row r="335">
          <cell r="B335" t="str">
            <v>Carnival Dried Blueberry 250g - Tub</v>
          </cell>
          <cell r="C335" t="str">
            <v>FG</v>
          </cell>
          <cell r="D335" t="str">
            <v>BLUEBERRY</v>
          </cell>
          <cell r="E335" t="str">
            <v>Blueberry - Plain</v>
          </cell>
        </row>
        <row r="336">
          <cell r="B336" t="str">
            <v>CURATE BLUEBERRIES 200G</v>
          </cell>
          <cell r="C336" t="str">
            <v>FG</v>
          </cell>
          <cell r="D336" t="str">
            <v>BLUEBERRY</v>
          </cell>
          <cell r="E336" t="str">
            <v>Blueberry - Plain</v>
          </cell>
        </row>
        <row r="337">
          <cell r="B337" t="str">
            <v>Curate Dried Bluebrries 300g Jr</v>
          </cell>
          <cell r="C337" t="str">
            <v>FG</v>
          </cell>
          <cell r="D337" t="str">
            <v>BLUEBERRY</v>
          </cell>
          <cell r="E337" t="str">
            <v>Blueberry - Plain</v>
          </cell>
        </row>
        <row r="338">
          <cell r="B338" t="str">
            <v>Dried Blueberry 100gm</v>
          </cell>
          <cell r="C338" t="str">
            <v>FG</v>
          </cell>
          <cell r="D338" t="str">
            <v>BLUEBERRY</v>
          </cell>
          <cell r="E338" t="str">
            <v>Blueberry - Plain</v>
          </cell>
        </row>
        <row r="339">
          <cell r="B339" t="str">
            <v>Ez Blue Berry Loose</v>
          </cell>
          <cell r="C339" t="str">
            <v>FG</v>
          </cell>
          <cell r="D339" t="str">
            <v>BLUEBERRY</v>
          </cell>
          <cell r="E339" t="str">
            <v>Blueberry - Plain</v>
          </cell>
        </row>
        <row r="340">
          <cell r="B340" t="str">
            <v>NB BLUEBERRY DRIED LOOSE</v>
          </cell>
          <cell r="C340" t="str">
            <v>FG</v>
          </cell>
          <cell r="D340" t="str">
            <v>BLUEBERRY</v>
          </cell>
          <cell r="E340" t="str">
            <v>Blueberry - Plain</v>
          </cell>
        </row>
        <row r="341">
          <cell r="B341" t="str">
            <v>PL DRIED BLUEBERRIES 100G</v>
          </cell>
          <cell r="C341" t="str">
            <v>FG</v>
          </cell>
          <cell r="D341" t="str">
            <v>BLUEBERRY</v>
          </cell>
          <cell r="E341" t="str">
            <v>Blueberry - Plain</v>
          </cell>
        </row>
        <row r="342">
          <cell r="B342" t="str">
            <v>Snack Amor Dried Blueberry 100g</v>
          </cell>
          <cell r="C342" t="str">
            <v>FG</v>
          </cell>
          <cell r="D342" t="str">
            <v>BLUEBERRY</v>
          </cell>
          <cell r="E342" t="str">
            <v>Blueberry - Plain</v>
          </cell>
        </row>
        <row r="343">
          <cell r="B343" t="str">
            <v>Snackania Blueberry 230g</v>
          </cell>
          <cell r="C343" t="str">
            <v>FG</v>
          </cell>
          <cell r="D343" t="str">
            <v>BLUEBERRY</v>
          </cell>
          <cell r="E343" t="str">
            <v>Blueberry - Plain</v>
          </cell>
        </row>
        <row r="344">
          <cell r="B344" t="str">
            <v>Vedaka Dried Sweetened Blueberries 100gm (B07GR24VMZ)</v>
          </cell>
          <cell r="C344" t="str">
            <v>FG</v>
          </cell>
          <cell r="D344" t="str">
            <v>BLUEBERRY</v>
          </cell>
          <cell r="E344" t="str">
            <v>Blueberry - Plain</v>
          </cell>
        </row>
        <row r="345">
          <cell r="B345" t="str">
            <v>Vedaka Premium Blueberries 1kg (B07GR82XK8)</v>
          </cell>
          <cell r="C345" t="str">
            <v>FG</v>
          </cell>
          <cell r="D345" t="str">
            <v>BLUEBERRY</v>
          </cell>
          <cell r="E345" t="str">
            <v>Blueberry - Plain</v>
          </cell>
        </row>
        <row r="346">
          <cell r="B346" t="str">
            <v>Vedaka Premium Blueberries 200g (B07GQWST7K)</v>
          </cell>
          <cell r="C346" t="str">
            <v>FG</v>
          </cell>
          <cell r="D346" t="str">
            <v>BLUEBERRY</v>
          </cell>
          <cell r="E346" t="str">
            <v>Blueberry - Plain</v>
          </cell>
        </row>
        <row r="347">
          <cell r="B347" t="str">
            <v>Vedaka Premium Blueberries 500g (B07GR8MCNZ)</v>
          </cell>
          <cell r="C347" t="str">
            <v>FG</v>
          </cell>
          <cell r="D347" t="str">
            <v>BLUEBERRY</v>
          </cell>
          <cell r="E347" t="str">
            <v>Blueberry - Plain</v>
          </cell>
        </row>
        <row r="348">
          <cell r="B348" t="str">
            <v>Cashew Kani</v>
          </cell>
          <cell r="C348" t="str">
            <v>RM</v>
          </cell>
          <cell r="D348" t="str">
            <v>CASHEW</v>
          </cell>
          <cell r="E348" t="str">
            <v>Cashew - Broken</v>
          </cell>
        </row>
        <row r="349">
          <cell r="B349" t="str">
            <v>CASHEW POWDER</v>
          </cell>
          <cell r="C349" t="str">
            <v>RM</v>
          </cell>
          <cell r="D349" t="str">
            <v>CASHEW</v>
          </cell>
          <cell r="E349" t="str">
            <v>Cashew - Broken</v>
          </cell>
        </row>
        <row r="350">
          <cell r="B350" t="str">
            <v>Cashew Split</v>
          </cell>
          <cell r="C350" t="str">
            <v>RM</v>
          </cell>
          <cell r="D350" t="str">
            <v>CASHEW</v>
          </cell>
          <cell r="E350" t="str">
            <v>Cashew - Broken</v>
          </cell>
        </row>
        <row r="351">
          <cell r="B351" t="str">
            <v>Cashew Tukda</v>
          </cell>
          <cell r="C351" t="str">
            <v>RM</v>
          </cell>
          <cell r="D351" t="str">
            <v>CASHEW</v>
          </cell>
          <cell r="E351" t="str">
            <v>Cashew - Broken</v>
          </cell>
        </row>
        <row r="352">
          <cell r="B352" t="str">
            <v>Ez Cashew 4pc Loose</v>
          </cell>
          <cell r="C352" t="str">
            <v>FG</v>
          </cell>
          <cell r="D352" t="str">
            <v>CASHEW</v>
          </cell>
          <cell r="E352" t="str">
            <v>Cashew - Broken</v>
          </cell>
        </row>
        <row r="353">
          <cell r="B353" t="str">
            <v>FABSTA CASHEWNUT BROKEN 200G</v>
          </cell>
          <cell r="C353" t="str">
            <v>FG</v>
          </cell>
          <cell r="D353" t="str">
            <v>CASHEW</v>
          </cell>
          <cell r="E353" t="str">
            <v>Cashew - Broken</v>
          </cell>
        </row>
        <row r="354">
          <cell r="B354" t="str">
            <v>Natures Cashew Split 200g (1356008)</v>
          </cell>
          <cell r="C354" t="str">
            <v>FG</v>
          </cell>
          <cell r="D354" t="str">
            <v>CASHEW</v>
          </cell>
          <cell r="E354" t="str">
            <v>Cashew - Broken</v>
          </cell>
        </row>
        <row r="355">
          <cell r="B355" t="str">
            <v>Vedaka Broken Cashew 1kg (B0D9NZYHDC)</v>
          </cell>
          <cell r="C355" t="str">
            <v>FG</v>
          </cell>
          <cell r="D355" t="str">
            <v>CASHEW</v>
          </cell>
          <cell r="E355" t="str">
            <v>Cashew - Broken</v>
          </cell>
        </row>
        <row r="356">
          <cell r="B356" t="str">
            <v>Cashew 150</v>
          </cell>
          <cell r="C356" t="str">
            <v>RM</v>
          </cell>
          <cell r="D356" t="str">
            <v>CASHEW</v>
          </cell>
          <cell r="E356" t="str">
            <v>Cashew - Kernel</v>
          </cell>
        </row>
        <row r="357">
          <cell r="B357" t="str">
            <v>Cashew 180</v>
          </cell>
          <cell r="C357" t="str">
            <v>RM</v>
          </cell>
          <cell r="D357" t="str">
            <v>CASHEW</v>
          </cell>
          <cell r="E357" t="str">
            <v>Cashew - Kernel</v>
          </cell>
        </row>
        <row r="358">
          <cell r="B358" t="str">
            <v>Cashew 210</v>
          </cell>
          <cell r="C358" t="str">
            <v>RM</v>
          </cell>
          <cell r="D358" t="str">
            <v>CASHEW</v>
          </cell>
          <cell r="E358" t="str">
            <v>Cashew - Kernel</v>
          </cell>
        </row>
        <row r="359">
          <cell r="B359" t="str">
            <v>Cashew 240</v>
          </cell>
          <cell r="C359" t="str">
            <v>RM</v>
          </cell>
          <cell r="D359" t="str">
            <v>CASHEW</v>
          </cell>
          <cell r="E359" t="str">
            <v>Cashew - Kernel</v>
          </cell>
        </row>
        <row r="360">
          <cell r="B360" t="str">
            <v>Cashew 280</v>
          </cell>
          <cell r="C360" t="str">
            <v>RM</v>
          </cell>
          <cell r="D360" t="str">
            <v>CASHEW</v>
          </cell>
          <cell r="E360" t="str">
            <v>Cashew - Kernel</v>
          </cell>
        </row>
        <row r="361">
          <cell r="B361" t="str">
            <v>Cashew 300</v>
          </cell>
          <cell r="C361" t="str">
            <v>RM</v>
          </cell>
          <cell r="D361" t="str">
            <v>CASHEW</v>
          </cell>
          <cell r="E361" t="str">
            <v>Cashew - Kernel</v>
          </cell>
        </row>
        <row r="362">
          <cell r="B362" t="str">
            <v>Cashew 320</v>
          </cell>
          <cell r="C362" t="str">
            <v>RM</v>
          </cell>
          <cell r="D362" t="str">
            <v>CASHEW</v>
          </cell>
          <cell r="E362" t="str">
            <v>Cashew - Kernel</v>
          </cell>
        </row>
        <row r="363">
          <cell r="B363" t="str">
            <v>Cashew 400</v>
          </cell>
          <cell r="C363" t="str">
            <v>RM</v>
          </cell>
          <cell r="D363" t="str">
            <v>CASHEW</v>
          </cell>
          <cell r="E363" t="str">
            <v>Cashew - Kernel</v>
          </cell>
        </row>
        <row r="364">
          <cell r="B364" t="str">
            <v>CASHEW 450</v>
          </cell>
          <cell r="C364" t="str">
            <v>RM</v>
          </cell>
          <cell r="D364" t="str">
            <v>CASHEW</v>
          </cell>
          <cell r="E364" t="str">
            <v>Cashew - Kernel</v>
          </cell>
        </row>
        <row r="365">
          <cell r="B365" t="str">
            <v>Cashew Jumbo with Skin</v>
          </cell>
          <cell r="C365" t="str">
            <v>RM</v>
          </cell>
          <cell r="D365" t="str">
            <v>CASHEW</v>
          </cell>
          <cell r="E365" t="str">
            <v>Cashew - Kernel</v>
          </cell>
        </row>
        <row r="366">
          <cell r="B366" t="str">
            <v>Cashew Kernel</v>
          </cell>
          <cell r="C366" t="str">
            <v>RM</v>
          </cell>
          <cell r="D366" t="str">
            <v>CASHEW</v>
          </cell>
          <cell r="E366" t="str">
            <v>Cashew - Kernel</v>
          </cell>
        </row>
        <row r="367">
          <cell r="B367" t="str">
            <v>Barbeque Cashew</v>
          </cell>
          <cell r="C367" t="str">
            <v>FG</v>
          </cell>
          <cell r="D367" t="str">
            <v>CASHEW</v>
          </cell>
          <cell r="E367" t="str">
            <v>Cashew - Kernel</v>
          </cell>
        </row>
        <row r="368">
          <cell r="B368" t="str">
            <v>Barbeque Cashew Bulk</v>
          </cell>
          <cell r="C368" t="str">
            <v>FG</v>
          </cell>
          <cell r="D368" t="str">
            <v>CASHEW</v>
          </cell>
          <cell r="E368" t="str">
            <v>Cashew - Kernel</v>
          </cell>
        </row>
        <row r="369">
          <cell r="B369" t="str">
            <v>BLACK PEPPER CASHEW</v>
          </cell>
          <cell r="C369" t="str">
            <v>FG</v>
          </cell>
          <cell r="D369" t="str">
            <v>CASHEW</v>
          </cell>
          <cell r="E369" t="str">
            <v>Cashew - Kernel</v>
          </cell>
        </row>
        <row r="370">
          <cell r="B370" t="str">
            <v>Black Pepper Cashew Bulk</v>
          </cell>
          <cell r="C370" t="str">
            <v>FG</v>
          </cell>
          <cell r="D370" t="str">
            <v>CASHEW</v>
          </cell>
          <cell r="E370" t="str">
            <v>Cashew - Kernel</v>
          </cell>
        </row>
        <row r="371">
          <cell r="B371" t="str">
            <v>CA GOA PRE CASHEW 230GM/P</v>
          </cell>
          <cell r="C371" t="str">
            <v>FG</v>
          </cell>
          <cell r="D371" t="str">
            <v>CASHEW</v>
          </cell>
          <cell r="E371" t="str">
            <v>Cashew - Kernel</v>
          </cell>
        </row>
        <row r="372">
          <cell r="B372" t="str">
            <v>Cafe Galleries Cashew 150 - 250gm</v>
          </cell>
          <cell r="C372" t="str">
            <v>FG</v>
          </cell>
          <cell r="D372" t="str">
            <v>CASHEW</v>
          </cell>
          <cell r="E372" t="str">
            <v>Cashew - Kernel</v>
          </cell>
        </row>
        <row r="373">
          <cell r="B373" t="str">
            <v>Cafe Galleries Cashew 180 - 250gm</v>
          </cell>
          <cell r="C373" t="str">
            <v>FG</v>
          </cell>
          <cell r="D373" t="str">
            <v>CASHEW</v>
          </cell>
          <cell r="E373" t="str">
            <v>Cashew - Kernel</v>
          </cell>
        </row>
        <row r="374">
          <cell r="B374" t="str">
            <v>Cafe Galleries Cashew 180 - 500gm</v>
          </cell>
          <cell r="C374" t="str">
            <v>FG</v>
          </cell>
          <cell r="D374" t="str">
            <v>CASHEW</v>
          </cell>
          <cell r="E374" t="str">
            <v>Cashew - Kernel</v>
          </cell>
        </row>
        <row r="375">
          <cell r="B375" t="str">
            <v>Cafe Galleries Cashew 210 - 250gm</v>
          </cell>
          <cell r="C375" t="str">
            <v>FG</v>
          </cell>
          <cell r="D375" t="str">
            <v>CASHEW</v>
          </cell>
          <cell r="E375" t="str">
            <v>Cashew - Kernel</v>
          </cell>
        </row>
        <row r="376">
          <cell r="B376" t="str">
            <v>Cafe Galleries Cashew 210 - 500g</v>
          </cell>
          <cell r="C376" t="str">
            <v>FG</v>
          </cell>
          <cell r="D376" t="str">
            <v>CASHEW</v>
          </cell>
          <cell r="E376" t="str">
            <v>Cashew - Kernel</v>
          </cell>
        </row>
        <row r="377">
          <cell r="B377" t="str">
            <v>Cafe Galleries Cashew 240 - 250g</v>
          </cell>
          <cell r="C377" t="str">
            <v>FG</v>
          </cell>
          <cell r="D377" t="str">
            <v>CASHEW</v>
          </cell>
          <cell r="E377" t="str">
            <v>Cashew - Kernel</v>
          </cell>
        </row>
        <row r="378">
          <cell r="B378" t="str">
            <v>Cafe Galleries Cashew 240 - 500gm</v>
          </cell>
          <cell r="C378" t="str">
            <v>FG</v>
          </cell>
          <cell r="D378" t="str">
            <v>CASHEW</v>
          </cell>
          <cell r="E378" t="str">
            <v>Cashew - Kernel</v>
          </cell>
        </row>
        <row r="379">
          <cell r="B379" t="str">
            <v>Cafe Galleries Cashew 320 - 250gm</v>
          </cell>
          <cell r="C379" t="str">
            <v>FG</v>
          </cell>
          <cell r="D379" t="str">
            <v>CASHEW</v>
          </cell>
          <cell r="E379" t="str">
            <v>Cashew - Kernel</v>
          </cell>
        </row>
        <row r="380">
          <cell r="B380" t="str">
            <v>Cafe Galleries Cashew Black Pepper 250 Gm</v>
          </cell>
          <cell r="C380" t="str">
            <v>FG</v>
          </cell>
          <cell r="D380" t="str">
            <v>CASHEW</v>
          </cell>
          <cell r="E380" t="str">
            <v>Cashew - Kernel</v>
          </cell>
        </row>
        <row r="381">
          <cell r="B381" t="str">
            <v>Cafe Galleries Cashew Salted 180 250g</v>
          </cell>
          <cell r="C381" t="str">
            <v>FG</v>
          </cell>
          <cell r="D381" t="str">
            <v>CASHEW</v>
          </cell>
          <cell r="E381" t="str">
            <v>Cashew - Kernel</v>
          </cell>
        </row>
        <row r="382">
          <cell r="B382" t="str">
            <v>Cafe Galleries Salted Cashew 210- 250gm</v>
          </cell>
          <cell r="C382" t="str">
            <v>FG</v>
          </cell>
          <cell r="D382" t="str">
            <v>CASHEW</v>
          </cell>
          <cell r="E382" t="str">
            <v>Cashew - Kernel</v>
          </cell>
        </row>
        <row r="383">
          <cell r="B383" t="str">
            <v>Carnival Barbeque Cashew 100gm</v>
          </cell>
          <cell r="C383" t="str">
            <v>FG</v>
          </cell>
          <cell r="D383" t="str">
            <v>CASHEW</v>
          </cell>
          <cell r="E383" t="str">
            <v>Cashew - Kernel</v>
          </cell>
        </row>
        <row r="384">
          <cell r="B384" t="str">
            <v>Carnival Barbeque Cashew 200gm</v>
          </cell>
          <cell r="C384" t="str">
            <v>FG</v>
          </cell>
          <cell r="D384" t="str">
            <v>CASHEW</v>
          </cell>
          <cell r="E384" t="str">
            <v>Cashew - Kernel</v>
          </cell>
        </row>
        <row r="385">
          <cell r="B385" t="str">
            <v>Carnival Cashew (400 - 450) 200g Mono Carton</v>
          </cell>
          <cell r="C385" t="str">
            <v>FG</v>
          </cell>
          <cell r="D385" t="str">
            <v>CASHEW</v>
          </cell>
          <cell r="E385" t="str">
            <v>Cashew - Kernel</v>
          </cell>
        </row>
        <row r="386">
          <cell r="B386" t="str">
            <v>Carnival Cashew Nut 250g</v>
          </cell>
          <cell r="C386" t="str">
            <v>FG</v>
          </cell>
          <cell r="D386" t="str">
            <v>CASHEW</v>
          </cell>
          <cell r="E386" t="str">
            <v>Cashew - Kernel</v>
          </cell>
        </row>
        <row r="387">
          <cell r="B387" t="str">
            <v>Carnival Cashew Roasted And Salted 250g</v>
          </cell>
          <cell r="C387" t="str">
            <v>FG</v>
          </cell>
          <cell r="D387" t="str">
            <v>CASHEW</v>
          </cell>
          <cell r="E387" t="str">
            <v>Cashew - Kernel</v>
          </cell>
        </row>
        <row r="388">
          <cell r="B388" t="str">
            <v>Carnival Cheese Cashew 100g</v>
          </cell>
          <cell r="C388" t="str">
            <v>FG</v>
          </cell>
          <cell r="D388" t="str">
            <v>CASHEW</v>
          </cell>
          <cell r="E388" t="str">
            <v>Cashew - Kernel</v>
          </cell>
        </row>
        <row r="389">
          <cell r="B389" t="str">
            <v>Carnival Cheese Cashew 230g</v>
          </cell>
          <cell r="C389" t="str">
            <v>FG</v>
          </cell>
          <cell r="D389" t="str">
            <v>CASHEW</v>
          </cell>
          <cell r="E389" t="str">
            <v>Cashew - Kernel</v>
          </cell>
        </row>
        <row r="390">
          <cell r="B390" t="str">
            <v>Carnival Classic Cashew 200g</v>
          </cell>
          <cell r="C390" t="str">
            <v>FG</v>
          </cell>
          <cell r="D390" t="str">
            <v>CASHEW</v>
          </cell>
          <cell r="E390" t="str">
            <v>Cashew - Kernel</v>
          </cell>
        </row>
        <row r="391">
          <cell r="B391" t="str">
            <v>Carnival Classic Cashew 250 Gms</v>
          </cell>
          <cell r="C391" t="str">
            <v>FG</v>
          </cell>
          <cell r="D391" t="str">
            <v>CASHEW</v>
          </cell>
          <cell r="E391" t="str">
            <v>Cashew - Kernel</v>
          </cell>
        </row>
        <row r="392">
          <cell r="B392" t="str">
            <v>Carnival Everyday Cashew W450 - 1kg</v>
          </cell>
          <cell r="C392" t="str">
            <v>FG</v>
          </cell>
          <cell r="D392" t="str">
            <v>CASHEW</v>
          </cell>
          <cell r="E392" t="str">
            <v>Cashew - Kernel</v>
          </cell>
        </row>
        <row r="393">
          <cell r="B393" t="str">
            <v>Carnival Festive Cashew (320) 100gm</v>
          </cell>
          <cell r="C393" t="str">
            <v>FG</v>
          </cell>
          <cell r="D393" t="str">
            <v>CASHEW</v>
          </cell>
          <cell r="E393" t="str">
            <v>Cashew - Kernel</v>
          </cell>
        </row>
        <row r="394">
          <cell r="B394" t="str">
            <v>Carnival Festive Cashew (320) 125gm</v>
          </cell>
          <cell r="C394" t="str">
            <v>FG</v>
          </cell>
          <cell r="D394" t="str">
            <v>CASHEW</v>
          </cell>
          <cell r="E394" t="str">
            <v>Cashew - Kernel</v>
          </cell>
        </row>
        <row r="395">
          <cell r="B395" t="str">
            <v>Carnival Festive Cashew (320) 150gm</v>
          </cell>
          <cell r="C395" t="str">
            <v>FG</v>
          </cell>
          <cell r="D395" t="str">
            <v>CASHEW</v>
          </cell>
          <cell r="E395" t="str">
            <v>Cashew - Kernel</v>
          </cell>
        </row>
        <row r="396">
          <cell r="B396" t="str">
            <v>Carnival Festive Cashew (320) 200gm</v>
          </cell>
          <cell r="C396" t="str">
            <v>FG</v>
          </cell>
          <cell r="D396" t="str">
            <v>CASHEW</v>
          </cell>
          <cell r="E396" t="str">
            <v>Cashew - Kernel</v>
          </cell>
        </row>
        <row r="397">
          <cell r="B397" t="str">
            <v>Carnival Festive Cashew (320) 80gm</v>
          </cell>
          <cell r="C397" t="str">
            <v>FG</v>
          </cell>
          <cell r="D397" t="str">
            <v>CASHEW</v>
          </cell>
          <cell r="E397" t="str">
            <v>Cashew - Kernel</v>
          </cell>
        </row>
        <row r="398">
          <cell r="B398" t="str">
            <v>Carnival Festive Flavoured Cashew (320) 100gm</v>
          </cell>
          <cell r="C398" t="str">
            <v>FG</v>
          </cell>
          <cell r="D398" t="str">
            <v>CASHEW</v>
          </cell>
          <cell r="E398" t="str">
            <v>Cashew - Kernel</v>
          </cell>
        </row>
        <row r="399">
          <cell r="B399" t="str">
            <v>Carnival Festive Flavoured Cashew (320) 80gm</v>
          </cell>
          <cell r="C399" t="str">
            <v>FG</v>
          </cell>
          <cell r="D399" t="str">
            <v>CASHEW</v>
          </cell>
          <cell r="E399" t="str">
            <v>Cashew - Kernel</v>
          </cell>
        </row>
        <row r="400">
          <cell r="B400" t="str">
            <v>Carnival Festive Salted Cashew (320) 150gm</v>
          </cell>
          <cell r="C400" t="str">
            <v>FG</v>
          </cell>
          <cell r="D400" t="str">
            <v>CASHEW</v>
          </cell>
          <cell r="E400" t="str">
            <v>Cashew - Kernel</v>
          </cell>
        </row>
        <row r="401">
          <cell r="B401" t="str">
            <v>Carnival Festive Salted Cashew (320) 230gm</v>
          </cell>
          <cell r="C401" t="str">
            <v>FG</v>
          </cell>
          <cell r="D401" t="str">
            <v>CASHEW</v>
          </cell>
          <cell r="E401" t="str">
            <v>Cashew - Kernel</v>
          </cell>
        </row>
        <row r="402">
          <cell r="B402" t="str">
            <v>Carnival FestiveSalted Cashew (320) 100gm</v>
          </cell>
          <cell r="C402" t="str">
            <v>FG</v>
          </cell>
          <cell r="D402" t="str">
            <v>CASHEW</v>
          </cell>
          <cell r="E402" t="str">
            <v>Cashew - Kernel</v>
          </cell>
        </row>
        <row r="403">
          <cell r="B403" t="str">
            <v>Carnival Green Chilli Cashew 100g</v>
          </cell>
          <cell r="C403" t="str">
            <v>FG</v>
          </cell>
          <cell r="D403" t="str">
            <v>CASHEW</v>
          </cell>
          <cell r="E403" t="str">
            <v>Cashew - Kernel</v>
          </cell>
        </row>
        <row r="404">
          <cell r="B404" t="str">
            <v>Carnival Green Chilli Cashew 230g</v>
          </cell>
          <cell r="C404" t="str">
            <v>FG</v>
          </cell>
          <cell r="D404" t="str">
            <v>CASHEW</v>
          </cell>
          <cell r="E404" t="str">
            <v>Cashew - Kernel</v>
          </cell>
        </row>
        <row r="405">
          <cell r="B405" t="str">
            <v>Carnival Jumbo Salted Cashew with Skin 200g</v>
          </cell>
          <cell r="C405" t="str">
            <v>FG</v>
          </cell>
          <cell r="D405" t="str">
            <v>CASHEW</v>
          </cell>
          <cell r="E405" t="str">
            <v>Cashew - Kernel</v>
          </cell>
        </row>
        <row r="406">
          <cell r="B406" t="str">
            <v>Carnival Pepper Cashew 100G</v>
          </cell>
          <cell r="C406" t="str">
            <v>FG</v>
          </cell>
          <cell r="D406" t="str">
            <v>CASHEW</v>
          </cell>
          <cell r="E406" t="str">
            <v>Cashew - Kernel</v>
          </cell>
        </row>
        <row r="407">
          <cell r="B407" t="str">
            <v>Carnival Pepper Cashew 125gm</v>
          </cell>
          <cell r="C407" t="str">
            <v>FG</v>
          </cell>
          <cell r="D407" t="str">
            <v>CASHEW</v>
          </cell>
          <cell r="E407" t="str">
            <v>Cashew - Kernel</v>
          </cell>
        </row>
        <row r="408">
          <cell r="B408" t="str">
            <v>Carnival Pepper Cashew 200G</v>
          </cell>
          <cell r="C408" t="str">
            <v>FG</v>
          </cell>
          <cell r="D408" t="str">
            <v>CASHEW</v>
          </cell>
          <cell r="E408" t="str">
            <v>Cashew - Kernel</v>
          </cell>
        </row>
        <row r="409">
          <cell r="B409" t="str">
            <v>Carnival Peri Peri Cashew 100 Gms</v>
          </cell>
          <cell r="C409" t="str">
            <v>FG</v>
          </cell>
          <cell r="D409" t="str">
            <v>CASHEW</v>
          </cell>
          <cell r="E409" t="str">
            <v>Cashew - Kernel</v>
          </cell>
        </row>
        <row r="410">
          <cell r="B410" t="str">
            <v>Carnival Peri Peri Cashew 150gm</v>
          </cell>
          <cell r="C410" t="str">
            <v>FG</v>
          </cell>
          <cell r="D410" t="str">
            <v>CASHEW</v>
          </cell>
          <cell r="E410" t="str">
            <v>Cashew - Kernel</v>
          </cell>
        </row>
        <row r="411">
          <cell r="B411" t="str">
            <v>Carnival Peri Peri Cashew 200gm</v>
          </cell>
          <cell r="C411" t="str">
            <v>FG</v>
          </cell>
          <cell r="D411" t="str">
            <v>CASHEW</v>
          </cell>
          <cell r="E411" t="str">
            <v>Cashew - Kernel</v>
          </cell>
        </row>
        <row r="412">
          <cell r="B412" t="str">
            <v>Carnival Roasted &amp; Salted Cashew 100g</v>
          </cell>
          <cell r="C412" t="str">
            <v>FG</v>
          </cell>
          <cell r="D412" t="str">
            <v>CASHEW</v>
          </cell>
          <cell r="E412" t="str">
            <v>Cashew - Kernel</v>
          </cell>
        </row>
        <row r="413">
          <cell r="B413" t="str">
            <v>Carnival Roasted &amp; Salted Cashew 230g</v>
          </cell>
          <cell r="C413" t="str">
            <v>FG</v>
          </cell>
          <cell r="D413" t="str">
            <v>CASHEW</v>
          </cell>
          <cell r="E413" t="str">
            <v>Cashew - Kernel</v>
          </cell>
        </row>
        <row r="414">
          <cell r="B414" t="str">
            <v>Carnival Spanish Tomato Cashew 100G</v>
          </cell>
          <cell r="C414" t="str">
            <v>FG</v>
          </cell>
          <cell r="D414" t="str">
            <v>CASHEW</v>
          </cell>
          <cell r="E414" t="str">
            <v>Cashew - Kernel</v>
          </cell>
        </row>
        <row r="415">
          <cell r="B415" t="str">
            <v>Cashew 100g (B07GQZSS49) FBA</v>
          </cell>
          <cell r="C415" t="str">
            <v>FG</v>
          </cell>
          <cell r="D415" t="str">
            <v>CASHEW</v>
          </cell>
          <cell r="E415" t="str">
            <v>Cashew - Kernel</v>
          </cell>
        </row>
        <row r="416">
          <cell r="B416" t="str">
            <v>Cashew 230gm</v>
          </cell>
          <cell r="C416" t="str">
            <v>FG</v>
          </cell>
          <cell r="D416" t="str">
            <v>CASHEW</v>
          </cell>
          <cell r="E416" t="str">
            <v>Cashew - Kernel</v>
          </cell>
        </row>
        <row r="417">
          <cell r="B417" t="str">
            <v>Cashew 240 230g</v>
          </cell>
          <cell r="C417" t="str">
            <v>FG</v>
          </cell>
          <cell r="D417" t="str">
            <v>CASHEW</v>
          </cell>
          <cell r="E417" t="str">
            <v>Cashew - Kernel</v>
          </cell>
        </row>
        <row r="418">
          <cell r="B418" t="str">
            <v>Cashew 500g (B07GQW1HHN)</v>
          </cell>
          <cell r="C418" t="str">
            <v>FG</v>
          </cell>
          <cell r="D418" t="str">
            <v>CASHEW</v>
          </cell>
          <cell r="E418" t="str">
            <v>Cashew - Kernel</v>
          </cell>
        </row>
        <row r="419">
          <cell r="B419" t="str">
            <v>Cashew Flavoured Rosemary Loose</v>
          </cell>
          <cell r="C419" t="str">
            <v>FG</v>
          </cell>
          <cell r="D419" t="str">
            <v>CASHEW</v>
          </cell>
          <cell r="E419" t="str">
            <v>Cashew - Kernel</v>
          </cell>
        </row>
        <row r="420">
          <cell r="B420" t="str">
            <v>Cashew Jumbo with Skin Roasted and Salted</v>
          </cell>
          <cell r="C420" t="str">
            <v>FG</v>
          </cell>
          <cell r="D420" t="str">
            <v>CASHEW</v>
          </cell>
          <cell r="E420" t="str">
            <v>Cashew - Kernel</v>
          </cell>
        </row>
        <row r="421">
          <cell r="B421" t="str">
            <v>Cashew Masala</v>
          </cell>
          <cell r="C421" t="str">
            <v>FG</v>
          </cell>
          <cell r="D421" t="str">
            <v>CASHEW</v>
          </cell>
          <cell r="E421" t="str">
            <v>Cashew - Kernel</v>
          </cell>
        </row>
        <row r="422">
          <cell r="B422" t="str">
            <v>Cashew Pink salt</v>
          </cell>
          <cell r="C422" t="str">
            <v>FG</v>
          </cell>
          <cell r="D422" t="str">
            <v>CASHEW</v>
          </cell>
          <cell r="E422" t="str">
            <v>Cashew - Kernel</v>
          </cell>
        </row>
        <row r="423">
          <cell r="B423" t="str">
            <v>Cashew Roasted</v>
          </cell>
          <cell r="C423" t="str">
            <v>FG</v>
          </cell>
          <cell r="D423" t="str">
            <v>CASHEW</v>
          </cell>
          <cell r="E423" t="str">
            <v>Cashew - Kernel</v>
          </cell>
        </row>
        <row r="424">
          <cell r="B424" t="str">
            <v>CASHEW RSTD SAL W320 250G</v>
          </cell>
          <cell r="C424" t="str">
            <v>FG</v>
          </cell>
          <cell r="D424" t="str">
            <v>CASHEW</v>
          </cell>
          <cell r="E424" t="str">
            <v>Cashew - Kernel</v>
          </cell>
        </row>
        <row r="425">
          <cell r="B425" t="str">
            <v>Cashew Wasabi</v>
          </cell>
          <cell r="C425" t="str">
            <v>FG</v>
          </cell>
          <cell r="D425" t="str">
            <v>CASHEW</v>
          </cell>
          <cell r="E425" t="str">
            <v>Cashew - Kernel</v>
          </cell>
        </row>
        <row r="426">
          <cell r="B426" t="str">
            <v>Cheese Cashew</v>
          </cell>
          <cell r="C426" t="str">
            <v>FG</v>
          </cell>
          <cell r="D426" t="str">
            <v>CASHEW</v>
          </cell>
          <cell r="E426" t="str">
            <v>Cashew - Kernel</v>
          </cell>
        </row>
        <row r="427">
          <cell r="B427" t="str">
            <v>Chilli Garlic Cashew Bulk</v>
          </cell>
          <cell r="C427" t="str">
            <v>FG</v>
          </cell>
          <cell r="D427" t="str">
            <v>CASHEW</v>
          </cell>
          <cell r="E427" t="str">
            <v>Cashew - Kernel</v>
          </cell>
        </row>
        <row r="428">
          <cell r="B428" t="str">
            <v>Curate Cashew 550g Jr</v>
          </cell>
          <cell r="C428" t="str">
            <v>FG</v>
          </cell>
          <cell r="D428" t="str">
            <v>CASHEW</v>
          </cell>
          <cell r="E428" t="str">
            <v>Cashew - Kernel</v>
          </cell>
        </row>
        <row r="429">
          <cell r="B429" t="str">
            <v>Curate Cashews 200g</v>
          </cell>
          <cell r="C429" t="str">
            <v>FG</v>
          </cell>
          <cell r="D429" t="str">
            <v>CASHEW</v>
          </cell>
          <cell r="E429" t="str">
            <v>Cashew - Kernel</v>
          </cell>
        </row>
        <row r="430">
          <cell r="B430" t="str">
            <v>Curate Cashews 250g Jr</v>
          </cell>
          <cell r="C430" t="str">
            <v>FG</v>
          </cell>
          <cell r="D430" t="str">
            <v>CASHEW</v>
          </cell>
          <cell r="E430" t="str">
            <v>Cashew - Kernel</v>
          </cell>
        </row>
        <row r="431">
          <cell r="B431" t="str">
            <v>Curate Cashews 500g</v>
          </cell>
          <cell r="C431" t="str">
            <v>FG</v>
          </cell>
          <cell r="D431" t="str">
            <v>CASHEW</v>
          </cell>
          <cell r="E431" t="str">
            <v>Cashew - Kernel</v>
          </cell>
        </row>
        <row r="432">
          <cell r="B432" t="str">
            <v>Ez Cashew 210 Loose</v>
          </cell>
          <cell r="C432" t="str">
            <v>FG</v>
          </cell>
          <cell r="D432" t="str">
            <v>CASHEW</v>
          </cell>
          <cell r="E432" t="str">
            <v>Cashew - Kernel</v>
          </cell>
        </row>
        <row r="433">
          <cell r="B433" t="str">
            <v>Ez Cashew 240 Loose</v>
          </cell>
          <cell r="C433" t="str">
            <v>FG</v>
          </cell>
          <cell r="D433" t="str">
            <v>CASHEW</v>
          </cell>
          <cell r="E433" t="str">
            <v>Cashew - Kernel</v>
          </cell>
        </row>
        <row r="434">
          <cell r="B434" t="str">
            <v>Ez Cashew 320 Loose</v>
          </cell>
          <cell r="C434" t="str">
            <v>FG</v>
          </cell>
          <cell r="D434" t="str">
            <v>CASHEW</v>
          </cell>
          <cell r="E434" t="str">
            <v>Cashew - Kernel</v>
          </cell>
        </row>
        <row r="435">
          <cell r="B435" t="str">
            <v>Ez Cashew Roasted Salted Loose</v>
          </cell>
          <cell r="C435" t="str">
            <v>FG</v>
          </cell>
          <cell r="D435" t="str">
            <v>CASHEW</v>
          </cell>
          <cell r="E435" t="str">
            <v>Cashew - Kernel</v>
          </cell>
        </row>
        <row r="436">
          <cell r="B436" t="str">
            <v>FABSTA CASHEW RS W320 100G</v>
          </cell>
          <cell r="C436" t="str">
            <v>FG</v>
          </cell>
          <cell r="D436" t="str">
            <v>CASHEW</v>
          </cell>
          <cell r="E436" t="str">
            <v>Cashew - Kernel</v>
          </cell>
        </row>
        <row r="437">
          <cell r="B437" t="str">
            <v>FABSTA CASHEW RS W320 200G</v>
          </cell>
          <cell r="C437" t="str">
            <v>FG</v>
          </cell>
          <cell r="D437" t="str">
            <v>CASHEW</v>
          </cell>
          <cell r="E437" t="str">
            <v>Cashew - Kernel</v>
          </cell>
        </row>
        <row r="438">
          <cell r="B438" t="str">
            <v>FABSTA CASHEWNUT 240 COUNT 200g</v>
          </cell>
          <cell r="C438" t="str">
            <v>FG</v>
          </cell>
          <cell r="D438" t="str">
            <v>CASHEW</v>
          </cell>
          <cell r="E438" t="str">
            <v>Cashew - Kernel</v>
          </cell>
        </row>
        <row r="439">
          <cell r="B439" t="str">
            <v>FNP Salt &amp; Pepper Cashew 50gm</v>
          </cell>
          <cell r="C439" t="str">
            <v>FG</v>
          </cell>
          <cell r="D439" t="str">
            <v>CASHEW</v>
          </cell>
          <cell r="E439" t="str">
            <v>Cashew - Kernel</v>
          </cell>
        </row>
        <row r="440">
          <cell r="B440" t="str">
            <v>FNP Smokin Sweet N Smoky BBQ Cashew 50g</v>
          </cell>
          <cell r="C440" t="str">
            <v>FG</v>
          </cell>
          <cell r="D440" t="str">
            <v>CASHEW</v>
          </cell>
          <cell r="E440" t="str">
            <v>Cashew - Kernel</v>
          </cell>
        </row>
        <row r="441">
          <cell r="B441" t="str">
            <v>Garlic Cashew</v>
          </cell>
          <cell r="C441" t="str">
            <v>FG</v>
          </cell>
          <cell r="D441" t="str">
            <v>CASHEW</v>
          </cell>
          <cell r="E441" t="str">
            <v>Cashew - Kernel</v>
          </cell>
        </row>
        <row r="442">
          <cell r="B442" t="str">
            <v>Green Chilli Cashew Bulk</v>
          </cell>
          <cell r="C442" t="str">
            <v>FG</v>
          </cell>
          <cell r="D442" t="str">
            <v>CASHEW</v>
          </cell>
          <cell r="E442" t="str">
            <v>Cashew - Kernel</v>
          </cell>
        </row>
        <row r="443">
          <cell r="B443" t="str">
            <v>Green Chilly Cashew</v>
          </cell>
          <cell r="C443" t="str">
            <v>FG</v>
          </cell>
          <cell r="D443" t="str">
            <v>CASHEW</v>
          </cell>
          <cell r="E443" t="str">
            <v>Cashew - Kernel</v>
          </cell>
        </row>
        <row r="444">
          <cell r="B444" t="str">
            <v>Lemon Pepper Cashew Bulk</v>
          </cell>
          <cell r="C444" t="str">
            <v>FG</v>
          </cell>
          <cell r="D444" t="str">
            <v>CASHEW</v>
          </cell>
          <cell r="E444" t="str">
            <v>Cashew - Kernel</v>
          </cell>
        </row>
        <row r="445">
          <cell r="B445" t="str">
            <v>Lime  &amp; Chilly Cashew</v>
          </cell>
          <cell r="C445" t="str">
            <v>FG</v>
          </cell>
          <cell r="D445" t="str">
            <v>CASHEW</v>
          </cell>
          <cell r="E445" t="str">
            <v>Cashew - Kernel</v>
          </cell>
        </row>
        <row r="446">
          <cell r="B446" t="str">
            <v>Masala Cashew</v>
          </cell>
          <cell r="C446" t="str">
            <v>FG</v>
          </cell>
          <cell r="D446" t="str">
            <v>CASHEW</v>
          </cell>
          <cell r="E446" t="str">
            <v>Cashew - Kernel</v>
          </cell>
        </row>
        <row r="447">
          <cell r="B447" t="str">
            <v>Mild Chilly Glazed Cashew</v>
          </cell>
          <cell r="C447" t="str">
            <v>FG</v>
          </cell>
          <cell r="D447" t="str">
            <v>CASHEW</v>
          </cell>
          <cell r="E447" t="str">
            <v>Cashew - Kernel</v>
          </cell>
        </row>
        <row r="448">
          <cell r="B448" t="str">
            <v>Natures Cashew Reg 200 Gm ( 1411653 )</v>
          </cell>
          <cell r="C448" t="str">
            <v>FG</v>
          </cell>
          <cell r="D448" t="str">
            <v>CASHEW</v>
          </cell>
          <cell r="E448" t="str">
            <v>Cashew - Kernel</v>
          </cell>
        </row>
        <row r="449">
          <cell r="B449" t="str">
            <v>Natures Cashew W 210 500g (1356007)</v>
          </cell>
          <cell r="C449" t="str">
            <v>FG</v>
          </cell>
          <cell r="D449" t="str">
            <v>CASHEW</v>
          </cell>
          <cell r="E449" t="str">
            <v>Cashew - Kernel</v>
          </cell>
        </row>
        <row r="450">
          <cell r="B450" t="str">
            <v>Natures Cashew W210 100g (1340520)</v>
          </cell>
          <cell r="C450" t="str">
            <v>FG</v>
          </cell>
          <cell r="D450" t="str">
            <v>CASHEW</v>
          </cell>
          <cell r="E450" t="str">
            <v>Cashew - Kernel</v>
          </cell>
        </row>
        <row r="451">
          <cell r="B451" t="str">
            <v>Natures Cashew W210 250g (1340525)</v>
          </cell>
          <cell r="C451" t="str">
            <v>FG</v>
          </cell>
          <cell r="D451" t="str">
            <v>CASHEW</v>
          </cell>
          <cell r="E451" t="str">
            <v>Cashew - Kernel</v>
          </cell>
        </row>
        <row r="452">
          <cell r="B452" t="str">
            <v>NB BARBEQUE CASHEW LOOSE</v>
          </cell>
          <cell r="C452" t="str">
            <v>FG</v>
          </cell>
          <cell r="D452" t="str">
            <v>CASHEW</v>
          </cell>
          <cell r="E452" t="str">
            <v>Cashew - Kernel</v>
          </cell>
        </row>
        <row r="453">
          <cell r="B453" t="str">
            <v>NB BLACK PEPPER CASHEW LOOSE</v>
          </cell>
          <cell r="C453" t="str">
            <v>FG</v>
          </cell>
          <cell r="D453" t="str">
            <v>CASHEW</v>
          </cell>
          <cell r="E453" t="str">
            <v>Cashew - Kernel</v>
          </cell>
        </row>
        <row r="454">
          <cell r="B454" t="str">
            <v>NB CASHEW W150 LOOSE</v>
          </cell>
          <cell r="C454" t="str">
            <v>FG</v>
          </cell>
          <cell r="D454" t="str">
            <v>CASHEW</v>
          </cell>
          <cell r="E454" t="str">
            <v>Cashew - Kernel</v>
          </cell>
        </row>
        <row r="455">
          <cell r="B455" t="str">
            <v>NB CASHEW W180 LOOSE</v>
          </cell>
          <cell r="C455" t="str">
            <v>FG</v>
          </cell>
          <cell r="D455" t="str">
            <v>CASHEW</v>
          </cell>
          <cell r="E455" t="str">
            <v>Cashew - Kernel</v>
          </cell>
        </row>
        <row r="456">
          <cell r="B456" t="str">
            <v>NB CASHEW W240 LOOSE</v>
          </cell>
          <cell r="C456" t="str">
            <v>FG</v>
          </cell>
          <cell r="D456" t="str">
            <v>CASHEW</v>
          </cell>
          <cell r="E456" t="str">
            <v>Cashew - Kernel</v>
          </cell>
        </row>
        <row r="457">
          <cell r="B457" t="str">
            <v>NB CHARCOAL CASHEW LOOSE</v>
          </cell>
          <cell r="C457" t="str">
            <v>FG</v>
          </cell>
          <cell r="D457" t="str">
            <v>CASHEW</v>
          </cell>
          <cell r="E457" t="str">
            <v>Cashew - Kernel</v>
          </cell>
        </row>
        <row r="458">
          <cell r="B458" t="str">
            <v>NB CHEESE CASHEW LOOSE</v>
          </cell>
          <cell r="C458" t="str">
            <v>FG</v>
          </cell>
          <cell r="D458" t="str">
            <v>CASHEW</v>
          </cell>
          <cell r="E458" t="str">
            <v>Cashew - Kernel</v>
          </cell>
        </row>
        <row r="459">
          <cell r="B459" t="str">
            <v>NB GREEN CHILLY CASHEW LOOSE</v>
          </cell>
          <cell r="C459" t="str">
            <v>FG</v>
          </cell>
          <cell r="D459" t="str">
            <v>CASHEW</v>
          </cell>
          <cell r="E459" t="str">
            <v>Cashew - Kernel</v>
          </cell>
        </row>
        <row r="460">
          <cell r="B460" t="str">
            <v>NB MASALA CASHEW LOOSE</v>
          </cell>
          <cell r="C460" t="str">
            <v>FG</v>
          </cell>
          <cell r="D460" t="str">
            <v>CASHEW</v>
          </cell>
          <cell r="E460" t="str">
            <v>Cashew - Kernel</v>
          </cell>
        </row>
        <row r="461">
          <cell r="B461" t="str">
            <v>NB PERI-PERI CASHEW LOOSE</v>
          </cell>
          <cell r="C461" t="str">
            <v>FG</v>
          </cell>
          <cell r="D461" t="str">
            <v>CASHEW</v>
          </cell>
          <cell r="E461" t="str">
            <v>Cashew - Kernel</v>
          </cell>
        </row>
        <row r="462">
          <cell r="B462" t="str">
            <v>NB ROASTED &amp; SALTED CASHEW LOOSE</v>
          </cell>
          <cell r="C462" t="str">
            <v>FG</v>
          </cell>
          <cell r="D462" t="str">
            <v>CASHEW</v>
          </cell>
          <cell r="E462" t="str">
            <v>Cashew - Kernel</v>
          </cell>
        </row>
        <row r="463">
          <cell r="B463" t="str">
            <v>NB SRIRACHA CASHEW LOOSE</v>
          </cell>
          <cell r="C463" t="str">
            <v>FG</v>
          </cell>
          <cell r="D463" t="str">
            <v>CASHEW</v>
          </cell>
          <cell r="E463" t="str">
            <v>Cashew - Kernel</v>
          </cell>
        </row>
        <row r="464">
          <cell r="B464" t="str">
            <v>Paneer Tikka Cashew</v>
          </cell>
          <cell r="C464" t="str">
            <v>FG</v>
          </cell>
          <cell r="D464" t="str">
            <v>CASHEW</v>
          </cell>
          <cell r="E464" t="str">
            <v>Cashew - Kernel</v>
          </cell>
        </row>
        <row r="465">
          <cell r="B465" t="str">
            <v>Pani Puri Cashew</v>
          </cell>
          <cell r="C465" t="str">
            <v>FG</v>
          </cell>
          <cell r="D465" t="str">
            <v>CASHEW</v>
          </cell>
          <cell r="E465" t="str">
            <v>Cashew - Kernel</v>
          </cell>
        </row>
        <row r="466">
          <cell r="B466" t="str">
            <v>Peper Garlic Cashew</v>
          </cell>
          <cell r="C466" t="str">
            <v>FG</v>
          </cell>
          <cell r="D466" t="str">
            <v>CASHEW</v>
          </cell>
          <cell r="E466" t="str">
            <v>Cashew - Kernel</v>
          </cell>
        </row>
        <row r="467">
          <cell r="B467" t="str">
            <v>Pepper Cashew</v>
          </cell>
          <cell r="C467" t="str">
            <v>FG</v>
          </cell>
          <cell r="D467" t="str">
            <v>CASHEW</v>
          </cell>
          <cell r="E467" t="str">
            <v>Cashew - Kernel</v>
          </cell>
        </row>
        <row r="468">
          <cell r="B468" t="str">
            <v>Peri Peri Cashew</v>
          </cell>
          <cell r="C468" t="str">
            <v>FG</v>
          </cell>
          <cell r="D468" t="str">
            <v>CASHEW</v>
          </cell>
          <cell r="E468" t="str">
            <v>Cashew - Kernel</v>
          </cell>
        </row>
        <row r="469">
          <cell r="B469" t="str">
            <v>Peri Peri Cashew Bulk</v>
          </cell>
          <cell r="C469" t="str">
            <v>FG</v>
          </cell>
          <cell r="D469" t="str">
            <v>CASHEW</v>
          </cell>
          <cell r="E469" t="str">
            <v>Cashew - Kernel</v>
          </cell>
        </row>
        <row r="470">
          <cell r="B470" t="str">
            <v>Premia Cashew Black Pepper 100 Gm</v>
          </cell>
          <cell r="C470" t="str">
            <v>FG</v>
          </cell>
          <cell r="D470" t="str">
            <v>CASHEW</v>
          </cell>
          <cell r="E470" t="str">
            <v>Cashew - Kernel</v>
          </cell>
        </row>
        <row r="471">
          <cell r="B471" t="str">
            <v>Premia Cashew Salted 100 Gm</v>
          </cell>
          <cell r="C471" t="str">
            <v>FG</v>
          </cell>
          <cell r="D471" t="str">
            <v>CASHEW</v>
          </cell>
          <cell r="E471" t="str">
            <v>Cashew - Kernel</v>
          </cell>
        </row>
        <row r="472">
          <cell r="B472" t="str">
            <v>Pudina Cashew</v>
          </cell>
          <cell r="C472" t="str">
            <v>FG</v>
          </cell>
          <cell r="D472" t="str">
            <v>CASHEW</v>
          </cell>
          <cell r="E472" t="str">
            <v>Cashew - Kernel</v>
          </cell>
        </row>
        <row r="473">
          <cell r="B473" t="str">
            <v>Roasted &amp; Salted Cashew</v>
          </cell>
          <cell r="C473" t="str">
            <v>FG</v>
          </cell>
          <cell r="D473" t="str">
            <v>CASHEW</v>
          </cell>
          <cell r="E473" t="str">
            <v>Cashew - Kernel</v>
          </cell>
        </row>
        <row r="474">
          <cell r="B474" t="str">
            <v>Roasted &amp; Salted Cashew  140g</v>
          </cell>
          <cell r="C474" t="str">
            <v>FG</v>
          </cell>
          <cell r="D474" t="str">
            <v>CASHEW</v>
          </cell>
          <cell r="E474" t="str">
            <v>Cashew - Kernel</v>
          </cell>
        </row>
        <row r="475">
          <cell r="B475" t="str">
            <v>Roasted &amp; Salted Cashew 75gm</v>
          </cell>
          <cell r="C475" t="str">
            <v>FG</v>
          </cell>
          <cell r="D475" t="str">
            <v>CASHEW</v>
          </cell>
          <cell r="E475" t="str">
            <v>Cashew - Kernel</v>
          </cell>
        </row>
        <row r="476">
          <cell r="B476" t="str">
            <v>Roasted &amp; Salted Cashew 90gm</v>
          </cell>
          <cell r="C476" t="str">
            <v>FG</v>
          </cell>
          <cell r="D476" t="str">
            <v>CASHEW</v>
          </cell>
          <cell r="E476" t="str">
            <v>Cashew - Kernel</v>
          </cell>
        </row>
        <row r="477">
          <cell r="B477" t="str">
            <v>Roasted &amp; Salted Cashew Bulk</v>
          </cell>
          <cell r="C477" t="str">
            <v>FG</v>
          </cell>
          <cell r="D477" t="str">
            <v>CASHEW</v>
          </cell>
          <cell r="E477" t="str">
            <v>Cashew - Kernel</v>
          </cell>
        </row>
        <row r="478">
          <cell r="B478" t="str">
            <v>Roasted Cashew Bulk</v>
          </cell>
          <cell r="C478" t="str">
            <v>FG</v>
          </cell>
          <cell r="D478" t="str">
            <v>CASHEW</v>
          </cell>
          <cell r="E478" t="str">
            <v>Cashew - Kernel</v>
          </cell>
        </row>
        <row r="479">
          <cell r="B479" t="str">
            <v>Royal Traditions Cashew 100g</v>
          </cell>
          <cell r="C479" t="str">
            <v>FG</v>
          </cell>
          <cell r="D479" t="str">
            <v>CASHEW</v>
          </cell>
          <cell r="E479" t="str">
            <v>Cashew - Kernel</v>
          </cell>
        </row>
        <row r="480">
          <cell r="B480" t="str">
            <v>Royal Traditions Cashew Black Pepper 100g</v>
          </cell>
          <cell r="C480" t="str">
            <v>FG</v>
          </cell>
          <cell r="D480" t="str">
            <v>CASHEW</v>
          </cell>
          <cell r="E480" t="str">
            <v>Cashew - Kernel</v>
          </cell>
        </row>
        <row r="481">
          <cell r="B481" t="str">
            <v>Royal Traditions Cashew Salted 100g</v>
          </cell>
          <cell r="C481" t="str">
            <v>FG</v>
          </cell>
          <cell r="D481" t="str">
            <v>CASHEW</v>
          </cell>
          <cell r="E481" t="str">
            <v>Cashew - Kernel</v>
          </cell>
        </row>
        <row r="482">
          <cell r="B482" t="str">
            <v>Salt and Pepper Cashew Bulk</v>
          </cell>
          <cell r="C482" t="str">
            <v>FG</v>
          </cell>
          <cell r="D482" t="str">
            <v>CASHEW</v>
          </cell>
          <cell r="E482" t="str">
            <v>Cashew - Kernel</v>
          </cell>
        </row>
        <row r="483">
          <cell r="B483" t="str">
            <v>Smokey BBQ Cashew Bulk</v>
          </cell>
          <cell r="C483" t="str">
            <v>FG</v>
          </cell>
          <cell r="D483" t="str">
            <v>CASHEW</v>
          </cell>
          <cell r="E483" t="str">
            <v>Cashew - Kernel</v>
          </cell>
        </row>
        <row r="484">
          <cell r="B484" t="str">
            <v>Snack Amor Black Pepper Cashew 170g</v>
          </cell>
          <cell r="C484" t="str">
            <v>FG</v>
          </cell>
          <cell r="D484" t="str">
            <v>CASHEW</v>
          </cell>
          <cell r="E484" t="str">
            <v>Cashew - Kernel</v>
          </cell>
        </row>
        <row r="485">
          <cell r="B485" t="str">
            <v>Snack Amor Roasted Cashew 170 Gm</v>
          </cell>
          <cell r="C485" t="str">
            <v>FG</v>
          </cell>
          <cell r="D485" t="str">
            <v>CASHEW</v>
          </cell>
          <cell r="E485" t="str">
            <v>Cashew - Kernel</v>
          </cell>
        </row>
        <row r="486">
          <cell r="B486" t="str">
            <v>Snackania Cashew 480g</v>
          </cell>
          <cell r="C486" t="str">
            <v>FG</v>
          </cell>
          <cell r="D486" t="str">
            <v>CASHEW</v>
          </cell>
          <cell r="E486" t="str">
            <v>Cashew - Kernel</v>
          </cell>
        </row>
        <row r="487">
          <cell r="B487" t="str">
            <v>Snackania Green Chilli Cashew 230g</v>
          </cell>
          <cell r="C487" t="str">
            <v>FG</v>
          </cell>
          <cell r="D487" t="str">
            <v>CASHEW</v>
          </cell>
          <cell r="E487" t="str">
            <v>Cashew - Kernel</v>
          </cell>
        </row>
        <row r="488">
          <cell r="B488" t="str">
            <v>Snacktive Green Chilli Cashew 250 gm</v>
          </cell>
          <cell r="C488" t="str">
            <v>FG</v>
          </cell>
          <cell r="D488" t="str">
            <v>CASHEW</v>
          </cell>
          <cell r="E488" t="str">
            <v>Cashew - Kernel</v>
          </cell>
        </row>
        <row r="489">
          <cell r="B489" t="str">
            <v>Solimo Cashew 250g (B01LPY9PHI)-FBA</v>
          </cell>
          <cell r="C489" t="str">
            <v>FG</v>
          </cell>
          <cell r="D489" t="str">
            <v>CASHEW</v>
          </cell>
          <cell r="E489" t="str">
            <v>Cashew - Kernel</v>
          </cell>
        </row>
        <row r="490">
          <cell r="B490" t="str">
            <v>Solimo Cashew 500g (B01LPY9UG4) FBA</v>
          </cell>
          <cell r="C490" t="str">
            <v>FG</v>
          </cell>
          <cell r="D490" t="str">
            <v>CASHEW</v>
          </cell>
          <cell r="E490" t="str">
            <v>Cashew - Kernel</v>
          </cell>
        </row>
        <row r="491">
          <cell r="B491" t="str">
            <v>Sour &amp; Cream Cashew Bulk</v>
          </cell>
          <cell r="C491" t="str">
            <v>FG</v>
          </cell>
          <cell r="D491" t="str">
            <v>CASHEW</v>
          </cell>
          <cell r="E491" t="str">
            <v>Cashew - Kernel</v>
          </cell>
        </row>
        <row r="492">
          <cell r="B492" t="str">
            <v>Tasties Chilli Garlic Cashew - Flavourful &amp; Crunchy 75 g</v>
          </cell>
          <cell r="C492" t="str">
            <v>FG</v>
          </cell>
          <cell r="D492" t="str">
            <v>CASHEW</v>
          </cell>
          <cell r="E492" t="str">
            <v>Cashew - Kernel</v>
          </cell>
        </row>
        <row r="493">
          <cell r="B493" t="str">
            <v>Tasties Lemon Pepper Cashew - Flavourful &amp; Crunchy 75 g</v>
          </cell>
          <cell r="C493" t="str">
            <v>FG</v>
          </cell>
          <cell r="D493" t="str">
            <v>CASHEW</v>
          </cell>
          <cell r="E493" t="str">
            <v>Cashew - Kernel</v>
          </cell>
        </row>
        <row r="494">
          <cell r="B494" t="str">
            <v>Tasties Peri Peri Cashew - Flavourful &amp; Crunchy 75 g</v>
          </cell>
          <cell r="C494" t="str">
            <v>FG</v>
          </cell>
          <cell r="D494" t="str">
            <v>CASHEW</v>
          </cell>
          <cell r="E494" t="str">
            <v>Cashew - Kernel</v>
          </cell>
        </row>
        <row r="495">
          <cell r="B495" t="str">
            <v>Vedaka Black pepper Cashew 200g (B0BTHWW69R)</v>
          </cell>
          <cell r="C495" t="str">
            <v>FG</v>
          </cell>
          <cell r="D495" t="str">
            <v>CASHEW</v>
          </cell>
          <cell r="E495" t="str">
            <v>Cashew - Kernel</v>
          </cell>
        </row>
        <row r="496">
          <cell r="B496" t="str">
            <v>Vedaka Cashew 200g (B07GQZSS48)</v>
          </cell>
          <cell r="C496" t="str">
            <v>FG</v>
          </cell>
          <cell r="D496" t="str">
            <v>CASHEW</v>
          </cell>
          <cell r="E496" t="str">
            <v>Cashew - Kernel</v>
          </cell>
        </row>
        <row r="497">
          <cell r="B497" t="str">
            <v>Vedaka Cashews - Broken 500g (B0D9NYHTG1)</v>
          </cell>
          <cell r="C497" t="str">
            <v>FG</v>
          </cell>
          <cell r="D497" t="str">
            <v>CASHEW</v>
          </cell>
          <cell r="E497" t="str">
            <v>Cashew - Kernel</v>
          </cell>
        </row>
        <row r="498">
          <cell r="B498" t="str">
            <v>Vedaka Peri Peri Cashew 200g (B0BVVRRYVC)</v>
          </cell>
          <cell r="C498" t="str">
            <v>FG</v>
          </cell>
          <cell r="D498" t="str">
            <v>CASHEW</v>
          </cell>
          <cell r="E498" t="str">
            <v>Cashew - Kernel</v>
          </cell>
        </row>
        <row r="499">
          <cell r="B499" t="str">
            <v>Vedaka Popular Cashew Broken 100g FBA(B07GR3S1RL)</v>
          </cell>
          <cell r="C499" t="str">
            <v>FG</v>
          </cell>
          <cell r="D499" t="str">
            <v>CASHEW</v>
          </cell>
          <cell r="E499" t="str">
            <v>Cashew - Kernel</v>
          </cell>
        </row>
        <row r="500">
          <cell r="B500" t="str">
            <v>Vedaka Popular Cashew Broken 200g FBA(B07GQWS1BS)</v>
          </cell>
          <cell r="C500" t="str">
            <v>FG</v>
          </cell>
          <cell r="D500" t="str">
            <v>CASHEW</v>
          </cell>
          <cell r="E500" t="str">
            <v>Cashew - Kernel</v>
          </cell>
        </row>
        <row r="501">
          <cell r="B501" t="str">
            <v>Vedaka Whole Cashews (Grade W320) 1kg (B0D9NY9M32)</v>
          </cell>
          <cell r="C501" t="str">
            <v>FG</v>
          </cell>
          <cell r="D501" t="str">
            <v>CASHEW</v>
          </cell>
          <cell r="E501" t="str">
            <v>Cashew - Kernel</v>
          </cell>
        </row>
        <row r="502">
          <cell r="B502" t="str">
            <v>YUMASANA CASHEWS- BARBEQUE 150g</v>
          </cell>
          <cell r="C502" t="str">
            <v>FG</v>
          </cell>
          <cell r="D502" t="str">
            <v>CASHEW</v>
          </cell>
          <cell r="E502" t="str">
            <v>Cashew - Kernel</v>
          </cell>
        </row>
        <row r="503">
          <cell r="B503" t="str">
            <v>YUMASANA CASHEWS- PEPPER 150g</v>
          </cell>
          <cell r="C503" t="str">
            <v>FG</v>
          </cell>
          <cell r="D503" t="str">
            <v>CASHEW</v>
          </cell>
          <cell r="E503" t="str">
            <v>Cashew - Kernel</v>
          </cell>
        </row>
        <row r="504">
          <cell r="B504" t="str">
            <v>YUMASANA CASHEWS- SALTED 150g</v>
          </cell>
          <cell r="C504" t="str">
            <v>FG</v>
          </cell>
          <cell r="D504" t="str">
            <v>CASHEW</v>
          </cell>
          <cell r="E504" t="str">
            <v>Cashew - Kernel</v>
          </cell>
        </row>
        <row r="505">
          <cell r="B505" t="str">
            <v>YUMASANA CASHEWS- SOUR CREAM 150g</v>
          </cell>
          <cell r="C505" t="str">
            <v>FG</v>
          </cell>
          <cell r="D505" t="str">
            <v>CASHEW</v>
          </cell>
          <cell r="E505" t="str">
            <v>Cashew - Kernel</v>
          </cell>
        </row>
        <row r="506">
          <cell r="B506" t="str">
            <v>OFF-GRADE CASHEW</v>
          </cell>
          <cell r="C506" t="str">
            <v>RM</v>
          </cell>
          <cell r="D506" t="str">
            <v>CASHEW</v>
          </cell>
          <cell r="E506" t="str">
            <v>OFF-GRADE CASHEW</v>
          </cell>
        </row>
        <row r="507">
          <cell r="B507" t="str">
            <v>Cranberry Slice</v>
          </cell>
          <cell r="C507" t="str">
            <v>RM</v>
          </cell>
          <cell r="D507" t="str">
            <v>CRANBERRY</v>
          </cell>
          <cell r="E507" t="str">
            <v>Cranberry - Sliced</v>
          </cell>
        </row>
        <row r="508">
          <cell r="B508" t="str">
            <v>Cranberry Slice Apple Infused</v>
          </cell>
          <cell r="C508" t="str">
            <v>RM</v>
          </cell>
          <cell r="D508" t="str">
            <v>CRANBERRY</v>
          </cell>
          <cell r="E508" t="str">
            <v>Cranberry - Sliced</v>
          </cell>
        </row>
        <row r="509">
          <cell r="B509" t="str">
            <v>Dried Cranberry Sliced</v>
          </cell>
          <cell r="C509" t="str">
            <v>RM</v>
          </cell>
          <cell r="D509" t="str">
            <v>CRANBERRY</v>
          </cell>
          <cell r="E509" t="str">
            <v>Cranberry - Sliced</v>
          </cell>
        </row>
        <row r="510">
          <cell r="B510" t="str">
            <v>Cafe Galleries Slice Cranberry 250g</v>
          </cell>
          <cell r="C510" t="str">
            <v>FG</v>
          </cell>
          <cell r="D510" t="str">
            <v>CRANBERRY</v>
          </cell>
          <cell r="E510" t="str">
            <v>Cranberry - Sliced</v>
          </cell>
        </row>
        <row r="511">
          <cell r="B511" t="str">
            <v>Carnival Cranberry Classic Slice 200 G (110001359)</v>
          </cell>
          <cell r="C511" t="str">
            <v>FG</v>
          </cell>
          <cell r="D511" t="str">
            <v>CRANBERRY</v>
          </cell>
          <cell r="E511" t="str">
            <v>Cranberry - Sliced</v>
          </cell>
        </row>
        <row r="512">
          <cell r="B512" t="str">
            <v>Carnival Cranberry Sliced 250 Gms</v>
          </cell>
          <cell r="C512" t="str">
            <v>FG</v>
          </cell>
          <cell r="D512" t="str">
            <v>CRANBERRY</v>
          </cell>
          <cell r="E512" t="str">
            <v>Cranberry - Sliced</v>
          </cell>
        </row>
        <row r="513">
          <cell r="B513" t="str">
            <v>Carnival Festive Chatpata Cranberry 100gm</v>
          </cell>
          <cell r="C513" t="str">
            <v>FG</v>
          </cell>
          <cell r="D513" t="str">
            <v>CRANBERRY</v>
          </cell>
          <cell r="E513" t="str">
            <v>Cranberry - Sliced</v>
          </cell>
        </row>
        <row r="514">
          <cell r="B514" t="str">
            <v>Carnival Festive Chatpata Cranberry 120g</v>
          </cell>
          <cell r="C514" t="str">
            <v>FG</v>
          </cell>
          <cell r="D514" t="str">
            <v>CRANBERRY</v>
          </cell>
          <cell r="E514" t="str">
            <v>Cranberry - Sliced</v>
          </cell>
        </row>
        <row r="515">
          <cell r="B515" t="str">
            <v>Carnival Festive Chatpata Cranberry 250gm</v>
          </cell>
          <cell r="C515" t="str">
            <v>FG</v>
          </cell>
          <cell r="D515" t="str">
            <v>CRANBERRY</v>
          </cell>
          <cell r="E515" t="str">
            <v>Cranberry - Sliced</v>
          </cell>
        </row>
        <row r="516">
          <cell r="B516" t="str">
            <v>Carnival Festive Chatpata Cranberry 80gm</v>
          </cell>
          <cell r="C516" t="str">
            <v>FG</v>
          </cell>
          <cell r="D516" t="str">
            <v>CRANBERRY</v>
          </cell>
          <cell r="E516" t="str">
            <v>Cranberry - Sliced</v>
          </cell>
        </row>
        <row r="517">
          <cell r="B517" t="str">
            <v>PL SLICED CRANBERRIES 100G</v>
          </cell>
          <cell r="C517" t="str">
            <v>FG</v>
          </cell>
          <cell r="D517" t="str">
            <v>CRANBERRY</v>
          </cell>
          <cell r="E517" t="str">
            <v>Cranberry - Sliced</v>
          </cell>
        </row>
        <row r="518">
          <cell r="B518" t="str">
            <v>QWIKSNAX CRANBERRIES CHTPTA MIX-30G</v>
          </cell>
          <cell r="C518" t="str">
            <v>FG</v>
          </cell>
          <cell r="D518" t="str">
            <v>CRANBERRY</v>
          </cell>
          <cell r="E518" t="str">
            <v>Cranberry - Sliced</v>
          </cell>
        </row>
        <row r="519">
          <cell r="B519" t="str">
            <v>Snack Amor Cranberry Slice 100 Gm</v>
          </cell>
          <cell r="C519" t="str">
            <v>FG</v>
          </cell>
          <cell r="D519" t="str">
            <v>CRANBERRY</v>
          </cell>
          <cell r="E519" t="str">
            <v>Cranberry - Sliced</v>
          </cell>
        </row>
        <row r="520">
          <cell r="B520" t="str">
            <v>SnackAmor Masala Cranberry 150g</v>
          </cell>
          <cell r="C520" t="str">
            <v>FG</v>
          </cell>
          <cell r="D520" t="str">
            <v>CRANBERRY</v>
          </cell>
          <cell r="E520" t="str">
            <v>Cranberry - Sliced</v>
          </cell>
        </row>
        <row r="521">
          <cell r="B521" t="str">
            <v>Dried Cranberry Whole</v>
          </cell>
          <cell r="C521" t="str">
            <v>RM</v>
          </cell>
          <cell r="D521" t="str">
            <v>CRANBERRY</v>
          </cell>
          <cell r="E521" t="str">
            <v>Cranberry - Whole</v>
          </cell>
        </row>
        <row r="522">
          <cell r="B522" t="str">
            <v>Dried Meduri Cranberry Whole</v>
          </cell>
          <cell r="C522" t="str">
            <v>RM</v>
          </cell>
          <cell r="D522" t="str">
            <v>CRANBERRY</v>
          </cell>
          <cell r="E522" t="str">
            <v>Cranberry - Whole</v>
          </cell>
        </row>
        <row r="523">
          <cell r="B523" t="str">
            <v>BB Royal Dried Cran Berries 100g</v>
          </cell>
          <cell r="C523" t="str">
            <v>FG</v>
          </cell>
          <cell r="D523" t="str">
            <v>CRANBERRY</v>
          </cell>
          <cell r="E523" t="str">
            <v>Cranberry - Whole</v>
          </cell>
        </row>
        <row r="524">
          <cell r="B524" t="str">
            <v>BB Royal Dried Cran Berry 250g</v>
          </cell>
          <cell r="C524" t="str">
            <v>FG</v>
          </cell>
          <cell r="D524" t="str">
            <v>CRANBERRY</v>
          </cell>
          <cell r="E524" t="str">
            <v>Cranberry - Whole</v>
          </cell>
        </row>
        <row r="525">
          <cell r="B525" t="str">
            <v>CA PREMIUM DRY CANBERRY 230GM/P</v>
          </cell>
          <cell r="C525" t="str">
            <v>FG</v>
          </cell>
          <cell r="D525" t="str">
            <v>CRANBERRY</v>
          </cell>
          <cell r="E525" t="str">
            <v>Cranberry - Whole</v>
          </cell>
        </row>
        <row r="526">
          <cell r="B526" t="str">
            <v>Cafe Galleries Cranberry Whole 250g</v>
          </cell>
          <cell r="C526" t="str">
            <v>FG</v>
          </cell>
          <cell r="D526" t="str">
            <v>CRANBERRY</v>
          </cell>
          <cell r="E526" t="str">
            <v>Cranberry - Whole</v>
          </cell>
        </row>
        <row r="527">
          <cell r="B527" t="str">
            <v>Carnival Chatpata Cranberry 100G</v>
          </cell>
          <cell r="C527" t="str">
            <v>FG</v>
          </cell>
          <cell r="D527" t="str">
            <v>CRANBERRY</v>
          </cell>
          <cell r="E527" t="str">
            <v>Cranberry - Whole</v>
          </cell>
        </row>
        <row r="528">
          <cell r="B528" t="str">
            <v>Carnival Chatpata Cranberry 250gm</v>
          </cell>
          <cell r="C528" t="str">
            <v>FG</v>
          </cell>
          <cell r="D528" t="str">
            <v>CRANBERRY</v>
          </cell>
          <cell r="E528" t="str">
            <v>Cranberry - Whole</v>
          </cell>
        </row>
        <row r="529">
          <cell r="B529" t="str">
            <v>Carnival Cranberry Flavoured Chatpata 200g</v>
          </cell>
          <cell r="C529" t="str">
            <v>FG</v>
          </cell>
          <cell r="D529" t="str">
            <v>CRANBERRY</v>
          </cell>
          <cell r="E529" t="str">
            <v>Cranberry - Whole</v>
          </cell>
        </row>
        <row r="530">
          <cell r="B530" t="str">
            <v>Carnival Cranberry Premium Whole 200 G (110001358)</v>
          </cell>
          <cell r="C530" t="str">
            <v>FG</v>
          </cell>
          <cell r="D530" t="str">
            <v>CRANBERRY</v>
          </cell>
          <cell r="E530" t="str">
            <v>Cranberry - Whole</v>
          </cell>
        </row>
        <row r="531">
          <cell r="B531" t="str">
            <v>Carnival Cranberry Whole - 100gm</v>
          </cell>
          <cell r="C531" t="str">
            <v>FG</v>
          </cell>
          <cell r="D531" t="str">
            <v>CRANBERRY</v>
          </cell>
          <cell r="E531" t="str">
            <v>Cranberry - Whole</v>
          </cell>
        </row>
        <row r="532">
          <cell r="B532" t="str">
            <v>Carnival Cranberry Whole 250G</v>
          </cell>
          <cell r="C532" t="str">
            <v>FG</v>
          </cell>
          <cell r="D532" t="str">
            <v>CRANBERRY</v>
          </cell>
          <cell r="E532" t="str">
            <v>Cranberry - Whole</v>
          </cell>
        </row>
        <row r="533">
          <cell r="B533" t="str">
            <v>Carnival Dried Cranberry Whole 100g (PP)</v>
          </cell>
          <cell r="C533" t="str">
            <v>FG</v>
          </cell>
          <cell r="D533" t="str">
            <v>CRANBERRY</v>
          </cell>
          <cell r="E533" t="str">
            <v>Cranberry - Whole</v>
          </cell>
        </row>
        <row r="534">
          <cell r="B534" t="str">
            <v>Carnival Dried Cranberry Whole 250g - Tub</v>
          </cell>
          <cell r="C534" t="str">
            <v>FG</v>
          </cell>
          <cell r="D534" t="str">
            <v>CRANBERRY</v>
          </cell>
          <cell r="E534" t="str">
            <v>Cranberry - Whole</v>
          </cell>
        </row>
        <row r="535">
          <cell r="B535" t="str">
            <v>Carnival Festive Paan Cranberry 125gm</v>
          </cell>
          <cell r="C535" t="str">
            <v>FG</v>
          </cell>
          <cell r="D535" t="str">
            <v>CRANBERRY</v>
          </cell>
          <cell r="E535" t="str">
            <v>Cranberry - Whole</v>
          </cell>
        </row>
        <row r="536">
          <cell r="B536" t="str">
            <v>Chatpata Cranberry</v>
          </cell>
          <cell r="C536" t="str">
            <v>FG</v>
          </cell>
          <cell r="D536" t="str">
            <v>CRANBERRY</v>
          </cell>
          <cell r="E536" t="str">
            <v>Cranberry - Whole</v>
          </cell>
        </row>
        <row r="537">
          <cell r="B537" t="str">
            <v>Chatpata Cranberry 75gm</v>
          </cell>
          <cell r="C537" t="str">
            <v>FG</v>
          </cell>
          <cell r="D537" t="str">
            <v>CRANBERRY</v>
          </cell>
          <cell r="E537" t="str">
            <v>Cranberry - Whole</v>
          </cell>
        </row>
        <row r="538">
          <cell r="B538" t="str">
            <v>Cranberry Whole 230g</v>
          </cell>
          <cell r="C538" t="str">
            <v>FG</v>
          </cell>
          <cell r="D538" t="str">
            <v>CRANBERRY</v>
          </cell>
          <cell r="E538" t="str">
            <v>Cranberry - Whole</v>
          </cell>
        </row>
        <row r="539">
          <cell r="B539" t="str">
            <v>CURATE WHOLE CRANBERRIES 200G</v>
          </cell>
          <cell r="C539" t="str">
            <v>FG</v>
          </cell>
          <cell r="D539" t="str">
            <v>CRANBERRY</v>
          </cell>
          <cell r="E539" t="str">
            <v>Cranberry - Whole</v>
          </cell>
        </row>
        <row r="540">
          <cell r="B540" t="str">
            <v>Curate Whole Cranberries 300g Jr</v>
          </cell>
          <cell r="C540" t="str">
            <v>FG</v>
          </cell>
          <cell r="D540" t="str">
            <v>CRANBERRY</v>
          </cell>
          <cell r="E540" t="str">
            <v>Cranberry - Whole</v>
          </cell>
        </row>
        <row r="541">
          <cell r="B541" t="str">
            <v>Curate Whole Cranberries 300gm</v>
          </cell>
          <cell r="C541" t="str">
            <v>FG</v>
          </cell>
          <cell r="D541" t="str">
            <v>CRANBERRY</v>
          </cell>
          <cell r="E541" t="str">
            <v>Cranberry - Whole</v>
          </cell>
        </row>
        <row r="542">
          <cell r="B542" t="str">
            <v>Delmonte Cranberries 130gm</v>
          </cell>
          <cell r="C542" t="str">
            <v>FG</v>
          </cell>
          <cell r="D542" t="str">
            <v>CRANBERRY</v>
          </cell>
          <cell r="E542" t="str">
            <v>Cranberry - Whole</v>
          </cell>
        </row>
        <row r="543">
          <cell r="B543" t="str">
            <v>Dried Cranberry 100gm</v>
          </cell>
          <cell r="C543" t="str">
            <v>FG</v>
          </cell>
          <cell r="D543" t="str">
            <v>CRANBERRY</v>
          </cell>
          <cell r="E543" t="str">
            <v>Cranberry - Whole</v>
          </cell>
        </row>
        <row r="544">
          <cell r="B544" t="str">
            <v>Ez Cranberry Loose</v>
          </cell>
          <cell r="C544" t="str">
            <v>FG</v>
          </cell>
          <cell r="D544" t="str">
            <v>CRANBERRY</v>
          </cell>
          <cell r="E544" t="str">
            <v>Cranberry - Whole</v>
          </cell>
        </row>
        <row r="545">
          <cell r="B545" t="str">
            <v>NB CRANBERRY DRIED LOOSE</v>
          </cell>
          <cell r="C545" t="str">
            <v>FG</v>
          </cell>
          <cell r="D545" t="str">
            <v>CRANBERRY</v>
          </cell>
          <cell r="E545" t="str">
            <v>Cranberry - Whole</v>
          </cell>
        </row>
        <row r="546">
          <cell r="B546" t="str">
            <v>Pan Cranberry</v>
          </cell>
          <cell r="C546" t="str">
            <v>FG</v>
          </cell>
          <cell r="D546" t="str">
            <v>CRANBERRY</v>
          </cell>
          <cell r="E546" t="str">
            <v>Cranberry - Whole</v>
          </cell>
        </row>
        <row r="547">
          <cell r="B547" t="str">
            <v>Premia Chatpata Cranberry 100gm</v>
          </cell>
          <cell r="C547" t="str">
            <v>FG</v>
          </cell>
          <cell r="D547" t="str">
            <v>CRANBERRY</v>
          </cell>
          <cell r="E547" t="str">
            <v>Cranberry - Whole</v>
          </cell>
        </row>
        <row r="548">
          <cell r="B548" t="str">
            <v>Royal Traditions Cranberries Chatpata 100g</v>
          </cell>
          <cell r="C548" t="str">
            <v>FG</v>
          </cell>
          <cell r="D548" t="str">
            <v>CRANBERRY</v>
          </cell>
          <cell r="E548" t="str">
            <v>Cranberry - Whole</v>
          </cell>
        </row>
        <row r="549">
          <cell r="B549" t="str">
            <v>Snackania Cranberry 230g</v>
          </cell>
          <cell r="C549" t="str">
            <v>FG</v>
          </cell>
          <cell r="D549" t="str">
            <v>CRANBERRY</v>
          </cell>
          <cell r="E549" t="str">
            <v>Cranberry - Whole</v>
          </cell>
        </row>
        <row r="550">
          <cell r="B550" t="str">
            <v>Vedaka Premium Whole Cranberries 100g B07GR24VMV</v>
          </cell>
          <cell r="C550" t="str">
            <v>FG</v>
          </cell>
          <cell r="D550" t="str">
            <v>CRANBERRY</v>
          </cell>
          <cell r="E550" t="str">
            <v>Cranberry - Whole</v>
          </cell>
        </row>
        <row r="551">
          <cell r="B551" t="str">
            <v>Vedaka Premium Whole Cranberries 1kg (B07GR8351K)</v>
          </cell>
          <cell r="C551" t="str">
            <v>FG</v>
          </cell>
          <cell r="D551" t="str">
            <v>CRANBERRY</v>
          </cell>
          <cell r="E551" t="str">
            <v>Cranberry - Whole</v>
          </cell>
        </row>
        <row r="552">
          <cell r="B552" t="str">
            <v>Vedaka Premium Whole Cranberries 200g (B07GR2G678)</v>
          </cell>
          <cell r="C552" t="str">
            <v>FG</v>
          </cell>
          <cell r="D552" t="str">
            <v>CRANBERRY</v>
          </cell>
          <cell r="E552" t="str">
            <v>Cranberry - Whole</v>
          </cell>
        </row>
        <row r="553">
          <cell r="B553" t="str">
            <v>Vedaka Premium Whole Cranberries 500g (B07GQS1669)</v>
          </cell>
          <cell r="C553" t="str">
            <v>FG</v>
          </cell>
          <cell r="D553" t="str">
            <v>CRANBERRY</v>
          </cell>
          <cell r="E553" t="str">
            <v>Cranberry - Whole</v>
          </cell>
        </row>
        <row r="554">
          <cell r="B554" t="str">
            <v>OFF-GRADE CRANBERRY</v>
          </cell>
          <cell r="C554" t="str">
            <v>RM</v>
          </cell>
          <cell r="D554" t="str">
            <v>CRANBERRY</v>
          </cell>
          <cell r="E554" t="str">
            <v>OFF-GRADE CRANBERRY</v>
          </cell>
        </row>
        <row r="555">
          <cell r="B555" t="str">
            <v>Ajwa Dates</v>
          </cell>
          <cell r="C555" t="str">
            <v>RM</v>
          </cell>
          <cell r="D555" t="str">
            <v>DATES</v>
          </cell>
          <cell r="E555" t="str">
            <v>Ajwa</v>
          </cell>
        </row>
        <row r="556">
          <cell r="B556" t="str">
            <v>Dates Ajwa Loose</v>
          </cell>
          <cell r="C556" t="str">
            <v>RM</v>
          </cell>
          <cell r="D556" t="str">
            <v>DATES</v>
          </cell>
          <cell r="E556" t="str">
            <v>Ajwa</v>
          </cell>
        </row>
        <row r="557">
          <cell r="B557" t="str">
            <v>Organic Ajwa Premium Large</v>
          </cell>
          <cell r="C557" t="str">
            <v>RM</v>
          </cell>
          <cell r="D557" t="str">
            <v>DATES</v>
          </cell>
          <cell r="E557" t="str">
            <v>Ajwa</v>
          </cell>
        </row>
        <row r="558">
          <cell r="B558" t="str">
            <v>Al Barakah Ajwa Dates 400gm</v>
          </cell>
          <cell r="C558" t="str">
            <v>FG</v>
          </cell>
          <cell r="D558" t="str">
            <v>DATES</v>
          </cell>
          <cell r="E558" t="str">
            <v>Ajwa</v>
          </cell>
        </row>
        <row r="559">
          <cell r="B559" t="str">
            <v>Al Barakah Ajwa Dates 500G</v>
          </cell>
          <cell r="C559" t="str">
            <v>FG</v>
          </cell>
          <cell r="D559" t="str">
            <v>DATES</v>
          </cell>
          <cell r="E559" t="str">
            <v>Ajwa</v>
          </cell>
        </row>
        <row r="560">
          <cell r="B560" t="str">
            <v>Al Barakah Dates Ajwa 35gm</v>
          </cell>
          <cell r="C560" t="str">
            <v>FG</v>
          </cell>
          <cell r="D560" t="str">
            <v>DATES</v>
          </cell>
          <cell r="E560" t="str">
            <v>Ajwa</v>
          </cell>
        </row>
        <row r="561">
          <cell r="B561" t="str">
            <v>BB Royal Ajwa Dates 500g</v>
          </cell>
          <cell r="C561" t="str">
            <v>FG</v>
          </cell>
          <cell r="D561" t="str">
            <v>DATES</v>
          </cell>
          <cell r="E561" t="str">
            <v>Ajwa</v>
          </cell>
        </row>
        <row r="562">
          <cell r="B562" t="str">
            <v>BB Royal Dates - Ajwa 250g</v>
          </cell>
          <cell r="C562" t="str">
            <v>FG</v>
          </cell>
          <cell r="D562" t="str">
            <v>DATES</v>
          </cell>
          <cell r="E562" t="str">
            <v>Ajwa</v>
          </cell>
        </row>
        <row r="563">
          <cell r="B563" t="str">
            <v>HA AJWA DATES 300GM (1357012)</v>
          </cell>
          <cell r="C563" t="str">
            <v>FG</v>
          </cell>
          <cell r="D563" t="str">
            <v>DATES</v>
          </cell>
          <cell r="E563" t="str">
            <v>Ajwa</v>
          </cell>
        </row>
        <row r="564">
          <cell r="B564" t="str">
            <v>Royal Delight Ajwa Dates 250 Gms</v>
          </cell>
          <cell r="C564" t="str">
            <v>FG</v>
          </cell>
          <cell r="D564" t="str">
            <v>DATES</v>
          </cell>
          <cell r="E564" t="str">
            <v>Ajwa</v>
          </cell>
        </row>
        <row r="565">
          <cell r="B565" t="str">
            <v>Royal Delight Dates Ajwa 800g</v>
          </cell>
          <cell r="C565" t="str">
            <v>FG</v>
          </cell>
          <cell r="D565" t="str">
            <v>DATES</v>
          </cell>
          <cell r="E565" t="str">
            <v>Ajwa</v>
          </cell>
        </row>
        <row r="566">
          <cell r="B566" t="str">
            <v>Snackania Ajwa Dates 480g</v>
          </cell>
          <cell r="C566" t="str">
            <v>FG</v>
          </cell>
          <cell r="D566" t="str">
            <v>DATES</v>
          </cell>
          <cell r="E566" t="str">
            <v>Ajwa</v>
          </cell>
        </row>
        <row r="567">
          <cell r="B567" t="str">
            <v>Amary Dates</v>
          </cell>
          <cell r="C567" t="str">
            <v>RM</v>
          </cell>
          <cell r="D567" t="str">
            <v>DATES</v>
          </cell>
          <cell r="E567" t="str">
            <v>Amary</v>
          </cell>
        </row>
        <row r="568">
          <cell r="B568" t="str">
            <v>Ameri Dates</v>
          </cell>
          <cell r="C568" t="str">
            <v>RM</v>
          </cell>
          <cell r="D568" t="str">
            <v>DATES</v>
          </cell>
          <cell r="E568" t="str">
            <v>Amary</v>
          </cell>
        </row>
        <row r="569">
          <cell r="B569" t="str">
            <v>Dates Ameri Loose</v>
          </cell>
          <cell r="C569" t="str">
            <v>RM</v>
          </cell>
          <cell r="D569" t="str">
            <v>DATES</v>
          </cell>
          <cell r="E569" t="str">
            <v>Amary</v>
          </cell>
        </row>
        <row r="570">
          <cell r="B570" t="str">
            <v>Amary Dates 250g (1356293)</v>
          </cell>
          <cell r="C570" t="str">
            <v>FG</v>
          </cell>
          <cell r="D570" t="str">
            <v>DATES</v>
          </cell>
          <cell r="E570" t="str">
            <v>Amary</v>
          </cell>
        </row>
        <row r="571">
          <cell r="B571" t="str">
            <v>Royal Delight Assorted Dates 500gm</v>
          </cell>
          <cell r="C571" t="str">
            <v>FG</v>
          </cell>
          <cell r="D571" t="str">
            <v>DATES</v>
          </cell>
          <cell r="E571" t="str">
            <v>Assorted</v>
          </cell>
        </row>
        <row r="572">
          <cell r="B572" t="str">
            <v>AL BARAKAH BARHI DATES 10KG</v>
          </cell>
          <cell r="C572" t="str">
            <v>RM</v>
          </cell>
          <cell r="D572" t="str">
            <v>DATES</v>
          </cell>
          <cell r="E572" t="str">
            <v>Barhi</v>
          </cell>
        </row>
        <row r="573">
          <cell r="B573" t="str">
            <v>Barhi Grade-B</v>
          </cell>
          <cell r="C573" t="str">
            <v>RM</v>
          </cell>
          <cell r="D573" t="str">
            <v>DATES</v>
          </cell>
          <cell r="E573" t="str">
            <v>Barhi</v>
          </cell>
        </row>
        <row r="574">
          <cell r="B574" t="str">
            <v>Al Barakah Dates Golden 300g</v>
          </cell>
          <cell r="C574" t="str">
            <v>FG</v>
          </cell>
          <cell r="D574" t="str">
            <v>DATES</v>
          </cell>
          <cell r="E574" t="str">
            <v>Barhi</v>
          </cell>
        </row>
        <row r="575">
          <cell r="B575" t="str">
            <v>Apollo Life Arabian Dates 500g</v>
          </cell>
          <cell r="C575" t="str">
            <v>FG</v>
          </cell>
          <cell r="D575" t="str">
            <v>DATES</v>
          </cell>
          <cell r="E575" t="str">
            <v>Barhi</v>
          </cell>
        </row>
        <row r="576">
          <cell r="B576" t="str">
            <v>Carnival Arabian 350gm</v>
          </cell>
          <cell r="C576" t="str">
            <v>FG</v>
          </cell>
          <cell r="D576" t="str">
            <v>DATES</v>
          </cell>
          <cell r="E576" t="str">
            <v>Barhi</v>
          </cell>
        </row>
        <row r="577">
          <cell r="B577" t="str">
            <v>Vedaka Fresh Dates 500g (102219254)</v>
          </cell>
          <cell r="C577" t="str">
            <v>FG</v>
          </cell>
          <cell r="D577" t="str">
            <v>DATES</v>
          </cell>
          <cell r="E577" t="str">
            <v>Barhi</v>
          </cell>
        </row>
        <row r="578">
          <cell r="B578" t="str">
            <v>Deglet Dates</v>
          </cell>
          <cell r="C578" t="str">
            <v>RM</v>
          </cell>
          <cell r="D578" t="str">
            <v>DATES</v>
          </cell>
          <cell r="E578" t="str">
            <v>Deglet</v>
          </cell>
        </row>
        <row r="579">
          <cell r="B579" t="str">
            <v>DEGLET NOUR BRANCHES 5KG</v>
          </cell>
          <cell r="C579" t="str">
            <v>RM</v>
          </cell>
          <cell r="D579" t="str">
            <v>DATES</v>
          </cell>
          <cell r="E579" t="str">
            <v>Deglet</v>
          </cell>
        </row>
        <row r="580">
          <cell r="B580" t="str">
            <v>DEGLET.908 GM</v>
          </cell>
          <cell r="C580" t="str">
            <v>RM</v>
          </cell>
          <cell r="D580" t="str">
            <v>DATES</v>
          </cell>
          <cell r="E580" t="str">
            <v>Deglet</v>
          </cell>
        </row>
        <row r="581">
          <cell r="B581" t="str">
            <v>Dates Oriental Loose</v>
          </cell>
          <cell r="C581" t="str">
            <v>RM</v>
          </cell>
          <cell r="D581" t="str">
            <v>DATES</v>
          </cell>
          <cell r="E581" t="str">
            <v>Deri</v>
          </cell>
        </row>
        <row r="582">
          <cell r="B582" t="str">
            <v>Deri Dates</v>
          </cell>
          <cell r="C582" t="str">
            <v>RM</v>
          </cell>
          <cell r="D582" t="str">
            <v>DATES</v>
          </cell>
          <cell r="E582" t="str">
            <v>Deri</v>
          </cell>
        </row>
        <row r="583">
          <cell r="B583" t="str">
            <v>Deri Grade B</v>
          </cell>
          <cell r="C583" t="str">
            <v>RM</v>
          </cell>
          <cell r="D583" t="str">
            <v>DATES</v>
          </cell>
          <cell r="E583" t="str">
            <v>Deri</v>
          </cell>
        </row>
        <row r="584">
          <cell r="B584" t="str">
            <v>Oriental Dates</v>
          </cell>
          <cell r="C584" t="str">
            <v>RM</v>
          </cell>
          <cell r="D584" t="str">
            <v>DATES</v>
          </cell>
          <cell r="E584" t="str">
            <v>Deri</v>
          </cell>
        </row>
        <row r="585">
          <cell r="B585" t="str">
            <v>BB Royal Dates - Deri 500 g</v>
          </cell>
          <cell r="C585" t="str">
            <v>FG</v>
          </cell>
          <cell r="D585" t="str">
            <v>DATES</v>
          </cell>
          <cell r="E585" t="str">
            <v>Deri</v>
          </cell>
        </row>
        <row r="586">
          <cell r="B586" t="str">
            <v>Curate Oriental Dates 500gm</v>
          </cell>
          <cell r="C586" t="str">
            <v>FG</v>
          </cell>
          <cell r="D586" t="str">
            <v>DATES</v>
          </cell>
          <cell r="E586" t="str">
            <v>Deri</v>
          </cell>
        </row>
        <row r="587">
          <cell r="B587" t="str">
            <v>Deri Dates 250g (1359841)</v>
          </cell>
          <cell r="C587" t="str">
            <v>FG</v>
          </cell>
          <cell r="D587" t="str">
            <v>DATES</v>
          </cell>
          <cell r="E587" t="str">
            <v>Deri</v>
          </cell>
        </row>
        <row r="588">
          <cell r="B588" t="str">
            <v>King Solomon Oriental Dates 250g</v>
          </cell>
          <cell r="C588" t="str">
            <v>FG</v>
          </cell>
          <cell r="D588" t="str">
            <v>DATES</v>
          </cell>
          <cell r="E588" t="str">
            <v>Deri</v>
          </cell>
        </row>
        <row r="589">
          <cell r="B589" t="str">
            <v>King Solomon Oriental Dates 500gm</v>
          </cell>
          <cell r="C589" t="str">
            <v>FG</v>
          </cell>
          <cell r="D589" t="str">
            <v>DATES</v>
          </cell>
          <cell r="E589" t="str">
            <v>Deri</v>
          </cell>
        </row>
        <row r="590">
          <cell r="B590" t="str">
            <v>Royal Delight Dates Stuffed Deri Acrylic Box 27 Pcs</v>
          </cell>
          <cell r="C590" t="str">
            <v>FG</v>
          </cell>
          <cell r="D590" t="str">
            <v>DATES</v>
          </cell>
          <cell r="E590" t="str">
            <v>Deri</v>
          </cell>
        </row>
        <row r="591">
          <cell r="B591" t="str">
            <v>CARNIVAL PERMINUM KHARIK DRY DATES</v>
          </cell>
          <cell r="C591" t="str">
            <v>RM</v>
          </cell>
          <cell r="D591" t="str">
            <v>DATES</v>
          </cell>
          <cell r="E591" t="str">
            <v>Dry Dates</v>
          </cell>
        </row>
        <row r="592">
          <cell r="B592" t="str">
            <v>CARNIVAL STANDARD KHARIK DATES</v>
          </cell>
          <cell r="C592" t="str">
            <v>RM</v>
          </cell>
          <cell r="D592" t="str">
            <v>DATES</v>
          </cell>
          <cell r="E592" t="str">
            <v>Dry Dates</v>
          </cell>
        </row>
        <row r="593">
          <cell r="B593" t="str">
            <v>DRY DATES-GRADE 2</v>
          </cell>
          <cell r="C593" t="str">
            <v>RM</v>
          </cell>
          <cell r="D593" t="str">
            <v>DATES</v>
          </cell>
          <cell r="E593" t="str">
            <v>Dry Dates</v>
          </cell>
        </row>
        <row r="594">
          <cell r="B594" t="str">
            <v>Kharik Tukda</v>
          </cell>
          <cell r="C594" t="str">
            <v>RM</v>
          </cell>
          <cell r="D594" t="str">
            <v>DATES</v>
          </cell>
          <cell r="E594" t="str">
            <v>Dry Dates</v>
          </cell>
        </row>
        <row r="595">
          <cell r="B595" t="str">
            <v>Red Kharik Dry Dates</v>
          </cell>
          <cell r="C595" t="str">
            <v>RM</v>
          </cell>
          <cell r="D595" t="str">
            <v>DATES</v>
          </cell>
          <cell r="E595" t="str">
            <v>Dry Dates</v>
          </cell>
        </row>
        <row r="596">
          <cell r="B596" t="str">
            <v>Seedless Chopped Dry Yellow Kharik Dates</v>
          </cell>
          <cell r="C596" t="str">
            <v>RM</v>
          </cell>
          <cell r="D596" t="str">
            <v>DATES</v>
          </cell>
          <cell r="E596" t="str">
            <v>Dry Dates</v>
          </cell>
        </row>
        <row r="597">
          <cell r="B597" t="str">
            <v>Al Barakah Emirate Dates 500gm</v>
          </cell>
          <cell r="C597" t="str">
            <v>FG</v>
          </cell>
          <cell r="D597" t="str">
            <v>DATES</v>
          </cell>
          <cell r="E597" t="str">
            <v>Emirates</v>
          </cell>
        </row>
        <row r="598">
          <cell r="B598" t="str">
            <v>Al Barakah Emirates Dates 500 Gm</v>
          </cell>
          <cell r="C598" t="str">
            <v>FG</v>
          </cell>
          <cell r="D598" t="str">
            <v>DATES</v>
          </cell>
          <cell r="E598" t="str">
            <v>Emirates</v>
          </cell>
        </row>
        <row r="599">
          <cell r="B599" t="str">
            <v>Al Barakah Premium Emirate Date Seedless (500gmx16)</v>
          </cell>
          <cell r="C599" t="str">
            <v>FG</v>
          </cell>
          <cell r="D599" t="str">
            <v>DATES</v>
          </cell>
          <cell r="E599" t="str">
            <v>Emirates</v>
          </cell>
        </row>
        <row r="600">
          <cell r="B600" t="str">
            <v>Al Barakah Premium Emirate Date Seedless 500gm</v>
          </cell>
          <cell r="C600" t="str">
            <v>FG</v>
          </cell>
          <cell r="D600" t="str">
            <v>DATES</v>
          </cell>
          <cell r="E600" t="str">
            <v>Emirates</v>
          </cell>
        </row>
        <row r="601">
          <cell r="B601" t="str">
            <v>Al Barakah Premium Emirates Dates (500gm x 16 Nos)</v>
          </cell>
          <cell r="C601" t="str">
            <v>FG</v>
          </cell>
          <cell r="D601" t="str">
            <v>DATES</v>
          </cell>
          <cell r="E601" t="str">
            <v>Emirates</v>
          </cell>
        </row>
        <row r="602">
          <cell r="B602" t="str">
            <v>AL BARAKAH PREMIUM EMIRATES DATES 500G.</v>
          </cell>
          <cell r="C602" t="str">
            <v>FG</v>
          </cell>
          <cell r="D602" t="str">
            <v>DATES</v>
          </cell>
          <cell r="E602" t="str">
            <v>Emirates</v>
          </cell>
        </row>
        <row r="603">
          <cell r="B603" t="str">
            <v>AL BARAKAH FARD DATES PREMIUM - 10KG</v>
          </cell>
          <cell r="C603" t="str">
            <v>RM</v>
          </cell>
          <cell r="D603" t="str">
            <v>DATES</v>
          </cell>
          <cell r="E603" t="str">
            <v>Fard</v>
          </cell>
        </row>
        <row r="604">
          <cell r="B604" t="str">
            <v>AL BARAKAH FARD DATES STANDARD</v>
          </cell>
          <cell r="C604" t="str">
            <v>RM</v>
          </cell>
          <cell r="D604" t="str">
            <v>DATES</v>
          </cell>
          <cell r="E604" t="str">
            <v>Fard</v>
          </cell>
        </row>
        <row r="605">
          <cell r="B605" t="str">
            <v>Fard Grade B</v>
          </cell>
          <cell r="C605" t="str">
            <v>RM</v>
          </cell>
          <cell r="D605" t="str">
            <v>DATES</v>
          </cell>
          <cell r="E605" t="str">
            <v>Fard</v>
          </cell>
        </row>
        <row r="606">
          <cell r="B606" t="str">
            <v>Fardh Dates</v>
          </cell>
          <cell r="C606" t="str">
            <v>RM</v>
          </cell>
          <cell r="D606" t="str">
            <v>DATES</v>
          </cell>
          <cell r="E606" t="str">
            <v>Fard</v>
          </cell>
        </row>
        <row r="607">
          <cell r="B607" t="str">
            <v>Oman Dates</v>
          </cell>
          <cell r="C607" t="str">
            <v>RM</v>
          </cell>
          <cell r="D607" t="str">
            <v>DATES</v>
          </cell>
          <cell r="E607" t="str">
            <v>Fard</v>
          </cell>
        </row>
        <row r="608">
          <cell r="B608" t="str">
            <v>Al Barakah Fard Dates 400g</v>
          </cell>
          <cell r="C608" t="str">
            <v>FG</v>
          </cell>
          <cell r="D608" t="str">
            <v>DATES</v>
          </cell>
          <cell r="E608" t="str">
            <v>Fard</v>
          </cell>
        </row>
        <row r="609">
          <cell r="B609" t="str">
            <v>AL BARAKAH FARD DATES PREMIUM - 500g</v>
          </cell>
          <cell r="C609" t="str">
            <v>FG</v>
          </cell>
          <cell r="D609" t="str">
            <v>DATES</v>
          </cell>
          <cell r="E609" t="str">
            <v>Fard</v>
          </cell>
        </row>
        <row r="610">
          <cell r="B610" t="str">
            <v>Ar Barakah Fard Dates 1kg</v>
          </cell>
          <cell r="C610" t="str">
            <v>FG</v>
          </cell>
          <cell r="D610" t="str">
            <v>DATES</v>
          </cell>
          <cell r="E610" t="str">
            <v>Fard</v>
          </cell>
        </row>
        <row r="611">
          <cell r="B611" t="str">
            <v>BB Royal Dates - Omani 250g</v>
          </cell>
          <cell r="C611" t="str">
            <v>FG</v>
          </cell>
          <cell r="D611" t="str">
            <v>DATES</v>
          </cell>
          <cell r="E611" t="str">
            <v>Fard</v>
          </cell>
        </row>
        <row r="612">
          <cell r="B612" t="str">
            <v>Dates Fard Loose</v>
          </cell>
          <cell r="C612" t="str">
            <v>FG</v>
          </cell>
          <cell r="D612" t="str">
            <v>DATES</v>
          </cell>
          <cell r="E612" t="str">
            <v>FARD</v>
          </cell>
        </row>
        <row r="613">
          <cell r="B613" t="str">
            <v>Delmonte Royal Fard Dates 200gm</v>
          </cell>
          <cell r="C613" t="str">
            <v>FG</v>
          </cell>
          <cell r="D613" t="str">
            <v>DATES</v>
          </cell>
          <cell r="E613" t="str">
            <v>Fard</v>
          </cell>
        </row>
        <row r="614">
          <cell r="B614" t="str">
            <v>Delmonte Royal Fard Dates 200gm [1 Case x 36 unit] Non-Promo</v>
          </cell>
          <cell r="C614" t="str">
            <v>FG</v>
          </cell>
          <cell r="D614" t="str">
            <v>DATES</v>
          </cell>
          <cell r="E614" t="str">
            <v>Fard</v>
          </cell>
        </row>
        <row r="615">
          <cell r="B615" t="str">
            <v>Delmonte Royal Fard Dates 200gm [1 Case x 36 unit] Promo</v>
          </cell>
          <cell r="C615" t="str">
            <v>FG</v>
          </cell>
          <cell r="D615" t="str">
            <v>DATES</v>
          </cell>
          <cell r="E615" t="str">
            <v>Fard</v>
          </cell>
        </row>
        <row r="616">
          <cell r="B616" t="str">
            <v>Delmonte Royal Fard Dates 500gm</v>
          </cell>
          <cell r="C616" t="str">
            <v>FG</v>
          </cell>
          <cell r="D616" t="str">
            <v>DATES</v>
          </cell>
          <cell r="E616" t="str">
            <v>Fard</v>
          </cell>
        </row>
        <row r="617">
          <cell r="B617" t="str">
            <v>Delmonte Royal Fard Dates 500gm [1 Case x 24 unit] Non-Promo</v>
          </cell>
          <cell r="C617" t="str">
            <v>FG</v>
          </cell>
          <cell r="D617" t="str">
            <v>DATES</v>
          </cell>
          <cell r="E617" t="str">
            <v>Fard</v>
          </cell>
        </row>
        <row r="618">
          <cell r="B618" t="str">
            <v>Delmonte Royal Fard Dates 500gm [1 Case x 24 unit] Promo</v>
          </cell>
          <cell r="C618" t="str">
            <v>FG</v>
          </cell>
          <cell r="D618" t="str">
            <v>DATES</v>
          </cell>
          <cell r="E618" t="str">
            <v>Fard</v>
          </cell>
        </row>
        <row r="619">
          <cell r="B619" t="str">
            <v>GOOD LIFE FARD DATES 500 g</v>
          </cell>
          <cell r="C619" t="str">
            <v>FG</v>
          </cell>
          <cell r="D619" t="str">
            <v>DATES</v>
          </cell>
          <cell r="E619" t="str">
            <v>Fard</v>
          </cell>
        </row>
        <row r="620">
          <cell r="B620" t="str">
            <v>Royal Delight Oman Dates 400 Gms</v>
          </cell>
          <cell r="C620" t="str">
            <v>FG</v>
          </cell>
          <cell r="D620" t="str">
            <v>DATES</v>
          </cell>
          <cell r="E620" t="str">
            <v>Fard</v>
          </cell>
        </row>
        <row r="621">
          <cell r="B621" t="str">
            <v>Snack Amor Omani Dates 250 Gm</v>
          </cell>
          <cell r="C621" t="str">
            <v>FG</v>
          </cell>
          <cell r="D621" t="str">
            <v>DATES</v>
          </cell>
          <cell r="E621" t="str">
            <v>Fard</v>
          </cell>
        </row>
        <row r="622">
          <cell r="B622" t="str">
            <v>Snackania Fard Dates Premium 480g</v>
          </cell>
          <cell r="C622" t="str">
            <v>FG</v>
          </cell>
          <cell r="D622" t="str">
            <v>DATES</v>
          </cell>
          <cell r="E622" t="str">
            <v>Fard</v>
          </cell>
        </row>
        <row r="623">
          <cell r="B623" t="str">
            <v>Solimo Fard Dates 500gm (B0CZ9MC4B3)</v>
          </cell>
          <cell r="C623" t="str">
            <v>FG</v>
          </cell>
          <cell r="D623" t="str">
            <v>DATES</v>
          </cell>
          <cell r="E623" t="str">
            <v>Fard</v>
          </cell>
        </row>
        <row r="624">
          <cell r="B624" t="str">
            <v>Vedaka Fard Dates (Omani) - (500gm x 2) (B0D9NZY7RK)</v>
          </cell>
          <cell r="C624" t="str">
            <v>FG</v>
          </cell>
          <cell r="D624" t="str">
            <v>DATES</v>
          </cell>
          <cell r="E624" t="str">
            <v>Fard</v>
          </cell>
        </row>
        <row r="625">
          <cell r="B625" t="str">
            <v>Al Barakah Dates Gulf 300g</v>
          </cell>
          <cell r="C625" t="str">
            <v>FG</v>
          </cell>
          <cell r="D625" t="str">
            <v>DATES</v>
          </cell>
          <cell r="E625" t="str">
            <v>Gulf</v>
          </cell>
        </row>
        <row r="626">
          <cell r="B626" t="str">
            <v>Al Barakah Gulf Dates 250gm</v>
          </cell>
          <cell r="C626" t="str">
            <v>FG</v>
          </cell>
          <cell r="D626" t="str">
            <v>DATES</v>
          </cell>
          <cell r="E626" t="str">
            <v>Gulf</v>
          </cell>
        </row>
        <row r="627">
          <cell r="B627" t="str">
            <v>AL BARAKAH KHALAS DATES</v>
          </cell>
          <cell r="C627" t="str">
            <v>RM</v>
          </cell>
          <cell r="D627" t="str">
            <v>DATES</v>
          </cell>
          <cell r="E627" t="str">
            <v>Khalas</v>
          </cell>
        </row>
        <row r="628">
          <cell r="B628" t="str">
            <v>Khalas Grade B</v>
          </cell>
          <cell r="C628" t="str">
            <v>RM</v>
          </cell>
          <cell r="D628" t="str">
            <v>DATES</v>
          </cell>
          <cell r="E628" t="str">
            <v>Khalas</v>
          </cell>
        </row>
        <row r="629">
          <cell r="B629" t="str">
            <v>Wet Dates Khalas</v>
          </cell>
          <cell r="C629" t="str">
            <v>RM</v>
          </cell>
          <cell r="D629" t="str">
            <v>DATES</v>
          </cell>
          <cell r="E629" t="str">
            <v>Khalas</v>
          </cell>
        </row>
        <row r="630">
          <cell r="B630" t="str">
            <v>Al Barakah Arabian Dates 300gm</v>
          </cell>
          <cell r="C630" t="str">
            <v>FG</v>
          </cell>
          <cell r="D630" t="str">
            <v>DATES</v>
          </cell>
          <cell r="E630" t="str">
            <v>Khalas</v>
          </cell>
        </row>
        <row r="631">
          <cell r="B631" t="str">
            <v>Al Barakah Arabian Dates 600g</v>
          </cell>
          <cell r="C631" t="str">
            <v>FG</v>
          </cell>
          <cell r="D631" t="str">
            <v>DATES</v>
          </cell>
          <cell r="E631" t="str">
            <v>Khalas</v>
          </cell>
        </row>
        <row r="632">
          <cell r="B632" t="str">
            <v>Al Barakah Dates Arabian 400g</v>
          </cell>
          <cell r="C632" t="str">
            <v>FG</v>
          </cell>
          <cell r="D632" t="str">
            <v>DATES</v>
          </cell>
          <cell r="E632" t="str">
            <v>Khalas</v>
          </cell>
        </row>
        <row r="633">
          <cell r="B633" t="str">
            <v>Al Barakah Dates Golden 500g</v>
          </cell>
          <cell r="C633" t="str">
            <v>FG</v>
          </cell>
          <cell r="D633" t="str">
            <v>DATES</v>
          </cell>
          <cell r="E633" t="str">
            <v>Khalas</v>
          </cell>
        </row>
        <row r="634">
          <cell r="B634" t="str">
            <v>Al Barakah Dates Gulf 500g</v>
          </cell>
          <cell r="C634" t="str">
            <v>FG</v>
          </cell>
          <cell r="D634" t="str">
            <v>DATES</v>
          </cell>
          <cell r="E634" t="str">
            <v>Khalas</v>
          </cell>
        </row>
        <row r="635">
          <cell r="B635" t="str">
            <v>Al Barakah Dates Khalas 35gm</v>
          </cell>
          <cell r="C635" t="str">
            <v>FG</v>
          </cell>
          <cell r="D635" t="str">
            <v>DATES</v>
          </cell>
          <cell r="E635" t="str">
            <v>Khalas</v>
          </cell>
        </row>
        <row r="636">
          <cell r="B636" t="str">
            <v>AL BARAKAH KHALAS DATES 1KG</v>
          </cell>
          <cell r="C636" t="str">
            <v>FG</v>
          </cell>
          <cell r="D636" t="str">
            <v>DATES</v>
          </cell>
          <cell r="E636" t="str">
            <v>Khalas</v>
          </cell>
        </row>
        <row r="637">
          <cell r="B637" t="str">
            <v>Al Barakah Khalas Dates 400g</v>
          </cell>
          <cell r="C637" t="str">
            <v>FG</v>
          </cell>
          <cell r="D637" t="str">
            <v>DATES</v>
          </cell>
          <cell r="E637" t="str">
            <v>Khalas</v>
          </cell>
        </row>
        <row r="638">
          <cell r="B638" t="str">
            <v>AL BARAKAH KHALAS DATES 500 Gm</v>
          </cell>
          <cell r="C638" t="str">
            <v>FG</v>
          </cell>
          <cell r="D638" t="str">
            <v>DATES</v>
          </cell>
          <cell r="E638" t="str">
            <v>Khalas</v>
          </cell>
        </row>
        <row r="639">
          <cell r="B639" t="str">
            <v>BB Royal Dates - Golden 500 g</v>
          </cell>
          <cell r="C639" t="str">
            <v>FG</v>
          </cell>
          <cell r="D639" t="str">
            <v>DATES</v>
          </cell>
          <cell r="E639" t="str">
            <v>Khalas</v>
          </cell>
        </row>
        <row r="640">
          <cell r="B640" t="str">
            <v>Delmonte Royal Arabian dates 200g</v>
          </cell>
          <cell r="C640" t="str">
            <v>FG</v>
          </cell>
          <cell r="D640" t="str">
            <v>DATES</v>
          </cell>
          <cell r="E640" t="str">
            <v>Khalas</v>
          </cell>
        </row>
        <row r="641">
          <cell r="B641" t="str">
            <v>Delmonte Royal Arabian dates 200g [1 Case x 36 unit] Non-Promo</v>
          </cell>
          <cell r="C641" t="str">
            <v>FG</v>
          </cell>
          <cell r="D641" t="str">
            <v>DATES</v>
          </cell>
          <cell r="E641" t="str">
            <v>Khalas</v>
          </cell>
        </row>
        <row r="642">
          <cell r="B642" t="str">
            <v>Delmonte Royal Arabian dates 200g [1 Case x 36 unit] Promo</v>
          </cell>
          <cell r="C642" t="str">
            <v>FG</v>
          </cell>
          <cell r="D642" t="str">
            <v>DATES</v>
          </cell>
          <cell r="E642" t="str">
            <v>Khalas</v>
          </cell>
        </row>
        <row r="643">
          <cell r="B643" t="str">
            <v>Delmonte Royal Arabian dates 500g</v>
          </cell>
          <cell r="C643" t="str">
            <v>FG</v>
          </cell>
          <cell r="D643" t="str">
            <v>DATES</v>
          </cell>
          <cell r="E643" t="str">
            <v>Khalas</v>
          </cell>
        </row>
        <row r="644">
          <cell r="B644" t="str">
            <v>Delmonte Royal Arabian dates 500g [1 Case x 24 unit] Non-Promo</v>
          </cell>
          <cell r="C644" t="str">
            <v>FG</v>
          </cell>
          <cell r="D644" t="str">
            <v>DATES</v>
          </cell>
          <cell r="E644" t="str">
            <v>Khalas</v>
          </cell>
        </row>
        <row r="645">
          <cell r="B645" t="str">
            <v>Delmonte Royal Arabian dates 500g [1 Case x 24 unit] Promo</v>
          </cell>
          <cell r="C645" t="str">
            <v>FG</v>
          </cell>
          <cell r="D645" t="str">
            <v>DATES</v>
          </cell>
          <cell r="E645" t="str">
            <v>Khalas</v>
          </cell>
        </row>
        <row r="646">
          <cell r="B646" t="str">
            <v>Royal Delight Arabian Dates 200gm</v>
          </cell>
          <cell r="C646" t="str">
            <v>FG</v>
          </cell>
          <cell r="D646" t="str">
            <v>DATES</v>
          </cell>
          <cell r="E646" t="str">
            <v>Khalas</v>
          </cell>
        </row>
        <row r="647">
          <cell r="B647" t="str">
            <v>Royal Delight Arabian Dates 250g</v>
          </cell>
          <cell r="C647" t="str">
            <v>FG</v>
          </cell>
          <cell r="D647" t="str">
            <v>DATES</v>
          </cell>
          <cell r="E647" t="str">
            <v>Khalas</v>
          </cell>
        </row>
        <row r="648">
          <cell r="B648" t="str">
            <v>Royal Delight Arabian Dates 300gm</v>
          </cell>
          <cell r="C648" t="str">
            <v>FG</v>
          </cell>
          <cell r="D648" t="str">
            <v>DATES</v>
          </cell>
          <cell r="E648" t="str">
            <v>Khalas</v>
          </cell>
        </row>
        <row r="649">
          <cell r="B649" t="str">
            <v>Royal Delight Arabian Dates 500gm</v>
          </cell>
          <cell r="C649" t="str">
            <v>FG</v>
          </cell>
          <cell r="D649" t="str">
            <v>DATES</v>
          </cell>
          <cell r="E649" t="str">
            <v>Khalas</v>
          </cell>
        </row>
        <row r="650">
          <cell r="B650" t="str">
            <v>Snackania Khalas Dates 480g</v>
          </cell>
          <cell r="C650" t="str">
            <v>FG</v>
          </cell>
          <cell r="D650" t="str">
            <v>DATES</v>
          </cell>
          <cell r="E650" t="str">
            <v>Khalas</v>
          </cell>
        </row>
        <row r="651">
          <cell r="B651" t="str">
            <v>Vedaka Fresh Dates 500gm (Pack of 2) [B0D9P11T76]</v>
          </cell>
          <cell r="C651" t="str">
            <v>FG</v>
          </cell>
          <cell r="D651" t="str">
            <v>DATES</v>
          </cell>
          <cell r="E651" t="str">
            <v>Khalas</v>
          </cell>
        </row>
        <row r="652">
          <cell r="B652" t="str">
            <v>AL BARAKAH KHANIZEE DATES</v>
          </cell>
          <cell r="C652" t="str">
            <v>RM</v>
          </cell>
          <cell r="D652" t="str">
            <v>DATES</v>
          </cell>
          <cell r="E652" t="str">
            <v>Khaneizi</v>
          </cell>
        </row>
        <row r="653">
          <cell r="B653" t="str">
            <v>Khaneizi Dates</v>
          </cell>
          <cell r="C653" t="str">
            <v>RM</v>
          </cell>
          <cell r="D653" t="str">
            <v>DATES</v>
          </cell>
          <cell r="E653" t="str">
            <v>Khaneizi</v>
          </cell>
        </row>
        <row r="654">
          <cell r="B654" t="str">
            <v>Al Barakah Dates Khaneizi 35gm</v>
          </cell>
          <cell r="C654" t="str">
            <v>FG</v>
          </cell>
          <cell r="D654" t="str">
            <v>DATES</v>
          </cell>
          <cell r="E654" t="str">
            <v>Khaneizi</v>
          </cell>
        </row>
        <row r="655">
          <cell r="B655" t="str">
            <v>Al Barakah Khanezi Dates 500 GM</v>
          </cell>
          <cell r="C655" t="str">
            <v>FG</v>
          </cell>
          <cell r="D655" t="str">
            <v>DATES</v>
          </cell>
          <cell r="E655" t="str">
            <v>Khaneizi</v>
          </cell>
        </row>
        <row r="656">
          <cell r="B656" t="str">
            <v>Al Barakah Khenaizi Dates 400g</v>
          </cell>
          <cell r="C656" t="str">
            <v>FG</v>
          </cell>
          <cell r="D656" t="str">
            <v>DATES</v>
          </cell>
          <cell r="E656" t="str">
            <v>Khaneizi</v>
          </cell>
        </row>
        <row r="657">
          <cell r="B657" t="str">
            <v>Solimo Dates 500g (B085NTZMVR)</v>
          </cell>
          <cell r="C657" t="str">
            <v>FG</v>
          </cell>
          <cell r="D657" t="str">
            <v>DATES</v>
          </cell>
          <cell r="E657" t="str">
            <v>Khaneizi</v>
          </cell>
        </row>
        <row r="658">
          <cell r="B658" t="str">
            <v>Organic Khidri Large dates</v>
          </cell>
          <cell r="C658" t="str">
            <v>RM</v>
          </cell>
          <cell r="D658" t="str">
            <v>DATES</v>
          </cell>
          <cell r="E658" t="str">
            <v>Khidri</v>
          </cell>
        </row>
        <row r="659">
          <cell r="B659" t="str">
            <v>Organic Khidri Premium Medium</v>
          </cell>
          <cell r="C659" t="str">
            <v>RM</v>
          </cell>
          <cell r="D659" t="str">
            <v>DATES</v>
          </cell>
          <cell r="E659" t="str">
            <v>Khidri</v>
          </cell>
        </row>
        <row r="660">
          <cell r="B660" t="str">
            <v>Organic Khidri Special Jumbo</v>
          </cell>
          <cell r="C660" t="str">
            <v>RM</v>
          </cell>
          <cell r="D660" t="str">
            <v>DATES</v>
          </cell>
          <cell r="E660" t="str">
            <v>Khidri</v>
          </cell>
        </row>
        <row r="661">
          <cell r="B661" t="str">
            <v>Dates Mazafati Loose</v>
          </cell>
          <cell r="C661" t="str">
            <v>RM</v>
          </cell>
          <cell r="D661" t="str">
            <v>DATES</v>
          </cell>
          <cell r="E661" t="str">
            <v>Kimia</v>
          </cell>
        </row>
        <row r="662">
          <cell r="B662" t="str">
            <v>Kimia Grade B</v>
          </cell>
          <cell r="C662" t="str">
            <v>RM</v>
          </cell>
          <cell r="D662" t="str">
            <v>DATES</v>
          </cell>
          <cell r="E662" t="str">
            <v>Kimia</v>
          </cell>
        </row>
        <row r="663">
          <cell r="B663" t="str">
            <v>Mazafati Dates</v>
          </cell>
          <cell r="C663" t="str">
            <v>RM</v>
          </cell>
          <cell r="D663" t="str">
            <v>DATES</v>
          </cell>
          <cell r="E663" t="str">
            <v>Kimia</v>
          </cell>
        </row>
        <row r="664">
          <cell r="B664" t="str">
            <v>Mazafati Grade B</v>
          </cell>
          <cell r="C664" t="str">
            <v>RM</v>
          </cell>
          <cell r="D664" t="str">
            <v>DATES</v>
          </cell>
          <cell r="E664" t="str">
            <v>Kimia</v>
          </cell>
        </row>
        <row r="665">
          <cell r="B665" t="str">
            <v>Al Barakah Kimia Dates 500 Gm</v>
          </cell>
          <cell r="C665" t="str">
            <v>FG</v>
          </cell>
          <cell r="D665" t="str">
            <v>DATES</v>
          </cell>
          <cell r="E665" t="str">
            <v>Kimia</v>
          </cell>
        </row>
        <row r="666">
          <cell r="B666" t="str">
            <v>BB Royal Dates - Mazafati 250g</v>
          </cell>
          <cell r="C666" t="str">
            <v>FG</v>
          </cell>
          <cell r="D666" t="str">
            <v>DATES</v>
          </cell>
          <cell r="E666" t="str">
            <v>Kimia</v>
          </cell>
        </row>
        <row r="667">
          <cell r="B667" t="str">
            <v>BB Royal Mazafati Dates 500g</v>
          </cell>
          <cell r="C667" t="str">
            <v>FG</v>
          </cell>
          <cell r="D667" t="str">
            <v>DATES</v>
          </cell>
          <cell r="E667" t="str">
            <v>Kimia</v>
          </cell>
        </row>
        <row r="668">
          <cell r="B668" t="str">
            <v>DATES IMPORTED 500 Gm</v>
          </cell>
          <cell r="C668" t="str">
            <v>FG</v>
          </cell>
          <cell r="D668" t="str">
            <v>DATES</v>
          </cell>
          <cell r="E668" t="str">
            <v>Kimia</v>
          </cell>
        </row>
        <row r="669">
          <cell r="B669" t="str">
            <v>Fresho Kimia Dates 500gm</v>
          </cell>
          <cell r="C669" t="str">
            <v>FG</v>
          </cell>
          <cell r="D669" t="str">
            <v>DATES</v>
          </cell>
          <cell r="E669" t="str">
            <v>Kimia</v>
          </cell>
        </row>
        <row r="670">
          <cell r="B670" t="str">
            <v>Royal Delight Kimia Dates 1kg</v>
          </cell>
          <cell r="C670" t="str">
            <v>FG</v>
          </cell>
          <cell r="D670" t="str">
            <v>DATES</v>
          </cell>
          <cell r="E670" t="str">
            <v>Kimia</v>
          </cell>
        </row>
        <row r="671">
          <cell r="B671" t="str">
            <v>Royal Delight Kimia Dates 350gm</v>
          </cell>
          <cell r="C671" t="str">
            <v>FG</v>
          </cell>
          <cell r="D671" t="str">
            <v>DATES</v>
          </cell>
          <cell r="E671" t="str">
            <v>Kimia</v>
          </cell>
        </row>
        <row r="672">
          <cell r="B672" t="str">
            <v>AL BARAKAH LULU RED DATES</v>
          </cell>
          <cell r="C672" t="str">
            <v>RM</v>
          </cell>
          <cell r="D672" t="str">
            <v>DATES</v>
          </cell>
          <cell r="E672" t="str">
            <v>Lulu</v>
          </cell>
        </row>
        <row r="673">
          <cell r="B673" t="str">
            <v>BB Royal Red Dates - With Seeds 500gm</v>
          </cell>
          <cell r="C673" t="str">
            <v>FG</v>
          </cell>
          <cell r="D673" t="str">
            <v>DATES</v>
          </cell>
          <cell r="E673" t="str">
            <v>Lulu</v>
          </cell>
        </row>
        <row r="674">
          <cell r="B674" t="str">
            <v>Mabroom Dates</v>
          </cell>
          <cell r="C674" t="str">
            <v>RM</v>
          </cell>
          <cell r="D674" t="str">
            <v>DATES</v>
          </cell>
          <cell r="E674" t="str">
            <v>Mabroom</v>
          </cell>
        </row>
        <row r="675">
          <cell r="B675" t="str">
            <v>HA MABOROOM DATES 300GM (1357011)</v>
          </cell>
          <cell r="C675" t="str">
            <v>FG</v>
          </cell>
          <cell r="D675" t="str">
            <v>DATES</v>
          </cell>
          <cell r="E675" t="str">
            <v>Mabroom</v>
          </cell>
        </row>
        <row r="676">
          <cell r="B676" t="str">
            <v>Royal Delight Mabroom Dates 250 Gms</v>
          </cell>
          <cell r="C676" t="str">
            <v>FG</v>
          </cell>
          <cell r="D676" t="str">
            <v>DATES</v>
          </cell>
          <cell r="E676" t="str">
            <v>Mabroom</v>
          </cell>
        </row>
        <row r="677">
          <cell r="B677" t="str">
            <v>Maryam Dates</v>
          </cell>
          <cell r="C677" t="str">
            <v>RM</v>
          </cell>
          <cell r="D677" t="str">
            <v>DATES</v>
          </cell>
          <cell r="E677" t="str">
            <v>Maryam</v>
          </cell>
        </row>
        <row r="678">
          <cell r="B678" t="str">
            <v>Ha Maryam Dates 300g(1340537)</v>
          </cell>
          <cell r="C678" t="str">
            <v>FG</v>
          </cell>
          <cell r="D678" t="str">
            <v>DATES</v>
          </cell>
          <cell r="E678" t="str">
            <v>Maryam</v>
          </cell>
        </row>
        <row r="679">
          <cell r="B679" t="str">
            <v>Medjoul Dates Premium Bon Bon</v>
          </cell>
          <cell r="C679" t="str">
            <v>RM</v>
          </cell>
          <cell r="D679" t="str">
            <v>DATES</v>
          </cell>
          <cell r="E679" t="str">
            <v>Medjoul-Bon Bon</v>
          </cell>
        </row>
        <row r="680">
          <cell r="B680" t="str">
            <v>AL BARAKAH MEDJOOL WET DATES PREMIUM</v>
          </cell>
          <cell r="C680" t="str">
            <v>RM</v>
          </cell>
          <cell r="D680" t="str">
            <v>DATES</v>
          </cell>
          <cell r="E680" t="str">
            <v>Medjoul-General</v>
          </cell>
        </row>
        <row r="681">
          <cell r="B681" t="str">
            <v>Medjoul Grade B</v>
          </cell>
          <cell r="C681" t="str">
            <v>RM</v>
          </cell>
          <cell r="D681" t="str">
            <v>DATES</v>
          </cell>
          <cell r="E681" t="str">
            <v>Medjoul-General</v>
          </cell>
        </row>
        <row r="682">
          <cell r="B682" t="str">
            <v>Al Barakah Medjoul Dates 500Gm</v>
          </cell>
          <cell r="C682" t="str">
            <v>FG</v>
          </cell>
          <cell r="D682" t="str">
            <v>DATES</v>
          </cell>
          <cell r="E682" t="str">
            <v>Medjoul-General</v>
          </cell>
        </row>
        <row r="683">
          <cell r="B683" t="str">
            <v>Al Barakah Premium Medjool 800gm</v>
          </cell>
          <cell r="C683" t="str">
            <v>FG</v>
          </cell>
          <cell r="D683" t="str">
            <v>DATES</v>
          </cell>
          <cell r="E683" t="str">
            <v>Medjoul-General</v>
          </cell>
        </row>
        <row r="684">
          <cell r="B684" t="str">
            <v>BB Royal Dates - Medjool 250g</v>
          </cell>
          <cell r="C684" t="str">
            <v>FG</v>
          </cell>
          <cell r="D684" t="str">
            <v>DATES</v>
          </cell>
          <cell r="E684" t="str">
            <v>Medjoul-General</v>
          </cell>
        </row>
        <row r="685">
          <cell r="B685" t="str">
            <v>BB Royal Medjool Dates 500g</v>
          </cell>
          <cell r="C685" t="str">
            <v>FG</v>
          </cell>
          <cell r="D685" t="str">
            <v>DATES</v>
          </cell>
          <cell r="E685" t="str">
            <v>Medjoul-General</v>
          </cell>
        </row>
        <row r="686">
          <cell r="B686" t="str">
            <v>Ha Premium Dates Medjool 300g(1340530)</v>
          </cell>
          <cell r="C686" t="str">
            <v>FG</v>
          </cell>
          <cell r="D686" t="str">
            <v>DATES</v>
          </cell>
          <cell r="E686" t="str">
            <v>Medjoul-General</v>
          </cell>
        </row>
        <row r="687">
          <cell r="B687" t="str">
            <v>King Solomon Medjoul Dates 250 Gms</v>
          </cell>
          <cell r="C687" t="str">
            <v>FG</v>
          </cell>
          <cell r="D687" t="str">
            <v>DATES</v>
          </cell>
          <cell r="E687" t="str">
            <v>Medjoul-General</v>
          </cell>
        </row>
        <row r="688">
          <cell r="B688" t="str">
            <v>King Solomon Medjoul Dates 3 Dates 2 Go</v>
          </cell>
          <cell r="C688" t="str">
            <v>FG</v>
          </cell>
          <cell r="D688" t="str">
            <v>DATES</v>
          </cell>
          <cell r="E688" t="str">
            <v>Medjoul-General</v>
          </cell>
        </row>
        <row r="689">
          <cell r="B689" t="str">
            <v>King Solomon Medjoul Dates 500 Gms</v>
          </cell>
          <cell r="C689" t="str">
            <v>FG</v>
          </cell>
          <cell r="D689" t="str">
            <v>DATES</v>
          </cell>
          <cell r="E689" t="str">
            <v>Medjoul-General</v>
          </cell>
        </row>
        <row r="690">
          <cell r="B690" t="str">
            <v>Royal Delight Medjool Dates 800g</v>
          </cell>
          <cell r="C690" t="str">
            <v>FG</v>
          </cell>
          <cell r="D690" t="str">
            <v>DATES</v>
          </cell>
          <cell r="E690" t="str">
            <v>Medjoul-General</v>
          </cell>
        </row>
        <row r="691">
          <cell r="B691" t="str">
            <v>Royal Delight Medjoul Dates 250 Gms</v>
          </cell>
          <cell r="C691" t="str">
            <v>FG</v>
          </cell>
          <cell r="D691" t="str">
            <v>DATES</v>
          </cell>
          <cell r="E691" t="str">
            <v>Medjoul-General</v>
          </cell>
        </row>
        <row r="692">
          <cell r="B692" t="str">
            <v>Royal delight Medjoul Dates 400gm</v>
          </cell>
          <cell r="C692" t="str">
            <v>FG</v>
          </cell>
          <cell r="D692" t="str">
            <v>DATES</v>
          </cell>
          <cell r="E692" t="str">
            <v>Medjoul-General</v>
          </cell>
        </row>
        <row r="693">
          <cell r="B693" t="str">
            <v>Royal Delight Stuff Medjoul Dates 21 Pcs</v>
          </cell>
          <cell r="C693" t="str">
            <v>FG</v>
          </cell>
          <cell r="D693" t="str">
            <v>DATES</v>
          </cell>
          <cell r="E693" t="str">
            <v>Medjoul-General</v>
          </cell>
        </row>
        <row r="694">
          <cell r="B694" t="str">
            <v>Royal Delight Stuffed Medjoul Dates 12 Pcs</v>
          </cell>
          <cell r="C694" t="str">
            <v>FG</v>
          </cell>
          <cell r="D694" t="str">
            <v>DATES</v>
          </cell>
          <cell r="E694" t="str">
            <v>Medjoul-General</v>
          </cell>
        </row>
        <row r="695">
          <cell r="B695" t="str">
            <v>Aldaka Medjool Premium Jumbo</v>
          </cell>
          <cell r="C695" t="str">
            <v>RM</v>
          </cell>
          <cell r="D695" t="str">
            <v>DATES</v>
          </cell>
          <cell r="E695" t="str">
            <v>Medjoul-Jumbo</v>
          </cell>
        </row>
        <row r="696">
          <cell r="B696" t="str">
            <v>Dates Medjool Jumbo Loose</v>
          </cell>
          <cell r="C696" t="str">
            <v>RM</v>
          </cell>
          <cell r="D696" t="str">
            <v>DATES</v>
          </cell>
          <cell r="E696" t="str">
            <v>Medjoul-Jumbo</v>
          </cell>
        </row>
        <row r="697">
          <cell r="B697" t="str">
            <v>MEDJOUL DATES JUMBO</v>
          </cell>
          <cell r="C697" t="str">
            <v>RM</v>
          </cell>
          <cell r="D697" t="str">
            <v>DATES</v>
          </cell>
          <cell r="E697" t="str">
            <v>Medjoul-Jumbo</v>
          </cell>
        </row>
        <row r="698">
          <cell r="B698" t="str">
            <v>King Solomon Medjoul Dates Jumbo 1kg</v>
          </cell>
          <cell r="C698" t="str">
            <v>FG</v>
          </cell>
          <cell r="D698" t="str">
            <v>DATES</v>
          </cell>
          <cell r="E698" t="str">
            <v>Medjoul-Jumbo</v>
          </cell>
        </row>
        <row r="699">
          <cell r="B699" t="str">
            <v>King Solomon Medjoul Jumbo Dates 500gm</v>
          </cell>
          <cell r="C699" t="str">
            <v>FG</v>
          </cell>
          <cell r="D699" t="str">
            <v>DATES</v>
          </cell>
          <cell r="E699" t="str">
            <v>Medjoul-Jumbo</v>
          </cell>
        </row>
        <row r="700">
          <cell r="B700" t="str">
            <v>Medjoul Dates Junior</v>
          </cell>
          <cell r="C700" t="str">
            <v>RM</v>
          </cell>
          <cell r="D700" t="str">
            <v>DATES</v>
          </cell>
          <cell r="E700" t="str">
            <v>Medjoul-Junior</v>
          </cell>
        </row>
        <row r="701">
          <cell r="B701" t="str">
            <v>Medjoul Dates Mini</v>
          </cell>
          <cell r="C701" t="str">
            <v>RM</v>
          </cell>
          <cell r="D701" t="str">
            <v>DATES</v>
          </cell>
          <cell r="E701" t="str">
            <v>Medjoul-Junior</v>
          </cell>
        </row>
        <row r="702">
          <cell r="B702" t="str">
            <v>Dates Medjoul Junior Loose</v>
          </cell>
          <cell r="C702" t="str">
            <v>FG</v>
          </cell>
          <cell r="D702" t="str">
            <v>DATES</v>
          </cell>
          <cell r="E702" t="str">
            <v>Medjoul-Junior</v>
          </cell>
        </row>
        <row r="703">
          <cell r="B703" t="str">
            <v>King Solomon Medjoul Dates Junior 1kg</v>
          </cell>
          <cell r="C703" t="str">
            <v>FG</v>
          </cell>
          <cell r="D703" t="str">
            <v>DATES</v>
          </cell>
          <cell r="E703" t="str">
            <v>Medjoul-Junior</v>
          </cell>
        </row>
        <row r="704">
          <cell r="B704" t="str">
            <v>King Solomon Medjoul Dates Mini 500 Gm</v>
          </cell>
          <cell r="C704" t="str">
            <v>FG</v>
          </cell>
          <cell r="D704" t="str">
            <v>DATES</v>
          </cell>
          <cell r="E704" t="str">
            <v>Medjoul-Junior</v>
          </cell>
        </row>
        <row r="705">
          <cell r="B705" t="str">
            <v>King Solomon Medjoul Junior 500g</v>
          </cell>
          <cell r="C705" t="str">
            <v>FG</v>
          </cell>
          <cell r="D705" t="str">
            <v>DATES</v>
          </cell>
          <cell r="E705" t="str">
            <v>Medjoul-Junior</v>
          </cell>
        </row>
        <row r="706">
          <cell r="B706" t="str">
            <v>Aldaka Medjool Premium Large</v>
          </cell>
          <cell r="C706" t="str">
            <v>RM</v>
          </cell>
          <cell r="D706" t="str">
            <v>DATES</v>
          </cell>
          <cell r="E706" t="str">
            <v>Medjoul-Large</v>
          </cell>
        </row>
        <row r="707">
          <cell r="B707" t="str">
            <v>Dates Medjool Large Loose</v>
          </cell>
          <cell r="C707" t="str">
            <v>RM</v>
          </cell>
          <cell r="D707" t="str">
            <v>DATES</v>
          </cell>
          <cell r="E707" t="str">
            <v>Medjoul-Large</v>
          </cell>
        </row>
        <row r="708">
          <cell r="B708" t="str">
            <v>Medjoul Dates Large</v>
          </cell>
          <cell r="C708" t="str">
            <v>RM</v>
          </cell>
          <cell r="D708" t="str">
            <v>DATES</v>
          </cell>
          <cell r="E708" t="str">
            <v>Medjoul-Large</v>
          </cell>
        </row>
        <row r="709">
          <cell r="B709" t="str">
            <v>MEDJOUL LARGE PITTED WET DATES</v>
          </cell>
          <cell r="C709" t="str">
            <v>RM</v>
          </cell>
          <cell r="D709" t="str">
            <v>DATES</v>
          </cell>
          <cell r="E709" t="str">
            <v>Medjoul-Large</v>
          </cell>
        </row>
        <row r="710">
          <cell r="B710" t="str">
            <v>King Solomon 3 Dates 2 Go</v>
          </cell>
          <cell r="C710" t="str">
            <v>FG</v>
          </cell>
          <cell r="D710" t="str">
            <v>DATES</v>
          </cell>
          <cell r="E710" t="str">
            <v>Medjoul-Large</v>
          </cell>
        </row>
        <row r="711">
          <cell r="B711" t="str">
            <v>King Solomon Medjoul Dates Large 1kg</v>
          </cell>
          <cell r="C711" t="str">
            <v>FG</v>
          </cell>
          <cell r="D711" t="str">
            <v>DATES</v>
          </cell>
          <cell r="E711" t="str">
            <v>Medjoul-Large</v>
          </cell>
        </row>
        <row r="712">
          <cell r="B712" t="str">
            <v>Royal Delight Stuffed Medjul Large Dates 12 Pieces</v>
          </cell>
          <cell r="C712" t="str">
            <v>FG</v>
          </cell>
          <cell r="D712" t="str">
            <v>DATES</v>
          </cell>
          <cell r="E712" t="str">
            <v>Medjoul-Large</v>
          </cell>
        </row>
        <row r="713">
          <cell r="B713" t="str">
            <v>Stuffed Medjoul Dates Large Single Pc</v>
          </cell>
          <cell r="C713" t="str">
            <v>FG</v>
          </cell>
          <cell r="D713" t="str">
            <v>DATES</v>
          </cell>
          <cell r="E713" t="str">
            <v>Medjoul-Large</v>
          </cell>
        </row>
        <row r="714">
          <cell r="B714" t="str">
            <v>Stuffed Medjoul Large Pc</v>
          </cell>
          <cell r="C714" t="str">
            <v>FG</v>
          </cell>
          <cell r="D714" t="str">
            <v>DATES</v>
          </cell>
          <cell r="E714" t="str">
            <v>Medjoul-Large</v>
          </cell>
        </row>
        <row r="715">
          <cell r="B715" t="str">
            <v>Stuffed Medjoul Large Pc with Almond</v>
          </cell>
          <cell r="C715" t="str">
            <v>FG</v>
          </cell>
          <cell r="D715" t="str">
            <v>DATES</v>
          </cell>
          <cell r="E715" t="str">
            <v>Medjoul-Large</v>
          </cell>
        </row>
        <row r="716">
          <cell r="B716" t="str">
            <v>Stuffed Medjoul Large Pc with Cashew</v>
          </cell>
          <cell r="C716" t="str">
            <v>FG</v>
          </cell>
          <cell r="D716" t="str">
            <v>DATES</v>
          </cell>
          <cell r="E716" t="str">
            <v>Medjoul-Large</v>
          </cell>
        </row>
        <row r="717">
          <cell r="B717" t="str">
            <v>Stuffed Medjoul Large Pc with Dried Pomelo</v>
          </cell>
          <cell r="C717" t="str">
            <v>FG</v>
          </cell>
          <cell r="D717" t="str">
            <v>DATES</v>
          </cell>
          <cell r="E717" t="str">
            <v>Medjoul-Large</v>
          </cell>
        </row>
        <row r="718">
          <cell r="B718" t="str">
            <v>Stuffed Medjoul Large Pc with Hazel Nut</v>
          </cell>
          <cell r="C718" t="str">
            <v>FG</v>
          </cell>
          <cell r="D718" t="str">
            <v>DATES</v>
          </cell>
          <cell r="E718" t="str">
            <v>Medjoul-Large</v>
          </cell>
        </row>
        <row r="719">
          <cell r="B719" t="str">
            <v>Stuffed Medjoul Large Pc with Macadamia</v>
          </cell>
          <cell r="C719" t="str">
            <v>FG</v>
          </cell>
          <cell r="D719" t="str">
            <v>DATES</v>
          </cell>
          <cell r="E719" t="str">
            <v>Medjoul-Large</v>
          </cell>
        </row>
        <row r="720">
          <cell r="B720" t="str">
            <v>Stuffed Medjoul Large Pc with Orange Peel</v>
          </cell>
          <cell r="C720" t="str">
            <v>FG</v>
          </cell>
          <cell r="D720" t="str">
            <v>DATES</v>
          </cell>
          <cell r="E720" t="str">
            <v>Medjoul-Large</v>
          </cell>
        </row>
        <row r="721">
          <cell r="B721" t="str">
            <v>Stuffed Medjoul Large Pc with Pecan Nut</v>
          </cell>
          <cell r="C721" t="str">
            <v>FG</v>
          </cell>
          <cell r="D721" t="str">
            <v>DATES</v>
          </cell>
          <cell r="E721" t="str">
            <v>Medjoul-Large</v>
          </cell>
        </row>
        <row r="722">
          <cell r="B722" t="str">
            <v>Stuffed Medjoul Large Pc with Pista</v>
          </cell>
          <cell r="C722" t="str">
            <v>FG</v>
          </cell>
          <cell r="D722" t="str">
            <v>DATES</v>
          </cell>
          <cell r="E722" t="str">
            <v>Medjoul-Large</v>
          </cell>
        </row>
        <row r="723">
          <cell r="B723" t="str">
            <v>Medjoul Dates Medium</v>
          </cell>
          <cell r="C723" t="str">
            <v>RM</v>
          </cell>
          <cell r="D723" t="str">
            <v>DATES</v>
          </cell>
          <cell r="E723" t="str">
            <v>Medjoul-Medium</v>
          </cell>
        </row>
        <row r="724">
          <cell r="B724" t="str">
            <v>King Solomon Dates Medjool Medium 200g</v>
          </cell>
          <cell r="C724" t="str">
            <v>FG</v>
          </cell>
          <cell r="D724" t="str">
            <v>DATES</v>
          </cell>
          <cell r="E724" t="str">
            <v>Medjoul-Medium</v>
          </cell>
        </row>
        <row r="725">
          <cell r="B725" t="str">
            <v>King Solomon Dates Medjoul Medium [Y1562] 200gm</v>
          </cell>
          <cell r="C725" t="str">
            <v>FG</v>
          </cell>
          <cell r="D725" t="str">
            <v>DATES</v>
          </cell>
          <cell r="E725" t="str">
            <v>Medjoul-Medium</v>
          </cell>
        </row>
        <row r="726">
          <cell r="B726" t="str">
            <v>King Solomon Medjoul Dates Medium 1kg</v>
          </cell>
          <cell r="C726" t="str">
            <v>FG</v>
          </cell>
          <cell r="D726" t="str">
            <v>DATES</v>
          </cell>
          <cell r="E726" t="str">
            <v>Medjoul-Medium</v>
          </cell>
        </row>
        <row r="727">
          <cell r="B727" t="str">
            <v>King Solomon Medjoul Dates Medium 500 Gm</v>
          </cell>
          <cell r="C727" t="str">
            <v>FG</v>
          </cell>
          <cell r="D727" t="str">
            <v>DATES</v>
          </cell>
          <cell r="E727" t="str">
            <v>Medjoul-Medium</v>
          </cell>
        </row>
        <row r="728">
          <cell r="B728" t="str">
            <v>Royal Delight Dates Medjool Medium 250g</v>
          </cell>
          <cell r="C728" t="str">
            <v>FG</v>
          </cell>
          <cell r="D728" t="str">
            <v>DATES</v>
          </cell>
          <cell r="E728" t="str">
            <v>Medjoul-Medium</v>
          </cell>
        </row>
        <row r="729">
          <cell r="B729" t="str">
            <v>Dates Medjool Super Jumbo Loose</v>
          </cell>
          <cell r="C729" t="str">
            <v>RM</v>
          </cell>
          <cell r="D729" t="str">
            <v>DATES</v>
          </cell>
          <cell r="E729" t="str">
            <v>Medjoul-Super Jumbo</v>
          </cell>
        </row>
        <row r="730">
          <cell r="B730" t="str">
            <v>Medjoul Dates Super Jumbo</v>
          </cell>
          <cell r="C730" t="str">
            <v>RM</v>
          </cell>
          <cell r="D730" t="str">
            <v>DATES</v>
          </cell>
          <cell r="E730" t="str">
            <v>Medjoul-Super Jumbo</v>
          </cell>
        </row>
        <row r="731">
          <cell r="B731" t="str">
            <v>King Solomon Medjoul Super Jumbo 1kg</v>
          </cell>
          <cell r="C731" t="str">
            <v>FG</v>
          </cell>
          <cell r="D731" t="str">
            <v>DATES</v>
          </cell>
          <cell r="E731" t="str">
            <v>Medjoul-Super Jumbo</v>
          </cell>
        </row>
        <row r="732">
          <cell r="B732" t="str">
            <v>King Solomon Medjoul Super Jumbo 500gm</v>
          </cell>
          <cell r="C732" t="str">
            <v>FG</v>
          </cell>
          <cell r="D732" t="str">
            <v>DATES</v>
          </cell>
          <cell r="E732" t="str">
            <v>Medjoul-Super Jumbo</v>
          </cell>
        </row>
        <row r="733">
          <cell r="B733" t="str">
            <v>OFF-GRADE DATES</v>
          </cell>
          <cell r="C733" t="str">
            <v>RM</v>
          </cell>
          <cell r="D733" t="str">
            <v>DATES</v>
          </cell>
          <cell r="E733" t="str">
            <v>OFF-GRADE DATES</v>
          </cell>
        </row>
        <row r="734">
          <cell r="B734" t="str">
            <v>Al Barakah Oman 600g</v>
          </cell>
          <cell r="C734" t="str">
            <v>FG</v>
          </cell>
          <cell r="D734" t="str">
            <v>DATES</v>
          </cell>
          <cell r="E734" t="str">
            <v>Oman</v>
          </cell>
        </row>
        <row r="735">
          <cell r="B735" t="str">
            <v>Al Barakah Oman Dates 400g</v>
          </cell>
          <cell r="C735" t="str">
            <v>FG</v>
          </cell>
          <cell r="D735" t="str">
            <v>DATES</v>
          </cell>
          <cell r="E735" t="str">
            <v>Oman</v>
          </cell>
        </row>
        <row r="736">
          <cell r="B736" t="str">
            <v>Al Barakah Oman Dates 500gm Tub</v>
          </cell>
          <cell r="C736" t="str">
            <v>FG</v>
          </cell>
          <cell r="D736" t="str">
            <v>DATES</v>
          </cell>
          <cell r="E736" t="str">
            <v>Oman</v>
          </cell>
        </row>
        <row r="737">
          <cell r="B737" t="str">
            <v>Bb Royal Omani Dates 500gm</v>
          </cell>
          <cell r="C737" t="str">
            <v>FG</v>
          </cell>
          <cell r="D737" t="str">
            <v>DATES</v>
          </cell>
          <cell r="E737" t="str">
            <v>Oman</v>
          </cell>
        </row>
        <row r="738">
          <cell r="B738" t="str">
            <v>Carnival Oman Dates 250g</v>
          </cell>
          <cell r="C738" t="str">
            <v>FG</v>
          </cell>
          <cell r="D738" t="str">
            <v>DATES</v>
          </cell>
          <cell r="E738" t="str">
            <v>Oman</v>
          </cell>
        </row>
        <row r="739">
          <cell r="B739" t="str">
            <v>Oman Dates 250g (1356292)</v>
          </cell>
          <cell r="C739" t="str">
            <v>FG</v>
          </cell>
          <cell r="D739" t="str">
            <v>DATES</v>
          </cell>
          <cell r="E739" t="str">
            <v>Oman</v>
          </cell>
        </row>
        <row r="740">
          <cell r="B740" t="str">
            <v>Royal Delight Oman Dates 1 Kgs</v>
          </cell>
          <cell r="C740" t="str">
            <v>FG</v>
          </cell>
          <cell r="D740" t="str">
            <v>DATES</v>
          </cell>
          <cell r="E740" t="str">
            <v>Oman</v>
          </cell>
        </row>
        <row r="741">
          <cell r="B741" t="str">
            <v>AL Barakah Date Paste</v>
          </cell>
          <cell r="C741" t="str">
            <v>RM</v>
          </cell>
          <cell r="D741" t="str">
            <v>DATES</v>
          </cell>
          <cell r="E741" t="str">
            <v>Paste</v>
          </cell>
        </row>
        <row r="742">
          <cell r="B742" t="str">
            <v>AL BARAKAH DATE PASTE (1 KG packing)</v>
          </cell>
          <cell r="C742" t="str">
            <v>RM</v>
          </cell>
          <cell r="D742" t="str">
            <v>DATES</v>
          </cell>
          <cell r="E742" t="str">
            <v>Paste</v>
          </cell>
        </row>
        <row r="743">
          <cell r="B743" t="str">
            <v>AL BARAKAH DEHYDRATED DATE POWDER - BULK PACK 10KG</v>
          </cell>
          <cell r="C743" t="str">
            <v>RM</v>
          </cell>
          <cell r="D743" t="str">
            <v>DATES</v>
          </cell>
          <cell r="E743" t="str">
            <v>Powder</v>
          </cell>
        </row>
        <row r="744">
          <cell r="B744" t="str">
            <v>Al Barakah Dehydrated Date Powder 250g</v>
          </cell>
          <cell r="C744" t="str">
            <v>FG</v>
          </cell>
          <cell r="D744" t="str">
            <v>DATES</v>
          </cell>
          <cell r="E744" t="str">
            <v>Powder</v>
          </cell>
        </row>
        <row r="745">
          <cell r="B745" t="str">
            <v>Amazon Brand- Vedaka Dry Dates powder 200g</v>
          </cell>
          <cell r="C745" t="str">
            <v>FG</v>
          </cell>
          <cell r="D745" t="str">
            <v>DATES</v>
          </cell>
          <cell r="E745" t="str">
            <v>Powder</v>
          </cell>
        </row>
        <row r="746">
          <cell r="B746" t="str">
            <v>Vedaka Dry Dates powder 250gm (B0DRDCLY1Q)</v>
          </cell>
          <cell r="C746" t="str">
            <v>FG</v>
          </cell>
          <cell r="D746" t="str">
            <v>DATES</v>
          </cell>
          <cell r="E746" t="str">
            <v>Powder</v>
          </cell>
        </row>
        <row r="747">
          <cell r="B747" t="str">
            <v>Vedaka Dry Dates powder 500g (B0DRD9F8G2)</v>
          </cell>
          <cell r="C747" t="str">
            <v>FG</v>
          </cell>
          <cell r="D747" t="str">
            <v>DATES</v>
          </cell>
          <cell r="E747" t="str">
            <v>Powder</v>
          </cell>
        </row>
        <row r="748">
          <cell r="B748" t="str">
            <v>AL BARAKAH REZIZ DATES 10KG</v>
          </cell>
          <cell r="C748" t="str">
            <v>RM</v>
          </cell>
          <cell r="D748" t="str">
            <v>DATES</v>
          </cell>
          <cell r="E748" t="str">
            <v>Reziz</v>
          </cell>
        </row>
        <row r="749">
          <cell r="B749" t="str">
            <v>Dates Safavi Loose</v>
          </cell>
          <cell r="C749" t="str">
            <v>RM</v>
          </cell>
          <cell r="D749" t="str">
            <v>DATES</v>
          </cell>
          <cell r="E749" t="str">
            <v>Safavi</v>
          </cell>
        </row>
        <row r="750">
          <cell r="B750" t="str">
            <v>Safavi Grade B</v>
          </cell>
          <cell r="C750" t="str">
            <v>RM</v>
          </cell>
          <cell r="D750" t="str">
            <v>DATES</v>
          </cell>
          <cell r="E750" t="str">
            <v>Safavi</v>
          </cell>
        </row>
        <row r="751">
          <cell r="B751" t="str">
            <v>Wet Dates Safavi</v>
          </cell>
          <cell r="C751" t="str">
            <v>RM</v>
          </cell>
          <cell r="D751" t="str">
            <v>DATES</v>
          </cell>
          <cell r="E751" t="str">
            <v>Safavi</v>
          </cell>
        </row>
        <row r="752">
          <cell r="B752" t="str">
            <v>Wet Dates Seedless Safavi</v>
          </cell>
          <cell r="C752" t="str">
            <v>RM</v>
          </cell>
          <cell r="D752" t="str">
            <v>DATES</v>
          </cell>
          <cell r="E752" t="str">
            <v>Safavi</v>
          </cell>
        </row>
        <row r="753">
          <cell r="B753" t="str">
            <v>Al Barakah Dates Safavi 35gm</v>
          </cell>
          <cell r="C753" t="str">
            <v>FG</v>
          </cell>
          <cell r="D753" t="str">
            <v>DATES</v>
          </cell>
          <cell r="E753" t="str">
            <v>Safavi</v>
          </cell>
        </row>
        <row r="754">
          <cell r="B754" t="str">
            <v>Al Barakah Dates Safavi 400g</v>
          </cell>
          <cell r="C754" t="str">
            <v>FG</v>
          </cell>
          <cell r="D754" t="str">
            <v>DATES</v>
          </cell>
          <cell r="E754" t="str">
            <v>Safavi</v>
          </cell>
        </row>
        <row r="755">
          <cell r="B755" t="str">
            <v>Al Barakah Dates Safavi Seedless 400g</v>
          </cell>
          <cell r="C755" t="str">
            <v>FG</v>
          </cell>
          <cell r="D755" t="str">
            <v>DATES</v>
          </cell>
          <cell r="E755" t="str">
            <v>Safavi</v>
          </cell>
        </row>
        <row r="756">
          <cell r="B756" t="str">
            <v>AL BARAKAH SAFAVI DATES 500gm</v>
          </cell>
          <cell r="C756" t="str">
            <v>FG</v>
          </cell>
          <cell r="D756" t="str">
            <v>DATES</v>
          </cell>
          <cell r="E756" t="str">
            <v>Safavi</v>
          </cell>
        </row>
        <row r="757">
          <cell r="B757" t="str">
            <v>Azmah Dates 500 Gms (110002703)</v>
          </cell>
          <cell r="C757" t="str">
            <v>FG</v>
          </cell>
          <cell r="D757" t="str">
            <v>DATES</v>
          </cell>
          <cell r="E757" t="str">
            <v>Safavi</v>
          </cell>
        </row>
        <row r="758">
          <cell r="B758" t="str">
            <v>BB Royal Dates - Safawi 250g</v>
          </cell>
          <cell r="C758" t="str">
            <v>FG</v>
          </cell>
          <cell r="D758" t="str">
            <v>DATES</v>
          </cell>
          <cell r="E758" t="str">
            <v>Safavi</v>
          </cell>
        </row>
        <row r="759">
          <cell r="B759" t="str">
            <v>BB Royal Safavi Dates 500g</v>
          </cell>
          <cell r="C759" t="str">
            <v>FG</v>
          </cell>
          <cell r="D759" t="str">
            <v>DATES</v>
          </cell>
          <cell r="E759" t="str">
            <v>Safavi</v>
          </cell>
        </row>
        <row r="760">
          <cell r="B760" t="str">
            <v>Ha Premium Saudi Dates 300g(1340536)</v>
          </cell>
          <cell r="C760" t="str">
            <v>FG</v>
          </cell>
          <cell r="D760" t="str">
            <v>DATES</v>
          </cell>
          <cell r="E760" t="str">
            <v>Safavi</v>
          </cell>
        </row>
        <row r="761">
          <cell r="B761" t="str">
            <v>Ha Premium Saudi Dates 500g(1356005)</v>
          </cell>
          <cell r="C761" t="str">
            <v>FG</v>
          </cell>
          <cell r="D761" t="str">
            <v>DATES</v>
          </cell>
          <cell r="E761" t="str">
            <v>Safavi</v>
          </cell>
        </row>
        <row r="762">
          <cell r="B762" t="str">
            <v>Royal Delight Safavi Dates 250 Gms</v>
          </cell>
          <cell r="C762" t="str">
            <v>FG</v>
          </cell>
          <cell r="D762" t="str">
            <v>DATES</v>
          </cell>
          <cell r="E762" t="str">
            <v>Safavi</v>
          </cell>
        </row>
        <row r="763">
          <cell r="B763" t="str">
            <v>Royal Delight Safavi Dates 5kg</v>
          </cell>
          <cell r="C763" t="str">
            <v>FG</v>
          </cell>
          <cell r="D763" t="str">
            <v>DATES</v>
          </cell>
          <cell r="E763" t="str">
            <v>Safavi</v>
          </cell>
        </row>
        <row r="764">
          <cell r="B764" t="str">
            <v>Single Safavi Stuffed Dates</v>
          </cell>
          <cell r="C764" t="str">
            <v>FG</v>
          </cell>
          <cell r="D764" t="str">
            <v>DATES</v>
          </cell>
          <cell r="E764" t="str">
            <v>Safavi</v>
          </cell>
        </row>
        <row r="765">
          <cell r="B765" t="str">
            <v>Snack Amor Kalmi Dates 250g</v>
          </cell>
          <cell r="C765" t="str">
            <v>FG</v>
          </cell>
          <cell r="D765" t="str">
            <v>DATES</v>
          </cell>
          <cell r="E765" t="str">
            <v>Safavi</v>
          </cell>
        </row>
        <row r="766">
          <cell r="B766" t="str">
            <v>Snackania Safavi Dates 480g</v>
          </cell>
          <cell r="C766" t="str">
            <v>FG</v>
          </cell>
          <cell r="D766" t="str">
            <v>DATES</v>
          </cell>
          <cell r="E766" t="str">
            <v>Safavi</v>
          </cell>
        </row>
        <row r="767">
          <cell r="B767" t="str">
            <v>AL BARAKAH SAYER DATES THERMO(500GM X 16)</v>
          </cell>
          <cell r="C767" t="str">
            <v>RM</v>
          </cell>
          <cell r="D767" t="str">
            <v>DATES</v>
          </cell>
          <cell r="E767" t="str">
            <v>Sayer</v>
          </cell>
        </row>
        <row r="768">
          <cell r="B768" t="str">
            <v>Sayer Dates</v>
          </cell>
          <cell r="C768" t="str">
            <v>RM</v>
          </cell>
          <cell r="D768" t="str">
            <v>DATES</v>
          </cell>
          <cell r="E768" t="str">
            <v>Sayer</v>
          </cell>
        </row>
        <row r="769">
          <cell r="B769" t="str">
            <v>Sayer Grade B</v>
          </cell>
          <cell r="C769" t="str">
            <v>RM</v>
          </cell>
          <cell r="D769" t="str">
            <v>DATES</v>
          </cell>
          <cell r="E769" t="str">
            <v>Sayer</v>
          </cell>
        </row>
        <row r="770">
          <cell r="B770" t="str">
            <v>Dates Sayer Loose</v>
          </cell>
          <cell r="C770" t="str">
            <v>FG</v>
          </cell>
          <cell r="D770" t="str">
            <v>DATES</v>
          </cell>
          <cell r="E770" t="str">
            <v>Sayer</v>
          </cell>
        </row>
        <row r="771">
          <cell r="B771" t="str">
            <v>GOOD LIFE ARABIAN DATES 500 g</v>
          </cell>
          <cell r="C771" t="str">
            <v>FG</v>
          </cell>
          <cell r="D771" t="str">
            <v>DATES</v>
          </cell>
          <cell r="E771" t="str">
            <v>Sayer</v>
          </cell>
        </row>
        <row r="772">
          <cell r="B772" t="str">
            <v>KINGDOM OF DATES SAYER DATES</v>
          </cell>
          <cell r="C772" t="str">
            <v>FG</v>
          </cell>
          <cell r="D772" t="str">
            <v>DATES</v>
          </cell>
          <cell r="E772" t="str">
            <v>Sayer</v>
          </cell>
        </row>
        <row r="773">
          <cell r="B773" t="str">
            <v>PL CLASSIC DATES 500G</v>
          </cell>
          <cell r="C773" t="str">
            <v>FG</v>
          </cell>
          <cell r="D773" t="str">
            <v>DATES</v>
          </cell>
          <cell r="E773" t="str">
            <v>Sayer</v>
          </cell>
        </row>
        <row r="774">
          <cell r="B774" t="str">
            <v>UAE SEEDLESS BLACK DATES</v>
          </cell>
          <cell r="C774" t="str">
            <v>RM</v>
          </cell>
          <cell r="D774" t="str">
            <v>DATES</v>
          </cell>
          <cell r="E774" t="str">
            <v>Seedless</v>
          </cell>
        </row>
        <row r="775">
          <cell r="B775" t="str">
            <v>UAE Seedless Red dates</v>
          </cell>
          <cell r="C775" t="str">
            <v>RM</v>
          </cell>
          <cell r="D775" t="str">
            <v>DATES</v>
          </cell>
          <cell r="E775" t="str">
            <v>Seedless</v>
          </cell>
        </row>
        <row r="776">
          <cell r="B776" t="str">
            <v>Wet Dates Seedless Khalas</v>
          </cell>
          <cell r="C776" t="str">
            <v>RM</v>
          </cell>
          <cell r="D776" t="str">
            <v>DATES</v>
          </cell>
          <cell r="E776" t="str">
            <v>Seedless</v>
          </cell>
        </row>
        <row r="777">
          <cell r="B777" t="str">
            <v>Al Barakah Dates Oman Seedless 1kg</v>
          </cell>
          <cell r="C777" t="str">
            <v>FG</v>
          </cell>
          <cell r="D777" t="str">
            <v>DATES</v>
          </cell>
          <cell r="E777" t="str">
            <v>Seedless</v>
          </cell>
        </row>
        <row r="778">
          <cell r="B778" t="str">
            <v>AL BARAKAH KHALAS DATES SEEDLESS 350GM</v>
          </cell>
          <cell r="C778" t="str">
            <v>FG</v>
          </cell>
          <cell r="D778" t="str">
            <v>DATES</v>
          </cell>
          <cell r="E778" t="str">
            <v>Seedless</v>
          </cell>
        </row>
        <row r="779">
          <cell r="B779" t="str">
            <v>AL BARAKAH PREMIUM SEEDLESS DATES 500G</v>
          </cell>
          <cell r="C779" t="str">
            <v>FG</v>
          </cell>
          <cell r="D779" t="str">
            <v>DATES</v>
          </cell>
          <cell r="E779" t="str">
            <v>Seedless</v>
          </cell>
        </row>
        <row r="780">
          <cell r="B780" t="str">
            <v>BB Royal Dates - Red, Seedless 250 g</v>
          </cell>
          <cell r="C780" t="str">
            <v>FG</v>
          </cell>
          <cell r="D780" t="str">
            <v>DATES</v>
          </cell>
          <cell r="E780" t="str">
            <v>Seedless</v>
          </cell>
        </row>
        <row r="781">
          <cell r="B781" t="str">
            <v>Carnival Dates Khalas Seedless 350g</v>
          </cell>
          <cell r="C781" t="str">
            <v>FG</v>
          </cell>
          <cell r="D781" t="str">
            <v>DATES</v>
          </cell>
          <cell r="E781" t="str">
            <v>Seedless</v>
          </cell>
        </row>
        <row r="782">
          <cell r="B782" t="str">
            <v>Carnival Seedless Oman Dates 250G</v>
          </cell>
          <cell r="C782" t="str">
            <v>FG</v>
          </cell>
          <cell r="D782" t="str">
            <v>DATES</v>
          </cell>
          <cell r="E782" t="str">
            <v>Seedless</v>
          </cell>
        </row>
        <row r="783">
          <cell r="B783" t="str">
            <v>Red Dates Seedless 500 Gm</v>
          </cell>
          <cell r="C783" t="str">
            <v>FG</v>
          </cell>
          <cell r="D783" t="str">
            <v>DATES</v>
          </cell>
          <cell r="E783" t="str">
            <v>Seedless</v>
          </cell>
        </row>
        <row r="784">
          <cell r="B784" t="str">
            <v>Dates Seeds</v>
          </cell>
          <cell r="C784" t="str">
            <v>RM</v>
          </cell>
          <cell r="D784" t="str">
            <v>DATES</v>
          </cell>
          <cell r="E784" t="str">
            <v>Seeds</v>
          </cell>
        </row>
        <row r="785">
          <cell r="B785" t="str">
            <v>Wet Dates Seggai</v>
          </cell>
          <cell r="C785" t="str">
            <v>RM</v>
          </cell>
          <cell r="D785" t="str">
            <v>DATES</v>
          </cell>
          <cell r="E785" t="str">
            <v>Seggai</v>
          </cell>
        </row>
        <row r="786">
          <cell r="B786" t="str">
            <v>HA SEGAI DATES 300GM (1357010)</v>
          </cell>
          <cell r="C786" t="str">
            <v>FG</v>
          </cell>
          <cell r="D786" t="str">
            <v>DATES</v>
          </cell>
          <cell r="E786" t="str">
            <v>Seggai</v>
          </cell>
        </row>
        <row r="787">
          <cell r="B787" t="str">
            <v>Organic Seqee Premium Large</v>
          </cell>
          <cell r="C787" t="str">
            <v>RM</v>
          </cell>
          <cell r="D787" t="str">
            <v>DATES</v>
          </cell>
          <cell r="E787" t="str">
            <v>Seqee</v>
          </cell>
        </row>
        <row r="788">
          <cell r="B788" t="str">
            <v>10KG AL BARKAH SUFRI DATES</v>
          </cell>
          <cell r="C788" t="str">
            <v>RM</v>
          </cell>
          <cell r="D788" t="str">
            <v>DATES</v>
          </cell>
          <cell r="E788" t="str">
            <v>Sufri</v>
          </cell>
        </row>
        <row r="789">
          <cell r="B789" t="str">
            <v>Al Barakah Dates Arabian 500g</v>
          </cell>
          <cell r="C789" t="str">
            <v>FG</v>
          </cell>
          <cell r="D789" t="str">
            <v>DATES</v>
          </cell>
          <cell r="E789" t="str">
            <v>Sufri</v>
          </cell>
        </row>
        <row r="790">
          <cell r="B790" t="str">
            <v>Sukkary Dates</v>
          </cell>
          <cell r="C790" t="str">
            <v>RM</v>
          </cell>
          <cell r="D790" t="str">
            <v>DATES</v>
          </cell>
          <cell r="E790" t="str">
            <v>Sukhary</v>
          </cell>
        </row>
        <row r="791">
          <cell r="B791" t="str">
            <v>HA SUKHRY DATES 300GM (1357013)</v>
          </cell>
          <cell r="C791" t="str">
            <v>FG</v>
          </cell>
          <cell r="D791" t="str">
            <v>DATES</v>
          </cell>
          <cell r="E791" t="str">
            <v>Sukhary</v>
          </cell>
        </row>
        <row r="792">
          <cell r="B792" t="str">
            <v>AL BARAKAH DATE SYRUP(1.15KG X 12)</v>
          </cell>
          <cell r="C792" t="str">
            <v>RM</v>
          </cell>
          <cell r="D792" t="str">
            <v>DATES</v>
          </cell>
          <cell r="E792" t="str">
            <v>Syrup</v>
          </cell>
        </row>
        <row r="793">
          <cell r="B793" t="str">
            <v>AL BARAKAH DATES SYRUP</v>
          </cell>
          <cell r="C793" t="str">
            <v>RM</v>
          </cell>
          <cell r="D793" t="str">
            <v>DATES</v>
          </cell>
          <cell r="E793" t="str">
            <v>Syrup</v>
          </cell>
        </row>
        <row r="794">
          <cell r="B794" t="str">
            <v>AL BARAKAH DATES SYRUP (400G Packing)</v>
          </cell>
          <cell r="C794" t="str">
            <v>RM</v>
          </cell>
          <cell r="D794" t="str">
            <v>DATES</v>
          </cell>
          <cell r="E794" t="str">
            <v>Syrup</v>
          </cell>
        </row>
        <row r="795">
          <cell r="B795" t="str">
            <v>Organic Wanan Premium Jumbo</v>
          </cell>
          <cell r="C795" t="str">
            <v>RM</v>
          </cell>
          <cell r="D795" t="str">
            <v>DATES</v>
          </cell>
          <cell r="E795" t="str">
            <v>Wanan</v>
          </cell>
        </row>
        <row r="796">
          <cell r="B796" t="str">
            <v>Organic Wanan Premium Large</v>
          </cell>
          <cell r="C796" t="str">
            <v>RM</v>
          </cell>
          <cell r="D796" t="str">
            <v>DATES</v>
          </cell>
          <cell r="E796" t="str">
            <v>Wanan</v>
          </cell>
        </row>
        <row r="797">
          <cell r="B797" t="str">
            <v>Dates Zahidi Loose</v>
          </cell>
          <cell r="C797" t="str">
            <v>RM</v>
          </cell>
          <cell r="D797" t="str">
            <v>DATES</v>
          </cell>
          <cell r="E797" t="str">
            <v>Zahidi</v>
          </cell>
        </row>
        <row r="798">
          <cell r="B798" t="str">
            <v>Zahidi Dates</v>
          </cell>
          <cell r="C798" t="str">
            <v>RM</v>
          </cell>
          <cell r="D798" t="str">
            <v>DATES</v>
          </cell>
          <cell r="E798" t="str">
            <v>Zahidi</v>
          </cell>
        </row>
        <row r="799">
          <cell r="B799" t="str">
            <v>Zahidi Grade B</v>
          </cell>
          <cell r="C799" t="str">
            <v>RM</v>
          </cell>
          <cell r="D799" t="str">
            <v>DATES</v>
          </cell>
          <cell r="E799" t="str">
            <v>Zahidi</v>
          </cell>
        </row>
        <row r="800">
          <cell r="B800" t="str">
            <v>BB Royal Dates - Zahidi 500 g</v>
          </cell>
          <cell r="C800" t="str">
            <v>FG</v>
          </cell>
          <cell r="D800" t="str">
            <v>DATES</v>
          </cell>
          <cell r="E800" t="str">
            <v>Zahidi</v>
          </cell>
        </row>
        <row r="801">
          <cell r="B801" t="str">
            <v>PL ZAHIDI DATES 500G</v>
          </cell>
          <cell r="C801" t="str">
            <v>FG</v>
          </cell>
          <cell r="D801" t="str">
            <v>DATES</v>
          </cell>
          <cell r="E801" t="str">
            <v>Zahidi</v>
          </cell>
        </row>
        <row r="802">
          <cell r="B802" t="str">
            <v>Royal Delight Zahidi Dates 1 Kg</v>
          </cell>
          <cell r="C802" t="str">
            <v>FG</v>
          </cell>
          <cell r="D802" t="str">
            <v>DATES</v>
          </cell>
          <cell r="E802" t="str">
            <v>Zahidi</v>
          </cell>
        </row>
        <row r="803">
          <cell r="B803" t="str">
            <v>Royal Delight Zahidi Dates 900g</v>
          </cell>
          <cell r="C803" t="str">
            <v>FG</v>
          </cell>
          <cell r="D803" t="str">
            <v>DATES</v>
          </cell>
          <cell r="E803" t="str">
            <v>Zahidi</v>
          </cell>
        </row>
        <row r="804">
          <cell r="B804" t="str">
            <v>Sweet Amala Candy</v>
          </cell>
          <cell r="C804" t="str">
            <v>RM</v>
          </cell>
          <cell r="D804" t="str">
            <v>DEHYDRATED FRUITS</v>
          </cell>
          <cell r="E804" t="str">
            <v>DF - Amla</v>
          </cell>
        </row>
        <row r="805">
          <cell r="B805" t="str">
            <v>Sweet Amala Candy 5%</v>
          </cell>
          <cell r="C805" t="str">
            <v>RM</v>
          </cell>
          <cell r="D805" t="str">
            <v>DEHYDRATED FRUITS</v>
          </cell>
          <cell r="E805" t="str">
            <v>DF - Amla</v>
          </cell>
        </row>
        <row r="806">
          <cell r="B806" t="str">
            <v>Ez Honey Amla Loose (1459048)</v>
          </cell>
          <cell r="C806" t="str">
            <v>FG</v>
          </cell>
          <cell r="D806" t="str">
            <v>DEHYDRATED FRUITS</v>
          </cell>
          <cell r="E806" t="str">
            <v>DF - Amla</v>
          </cell>
        </row>
        <row r="807">
          <cell r="B807" t="str">
            <v>Natures Dried Amla 200 Gm ( 1411660 )</v>
          </cell>
          <cell r="C807" t="str">
            <v>FG</v>
          </cell>
          <cell r="D807" t="str">
            <v>DEHYDRATED FRUITS</v>
          </cell>
          <cell r="E807" t="str">
            <v>DF - Amla</v>
          </cell>
        </row>
        <row r="808">
          <cell r="B808" t="str">
            <v>Dehydrated Strawberry fruit</v>
          </cell>
          <cell r="C808" t="str">
            <v>RM</v>
          </cell>
          <cell r="D808" t="str">
            <v>DEHYDRATED FRUITS</v>
          </cell>
          <cell r="E808" t="str">
            <v>DF - Berries</v>
          </cell>
        </row>
        <row r="809">
          <cell r="B809" t="str">
            <v>Dried Cherry (Red)</v>
          </cell>
          <cell r="C809" t="str">
            <v>RM</v>
          </cell>
          <cell r="D809" t="str">
            <v>DEHYDRATED FRUITS</v>
          </cell>
          <cell r="E809" t="str">
            <v>DF - Berries</v>
          </cell>
        </row>
        <row r="810">
          <cell r="B810" t="str">
            <v>Dried Goji Berry</v>
          </cell>
          <cell r="C810" t="str">
            <v>RM</v>
          </cell>
          <cell r="D810" t="str">
            <v>DEHYDRATED FRUITS</v>
          </cell>
          <cell r="E810" t="str">
            <v>DF - Berries</v>
          </cell>
        </row>
        <row r="811">
          <cell r="B811" t="str">
            <v>Dried Pomelo</v>
          </cell>
          <cell r="C811" t="str">
            <v>RM</v>
          </cell>
          <cell r="D811" t="str">
            <v>DEHYDRATED FRUITS</v>
          </cell>
          <cell r="E811" t="str">
            <v>DF - Berries</v>
          </cell>
        </row>
        <row r="812">
          <cell r="B812" t="str">
            <v>Dried Raspberry</v>
          </cell>
          <cell r="C812" t="str">
            <v>RM</v>
          </cell>
          <cell r="D812" t="str">
            <v>DEHYDRATED FRUITS</v>
          </cell>
          <cell r="E812" t="str">
            <v>DF - Berries</v>
          </cell>
        </row>
        <row r="813">
          <cell r="B813" t="str">
            <v>Dried Strawberry</v>
          </cell>
          <cell r="C813" t="str">
            <v>RM</v>
          </cell>
          <cell r="D813" t="str">
            <v>DEHYDRATED FRUITS</v>
          </cell>
          <cell r="E813" t="str">
            <v>DF - Berries</v>
          </cell>
        </row>
        <row r="814">
          <cell r="B814" t="str">
            <v>Goji Berries - 12%</v>
          </cell>
          <cell r="C814" t="str">
            <v>RM</v>
          </cell>
          <cell r="D814" t="str">
            <v>DEHYDRATED FRUITS</v>
          </cell>
          <cell r="E814" t="str">
            <v>DF - Berries</v>
          </cell>
        </row>
        <row r="815">
          <cell r="B815" t="str">
            <v>Natures Dried Cherry 200 Gm ( 1411661 )</v>
          </cell>
          <cell r="C815" t="str">
            <v>FG</v>
          </cell>
          <cell r="D815" t="str">
            <v>DEHYDRATED FRUITS</v>
          </cell>
          <cell r="E815" t="str">
            <v>DF - Berries</v>
          </cell>
        </row>
        <row r="816">
          <cell r="B816" t="str">
            <v>Natures Dried Strawberry 200 Gm (1411657)</v>
          </cell>
          <cell r="C816" t="str">
            <v>FG</v>
          </cell>
          <cell r="D816" t="str">
            <v>DEHYDRATED FRUITS</v>
          </cell>
          <cell r="E816" t="str">
            <v>DF - Berries</v>
          </cell>
        </row>
        <row r="817">
          <cell r="B817" t="str">
            <v>NB DEHYDRATED CHERRY LOOSE</v>
          </cell>
          <cell r="C817" t="str">
            <v>FG</v>
          </cell>
          <cell r="D817" t="str">
            <v>DEHYDRATED FRUITS</v>
          </cell>
          <cell r="E817" t="str">
            <v>DF - Berries</v>
          </cell>
        </row>
        <row r="818">
          <cell r="B818" t="str">
            <v>NB DEHYDRATED STRAWBERRY LOOSE</v>
          </cell>
          <cell r="C818" t="str">
            <v>FG</v>
          </cell>
          <cell r="D818" t="str">
            <v>DEHYDRATED FRUITS</v>
          </cell>
          <cell r="E818" t="str">
            <v>DF - Berries</v>
          </cell>
        </row>
        <row r="819">
          <cell r="B819" t="str">
            <v>NB GOJI BERRY DRIED LOOSE</v>
          </cell>
          <cell r="C819" t="str">
            <v>FG</v>
          </cell>
          <cell r="D819" t="str">
            <v>DEHYDRATED FRUITS</v>
          </cell>
          <cell r="E819" t="str">
            <v>DF - Berries</v>
          </cell>
        </row>
        <row r="820">
          <cell r="B820" t="str">
            <v>Crystal Ginger</v>
          </cell>
          <cell r="C820" t="str">
            <v>RM</v>
          </cell>
          <cell r="D820" t="str">
            <v>DEHYDRATED FRUITS</v>
          </cell>
          <cell r="E820" t="str">
            <v>DF - Ginger</v>
          </cell>
        </row>
        <row r="821">
          <cell r="B821" t="str">
            <v>Dehydrated Ginger</v>
          </cell>
          <cell r="C821" t="str">
            <v>RM</v>
          </cell>
          <cell r="D821" t="str">
            <v>DEHYDRATED FRUITS</v>
          </cell>
          <cell r="E821" t="str">
            <v>DF - Ginger</v>
          </cell>
        </row>
        <row r="822">
          <cell r="B822" t="str">
            <v>Dried Ginger Cubes</v>
          </cell>
          <cell r="C822" t="str">
            <v>RM</v>
          </cell>
          <cell r="D822" t="str">
            <v>DEHYDRATED FRUITS</v>
          </cell>
          <cell r="E822" t="str">
            <v>DF - Ginger</v>
          </cell>
        </row>
        <row r="823">
          <cell r="B823" t="str">
            <v>Dried Ginger Powder - Saunth Powder</v>
          </cell>
          <cell r="C823" t="str">
            <v>RM</v>
          </cell>
          <cell r="D823" t="str">
            <v>DEHYDRATED FRUITS</v>
          </cell>
          <cell r="E823" t="str">
            <v>DF - Ginger</v>
          </cell>
        </row>
        <row r="824">
          <cell r="B824" t="str">
            <v>NB DEHYDRATED GINGER LOOSE</v>
          </cell>
          <cell r="C824" t="str">
            <v>FG</v>
          </cell>
          <cell r="D824" t="str">
            <v>DEHYDRATED FRUITS</v>
          </cell>
          <cell r="E824" t="str">
            <v>DF - Ginger</v>
          </cell>
        </row>
        <row r="825">
          <cell r="B825" t="str">
            <v>Dehydrated Guava Sliced</v>
          </cell>
          <cell r="C825" t="str">
            <v>RM</v>
          </cell>
          <cell r="D825" t="str">
            <v>DEHYDRATED FRUITS</v>
          </cell>
          <cell r="E825" t="str">
            <v>DF - Guava</v>
          </cell>
        </row>
        <row r="826">
          <cell r="B826" t="str">
            <v>NB DEHYDRATED GUAVA LOOSE</v>
          </cell>
          <cell r="C826" t="str">
            <v>FG</v>
          </cell>
          <cell r="D826" t="str">
            <v>DEHYDRATED FRUITS</v>
          </cell>
          <cell r="E826" t="str">
            <v>DF - Guava</v>
          </cell>
        </row>
        <row r="827">
          <cell r="B827" t="str">
            <v>Dried Kiwi</v>
          </cell>
          <cell r="C827" t="str">
            <v>RM</v>
          </cell>
          <cell r="D827" t="str">
            <v>DEHYDRATED FRUITS</v>
          </cell>
          <cell r="E827" t="str">
            <v>DF - Kiwi</v>
          </cell>
        </row>
        <row r="828">
          <cell r="B828" t="str">
            <v>Dried Masala Kiwi</v>
          </cell>
          <cell r="C828" t="str">
            <v>FG</v>
          </cell>
          <cell r="D828" t="str">
            <v>DEHYDRATED FRUITS</v>
          </cell>
          <cell r="E828" t="str">
            <v>DF - Kiwi</v>
          </cell>
        </row>
        <row r="829">
          <cell r="B829" t="str">
            <v>Nature Dried Kiwi 200 Gm ( 1411658 )</v>
          </cell>
          <cell r="C829" t="str">
            <v>FG</v>
          </cell>
          <cell r="D829" t="str">
            <v>DEHYDRATED FRUITS</v>
          </cell>
          <cell r="E829" t="str">
            <v>DF - Kiwi</v>
          </cell>
        </row>
        <row r="830">
          <cell r="B830" t="str">
            <v>NB DEHYDRATED KIWI LOOSE</v>
          </cell>
          <cell r="C830" t="str">
            <v>FG</v>
          </cell>
          <cell r="D830" t="str">
            <v>DEHYDRATED FRUITS</v>
          </cell>
          <cell r="E830" t="str">
            <v>DF - Kiwi</v>
          </cell>
        </row>
        <row r="831">
          <cell r="B831" t="str">
            <v>Dehydrated Mango</v>
          </cell>
          <cell r="C831" t="str">
            <v>RM</v>
          </cell>
          <cell r="D831" t="str">
            <v>DEHYDRATED FRUITS</v>
          </cell>
          <cell r="E831" t="str">
            <v>DF - Mango</v>
          </cell>
        </row>
        <row r="832">
          <cell r="B832" t="str">
            <v>Dehydrated Mango fruit</v>
          </cell>
          <cell r="C832" t="str">
            <v>RM</v>
          </cell>
          <cell r="D832" t="str">
            <v>DEHYDRATED FRUITS</v>
          </cell>
          <cell r="E832" t="str">
            <v>DF - Mango</v>
          </cell>
        </row>
        <row r="833">
          <cell r="B833" t="str">
            <v>Dehydrated Mango Papad (Aam Papad)</v>
          </cell>
          <cell r="C833" t="str">
            <v>RM</v>
          </cell>
          <cell r="D833" t="str">
            <v>DEHYDRATED FRUITS</v>
          </cell>
          <cell r="E833" t="str">
            <v>DF - Mango</v>
          </cell>
        </row>
        <row r="834">
          <cell r="B834" t="str">
            <v>Dehydrated Mango Slice</v>
          </cell>
          <cell r="C834" t="str">
            <v>RM</v>
          </cell>
          <cell r="D834" t="str">
            <v>DEHYDRATED FRUITS</v>
          </cell>
          <cell r="E834" t="str">
            <v>DF - Mango</v>
          </cell>
        </row>
        <row r="835">
          <cell r="B835" t="str">
            <v>Dried Mango</v>
          </cell>
          <cell r="C835" t="str">
            <v>RM</v>
          </cell>
          <cell r="D835" t="str">
            <v>DEHYDRATED FRUITS</v>
          </cell>
          <cell r="E835" t="str">
            <v>DF - Mango</v>
          </cell>
        </row>
        <row r="836">
          <cell r="B836" t="str">
            <v>Dried Mango Loose</v>
          </cell>
          <cell r="C836" t="str">
            <v>RM</v>
          </cell>
          <cell r="D836" t="str">
            <v>DEHYDRATED FRUITS</v>
          </cell>
          <cell r="E836" t="str">
            <v>DF - Mango</v>
          </cell>
        </row>
        <row r="837">
          <cell r="B837" t="str">
            <v>Freeze Dried Mango</v>
          </cell>
          <cell r="C837" t="str">
            <v>RM</v>
          </cell>
          <cell r="D837" t="str">
            <v>DEHYDRATED FRUITS</v>
          </cell>
          <cell r="E837" t="str">
            <v>DF - Mango</v>
          </cell>
        </row>
        <row r="838">
          <cell r="B838" t="str">
            <v>Dried Masala Mango</v>
          </cell>
          <cell r="C838" t="str">
            <v>FG</v>
          </cell>
          <cell r="D838" t="str">
            <v>DEHYDRATED FRUITS</v>
          </cell>
          <cell r="E838" t="str">
            <v>DF - Mango</v>
          </cell>
        </row>
        <row r="839">
          <cell r="B839" t="str">
            <v>NB DEHYDRATED MANGO SLICED LOOSE</v>
          </cell>
          <cell r="C839" t="str">
            <v>FG</v>
          </cell>
          <cell r="D839" t="str">
            <v>DEHYDRATED FRUITS</v>
          </cell>
          <cell r="E839" t="str">
            <v>DF - Mango</v>
          </cell>
        </row>
        <row r="840">
          <cell r="B840" t="str">
            <v>Dehydrated Mixed Fruits</v>
          </cell>
          <cell r="C840" t="str">
            <v>RM</v>
          </cell>
          <cell r="D840" t="str">
            <v>DEHYDRATED FRUITS</v>
          </cell>
          <cell r="E840" t="str">
            <v>DF - Mix</v>
          </cell>
        </row>
        <row r="841">
          <cell r="B841" t="str">
            <v>Ez Dried Fruits Mixed (1459045)</v>
          </cell>
          <cell r="C841" t="str">
            <v>FG</v>
          </cell>
          <cell r="D841" t="str">
            <v>DEHYDRATED FRUITS</v>
          </cell>
          <cell r="E841" t="str">
            <v>DF - Mix</v>
          </cell>
        </row>
        <row r="842">
          <cell r="B842" t="str">
            <v>DEHYDRATED BABY ORANGE</v>
          </cell>
          <cell r="C842" t="str">
            <v>RM</v>
          </cell>
          <cell r="D842" t="str">
            <v>DEHYDRATED FRUITS</v>
          </cell>
          <cell r="E842" t="str">
            <v>DF - Orange</v>
          </cell>
        </row>
        <row r="843">
          <cell r="B843" t="str">
            <v>Dehydrated Lemon (Candied)</v>
          </cell>
          <cell r="C843" t="str">
            <v>RM</v>
          </cell>
          <cell r="D843" t="str">
            <v>DEHYDRATED FRUITS</v>
          </cell>
          <cell r="E843" t="str">
            <v>DF - Orange</v>
          </cell>
        </row>
        <row r="844">
          <cell r="B844" t="str">
            <v>Dried Orange Peel</v>
          </cell>
          <cell r="C844" t="str">
            <v>RM</v>
          </cell>
          <cell r="D844" t="str">
            <v>DEHYDRATED FRUITS</v>
          </cell>
          <cell r="E844" t="str">
            <v>DF - Orange</v>
          </cell>
        </row>
        <row r="845">
          <cell r="B845" t="str">
            <v>Orange Peel</v>
          </cell>
          <cell r="C845" t="str">
            <v>RM</v>
          </cell>
          <cell r="D845" t="str">
            <v>DEHYDRATED FRUITS</v>
          </cell>
          <cell r="E845" t="str">
            <v>DF - Orange</v>
          </cell>
        </row>
        <row r="846">
          <cell r="B846" t="str">
            <v>Orange Slice / Pieces</v>
          </cell>
          <cell r="C846" t="str">
            <v>RM</v>
          </cell>
          <cell r="D846" t="str">
            <v>DEHYDRATED FRUITS</v>
          </cell>
          <cell r="E846" t="str">
            <v>DF - Orange</v>
          </cell>
        </row>
        <row r="847">
          <cell r="B847" t="str">
            <v>NB DEHYDRATED BABY ORANGE LOOSE</v>
          </cell>
          <cell r="C847" t="str">
            <v>FG</v>
          </cell>
          <cell r="D847" t="str">
            <v>DEHYDRATED FRUITS</v>
          </cell>
          <cell r="E847" t="str">
            <v>DF - Orange</v>
          </cell>
        </row>
        <row r="848">
          <cell r="B848" t="str">
            <v>Dehydrated Aloe Vera Chunk</v>
          </cell>
          <cell r="C848" t="str">
            <v>RM</v>
          </cell>
          <cell r="D848" t="str">
            <v>DEHYDRATED FRUITS</v>
          </cell>
          <cell r="E848" t="str">
            <v>DF - Other</v>
          </cell>
        </row>
        <row r="849">
          <cell r="B849" t="str">
            <v>Dehydrated Chikoo fruit</v>
          </cell>
          <cell r="C849" t="str">
            <v>RM</v>
          </cell>
          <cell r="D849" t="str">
            <v>DEHYDRATED FRUITS</v>
          </cell>
          <cell r="E849" t="str">
            <v>DF - Other</v>
          </cell>
        </row>
        <row r="850">
          <cell r="B850" t="str">
            <v>Dehydrated Jamun fruit</v>
          </cell>
          <cell r="C850" t="str">
            <v>RM</v>
          </cell>
          <cell r="D850" t="str">
            <v>DEHYDRATED FRUITS</v>
          </cell>
          <cell r="E850" t="str">
            <v>DF - Other</v>
          </cell>
        </row>
        <row r="851">
          <cell r="B851" t="str">
            <v>Dried Apple</v>
          </cell>
          <cell r="C851" t="str">
            <v>RM</v>
          </cell>
          <cell r="D851" t="str">
            <v>DEHYDRATED FRUITS</v>
          </cell>
          <cell r="E851" t="str">
            <v>DF - Other</v>
          </cell>
        </row>
        <row r="852">
          <cell r="B852" t="str">
            <v>WATER CHESNUT LOOSE</v>
          </cell>
          <cell r="C852" t="str">
            <v>RM</v>
          </cell>
          <cell r="D852" t="str">
            <v>DEHYDRATED FRUITS</v>
          </cell>
          <cell r="E852" t="str">
            <v>DF - Other</v>
          </cell>
        </row>
        <row r="853">
          <cell r="B853" t="str">
            <v>Dehydrated Papaya Chunk</v>
          </cell>
          <cell r="C853" t="str">
            <v>RM</v>
          </cell>
          <cell r="D853" t="str">
            <v>DEHYDRATED FRUITS</v>
          </cell>
          <cell r="E853" t="str">
            <v>DF - Papaya</v>
          </cell>
        </row>
        <row r="854">
          <cell r="B854" t="str">
            <v>DEHYDRATED PEACH GREEN</v>
          </cell>
          <cell r="C854" t="str">
            <v>RM</v>
          </cell>
          <cell r="D854" t="str">
            <v>DEHYDRATED FRUITS</v>
          </cell>
          <cell r="E854" t="str">
            <v>DF - Peach</v>
          </cell>
        </row>
        <row r="855">
          <cell r="B855" t="str">
            <v>DEHYDRATED PEACH RED</v>
          </cell>
          <cell r="C855" t="str">
            <v>RM</v>
          </cell>
          <cell r="D855" t="str">
            <v>DEHYDRATED FRUITS</v>
          </cell>
          <cell r="E855" t="str">
            <v>DF - Peach</v>
          </cell>
        </row>
        <row r="856">
          <cell r="B856" t="str">
            <v>DEHYDRATED PEACH YELLOW</v>
          </cell>
          <cell r="C856" t="str">
            <v>RM</v>
          </cell>
          <cell r="D856" t="str">
            <v>DEHYDRATED FRUITS</v>
          </cell>
          <cell r="E856" t="str">
            <v>DF - Peach</v>
          </cell>
        </row>
        <row r="857">
          <cell r="B857" t="str">
            <v>Dried Peach</v>
          </cell>
          <cell r="C857" t="str">
            <v>RM</v>
          </cell>
          <cell r="D857" t="str">
            <v>DEHYDRATED FRUITS</v>
          </cell>
          <cell r="E857" t="str">
            <v>DF - Peach</v>
          </cell>
        </row>
        <row r="858">
          <cell r="B858" t="str">
            <v>NB DEHYDRATED PEACH GREEN LOOSE</v>
          </cell>
          <cell r="C858" t="str">
            <v>FG</v>
          </cell>
          <cell r="D858" t="str">
            <v>DEHYDRATED FRUITS</v>
          </cell>
          <cell r="E858" t="str">
            <v>DF - Peach</v>
          </cell>
        </row>
        <row r="859">
          <cell r="B859" t="str">
            <v>NB DEHYDRATED PEACH RED LOOSE</v>
          </cell>
          <cell r="C859" t="str">
            <v>FG</v>
          </cell>
          <cell r="D859" t="str">
            <v>DEHYDRATED FRUITS</v>
          </cell>
          <cell r="E859" t="str">
            <v>DF - Peach</v>
          </cell>
        </row>
        <row r="860">
          <cell r="B860" t="str">
            <v>NB DEHYDRATED PEACH YELLOW LOOSE</v>
          </cell>
          <cell r="C860" t="str">
            <v>FG</v>
          </cell>
          <cell r="D860" t="str">
            <v>DEHYDRATED FRUITS</v>
          </cell>
          <cell r="E860" t="str">
            <v>DF - Peach</v>
          </cell>
        </row>
        <row r="861">
          <cell r="B861" t="str">
            <v>DEHYDRATED PINEAPPLE COIN</v>
          </cell>
          <cell r="C861" t="str">
            <v>RM</v>
          </cell>
          <cell r="D861" t="str">
            <v>DEHYDRATED FRUITS</v>
          </cell>
          <cell r="E861" t="str">
            <v>DF - Pineapple</v>
          </cell>
        </row>
        <row r="862">
          <cell r="B862" t="str">
            <v>DEHYDRATED PINEAPPLE RING</v>
          </cell>
          <cell r="C862" t="str">
            <v>RM</v>
          </cell>
          <cell r="D862" t="str">
            <v>DEHYDRATED FRUITS</v>
          </cell>
          <cell r="E862" t="str">
            <v>DF - Pineapple</v>
          </cell>
        </row>
        <row r="863">
          <cell r="B863" t="str">
            <v>Dried Pineapple</v>
          </cell>
          <cell r="C863" t="str">
            <v>RM</v>
          </cell>
          <cell r="D863" t="str">
            <v>DEHYDRATED FRUITS</v>
          </cell>
          <cell r="E863" t="str">
            <v>DF - Pineapple</v>
          </cell>
        </row>
        <row r="864">
          <cell r="B864" t="str">
            <v>Dried Masala Pineapple</v>
          </cell>
          <cell r="C864" t="str">
            <v>FG</v>
          </cell>
          <cell r="D864" t="str">
            <v>DEHYDRATED FRUITS</v>
          </cell>
          <cell r="E864" t="str">
            <v>DF - Pineapple</v>
          </cell>
        </row>
        <row r="865">
          <cell r="B865" t="str">
            <v>Natures Dried Pineapple 200 Gm ( 1411659 )</v>
          </cell>
          <cell r="C865" t="str">
            <v>FG</v>
          </cell>
          <cell r="D865" t="str">
            <v>DEHYDRATED FRUITS</v>
          </cell>
          <cell r="E865" t="str">
            <v>DF - Pineapple</v>
          </cell>
        </row>
        <row r="866">
          <cell r="B866" t="str">
            <v>NB DEHYDRATED PINEAPPLE COIN LOOSE</v>
          </cell>
          <cell r="C866" t="str">
            <v>FG</v>
          </cell>
          <cell r="D866" t="str">
            <v>DEHYDRATED FRUITS</v>
          </cell>
          <cell r="E866" t="str">
            <v>DF - Pineapple</v>
          </cell>
        </row>
        <row r="867">
          <cell r="B867" t="str">
            <v>NB DEHYDRATED PINEAPPLE RING LOOSE</v>
          </cell>
          <cell r="C867" t="str">
            <v>FG</v>
          </cell>
          <cell r="D867" t="str">
            <v>DEHYDRATED FRUITS</v>
          </cell>
          <cell r="E867" t="str">
            <v>DF - Pineapple</v>
          </cell>
        </row>
        <row r="868">
          <cell r="B868" t="str">
            <v>Freeze Dried Strawberry</v>
          </cell>
          <cell r="C868" t="str">
            <v>RM</v>
          </cell>
          <cell r="D868" t="str">
            <v>DEHYDRATED FRUITS</v>
          </cell>
          <cell r="E868" t="str">
            <v>DF - Strawberry</v>
          </cell>
        </row>
        <row r="869">
          <cell r="B869" t="str">
            <v>3 Jar Jute Bag Gift Hamper</v>
          </cell>
          <cell r="C869" t="str">
            <v>FG</v>
          </cell>
          <cell r="D869" t="str">
            <v>FESTIVE HAMPERS</v>
          </cell>
          <cell r="E869" t="str">
            <v>Gifting</v>
          </cell>
        </row>
        <row r="870">
          <cell r="B870" t="str">
            <v>4 PET WOODEN BOX WITH LID HAMPER</v>
          </cell>
          <cell r="C870" t="str">
            <v>FG</v>
          </cell>
          <cell r="D870" t="str">
            <v>FESTIVE HAMPERS</v>
          </cell>
          <cell r="E870" t="str">
            <v>Gifting</v>
          </cell>
        </row>
        <row r="871">
          <cell r="B871" t="str">
            <v>Amazon Brand - Vedaka Premium Dry Fruits Combo 400 gm Gift Box ( B0BBDJMLYR )</v>
          </cell>
          <cell r="C871" t="str">
            <v>FG</v>
          </cell>
          <cell r="D871" t="str">
            <v>FESTIVE HAMPERS</v>
          </cell>
          <cell r="E871" t="str">
            <v>Gifting</v>
          </cell>
        </row>
        <row r="872">
          <cell r="B872" t="str">
            <v>Banarasi Box Hamper 03</v>
          </cell>
          <cell r="C872" t="str">
            <v>FG</v>
          </cell>
          <cell r="D872" t="str">
            <v>FESTIVE HAMPERS</v>
          </cell>
          <cell r="E872" t="str">
            <v>Gifting</v>
          </cell>
        </row>
        <row r="873">
          <cell r="B873" t="str">
            <v>BLISSFUL CELEBRATION 360gm</v>
          </cell>
          <cell r="C873" t="str">
            <v>FG</v>
          </cell>
          <cell r="D873" t="str">
            <v>FESTIVE HAMPERS</v>
          </cell>
          <cell r="E873" t="str">
            <v>Gifting</v>
          </cell>
        </row>
        <row r="874">
          <cell r="B874" t="str">
            <v>Carnival A Garden of Bloom 300g</v>
          </cell>
          <cell r="C874" t="str">
            <v>FG</v>
          </cell>
          <cell r="D874" t="str">
            <v>FESTIVE HAMPERS</v>
          </cell>
          <cell r="E874" t="str">
            <v>Gifting</v>
          </cell>
        </row>
        <row r="875">
          <cell r="B875" t="str">
            <v>Carnival Ganpati Date Mewa Box 242g</v>
          </cell>
          <cell r="C875" t="str">
            <v>FG</v>
          </cell>
          <cell r="D875" t="str">
            <v>FESTIVE HAMPERS</v>
          </cell>
          <cell r="E875" t="str">
            <v>Gifting</v>
          </cell>
        </row>
        <row r="876">
          <cell r="B876" t="str">
            <v>Carnival Madhur Mahotsav DF Box 4P 400g</v>
          </cell>
          <cell r="C876" t="str">
            <v>FG</v>
          </cell>
          <cell r="D876" t="str">
            <v>FESTIVE HAMPERS</v>
          </cell>
          <cell r="E876" t="str">
            <v>Gifting</v>
          </cell>
        </row>
        <row r="877">
          <cell r="B877" t="str">
            <v>Carnival Magic Moments 4P 600gm</v>
          </cell>
          <cell r="C877" t="str">
            <v>FG</v>
          </cell>
          <cell r="D877" t="str">
            <v>FESTIVE HAMPERS</v>
          </cell>
          <cell r="E877" t="str">
            <v>Gifting</v>
          </cell>
        </row>
        <row r="878">
          <cell r="B878" t="str">
            <v>Carnival Mangalmay Utsav DF Box 6P 600g</v>
          </cell>
          <cell r="C878" t="str">
            <v>FG</v>
          </cell>
          <cell r="D878" t="str">
            <v>FESTIVE HAMPERS</v>
          </cell>
          <cell r="E878" t="str">
            <v>Gifting</v>
          </cell>
        </row>
        <row r="879">
          <cell r="B879" t="str">
            <v>CARNIVAL Mayur Ratna Big 520g</v>
          </cell>
          <cell r="C879" t="str">
            <v>FG</v>
          </cell>
          <cell r="D879" t="str">
            <v>FESTIVE HAMPERS</v>
          </cell>
          <cell r="E879" t="str">
            <v>Gifting</v>
          </cell>
        </row>
        <row r="880">
          <cell r="B880" t="str">
            <v>CARNIVAL Mayur Ratna Big 520gm</v>
          </cell>
          <cell r="C880" t="str">
            <v>FG</v>
          </cell>
          <cell r="D880" t="str">
            <v>FESTIVE HAMPERS</v>
          </cell>
          <cell r="E880" t="str">
            <v>Gifting</v>
          </cell>
        </row>
        <row r="881">
          <cell r="B881" t="str">
            <v>CARNIVAL Mayur Ratna Small 360g</v>
          </cell>
          <cell r="C881" t="str">
            <v>FG</v>
          </cell>
          <cell r="D881" t="str">
            <v>FESTIVE HAMPERS</v>
          </cell>
          <cell r="E881" t="str">
            <v>Gifting</v>
          </cell>
        </row>
        <row r="882">
          <cell r="B882" t="str">
            <v>CARNIVAL Mayur Ratna Small 360gm</v>
          </cell>
          <cell r="C882" t="str">
            <v>FG</v>
          </cell>
          <cell r="D882" t="str">
            <v>FESTIVE HAMPERS</v>
          </cell>
          <cell r="E882" t="str">
            <v>Gifting</v>
          </cell>
        </row>
        <row r="883">
          <cell r="B883" t="str">
            <v>Carnival Ramayana DF Box 6P 600gm</v>
          </cell>
          <cell r="C883" t="str">
            <v>FG</v>
          </cell>
          <cell r="D883" t="str">
            <v>FESTIVE HAMPERS</v>
          </cell>
          <cell r="E883" t="str">
            <v>Gifting</v>
          </cell>
        </row>
        <row r="884">
          <cell r="B884" t="str">
            <v>Carnival Rasleela DF Box 4P 400g</v>
          </cell>
          <cell r="C884" t="str">
            <v>FG</v>
          </cell>
          <cell r="D884" t="str">
            <v>FESTIVE HAMPERS</v>
          </cell>
          <cell r="E884" t="str">
            <v>Gifting</v>
          </cell>
        </row>
        <row r="885">
          <cell r="B885" t="str">
            <v>CARNIVAL Royal divine 550g</v>
          </cell>
          <cell r="C885" t="str">
            <v>FG</v>
          </cell>
          <cell r="D885" t="str">
            <v>FESTIVE HAMPERS</v>
          </cell>
          <cell r="E885" t="str">
            <v>Gifting</v>
          </cell>
        </row>
        <row r="886">
          <cell r="B886" t="str">
            <v>Carnival Shubhakamnayein 3P 300g</v>
          </cell>
          <cell r="C886" t="str">
            <v>FG</v>
          </cell>
          <cell r="D886" t="str">
            <v>FESTIVE HAMPERS</v>
          </cell>
          <cell r="E886" t="str">
            <v>Gifting</v>
          </cell>
        </row>
        <row r="887">
          <cell r="B887" t="str">
            <v>CARNIVAL Utsav 700g</v>
          </cell>
          <cell r="C887" t="str">
            <v>FG</v>
          </cell>
          <cell r="D887" t="str">
            <v>FESTIVE HAMPERS</v>
          </cell>
          <cell r="E887" t="str">
            <v>Gifting</v>
          </cell>
        </row>
        <row r="888">
          <cell r="B888" t="str">
            <v>CELEBRATING MOMENTS 300gm</v>
          </cell>
          <cell r="C888" t="str">
            <v>FG</v>
          </cell>
          <cell r="D888" t="str">
            <v>FESTIVE HAMPERS</v>
          </cell>
          <cell r="E888" t="str">
            <v>Gifting</v>
          </cell>
        </row>
        <row r="889">
          <cell r="B889" t="str">
            <v>Celebration Exclusive 4P 800g Customized</v>
          </cell>
          <cell r="C889" t="str">
            <v>FG</v>
          </cell>
          <cell r="D889" t="str">
            <v>FESTIVE HAMPERS</v>
          </cell>
          <cell r="E889" t="str">
            <v>Gifting</v>
          </cell>
        </row>
        <row r="890">
          <cell r="B890" t="str">
            <v>Celebration Sleek Box 200g</v>
          </cell>
          <cell r="C890" t="str">
            <v>FG</v>
          </cell>
          <cell r="D890" t="str">
            <v>FESTIVE HAMPERS</v>
          </cell>
          <cell r="E890" t="str">
            <v>Gifting</v>
          </cell>
        </row>
        <row r="891">
          <cell r="B891" t="str">
            <v>CELEBRATION SLEEK BOX 300gm</v>
          </cell>
          <cell r="C891" t="str">
            <v>FG</v>
          </cell>
          <cell r="D891" t="str">
            <v>FESTIVE HAMPERS</v>
          </cell>
          <cell r="E891" t="str">
            <v>Gifting</v>
          </cell>
        </row>
        <row r="892">
          <cell r="B892" t="str">
            <v>Celebration Sleek Box Hamper 01</v>
          </cell>
          <cell r="C892" t="str">
            <v>FG</v>
          </cell>
          <cell r="D892" t="str">
            <v>FESTIVE HAMPERS</v>
          </cell>
          <cell r="E892" t="str">
            <v>Gifting</v>
          </cell>
        </row>
        <row r="893">
          <cell r="B893" t="str">
            <v>Celebration Sleek Box Hamper 02</v>
          </cell>
          <cell r="C893" t="str">
            <v>FG</v>
          </cell>
          <cell r="D893" t="str">
            <v>FESTIVE HAMPERS</v>
          </cell>
          <cell r="E893" t="str">
            <v>Gifting</v>
          </cell>
        </row>
        <row r="894">
          <cell r="B894" t="str">
            <v>CELEBRATIONS 550gm</v>
          </cell>
          <cell r="C894" t="str">
            <v>FG</v>
          </cell>
          <cell r="D894" t="str">
            <v>FESTIVE HAMPERS</v>
          </cell>
          <cell r="E894" t="str">
            <v>Gifting</v>
          </cell>
        </row>
        <row r="895">
          <cell r="B895" t="str">
            <v>CLASSIC WOODEN BOX 480gm</v>
          </cell>
          <cell r="C895" t="str">
            <v>FG</v>
          </cell>
          <cell r="D895" t="str">
            <v>FESTIVE HAMPERS</v>
          </cell>
          <cell r="E895" t="str">
            <v>Gifting</v>
          </cell>
        </row>
        <row r="896">
          <cell r="B896" t="str">
            <v>Date Mewa Festive Gifting &amp; Feast Parcel 500gm</v>
          </cell>
          <cell r="C896" t="str">
            <v>FG</v>
          </cell>
          <cell r="D896" t="str">
            <v>FESTIVE HAMPERS</v>
          </cell>
          <cell r="E896" t="str">
            <v>Gifting</v>
          </cell>
        </row>
        <row r="897">
          <cell r="B897" t="str">
            <v>Dry Fruit Hamper</v>
          </cell>
          <cell r="C897" t="str">
            <v>FG</v>
          </cell>
          <cell r="D897" t="str">
            <v>FESTIVE HAMPERS</v>
          </cell>
          <cell r="E897" t="str">
            <v>Gifting</v>
          </cell>
        </row>
        <row r="898">
          <cell r="B898" t="str">
            <v>Fan Bag 300g</v>
          </cell>
          <cell r="C898" t="str">
            <v>FG</v>
          </cell>
          <cell r="D898" t="str">
            <v>FESTIVE HAMPERS</v>
          </cell>
          <cell r="E898" t="str">
            <v>Gifting</v>
          </cell>
        </row>
        <row r="899">
          <cell r="B899" t="str">
            <v>Festive Box - Magic Moments 600g</v>
          </cell>
          <cell r="C899" t="str">
            <v>FG</v>
          </cell>
          <cell r="D899" t="str">
            <v>FESTIVE HAMPERS</v>
          </cell>
          <cell r="E899" t="str">
            <v>Gifting</v>
          </cell>
        </row>
        <row r="900">
          <cell r="B900" t="str">
            <v>Festive Box - Supreme 1000g</v>
          </cell>
          <cell r="C900" t="str">
            <v>FG</v>
          </cell>
          <cell r="D900" t="str">
            <v>FESTIVE HAMPERS</v>
          </cell>
          <cell r="E900" t="str">
            <v>Gifting</v>
          </cell>
        </row>
        <row r="901">
          <cell r="B901" t="str">
            <v>FESTIVE GREETING 560gm</v>
          </cell>
          <cell r="C901" t="str">
            <v>FG</v>
          </cell>
          <cell r="D901" t="str">
            <v>FESTIVE HAMPERS</v>
          </cell>
          <cell r="E901" t="str">
            <v>Gifting</v>
          </cell>
        </row>
        <row r="902">
          <cell r="B902" t="str">
            <v>Festive Hamper 01</v>
          </cell>
          <cell r="C902" t="str">
            <v>FG</v>
          </cell>
          <cell r="D902" t="str">
            <v>FESTIVE HAMPERS</v>
          </cell>
          <cell r="E902" t="str">
            <v>Gifting</v>
          </cell>
        </row>
        <row r="903">
          <cell r="B903" t="str">
            <v>Festive Hamper 02</v>
          </cell>
          <cell r="C903" t="str">
            <v>FG</v>
          </cell>
          <cell r="D903" t="str">
            <v>FESTIVE HAMPERS</v>
          </cell>
          <cell r="E903" t="str">
            <v>Gifting</v>
          </cell>
        </row>
        <row r="904">
          <cell r="B904" t="str">
            <v>Festive Hamper 03</v>
          </cell>
          <cell r="C904" t="str">
            <v>FG</v>
          </cell>
          <cell r="D904" t="str">
            <v>FESTIVE HAMPERS</v>
          </cell>
          <cell r="E904" t="str">
            <v>Gifting</v>
          </cell>
        </row>
        <row r="905">
          <cell r="B905" t="str">
            <v>FIESTA DryFruit Box 800gm</v>
          </cell>
          <cell r="C905" t="str">
            <v>FG</v>
          </cell>
          <cell r="D905" t="str">
            <v>FESTIVE HAMPERS</v>
          </cell>
          <cell r="E905" t="str">
            <v>Gifting</v>
          </cell>
        </row>
        <row r="906">
          <cell r="B906" t="str">
            <v>Floppy Bag Gift Hamper</v>
          </cell>
          <cell r="C906" t="str">
            <v>FG</v>
          </cell>
          <cell r="D906" t="str">
            <v>FESTIVE HAMPERS</v>
          </cell>
          <cell r="E906" t="str">
            <v>Gifting</v>
          </cell>
        </row>
        <row r="907">
          <cell r="B907" t="str">
            <v>Good Health Dry Fruit Box 750 g</v>
          </cell>
          <cell r="C907" t="str">
            <v>FG</v>
          </cell>
          <cell r="D907" t="str">
            <v>FESTIVE HAMPERS</v>
          </cell>
          <cell r="E907" t="str">
            <v>Gifting</v>
          </cell>
        </row>
        <row r="908">
          <cell r="B908" t="str">
            <v>Green Leafy Trunk Gift Hamper</v>
          </cell>
          <cell r="C908" t="str">
            <v>FG</v>
          </cell>
          <cell r="D908" t="str">
            <v>FESTIVE HAMPERS</v>
          </cell>
          <cell r="E908" t="str">
            <v>Gifting</v>
          </cell>
        </row>
        <row r="909">
          <cell r="B909" t="str">
            <v>Grey Carry All Basket Hamper</v>
          </cell>
          <cell r="C909" t="str">
            <v>FG</v>
          </cell>
          <cell r="D909" t="str">
            <v>FESTIVE HAMPERS</v>
          </cell>
          <cell r="E909" t="str">
            <v>Gifting</v>
          </cell>
        </row>
        <row r="910">
          <cell r="B910" t="str">
            <v>HARDIK SHUBHKAMANYEN 280gm</v>
          </cell>
          <cell r="C910" t="str">
            <v>FG</v>
          </cell>
          <cell r="D910" t="str">
            <v>FESTIVE HAMPERS</v>
          </cell>
          <cell r="E910" t="str">
            <v>Gifting</v>
          </cell>
        </row>
        <row r="911">
          <cell r="B911" t="str">
            <v>HOH Raksha Bandhan Box 190 Gm</v>
          </cell>
          <cell r="C911" t="str">
            <v>FG</v>
          </cell>
          <cell r="D911" t="str">
            <v>FESTIVE HAMPERS</v>
          </cell>
          <cell r="E911" t="str">
            <v>Gifting</v>
          </cell>
        </row>
        <row r="912">
          <cell r="B912" t="str">
            <v>HOH Raksha Bandhan Box 268g</v>
          </cell>
          <cell r="C912" t="str">
            <v>FG</v>
          </cell>
          <cell r="D912" t="str">
            <v>FESTIVE HAMPERS</v>
          </cell>
          <cell r="E912" t="str">
            <v>Gifting</v>
          </cell>
        </row>
        <row r="913">
          <cell r="B913" t="str">
            <v>Jute Drawstring  300g</v>
          </cell>
          <cell r="C913" t="str">
            <v>FG</v>
          </cell>
          <cell r="D913" t="str">
            <v>FESTIVE HAMPERS</v>
          </cell>
          <cell r="E913" t="str">
            <v>Gifting</v>
          </cell>
        </row>
        <row r="914">
          <cell r="B914" t="str">
            <v>Jute Floppy Bag Hamper</v>
          </cell>
          <cell r="C914" t="str">
            <v>FG</v>
          </cell>
          <cell r="D914" t="str">
            <v>FESTIVE HAMPERS</v>
          </cell>
          <cell r="E914" t="str">
            <v>Gifting</v>
          </cell>
        </row>
        <row r="915">
          <cell r="B915" t="str">
            <v>MDF Premium Medjoul Dates Box 18 Pcs</v>
          </cell>
          <cell r="C915" t="str">
            <v>FG</v>
          </cell>
          <cell r="D915" t="str">
            <v>FESTIVE HAMPERS</v>
          </cell>
          <cell r="E915" t="str">
            <v>Gifting</v>
          </cell>
        </row>
        <row r="916">
          <cell r="B916" t="str">
            <v>Royal Traditions Mahotsav Dry Fruits 500gm</v>
          </cell>
          <cell r="C916" t="str">
            <v>FG</v>
          </cell>
          <cell r="D916" t="str">
            <v>FESTIVE HAMPERS</v>
          </cell>
          <cell r="E916" t="str">
            <v>Gifting</v>
          </cell>
        </row>
        <row r="917">
          <cell r="B917" t="str">
            <v>ROYAL TRADITIONS SHUBHKAMNA-300G (14179)</v>
          </cell>
          <cell r="C917" t="str">
            <v>FG</v>
          </cell>
          <cell r="D917" t="str">
            <v>FESTIVE HAMPERS</v>
          </cell>
          <cell r="E917" t="str">
            <v>Gifting</v>
          </cell>
        </row>
        <row r="918">
          <cell r="B918" t="str">
            <v>Royal Traditions Tyohar 400gm</v>
          </cell>
          <cell r="C918" t="str">
            <v>FG</v>
          </cell>
          <cell r="D918" t="str">
            <v>FESTIVE HAMPERS</v>
          </cell>
          <cell r="E918" t="str">
            <v>Gifting</v>
          </cell>
        </row>
        <row r="919">
          <cell r="B919" t="str">
            <v>Royal Traditions Utsav 300g</v>
          </cell>
          <cell r="C919" t="str">
            <v>FG</v>
          </cell>
          <cell r="D919" t="str">
            <v>FESTIVE HAMPERS</v>
          </cell>
          <cell r="E919" t="str">
            <v>Gifting</v>
          </cell>
        </row>
        <row r="920">
          <cell r="B920" t="str">
            <v>SHAHI UPHAR 300gm</v>
          </cell>
          <cell r="C920" t="str">
            <v>FG</v>
          </cell>
          <cell r="D920" t="str">
            <v>FESTIVE HAMPERS</v>
          </cell>
          <cell r="E920" t="str">
            <v>Gifting</v>
          </cell>
        </row>
        <row r="921">
          <cell r="B921" t="str">
            <v>SHUBHKAMANYEN 180gm</v>
          </cell>
          <cell r="C921" t="str">
            <v>FG</v>
          </cell>
          <cell r="D921" t="str">
            <v>FESTIVE HAMPERS</v>
          </cell>
          <cell r="E921" t="str">
            <v>Gifting</v>
          </cell>
        </row>
        <row r="922">
          <cell r="B922" t="str">
            <v>SIGNATURE COLLECTIONS 600gm</v>
          </cell>
          <cell r="C922" t="str">
            <v>FG</v>
          </cell>
          <cell r="D922" t="str">
            <v>FESTIVE HAMPERS</v>
          </cell>
          <cell r="E922" t="str">
            <v>Gifting</v>
          </cell>
        </row>
        <row r="923">
          <cell r="B923" t="str">
            <v>Snack Amor Diwali Gift Box 400gm</v>
          </cell>
          <cell r="C923" t="str">
            <v>FG</v>
          </cell>
          <cell r="D923" t="str">
            <v>FESTIVE HAMPERS</v>
          </cell>
          <cell r="E923" t="str">
            <v>Gifting</v>
          </cell>
        </row>
        <row r="924">
          <cell r="B924" t="str">
            <v>SPAR BANDHAN FESTIVE DRY FRUIT BOX 800G</v>
          </cell>
          <cell r="C924" t="str">
            <v>FG</v>
          </cell>
          <cell r="D924" t="str">
            <v>FESTIVE HAMPERS</v>
          </cell>
          <cell r="E924" t="str">
            <v>Gifting</v>
          </cell>
        </row>
        <row r="925">
          <cell r="B925" t="str">
            <v>SUPREME 800gm</v>
          </cell>
          <cell r="C925" t="str">
            <v>FG</v>
          </cell>
          <cell r="D925" t="str">
            <v>FESTIVE HAMPERS</v>
          </cell>
          <cell r="E925" t="str">
            <v>Gifting</v>
          </cell>
        </row>
        <row r="926">
          <cell r="B926" t="str">
            <v>Vedaka Premium Dry Fruits Combo 1000 gm Gift Box ( B0BBDP8GR2 )</v>
          </cell>
          <cell r="C926" t="str">
            <v>FG</v>
          </cell>
          <cell r="D926" t="str">
            <v>FESTIVE HAMPERS</v>
          </cell>
          <cell r="E926" t="str">
            <v>Gifting</v>
          </cell>
        </row>
        <row r="927">
          <cell r="B927" t="str">
            <v>Vedaka Premium Flavored Dry Fruits 500 gm Gift Box (B0CGVC7DF2)</v>
          </cell>
          <cell r="C927" t="str">
            <v>FG</v>
          </cell>
          <cell r="D927" t="str">
            <v>FESTIVE HAMPERS</v>
          </cell>
          <cell r="E927" t="str">
            <v>Gifting</v>
          </cell>
        </row>
        <row r="928">
          <cell r="B928" t="str">
            <v>Makhana</v>
          </cell>
          <cell r="C928" t="str">
            <v>RM</v>
          </cell>
          <cell r="D928" t="str">
            <v>MAKHANA</v>
          </cell>
          <cell r="E928" t="str">
            <v>Makhana - Suta</v>
          </cell>
        </row>
        <row r="929">
          <cell r="B929" t="str">
            <v>Makhana 4+ Sutta</v>
          </cell>
          <cell r="C929" t="str">
            <v>RM</v>
          </cell>
          <cell r="D929" t="str">
            <v>MAKHANA</v>
          </cell>
          <cell r="E929" t="str">
            <v>Makhana - Suta</v>
          </cell>
        </row>
        <row r="930">
          <cell r="B930" t="str">
            <v>Makhana 5 Suta</v>
          </cell>
          <cell r="C930" t="str">
            <v>RM</v>
          </cell>
          <cell r="D930" t="str">
            <v>MAKHANA</v>
          </cell>
          <cell r="E930" t="str">
            <v>Makhana - Suta</v>
          </cell>
        </row>
        <row r="931">
          <cell r="B931" t="str">
            <v>Barbeque Makhana</v>
          </cell>
          <cell r="C931" t="str">
            <v>FG</v>
          </cell>
          <cell r="D931" t="str">
            <v>MAKHANA</v>
          </cell>
          <cell r="E931" t="str">
            <v>Makhana - Suta</v>
          </cell>
        </row>
        <row r="932">
          <cell r="B932" t="str">
            <v>Carnival Barbeque Makhana 125 Gm</v>
          </cell>
          <cell r="C932" t="str">
            <v>FG</v>
          </cell>
          <cell r="D932" t="str">
            <v>MAKHANA</v>
          </cell>
          <cell r="E932" t="str">
            <v>Makhana - Suta</v>
          </cell>
        </row>
        <row r="933">
          <cell r="B933" t="str">
            <v>Carnival Barbeque Makhana 55g</v>
          </cell>
          <cell r="C933" t="str">
            <v>FG</v>
          </cell>
          <cell r="D933" t="str">
            <v>MAKHANA</v>
          </cell>
          <cell r="E933" t="str">
            <v>Makhana - Suta</v>
          </cell>
        </row>
        <row r="934">
          <cell r="B934" t="str">
            <v>Carnival Black Pepper Makhana 125 Gm</v>
          </cell>
          <cell r="C934" t="str">
            <v>FG</v>
          </cell>
          <cell r="D934" t="str">
            <v>MAKHANA</v>
          </cell>
          <cell r="E934" t="str">
            <v>Makhana - Suta</v>
          </cell>
        </row>
        <row r="935">
          <cell r="B935" t="str">
            <v>Carnival Black Pepper Makhana 55g</v>
          </cell>
          <cell r="C935" t="str">
            <v>FG</v>
          </cell>
          <cell r="D935" t="str">
            <v>MAKHANA</v>
          </cell>
          <cell r="E935" t="str">
            <v>Makhana - Suta</v>
          </cell>
        </row>
        <row r="936">
          <cell r="B936" t="str">
            <v>Carnival Cheese Makhana 125g</v>
          </cell>
          <cell r="C936" t="str">
            <v>FG</v>
          </cell>
          <cell r="D936" t="str">
            <v>MAKHANA</v>
          </cell>
          <cell r="E936" t="str">
            <v>Makhana - Suta</v>
          </cell>
        </row>
        <row r="937">
          <cell r="B937" t="str">
            <v>Carnival Cheese Makhana 55g</v>
          </cell>
          <cell r="C937" t="str">
            <v>FG</v>
          </cell>
          <cell r="D937" t="str">
            <v>MAKHANA</v>
          </cell>
          <cell r="E937" t="str">
            <v>Makhana - Suta</v>
          </cell>
        </row>
        <row r="938">
          <cell r="B938" t="str">
            <v>Carnival Makhana Plain 250g</v>
          </cell>
          <cell r="C938" t="str">
            <v>FG</v>
          </cell>
          <cell r="D938" t="str">
            <v>MAKHANA</v>
          </cell>
          <cell r="E938" t="str">
            <v>Makhana - Suta</v>
          </cell>
        </row>
        <row r="939">
          <cell r="B939" t="str">
            <v>Carnival Peri Peri Makhana 125g</v>
          </cell>
          <cell r="C939" t="str">
            <v>FG</v>
          </cell>
          <cell r="D939" t="str">
            <v>MAKHANA</v>
          </cell>
          <cell r="E939" t="str">
            <v>Makhana - Suta</v>
          </cell>
        </row>
        <row r="940">
          <cell r="B940" t="str">
            <v>Carnival Peri Peri Makhana 55g</v>
          </cell>
          <cell r="C940" t="str">
            <v>FG</v>
          </cell>
          <cell r="D940" t="str">
            <v>MAKHANA</v>
          </cell>
          <cell r="E940" t="str">
            <v>Makhana - Suta</v>
          </cell>
        </row>
        <row r="941">
          <cell r="B941" t="str">
            <v>Carnival Popcorn Makhana 125g</v>
          </cell>
          <cell r="C941" t="str">
            <v>FG</v>
          </cell>
          <cell r="D941" t="str">
            <v>MAKHANA</v>
          </cell>
          <cell r="E941" t="str">
            <v>Makhana - Suta</v>
          </cell>
        </row>
        <row r="942">
          <cell r="B942" t="str">
            <v>Carnival Popcorn Makhana 55gm</v>
          </cell>
          <cell r="C942" t="str">
            <v>FG</v>
          </cell>
          <cell r="D942" t="str">
            <v>MAKHANA</v>
          </cell>
          <cell r="E942" t="str">
            <v>Makhana - Suta</v>
          </cell>
        </row>
        <row r="943">
          <cell r="B943" t="str">
            <v>Carnival Pudina Makhana 125 Gm</v>
          </cell>
          <cell r="C943" t="str">
            <v>FG</v>
          </cell>
          <cell r="D943" t="str">
            <v>MAKHANA</v>
          </cell>
          <cell r="E943" t="str">
            <v>Makhana - Suta</v>
          </cell>
        </row>
        <row r="944">
          <cell r="B944" t="str">
            <v>Carnival Wasabi Makhana 55g</v>
          </cell>
          <cell r="C944" t="str">
            <v>FG</v>
          </cell>
          <cell r="D944" t="str">
            <v>MAKHANA</v>
          </cell>
          <cell r="E944" t="str">
            <v>Makhana - Suta</v>
          </cell>
        </row>
        <row r="945">
          <cell r="B945" t="str">
            <v>Cheese Makhana</v>
          </cell>
          <cell r="C945" t="str">
            <v>FG</v>
          </cell>
          <cell r="D945" t="str">
            <v>MAKHANA</v>
          </cell>
          <cell r="E945" t="str">
            <v>Makhana - Suta</v>
          </cell>
        </row>
        <row r="946">
          <cell r="B946" t="str">
            <v>Cococart Cheese Makhana 100gm</v>
          </cell>
          <cell r="C946" t="str">
            <v>FG</v>
          </cell>
          <cell r="D946" t="str">
            <v>MAKHANA</v>
          </cell>
          <cell r="E946" t="str">
            <v>Makhana - Suta</v>
          </cell>
        </row>
        <row r="947">
          <cell r="B947" t="str">
            <v>Cococart Himalayan Pink Salt Makhana 100gm</v>
          </cell>
          <cell r="C947" t="str">
            <v>FG</v>
          </cell>
          <cell r="D947" t="str">
            <v>MAKHANA</v>
          </cell>
          <cell r="E947" t="str">
            <v>Makhana - Suta</v>
          </cell>
        </row>
        <row r="948">
          <cell r="B948" t="str">
            <v>Cococart Lime Chilli Makhana 100gm</v>
          </cell>
          <cell r="C948" t="str">
            <v>FG</v>
          </cell>
          <cell r="D948" t="str">
            <v>MAKHANA</v>
          </cell>
          <cell r="E948" t="str">
            <v>Makhana - Suta</v>
          </cell>
        </row>
        <row r="949">
          <cell r="B949" t="str">
            <v>Cococart Pudina Salt Makhana 100gm</v>
          </cell>
          <cell r="C949" t="str">
            <v>FG</v>
          </cell>
          <cell r="D949" t="str">
            <v>MAKHANA</v>
          </cell>
          <cell r="E949" t="str">
            <v>Makhana - Suta</v>
          </cell>
        </row>
        <row r="950">
          <cell r="B950" t="str">
            <v>Healthy &amp; Tasty BBQ Makhana 25gm</v>
          </cell>
          <cell r="C950" t="str">
            <v>FG</v>
          </cell>
          <cell r="D950" t="str">
            <v>MAKHANA</v>
          </cell>
          <cell r="E950" t="str">
            <v>Makhana - Suta</v>
          </cell>
        </row>
        <row r="951">
          <cell r="B951" t="str">
            <v>Healthy &amp; Tasty Ghee and Himalayan Pink Salt Makhana 25gm</v>
          </cell>
          <cell r="C951" t="str">
            <v>FG</v>
          </cell>
          <cell r="D951" t="str">
            <v>MAKHANA</v>
          </cell>
          <cell r="E951" t="str">
            <v>Makhana - Suta</v>
          </cell>
        </row>
        <row r="952">
          <cell r="B952" t="str">
            <v>Healthy &amp; Tasty Peri Peri Makhana 25gm</v>
          </cell>
          <cell r="C952" t="str">
            <v>FG</v>
          </cell>
          <cell r="D952" t="str">
            <v>MAKHANA</v>
          </cell>
          <cell r="E952" t="str">
            <v>Makhana - Suta</v>
          </cell>
        </row>
        <row r="953">
          <cell r="B953" t="str">
            <v>Healthy &amp; Tasty Pudina Makhana 25gm</v>
          </cell>
          <cell r="C953" t="str">
            <v>FG</v>
          </cell>
          <cell r="D953" t="str">
            <v>MAKHANA</v>
          </cell>
          <cell r="E953" t="str">
            <v>Makhana - Suta</v>
          </cell>
        </row>
        <row r="954">
          <cell r="B954" t="str">
            <v>Makhana Black Pepper</v>
          </cell>
          <cell r="C954" t="str">
            <v>FG</v>
          </cell>
          <cell r="D954" t="str">
            <v>MAKHANA</v>
          </cell>
          <cell r="E954" t="str">
            <v>Makhana - Suta</v>
          </cell>
        </row>
        <row r="955">
          <cell r="B955" t="str">
            <v>Makhana Black Salt 75gm</v>
          </cell>
          <cell r="C955" t="str">
            <v>FG</v>
          </cell>
          <cell r="D955" t="str">
            <v>MAKHANA</v>
          </cell>
          <cell r="E955" t="str">
            <v>Makhana - Suta</v>
          </cell>
        </row>
        <row r="956">
          <cell r="B956" t="str">
            <v>Makhana Chilli Lime 75gm</v>
          </cell>
          <cell r="C956" t="str">
            <v>FG</v>
          </cell>
          <cell r="D956" t="str">
            <v>MAKHANA</v>
          </cell>
          <cell r="E956" t="str">
            <v>Makhana - Suta</v>
          </cell>
        </row>
        <row r="957">
          <cell r="B957" t="str">
            <v>Makhana Himalayan Pink Salt</v>
          </cell>
          <cell r="C957" t="str">
            <v>FG</v>
          </cell>
          <cell r="D957" t="str">
            <v>MAKHANA</v>
          </cell>
          <cell r="E957" t="str">
            <v>Makhana - Suta</v>
          </cell>
        </row>
        <row r="958">
          <cell r="B958" t="str">
            <v>Makhana Himalayan Pink Salt 75gm</v>
          </cell>
          <cell r="C958" t="str">
            <v>FG</v>
          </cell>
          <cell r="D958" t="str">
            <v>MAKHANA</v>
          </cell>
          <cell r="E958" t="str">
            <v>Makhana - Suta</v>
          </cell>
        </row>
        <row r="959">
          <cell r="B959" t="str">
            <v>Makhana Masala</v>
          </cell>
          <cell r="C959" t="str">
            <v>FG</v>
          </cell>
          <cell r="D959" t="str">
            <v>MAKHANA</v>
          </cell>
          <cell r="E959" t="str">
            <v>Makhana - Suta</v>
          </cell>
        </row>
        <row r="960">
          <cell r="B960" t="str">
            <v>Makhana Peri Peri</v>
          </cell>
          <cell r="C960" t="str">
            <v>FG</v>
          </cell>
          <cell r="D960" t="str">
            <v>MAKHANA</v>
          </cell>
          <cell r="E960" t="str">
            <v>Makhana - Suta</v>
          </cell>
        </row>
        <row r="961">
          <cell r="B961" t="str">
            <v>Makhana Salted 50gm</v>
          </cell>
          <cell r="C961" t="str">
            <v>FG</v>
          </cell>
          <cell r="D961" t="str">
            <v>MAKHANA</v>
          </cell>
          <cell r="E961" t="str">
            <v>Makhana - Suta</v>
          </cell>
        </row>
        <row r="962">
          <cell r="B962" t="str">
            <v>Makhana Tangy Tomato 75gm</v>
          </cell>
          <cell r="C962" t="str">
            <v>FG</v>
          </cell>
          <cell r="D962" t="str">
            <v>MAKHANA</v>
          </cell>
          <cell r="E962" t="str">
            <v>Makhana - Suta</v>
          </cell>
        </row>
        <row r="963">
          <cell r="B963" t="str">
            <v>Pudina Makhana</v>
          </cell>
          <cell r="C963" t="str">
            <v>FG</v>
          </cell>
          <cell r="D963" t="str">
            <v>MAKHANA</v>
          </cell>
          <cell r="E963" t="str">
            <v>Makhana - Suta</v>
          </cell>
        </row>
        <row r="964">
          <cell r="B964" t="str">
            <v>Pudina Makhana 50gm</v>
          </cell>
          <cell r="C964" t="str">
            <v>FG</v>
          </cell>
          <cell r="D964" t="str">
            <v>MAKHANA</v>
          </cell>
          <cell r="E964" t="str">
            <v>Makhana - Suta</v>
          </cell>
        </row>
        <row r="965">
          <cell r="B965" t="str">
            <v>Roasted Makhana</v>
          </cell>
          <cell r="C965" t="str">
            <v>FG</v>
          </cell>
          <cell r="D965" t="str">
            <v>MAKHANA</v>
          </cell>
          <cell r="E965" t="str">
            <v>Makhana - Suta</v>
          </cell>
        </row>
        <row r="966">
          <cell r="B966" t="str">
            <v>Snack Amor Popcorn Makhana 55 Gm</v>
          </cell>
          <cell r="C966" t="str">
            <v>FG</v>
          </cell>
          <cell r="D966" t="str">
            <v>MAKHANA</v>
          </cell>
          <cell r="E966" t="str">
            <v>Makhana - Suta</v>
          </cell>
        </row>
        <row r="967">
          <cell r="B967" t="str">
            <v>Tasties Makhanas - Barbeque, Roasted, Vegan &amp; Gluten Free, 25 g</v>
          </cell>
          <cell r="C967" t="str">
            <v>FG</v>
          </cell>
          <cell r="D967" t="str">
            <v>MAKHANA</v>
          </cell>
          <cell r="E967" t="str">
            <v>Makhana - Suta</v>
          </cell>
        </row>
        <row r="968">
          <cell r="B968" t="str">
            <v>Tasties Makhanas - Cheese, Roasted, Vegan &amp; Gluten Free 25 g</v>
          </cell>
          <cell r="C968" t="str">
            <v>FG</v>
          </cell>
          <cell r="D968" t="str">
            <v>MAKHANA</v>
          </cell>
          <cell r="E968" t="str">
            <v>Makhana - Suta</v>
          </cell>
        </row>
        <row r="969">
          <cell r="B969" t="str">
            <v>Tasties Makhanas - Peri Peri, Roasted, Vegan &amp; Gluten Free 25 g</v>
          </cell>
          <cell r="C969" t="str">
            <v>FG</v>
          </cell>
          <cell r="D969" t="str">
            <v>MAKHANA</v>
          </cell>
          <cell r="E969" t="str">
            <v>Makhana - Suta</v>
          </cell>
        </row>
        <row r="970">
          <cell r="B970" t="str">
            <v>Tasties Makhanas - Tandoori, Roasted, Vegan &amp; Gluten Free 25 g</v>
          </cell>
          <cell r="C970" t="str">
            <v>FG</v>
          </cell>
          <cell r="D970" t="str">
            <v>MAKHANA</v>
          </cell>
          <cell r="E970" t="str">
            <v>Makhana - Suta</v>
          </cell>
        </row>
        <row r="971">
          <cell r="B971" t="str">
            <v>Wasabi Makhana</v>
          </cell>
          <cell r="C971" t="str">
            <v>FG</v>
          </cell>
          <cell r="D971" t="str">
            <v>MAKHANA</v>
          </cell>
          <cell r="E971" t="str">
            <v>Makhana - Suta</v>
          </cell>
        </row>
        <row r="972">
          <cell r="B972" t="str">
            <v>OFF-GRADE MAKHANA</v>
          </cell>
          <cell r="C972" t="str">
            <v>RM</v>
          </cell>
          <cell r="D972" t="str">
            <v>MAKHANA</v>
          </cell>
          <cell r="E972" t="str">
            <v>OFF-GRADE MAKHANA</v>
          </cell>
        </row>
        <row r="973">
          <cell r="B973" t="str">
            <v>DARK CHOCOLATE COUVERTURE 811</v>
          </cell>
          <cell r="C973" t="str">
            <v>RM</v>
          </cell>
          <cell r="D973" t="str">
            <v>MISCELLANEOUS - RM</v>
          </cell>
          <cell r="E973" t="str">
            <v>Chocolate</v>
          </cell>
        </row>
        <row r="974">
          <cell r="B974" t="str">
            <v>Dark Compound Chocolate</v>
          </cell>
          <cell r="C974" t="str">
            <v>RM</v>
          </cell>
          <cell r="D974" t="str">
            <v>MISCELLANEOUS - RM</v>
          </cell>
          <cell r="E974" t="str">
            <v>Chocolate</v>
          </cell>
        </row>
        <row r="975">
          <cell r="B975" t="str">
            <v>MILK CHOCOLATE COUVERTURE 823</v>
          </cell>
          <cell r="C975" t="str">
            <v>RM</v>
          </cell>
          <cell r="D975" t="str">
            <v>MISCELLANEOUS - RM</v>
          </cell>
          <cell r="E975" t="str">
            <v>Chocolate</v>
          </cell>
        </row>
        <row r="976">
          <cell r="B976" t="str">
            <v>Milk Compound Chocolate</v>
          </cell>
          <cell r="C976" t="str">
            <v>RM</v>
          </cell>
          <cell r="D976" t="str">
            <v>MISCELLANEOUS - RM</v>
          </cell>
          <cell r="E976" t="str">
            <v>Chocolate</v>
          </cell>
        </row>
        <row r="977">
          <cell r="B977" t="str">
            <v>Morde Dark Chocolate - CHD45</v>
          </cell>
          <cell r="C977" t="str">
            <v>RM</v>
          </cell>
          <cell r="D977" t="str">
            <v>MISCELLANEOUS - RM</v>
          </cell>
          <cell r="E977" t="str">
            <v>Chocolate</v>
          </cell>
        </row>
        <row r="978">
          <cell r="B978" t="str">
            <v>Morde Dark Chocolate - CHD55</v>
          </cell>
          <cell r="C978" t="str">
            <v>RM</v>
          </cell>
          <cell r="D978" t="str">
            <v>MISCELLANEOUS - RM</v>
          </cell>
          <cell r="E978" t="str">
            <v>Chocolate</v>
          </cell>
        </row>
        <row r="979">
          <cell r="B979" t="str">
            <v>Morde White Chocolate - CHW35</v>
          </cell>
          <cell r="C979" t="str">
            <v>RM</v>
          </cell>
          <cell r="D979" t="str">
            <v>MISCELLANEOUS - RM</v>
          </cell>
          <cell r="E979" t="str">
            <v>Chocolate</v>
          </cell>
        </row>
        <row r="980">
          <cell r="B980" t="str">
            <v>Premix- Chocolate &amp; Oats Bites</v>
          </cell>
          <cell r="C980" t="str">
            <v>RM</v>
          </cell>
          <cell r="D980" t="str">
            <v>MISCELLANEOUS - RM</v>
          </cell>
          <cell r="E980" t="str">
            <v>Chocolate</v>
          </cell>
        </row>
        <row r="981">
          <cell r="B981" t="str">
            <v>Premix- Date &amp; Nuts Bites</v>
          </cell>
          <cell r="C981" t="str">
            <v>RM</v>
          </cell>
          <cell r="D981" t="str">
            <v>MISCELLANEOUS - RM</v>
          </cell>
          <cell r="E981" t="str">
            <v>Chocolate</v>
          </cell>
        </row>
        <row r="982">
          <cell r="B982" t="str">
            <v>Premix-Cofee Nutribite</v>
          </cell>
          <cell r="C982" t="str">
            <v>RM</v>
          </cell>
          <cell r="D982" t="str">
            <v>MISCELLANEOUS - RM</v>
          </cell>
          <cell r="E982" t="str">
            <v>Chocolate</v>
          </cell>
        </row>
        <row r="983">
          <cell r="B983" t="str">
            <v>Premix-Salted Caramel Nutribites</v>
          </cell>
          <cell r="C983" t="str">
            <v>RM</v>
          </cell>
          <cell r="D983" t="str">
            <v>MISCELLANEOUS - RM</v>
          </cell>
          <cell r="E983" t="str">
            <v>Chocolate</v>
          </cell>
        </row>
        <row r="984">
          <cell r="B984" t="str">
            <v>Semi Sweet Compound</v>
          </cell>
          <cell r="C984" t="str">
            <v>RM</v>
          </cell>
          <cell r="D984" t="str">
            <v>MISCELLANEOUS - RM</v>
          </cell>
          <cell r="E984" t="str">
            <v>Chocolate</v>
          </cell>
        </row>
        <row r="985">
          <cell r="B985" t="str">
            <v>Urban Platter Choco drizzle Waffle Chips, 1kg</v>
          </cell>
          <cell r="C985" t="str">
            <v>RM</v>
          </cell>
          <cell r="D985" t="str">
            <v>MISCELLANEOUS - RM</v>
          </cell>
          <cell r="E985" t="str">
            <v>Chocolate</v>
          </cell>
        </row>
        <row r="986">
          <cell r="B986" t="str">
            <v>WHITE CHOCOLATE W2</v>
          </cell>
          <cell r="C986" t="str">
            <v>RM</v>
          </cell>
          <cell r="D986" t="str">
            <v>MISCELLANEOUS - RM</v>
          </cell>
          <cell r="E986" t="str">
            <v>Chocolate</v>
          </cell>
        </row>
        <row r="987">
          <cell r="B987" t="str">
            <v>White Compound Chocolate</v>
          </cell>
          <cell r="C987" t="str">
            <v>RM</v>
          </cell>
          <cell r="D987" t="str">
            <v>MISCELLANEOUS - RM</v>
          </cell>
          <cell r="E987" t="str">
            <v>Chocolate</v>
          </cell>
        </row>
        <row r="988">
          <cell r="B988" t="str">
            <v>Bajra Flakes</v>
          </cell>
          <cell r="C988" t="str">
            <v>RM</v>
          </cell>
          <cell r="D988" t="str">
            <v>MISCELLANEOUS - RM</v>
          </cell>
          <cell r="E988" t="str">
            <v>Flakes</v>
          </cell>
        </row>
        <row r="989">
          <cell r="B989" t="str">
            <v>Barley Flakes</v>
          </cell>
          <cell r="C989" t="str">
            <v>RM</v>
          </cell>
          <cell r="D989" t="str">
            <v>MISCELLANEOUS - RM</v>
          </cell>
          <cell r="E989" t="str">
            <v>Flakes</v>
          </cell>
        </row>
        <row r="990">
          <cell r="B990" t="str">
            <v>Corn Flakes</v>
          </cell>
          <cell r="C990" t="str">
            <v>RM</v>
          </cell>
          <cell r="D990" t="str">
            <v>MISCELLANEOUS - RM</v>
          </cell>
          <cell r="E990" t="str">
            <v>Flakes</v>
          </cell>
        </row>
        <row r="991">
          <cell r="B991" t="str">
            <v>Dried Coconut Flakes [Khaman Srifal]</v>
          </cell>
          <cell r="C991" t="str">
            <v>RM</v>
          </cell>
          <cell r="D991" t="str">
            <v>MISCELLANEOUS - RM</v>
          </cell>
          <cell r="E991" t="str">
            <v>Flakes</v>
          </cell>
        </row>
        <row r="992">
          <cell r="B992" t="str">
            <v>Jowar Flakes</v>
          </cell>
          <cell r="C992" t="str">
            <v>RM</v>
          </cell>
          <cell r="D992" t="str">
            <v>MISCELLANEOUS - RM</v>
          </cell>
          <cell r="E992" t="str">
            <v>Flakes</v>
          </cell>
        </row>
        <row r="993">
          <cell r="B993" t="str">
            <v>BAJRI AATA</v>
          </cell>
          <cell r="C993" t="str">
            <v>RM</v>
          </cell>
          <cell r="D993" t="str">
            <v>MISCELLANEOUS - RM</v>
          </cell>
          <cell r="E993" t="str">
            <v>Flour</v>
          </cell>
        </row>
        <row r="994">
          <cell r="B994" t="str">
            <v>BESAN AATA</v>
          </cell>
          <cell r="C994" t="str">
            <v>RM</v>
          </cell>
          <cell r="D994" t="str">
            <v>MISCELLANEOUS - RM</v>
          </cell>
          <cell r="E994" t="str">
            <v>Flour</v>
          </cell>
        </row>
        <row r="995">
          <cell r="B995" t="str">
            <v>Maida 0%</v>
          </cell>
          <cell r="C995" t="str">
            <v>RM</v>
          </cell>
          <cell r="D995" t="str">
            <v>MISCELLANEOUS - RM</v>
          </cell>
          <cell r="E995" t="str">
            <v>Flour</v>
          </cell>
        </row>
        <row r="996">
          <cell r="B996" t="str">
            <v>Nachni Atta</v>
          </cell>
          <cell r="C996" t="str">
            <v>RM</v>
          </cell>
          <cell r="D996" t="str">
            <v>MISCELLANEOUS - RM</v>
          </cell>
          <cell r="E996" t="str">
            <v>Flour</v>
          </cell>
        </row>
        <row r="997">
          <cell r="B997" t="str">
            <v>Rajgira Atta</v>
          </cell>
          <cell r="C997" t="str">
            <v>RM</v>
          </cell>
          <cell r="D997" t="str">
            <v>MISCELLANEOUS - RM</v>
          </cell>
          <cell r="E997" t="str">
            <v>Flour</v>
          </cell>
        </row>
        <row r="998">
          <cell r="B998" t="str">
            <v>Rice Atta</v>
          </cell>
          <cell r="C998" t="str">
            <v>RM</v>
          </cell>
          <cell r="D998" t="str">
            <v>MISCELLANEOUS - RM</v>
          </cell>
          <cell r="E998" t="str">
            <v>Flour</v>
          </cell>
        </row>
        <row r="999">
          <cell r="B999" t="str">
            <v>Other Scrap</v>
          </cell>
          <cell r="C999" t="str">
            <v>RM</v>
          </cell>
          <cell r="D999" t="str">
            <v>MISCELLANEOUS - RM</v>
          </cell>
          <cell r="E999" t="str">
            <v>Off-Grade Misc</v>
          </cell>
        </row>
        <row r="1000">
          <cell r="B1000" t="str">
            <v>Pista Shells / Kapchi</v>
          </cell>
          <cell r="C1000" t="str">
            <v>RM</v>
          </cell>
          <cell r="D1000" t="str">
            <v>MISCELLANEOUS - RM</v>
          </cell>
          <cell r="E1000" t="str">
            <v>Off-Grade Shells</v>
          </cell>
        </row>
        <row r="1001">
          <cell r="B1001" t="str">
            <v>Acacia Gum - Dink/ Gundar</v>
          </cell>
          <cell r="C1001" t="str">
            <v>RM</v>
          </cell>
          <cell r="D1001" t="str">
            <v>MISCELLANEOUS - RM</v>
          </cell>
          <cell r="E1001" t="str">
            <v>Other Misc</v>
          </cell>
        </row>
        <row r="1002">
          <cell r="B1002" t="str">
            <v>Aloevra Extract</v>
          </cell>
          <cell r="C1002" t="str">
            <v>RM</v>
          </cell>
          <cell r="D1002" t="str">
            <v>MISCELLANEOUS - RM</v>
          </cell>
          <cell r="E1002" t="str">
            <v>Other Misc</v>
          </cell>
        </row>
        <row r="1003">
          <cell r="B1003" t="str">
            <v>Amarath Puff</v>
          </cell>
          <cell r="C1003" t="str">
            <v>RM</v>
          </cell>
          <cell r="D1003" t="str">
            <v>MISCELLANEOUS - RM</v>
          </cell>
          <cell r="E1003" t="str">
            <v>Other Misc</v>
          </cell>
        </row>
        <row r="1004">
          <cell r="B1004" t="str">
            <v>Amarath Puff  - 5%</v>
          </cell>
          <cell r="C1004" t="str">
            <v>RM</v>
          </cell>
          <cell r="D1004" t="str">
            <v>MISCELLANEOUS - RM</v>
          </cell>
          <cell r="E1004" t="str">
            <v>Other Misc</v>
          </cell>
        </row>
        <row r="1005">
          <cell r="B1005" t="str">
            <v>Amul Butter</v>
          </cell>
          <cell r="C1005" t="str">
            <v>RM</v>
          </cell>
          <cell r="D1005" t="str">
            <v>MISCELLANEOUS - RM</v>
          </cell>
          <cell r="E1005" t="str">
            <v>Other Misc</v>
          </cell>
        </row>
        <row r="1006">
          <cell r="B1006" t="str">
            <v>Ashwagandha Powder</v>
          </cell>
          <cell r="C1006" t="str">
            <v>RM</v>
          </cell>
          <cell r="D1006" t="str">
            <v>MISCELLANEOUS - RM</v>
          </cell>
          <cell r="E1006" t="str">
            <v>Other Misc</v>
          </cell>
        </row>
        <row r="1007">
          <cell r="B1007" t="str">
            <v>Barley Lahi</v>
          </cell>
          <cell r="C1007" t="str">
            <v>RM</v>
          </cell>
          <cell r="D1007" t="str">
            <v>MISCELLANEOUS - RM</v>
          </cell>
          <cell r="E1007" t="str">
            <v>Other Misc</v>
          </cell>
        </row>
        <row r="1008">
          <cell r="B1008" t="str">
            <v>Brahmi Extract</v>
          </cell>
          <cell r="C1008" t="str">
            <v>RM</v>
          </cell>
          <cell r="D1008" t="str">
            <v>MISCELLANEOUS - RM</v>
          </cell>
          <cell r="E1008" t="str">
            <v>Other Misc</v>
          </cell>
        </row>
        <row r="1009">
          <cell r="B1009" t="str">
            <v>Canola Oil</v>
          </cell>
          <cell r="C1009" t="str">
            <v>RM</v>
          </cell>
          <cell r="D1009" t="str">
            <v>MISCELLANEOUS - RM</v>
          </cell>
          <cell r="E1009" t="str">
            <v>Other Misc</v>
          </cell>
        </row>
        <row r="1010">
          <cell r="B1010" t="str">
            <v>CAPOL 254N</v>
          </cell>
          <cell r="C1010" t="str">
            <v>RM</v>
          </cell>
          <cell r="D1010" t="str">
            <v>MISCELLANEOUS - RM</v>
          </cell>
          <cell r="E1010" t="str">
            <v>Other Misc</v>
          </cell>
        </row>
        <row r="1011">
          <cell r="B1011" t="str">
            <v>CAPOL 425M</v>
          </cell>
          <cell r="C1011" t="str">
            <v>RM</v>
          </cell>
          <cell r="D1011" t="str">
            <v>MISCELLANEOUS - RM</v>
          </cell>
          <cell r="E1011" t="str">
            <v>Other Misc</v>
          </cell>
        </row>
        <row r="1012">
          <cell r="B1012" t="str">
            <v>Cheddar Cheese Seasoning</v>
          </cell>
          <cell r="C1012" t="str">
            <v>RM</v>
          </cell>
          <cell r="D1012" t="str">
            <v>MISCELLANEOUS - RM</v>
          </cell>
          <cell r="E1012" t="str">
            <v>Other Misc</v>
          </cell>
        </row>
        <row r="1013">
          <cell r="B1013" t="str">
            <v>Chironji , Charoli</v>
          </cell>
          <cell r="C1013" t="str">
            <v>RM</v>
          </cell>
          <cell r="D1013" t="str">
            <v>MISCELLANEOUS - RM</v>
          </cell>
          <cell r="E1013" t="str">
            <v>Other Misc</v>
          </cell>
        </row>
        <row r="1014">
          <cell r="B1014" t="str">
            <v>Cinnamon Flavour</v>
          </cell>
          <cell r="C1014" t="str">
            <v>RM</v>
          </cell>
          <cell r="D1014" t="str">
            <v>MISCELLANEOUS - RM</v>
          </cell>
          <cell r="E1014" t="str">
            <v>Other Misc</v>
          </cell>
        </row>
        <row r="1015">
          <cell r="B1015" t="str">
            <v>Citric Acid</v>
          </cell>
          <cell r="C1015" t="str">
            <v>RM</v>
          </cell>
          <cell r="D1015" t="str">
            <v>MISCELLANEOUS - RM</v>
          </cell>
          <cell r="E1015" t="str">
            <v>Other Misc</v>
          </cell>
        </row>
        <row r="1016">
          <cell r="B1016" t="str">
            <v>Coating Mix</v>
          </cell>
          <cell r="C1016" t="str">
            <v>RM</v>
          </cell>
          <cell r="D1016" t="str">
            <v>MISCELLANEOUS - RM</v>
          </cell>
          <cell r="E1016" t="str">
            <v>Other Misc</v>
          </cell>
        </row>
        <row r="1017">
          <cell r="B1017" t="str">
            <v>Cocoa Butter</v>
          </cell>
          <cell r="C1017" t="str">
            <v>RM</v>
          </cell>
          <cell r="D1017" t="str">
            <v>MISCELLANEOUS - RM</v>
          </cell>
          <cell r="E1017" t="str">
            <v>Other Misc</v>
          </cell>
        </row>
        <row r="1018">
          <cell r="B1018" t="str">
            <v>Cocoa Powder</v>
          </cell>
          <cell r="C1018" t="str">
            <v>RM</v>
          </cell>
          <cell r="D1018" t="str">
            <v>MISCELLANEOUS - RM</v>
          </cell>
          <cell r="E1018" t="str">
            <v>Other Misc</v>
          </cell>
        </row>
        <row r="1019">
          <cell r="B1019" t="str">
            <v>COCONUT POWDER</v>
          </cell>
          <cell r="C1019" t="str">
            <v>RM</v>
          </cell>
          <cell r="D1019" t="str">
            <v>MISCELLANEOUS - RM</v>
          </cell>
          <cell r="E1019" t="str">
            <v>Other Misc</v>
          </cell>
        </row>
        <row r="1020">
          <cell r="B1020" t="str">
            <v>COFFEE EXT AQU ALC - 4010000239</v>
          </cell>
          <cell r="C1020" t="str">
            <v>RM</v>
          </cell>
          <cell r="D1020" t="str">
            <v>MISCELLANEOUS - RM</v>
          </cell>
          <cell r="E1020" t="str">
            <v>Other Misc</v>
          </cell>
        </row>
        <row r="1021">
          <cell r="B1021" t="str">
            <v>Compound [Strawberry Flvours]</v>
          </cell>
          <cell r="C1021" t="str">
            <v>RM</v>
          </cell>
          <cell r="D1021" t="str">
            <v>MISCELLANEOUS - RM</v>
          </cell>
          <cell r="E1021" t="str">
            <v>Other Misc</v>
          </cell>
        </row>
        <row r="1022">
          <cell r="B1022" t="str">
            <v>Corn Grits / Meal</v>
          </cell>
          <cell r="C1022" t="str">
            <v>RM</v>
          </cell>
          <cell r="D1022" t="str">
            <v>MISCELLANEOUS - RM</v>
          </cell>
          <cell r="E1022" t="str">
            <v>Other Misc</v>
          </cell>
        </row>
        <row r="1023">
          <cell r="B1023" t="str">
            <v>CTC TEA</v>
          </cell>
          <cell r="C1023" t="str">
            <v>RM</v>
          </cell>
          <cell r="D1023" t="str">
            <v>MISCELLANEOUS - RM</v>
          </cell>
          <cell r="E1023" t="str">
            <v>Other Misc</v>
          </cell>
        </row>
        <row r="1024">
          <cell r="B1024" t="str">
            <v>Dark Compound Chips</v>
          </cell>
          <cell r="C1024" t="str">
            <v>RM</v>
          </cell>
          <cell r="D1024" t="str">
            <v>MISCELLANEOUS - RM</v>
          </cell>
          <cell r="E1024" t="str">
            <v>Other Misc</v>
          </cell>
        </row>
        <row r="1025">
          <cell r="B1025" t="str">
            <v>Desi Ghee</v>
          </cell>
          <cell r="C1025" t="str">
            <v>RM</v>
          </cell>
          <cell r="D1025" t="str">
            <v>MISCELLANEOUS - RM</v>
          </cell>
          <cell r="E1025" t="str">
            <v>Other Misc</v>
          </cell>
        </row>
        <row r="1026">
          <cell r="B1026" t="str">
            <v>Dill Seed - Suva</v>
          </cell>
          <cell r="C1026" t="str">
            <v>RM</v>
          </cell>
          <cell r="D1026" t="str">
            <v>MISCELLANEOUS - RM</v>
          </cell>
          <cell r="E1026" t="str">
            <v>Other Misc</v>
          </cell>
        </row>
        <row r="1027">
          <cell r="B1027" t="str">
            <v>Dried Coconut - Copra</v>
          </cell>
          <cell r="C1027" t="str">
            <v>RM</v>
          </cell>
          <cell r="D1027" t="str">
            <v>MISCELLANEOUS - RM</v>
          </cell>
          <cell r="E1027" t="str">
            <v>Other Misc</v>
          </cell>
        </row>
        <row r="1028">
          <cell r="B1028" t="str">
            <v>FOS L55</v>
          </cell>
          <cell r="C1028" t="str">
            <v>RM</v>
          </cell>
          <cell r="D1028" t="str">
            <v>MISCELLANEOUS - RM</v>
          </cell>
          <cell r="E1028" t="str">
            <v>Other Misc</v>
          </cell>
        </row>
        <row r="1029">
          <cell r="B1029" t="str">
            <v>GARLIC LIQUID - 4010003414</v>
          </cell>
          <cell r="C1029" t="str">
            <v>RM</v>
          </cell>
          <cell r="D1029" t="str">
            <v>MISCELLANEOUS - RM</v>
          </cell>
          <cell r="E1029" t="str">
            <v>Other Misc</v>
          </cell>
        </row>
        <row r="1030">
          <cell r="B1030" t="str">
            <v>Girnar Kahwa Tea</v>
          </cell>
          <cell r="C1030" t="str">
            <v>RM</v>
          </cell>
          <cell r="D1030" t="str">
            <v>MISCELLANEOUS - RM</v>
          </cell>
          <cell r="E1030" t="str">
            <v>Other Misc</v>
          </cell>
        </row>
        <row r="1031">
          <cell r="B1031" t="str">
            <v>Glucose Syrup / Liquid Glucose</v>
          </cell>
          <cell r="C1031" t="str">
            <v>RM</v>
          </cell>
          <cell r="D1031" t="str">
            <v>MISCELLANEOUS - RM</v>
          </cell>
          <cell r="E1031" t="str">
            <v>Other Misc</v>
          </cell>
        </row>
        <row r="1032">
          <cell r="B1032" t="str">
            <v>Glycerin</v>
          </cell>
          <cell r="C1032" t="str">
            <v>RM</v>
          </cell>
          <cell r="D1032" t="str">
            <v>MISCELLANEOUS - RM</v>
          </cell>
          <cell r="E1032" t="str">
            <v>Other Misc</v>
          </cell>
        </row>
        <row r="1033">
          <cell r="B1033" t="str">
            <v>Glycerol Monostearate (GMS) Powder</v>
          </cell>
          <cell r="C1033" t="str">
            <v>RM</v>
          </cell>
          <cell r="D1033" t="str">
            <v>MISCELLANEOUS - RM</v>
          </cell>
          <cell r="E1033" t="str">
            <v>Other Misc</v>
          </cell>
        </row>
        <row r="1034">
          <cell r="B1034" t="str">
            <v>GOUR GUM</v>
          </cell>
          <cell r="C1034" t="str">
            <v>RM</v>
          </cell>
          <cell r="D1034" t="str">
            <v>MISCELLANEOUS - RM</v>
          </cell>
          <cell r="E1034" t="str">
            <v>Other Misc</v>
          </cell>
        </row>
        <row r="1035">
          <cell r="B1035" t="str">
            <v>Green Tea Extract</v>
          </cell>
          <cell r="C1035" t="str">
            <v>RM</v>
          </cell>
          <cell r="D1035" t="str">
            <v>MISCELLANEOUS - RM</v>
          </cell>
          <cell r="E1035" t="str">
            <v>Other Misc</v>
          </cell>
        </row>
        <row r="1036">
          <cell r="B1036" t="str">
            <v>Green Tea Plain</v>
          </cell>
          <cell r="C1036" t="str">
            <v>RM</v>
          </cell>
          <cell r="D1036" t="str">
            <v>MISCELLANEOUS - RM</v>
          </cell>
          <cell r="E1036" t="str">
            <v>Other Misc</v>
          </cell>
        </row>
        <row r="1037">
          <cell r="B1037" t="str">
            <v>Hemp Seed Oil</v>
          </cell>
          <cell r="C1037" t="str">
            <v>RM</v>
          </cell>
          <cell r="D1037" t="str">
            <v>MISCELLANEOUS - RM</v>
          </cell>
          <cell r="E1037" t="str">
            <v>Other Misc</v>
          </cell>
        </row>
        <row r="1038">
          <cell r="B1038" t="str">
            <v>Hing Powder</v>
          </cell>
          <cell r="C1038" t="str">
            <v>RM</v>
          </cell>
          <cell r="D1038" t="str">
            <v>MISCELLANEOUS - RM</v>
          </cell>
          <cell r="E1038" t="str">
            <v>Other Misc</v>
          </cell>
        </row>
        <row r="1039">
          <cell r="B1039" t="str">
            <v>Honey Loose</v>
          </cell>
          <cell r="C1039" t="str">
            <v>RM</v>
          </cell>
          <cell r="D1039" t="str">
            <v>MISCELLANEOUS - RM</v>
          </cell>
          <cell r="E1039" t="str">
            <v>Other Misc</v>
          </cell>
        </row>
        <row r="1040">
          <cell r="B1040" t="str">
            <v>Instant Coffee Powder</v>
          </cell>
          <cell r="C1040" t="str">
            <v>RM</v>
          </cell>
          <cell r="D1040" t="str">
            <v>MISCELLANEOUS - RM</v>
          </cell>
          <cell r="E1040" t="str">
            <v>Other Misc</v>
          </cell>
        </row>
        <row r="1041">
          <cell r="B1041" t="str">
            <v>Jaggery Powder</v>
          </cell>
          <cell r="C1041" t="str">
            <v>RM</v>
          </cell>
          <cell r="D1041" t="str">
            <v>MISCELLANEOUS - RM</v>
          </cell>
          <cell r="E1041" t="str">
            <v>Other Misc</v>
          </cell>
        </row>
        <row r="1042">
          <cell r="B1042" t="str">
            <v>Jaggery Powder 0%</v>
          </cell>
          <cell r="C1042" t="str">
            <v>RM</v>
          </cell>
          <cell r="D1042" t="str">
            <v>MISCELLANEOUS - RM</v>
          </cell>
          <cell r="E1042" t="str">
            <v>Other Misc</v>
          </cell>
        </row>
        <row r="1043">
          <cell r="B1043" t="str">
            <v>Jawar Puff</v>
          </cell>
          <cell r="C1043" t="str">
            <v>RM</v>
          </cell>
          <cell r="D1043" t="str">
            <v>MISCELLANEOUS - RM</v>
          </cell>
          <cell r="E1043" t="str">
            <v>Other Misc</v>
          </cell>
        </row>
        <row r="1044">
          <cell r="B1044" t="str">
            <v>Kamar Kas Powder - Dink Powder</v>
          </cell>
          <cell r="C1044" t="str">
            <v>RM</v>
          </cell>
          <cell r="D1044" t="str">
            <v>MISCELLANEOUS - RM</v>
          </cell>
          <cell r="E1044" t="str">
            <v>Other Misc</v>
          </cell>
        </row>
        <row r="1045">
          <cell r="B1045" t="str">
            <v>Kara Coconut Milk 17% 200ml</v>
          </cell>
          <cell r="C1045" t="str">
            <v>RM</v>
          </cell>
          <cell r="D1045" t="str">
            <v>MISCELLANEOUS - RM</v>
          </cell>
          <cell r="E1045" t="str">
            <v>Other Misc</v>
          </cell>
        </row>
        <row r="1046">
          <cell r="B1046" t="str">
            <v>KHUS KHUS / POPPY SEEDS</v>
          </cell>
          <cell r="C1046" t="str">
            <v>RM</v>
          </cell>
          <cell r="D1046" t="str">
            <v>MISCELLANEOUS - RM</v>
          </cell>
          <cell r="E1046" t="str">
            <v>Other Misc</v>
          </cell>
        </row>
        <row r="1047">
          <cell r="B1047" t="str">
            <v>Leaf Green 500 Gm</v>
          </cell>
          <cell r="C1047" t="str">
            <v>RM</v>
          </cell>
          <cell r="D1047" t="str">
            <v>MISCELLANEOUS - RM</v>
          </cell>
          <cell r="E1047" t="str">
            <v>Other Misc</v>
          </cell>
        </row>
        <row r="1048">
          <cell r="B1048" t="str">
            <v>Lemon Pickle</v>
          </cell>
          <cell r="C1048" t="str">
            <v>RM</v>
          </cell>
          <cell r="D1048" t="str">
            <v>MISCELLANEOUS - RM</v>
          </cell>
          <cell r="E1048" t="str">
            <v>Other Misc</v>
          </cell>
        </row>
        <row r="1049">
          <cell r="B1049" t="str">
            <v>Maltitol Liquid</v>
          </cell>
          <cell r="C1049" t="str">
            <v>RM</v>
          </cell>
          <cell r="D1049" t="str">
            <v>MISCELLANEOUS - RM</v>
          </cell>
          <cell r="E1049" t="str">
            <v>Other Misc</v>
          </cell>
        </row>
        <row r="1050">
          <cell r="B1050" t="str">
            <v>Methi</v>
          </cell>
          <cell r="C1050" t="str">
            <v>RM</v>
          </cell>
          <cell r="D1050" t="str">
            <v>MISCELLANEOUS - RM</v>
          </cell>
          <cell r="E1050" t="str">
            <v>Other Misc</v>
          </cell>
        </row>
        <row r="1051">
          <cell r="B1051" t="str">
            <v>MILK MAID</v>
          </cell>
          <cell r="C1051" t="str">
            <v>RM</v>
          </cell>
          <cell r="D1051" t="str">
            <v>MISCELLANEOUS - RM</v>
          </cell>
          <cell r="E1051" t="str">
            <v>Other Misc</v>
          </cell>
        </row>
        <row r="1052">
          <cell r="B1052" t="str">
            <v>Millet</v>
          </cell>
          <cell r="C1052" t="str">
            <v>RM</v>
          </cell>
          <cell r="D1052" t="str">
            <v>MISCELLANEOUS - RM</v>
          </cell>
          <cell r="E1052" t="str">
            <v>Other Misc</v>
          </cell>
        </row>
        <row r="1053">
          <cell r="B1053" t="str">
            <v>Mishri / Crystal Sugar/ Khadi Sakhar</v>
          </cell>
          <cell r="C1053" t="str">
            <v>RM</v>
          </cell>
          <cell r="D1053" t="str">
            <v>MISCELLANEOUS - RM</v>
          </cell>
          <cell r="E1053" t="str">
            <v>Other Misc</v>
          </cell>
        </row>
        <row r="1054">
          <cell r="B1054" t="str">
            <v>MODIFIED STARCH- CRISPYTEC</v>
          </cell>
          <cell r="C1054" t="str">
            <v>RM</v>
          </cell>
          <cell r="D1054" t="str">
            <v>MISCELLANEOUS - RM</v>
          </cell>
          <cell r="E1054" t="str">
            <v>Other Misc</v>
          </cell>
        </row>
        <row r="1055">
          <cell r="B1055" t="str">
            <v>MOONG</v>
          </cell>
          <cell r="C1055" t="str">
            <v>RM</v>
          </cell>
          <cell r="D1055" t="str">
            <v>MISCELLANEOUS - RM</v>
          </cell>
          <cell r="E1055" t="str">
            <v>Other Misc</v>
          </cell>
        </row>
        <row r="1056">
          <cell r="B1056" t="str">
            <v>Moringa Extract</v>
          </cell>
          <cell r="C1056" t="str">
            <v>RM</v>
          </cell>
          <cell r="D1056" t="str">
            <v>MISCELLANEOUS - RM</v>
          </cell>
          <cell r="E1056" t="str">
            <v>Other Misc</v>
          </cell>
        </row>
        <row r="1057">
          <cell r="B1057" t="str">
            <v>NASURE 19</v>
          </cell>
          <cell r="C1057" t="str">
            <v>RM</v>
          </cell>
          <cell r="D1057" t="str">
            <v>MISCELLANEOUS - RM</v>
          </cell>
          <cell r="E1057" t="str">
            <v>Other Misc</v>
          </cell>
        </row>
        <row r="1058">
          <cell r="B1058" t="str">
            <v>NEALSOYA 16-B</v>
          </cell>
          <cell r="C1058" t="str">
            <v>RM</v>
          </cell>
          <cell r="D1058" t="str">
            <v>MISCELLANEOUS - RM</v>
          </cell>
          <cell r="E1058" t="str">
            <v>Other Misc</v>
          </cell>
        </row>
        <row r="1059">
          <cell r="B1059" t="str">
            <v>Nitrogen F Grade</v>
          </cell>
          <cell r="C1059" t="str">
            <v>RM</v>
          </cell>
          <cell r="D1059" t="str">
            <v>MISCELLANEOUS - RM</v>
          </cell>
          <cell r="E1059" t="str">
            <v>Other Misc</v>
          </cell>
        </row>
        <row r="1060">
          <cell r="B1060" t="str">
            <v>OATS</v>
          </cell>
          <cell r="C1060" t="str">
            <v>RM</v>
          </cell>
          <cell r="D1060" t="str">
            <v>MISCELLANEOUS - RM</v>
          </cell>
          <cell r="E1060" t="str">
            <v>Other Misc</v>
          </cell>
        </row>
        <row r="1061">
          <cell r="B1061" t="str">
            <v>Olive Oil</v>
          </cell>
          <cell r="C1061" t="str">
            <v>RM</v>
          </cell>
          <cell r="D1061" t="str">
            <v>MISCELLANEOUS - RM</v>
          </cell>
          <cell r="E1061" t="str">
            <v>Other Misc</v>
          </cell>
        </row>
        <row r="1062">
          <cell r="B1062" t="str">
            <v>Orange Zest Liquid Extract</v>
          </cell>
          <cell r="C1062" t="str">
            <v>RM</v>
          </cell>
          <cell r="D1062" t="str">
            <v>MISCELLANEOUS - RM</v>
          </cell>
          <cell r="E1062" t="str">
            <v>Other Misc</v>
          </cell>
        </row>
        <row r="1063">
          <cell r="B1063" t="str">
            <v>Palm Oil</v>
          </cell>
          <cell r="C1063" t="str">
            <v>RM</v>
          </cell>
          <cell r="D1063" t="str">
            <v>MISCELLANEOUS - RM</v>
          </cell>
          <cell r="E1063" t="str">
            <v>Other Misc</v>
          </cell>
        </row>
        <row r="1064">
          <cell r="B1064" t="str">
            <v>PERI PERI LIQUID - 4010003520</v>
          </cell>
          <cell r="C1064" t="str">
            <v>RM</v>
          </cell>
          <cell r="D1064" t="str">
            <v>MISCELLANEOUS - RM</v>
          </cell>
          <cell r="E1064" t="str">
            <v>Other Misc</v>
          </cell>
        </row>
        <row r="1065">
          <cell r="B1065" t="str">
            <v>Peri Peri Masala</v>
          </cell>
          <cell r="C1065" t="str">
            <v>RM</v>
          </cell>
          <cell r="D1065" t="str">
            <v>MISCELLANEOUS - RM</v>
          </cell>
          <cell r="E1065" t="str">
            <v>Other Misc</v>
          </cell>
        </row>
        <row r="1066">
          <cell r="B1066" t="str">
            <v>Pickwick 300g Roll Jar</v>
          </cell>
          <cell r="C1066" t="str">
            <v>RM</v>
          </cell>
          <cell r="D1066" t="str">
            <v>MISCELLANEOUS - RM</v>
          </cell>
          <cell r="E1066" t="str">
            <v>Other Misc</v>
          </cell>
        </row>
        <row r="1067">
          <cell r="B1067" t="str">
            <v>Pickwick Hollow Wafer Stick</v>
          </cell>
          <cell r="C1067" t="str">
            <v>RM</v>
          </cell>
          <cell r="D1067" t="str">
            <v>MISCELLANEOUS - RM</v>
          </cell>
          <cell r="E1067" t="str">
            <v>Other Misc</v>
          </cell>
        </row>
        <row r="1068">
          <cell r="B1068" t="str">
            <v>Pickwick Plain Wafers</v>
          </cell>
          <cell r="C1068" t="str">
            <v>RM</v>
          </cell>
          <cell r="D1068" t="str">
            <v>MISCELLANEOUS - RM</v>
          </cell>
          <cell r="E1068" t="str">
            <v>Other Misc</v>
          </cell>
        </row>
        <row r="1069">
          <cell r="B1069" t="str">
            <v>PREGEFLO C 100 G</v>
          </cell>
          <cell r="C1069" t="str">
            <v>RM</v>
          </cell>
          <cell r="D1069" t="str">
            <v>MISCELLANEOUS - RM</v>
          </cell>
          <cell r="E1069" t="str">
            <v>Other Misc</v>
          </cell>
        </row>
        <row r="1070">
          <cell r="B1070" t="str">
            <v>PREGEFLO C100</v>
          </cell>
          <cell r="C1070" t="str">
            <v>RM</v>
          </cell>
          <cell r="D1070" t="str">
            <v>MISCELLANEOUS - RM</v>
          </cell>
          <cell r="E1070" t="str">
            <v>Other Misc</v>
          </cell>
        </row>
        <row r="1071">
          <cell r="B1071" t="str">
            <v>PSYLLIUM HUSK POWDER</v>
          </cell>
          <cell r="C1071" t="str">
            <v>RM</v>
          </cell>
          <cell r="D1071" t="str">
            <v>MISCELLANEOUS - RM</v>
          </cell>
          <cell r="E1071" t="str">
            <v>Other Misc</v>
          </cell>
        </row>
        <row r="1072">
          <cell r="B1072" t="str">
            <v>Pure Maple Syrup</v>
          </cell>
          <cell r="C1072" t="str">
            <v>RM</v>
          </cell>
          <cell r="D1072" t="str">
            <v>MISCELLANEOUS - RM</v>
          </cell>
          <cell r="E1072" t="str">
            <v>Other Misc</v>
          </cell>
        </row>
        <row r="1073">
          <cell r="B1073" t="str">
            <v>Quinoa Flakes</v>
          </cell>
          <cell r="C1073" t="str">
            <v>RM</v>
          </cell>
          <cell r="D1073" t="str">
            <v>MISCELLANEOUS - RM</v>
          </cell>
          <cell r="E1073" t="str">
            <v>Other Misc</v>
          </cell>
        </row>
        <row r="1074">
          <cell r="B1074" t="str">
            <v>Quinoa Puff Base</v>
          </cell>
          <cell r="C1074" t="str">
            <v>RM</v>
          </cell>
          <cell r="D1074" t="str">
            <v>MISCELLANEOUS - RM</v>
          </cell>
          <cell r="E1074" t="str">
            <v>Other Misc</v>
          </cell>
        </row>
        <row r="1075">
          <cell r="B1075" t="str">
            <v>RAGI</v>
          </cell>
          <cell r="C1075" t="str">
            <v>RM</v>
          </cell>
          <cell r="D1075" t="str">
            <v>MISCELLANEOUS - RM</v>
          </cell>
          <cell r="E1075" t="str">
            <v>Other Misc</v>
          </cell>
        </row>
        <row r="1076">
          <cell r="B1076" t="str">
            <v>Ragi Flakes</v>
          </cell>
          <cell r="C1076" t="str">
            <v>RM</v>
          </cell>
          <cell r="D1076" t="str">
            <v>MISCELLANEOUS - RM</v>
          </cell>
          <cell r="E1076" t="str">
            <v>Other Misc</v>
          </cell>
        </row>
        <row r="1077">
          <cell r="B1077" t="str">
            <v>Ragi Puff</v>
          </cell>
          <cell r="C1077" t="str">
            <v>RM</v>
          </cell>
          <cell r="D1077" t="str">
            <v>MISCELLANEOUS - RM</v>
          </cell>
          <cell r="E1077" t="str">
            <v>Other Misc</v>
          </cell>
        </row>
        <row r="1078">
          <cell r="B1078" t="str">
            <v>Rajgira Puff (Lahi)</v>
          </cell>
          <cell r="C1078" t="str">
            <v>RM</v>
          </cell>
          <cell r="D1078" t="str">
            <v>MISCELLANEOUS - RM</v>
          </cell>
          <cell r="E1078" t="str">
            <v>Other Misc</v>
          </cell>
        </row>
        <row r="1079">
          <cell r="B1079" t="str">
            <v>Rice Bran Oil</v>
          </cell>
          <cell r="C1079" t="str">
            <v>RM</v>
          </cell>
          <cell r="D1079" t="str">
            <v>MISCELLANEOUS - RM</v>
          </cell>
          <cell r="E1079" t="str">
            <v>Other Misc</v>
          </cell>
        </row>
        <row r="1080">
          <cell r="B1080" t="str">
            <v>Rice Crispy</v>
          </cell>
          <cell r="C1080" t="str">
            <v>RM</v>
          </cell>
          <cell r="D1080" t="str">
            <v>MISCELLANEOUS - RM</v>
          </cell>
          <cell r="E1080" t="str">
            <v>Other Misc</v>
          </cell>
        </row>
        <row r="1081">
          <cell r="B1081" t="str">
            <v>Rice Crispy - 18%</v>
          </cell>
          <cell r="C1081" t="str">
            <v>RM</v>
          </cell>
          <cell r="D1081" t="str">
            <v>MISCELLANEOUS - RM</v>
          </cell>
          <cell r="E1081" t="str">
            <v>Other Misc</v>
          </cell>
        </row>
        <row r="1082">
          <cell r="B1082" t="str">
            <v>Rice Lahi</v>
          </cell>
          <cell r="C1082" t="str">
            <v>RM</v>
          </cell>
          <cell r="D1082" t="str">
            <v>MISCELLANEOUS - RM</v>
          </cell>
          <cell r="E1082" t="str">
            <v>Other Misc</v>
          </cell>
        </row>
        <row r="1083">
          <cell r="B1083" t="str">
            <v>ROASTED CORN</v>
          </cell>
          <cell r="C1083" t="str">
            <v>RM</v>
          </cell>
          <cell r="D1083" t="str">
            <v>MISCELLANEOUS - RM</v>
          </cell>
          <cell r="E1083" t="str">
            <v>Other Misc</v>
          </cell>
        </row>
        <row r="1084">
          <cell r="B1084" t="str">
            <v>Roasted Papad Ball 5%</v>
          </cell>
          <cell r="C1084" t="str">
            <v>RM</v>
          </cell>
          <cell r="D1084" t="str">
            <v>MISCELLANEOUS - RM</v>
          </cell>
          <cell r="E1084" t="str">
            <v>Other Misc</v>
          </cell>
        </row>
        <row r="1085">
          <cell r="B1085" t="str">
            <v>Rose Petals</v>
          </cell>
          <cell r="C1085" t="str">
            <v>RM</v>
          </cell>
          <cell r="D1085" t="str">
            <v>MISCELLANEOUS - RM</v>
          </cell>
          <cell r="E1085" t="str">
            <v>Other Misc</v>
          </cell>
        </row>
        <row r="1086">
          <cell r="B1086" t="str">
            <v>Saffron (Kesar) - Irani</v>
          </cell>
          <cell r="C1086" t="str">
            <v>RM</v>
          </cell>
          <cell r="D1086" t="str">
            <v>MISCELLANEOUS - RM</v>
          </cell>
          <cell r="E1086" t="str">
            <v>Other Misc</v>
          </cell>
        </row>
        <row r="1087">
          <cell r="B1087" t="str">
            <v>Sama (Varai Rice)</v>
          </cell>
          <cell r="C1087" t="str">
            <v>RM</v>
          </cell>
          <cell r="D1087" t="str">
            <v>MISCELLANEOUS - RM</v>
          </cell>
          <cell r="E1087" t="str">
            <v>Other Misc</v>
          </cell>
        </row>
        <row r="1088">
          <cell r="B1088" t="str">
            <v>Shatavari Extract</v>
          </cell>
          <cell r="C1088" t="str">
            <v>RM</v>
          </cell>
          <cell r="D1088" t="str">
            <v>MISCELLANEOUS - RM</v>
          </cell>
          <cell r="E1088" t="str">
            <v>Other Misc</v>
          </cell>
        </row>
        <row r="1089">
          <cell r="B1089" t="str">
            <v>SidCoat H</v>
          </cell>
          <cell r="C1089" t="str">
            <v>RM</v>
          </cell>
          <cell r="D1089" t="str">
            <v>MISCELLANEOUS - RM</v>
          </cell>
          <cell r="E1089" t="str">
            <v>Other Misc</v>
          </cell>
        </row>
        <row r="1090">
          <cell r="B1090" t="str">
            <v>SIDCOT STARCH</v>
          </cell>
          <cell r="C1090" t="str">
            <v>RM</v>
          </cell>
          <cell r="D1090" t="str">
            <v>MISCELLANEOUS - RM</v>
          </cell>
          <cell r="E1090" t="str">
            <v>Other Misc</v>
          </cell>
        </row>
        <row r="1091">
          <cell r="B1091" t="str">
            <v>Sidflow22</v>
          </cell>
          <cell r="C1091" t="str">
            <v>RM</v>
          </cell>
          <cell r="D1091" t="str">
            <v>MISCELLANEOUS - RM</v>
          </cell>
          <cell r="E1091" t="str">
            <v>Other Misc</v>
          </cell>
        </row>
        <row r="1092">
          <cell r="B1092" t="str">
            <v>Silymarin Extract</v>
          </cell>
          <cell r="C1092" t="str">
            <v>RM</v>
          </cell>
          <cell r="D1092" t="str">
            <v>MISCELLANEOUS - RM</v>
          </cell>
          <cell r="E1092" t="str">
            <v>Other Misc</v>
          </cell>
        </row>
        <row r="1093">
          <cell r="B1093" t="str">
            <v>Sour Cream And Onion Seasoning</v>
          </cell>
          <cell r="C1093" t="str">
            <v>RM</v>
          </cell>
          <cell r="D1093" t="str">
            <v>MISCELLANEOUS - RM</v>
          </cell>
          <cell r="E1093" t="str">
            <v>Other Misc</v>
          </cell>
        </row>
        <row r="1094">
          <cell r="B1094" t="str">
            <v>Soy Isolate Protein (Supro 620)</v>
          </cell>
          <cell r="C1094" t="str">
            <v>RM</v>
          </cell>
          <cell r="D1094" t="str">
            <v>MISCELLANEOUS - RM</v>
          </cell>
          <cell r="E1094" t="str">
            <v>Other Misc</v>
          </cell>
        </row>
        <row r="1095">
          <cell r="B1095" t="str">
            <v>Soya Lecithin Liquid</v>
          </cell>
          <cell r="C1095" t="str">
            <v>RM</v>
          </cell>
          <cell r="D1095" t="str">
            <v>MISCELLANEOUS - RM</v>
          </cell>
          <cell r="E1095" t="str">
            <v>Other Misc</v>
          </cell>
        </row>
        <row r="1096">
          <cell r="B1096" t="str">
            <v>SOYA NUGGETS 570</v>
          </cell>
          <cell r="C1096" t="str">
            <v>RM</v>
          </cell>
          <cell r="D1096" t="str">
            <v>MISCELLANEOUS - RM</v>
          </cell>
          <cell r="E1096" t="str">
            <v>Other Misc</v>
          </cell>
        </row>
        <row r="1097">
          <cell r="B1097" t="str">
            <v>Strawberry Powder</v>
          </cell>
          <cell r="C1097" t="str">
            <v>RM</v>
          </cell>
          <cell r="D1097" t="str">
            <v>MISCELLANEOUS - RM</v>
          </cell>
          <cell r="E1097" t="str">
            <v>Other Misc</v>
          </cell>
        </row>
        <row r="1098">
          <cell r="B1098" t="str">
            <v>Sugar</v>
          </cell>
          <cell r="C1098" t="str">
            <v>RM</v>
          </cell>
          <cell r="D1098" t="str">
            <v>MISCELLANEOUS - RM</v>
          </cell>
          <cell r="E1098" t="str">
            <v>Other Misc</v>
          </cell>
        </row>
        <row r="1099">
          <cell r="B1099" t="str">
            <v>Sugar - Office</v>
          </cell>
          <cell r="C1099" t="str">
            <v>RM</v>
          </cell>
          <cell r="D1099" t="str">
            <v>MISCELLANEOUS - RM</v>
          </cell>
          <cell r="E1099" t="str">
            <v>Other Misc</v>
          </cell>
        </row>
        <row r="1100">
          <cell r="B1100" t="str">
            <v>Sugar Powder</v>
          </cell>
          <cell r="C1100" t="str">
            <v>RM</v>
          </cell>
          <cell r="D1100" t="str">
            <v>MISCELLANEOUS - RM</v>
          </cell>
          <cell r="E1100" t="str">
            <v>Other Misc</v>
          </cell>
        </row>
        <row r="1101">
          <cell r="B1101" t="str">
            <v>SUNFLOWER OIL</v>
          </cell>
          <cell r="C1101" t="str">
            <v>RM</v>
          </cell>
          <cell r="D1101" t="str">
            <v>MISCELLANEOUS - RM</v>
          </cell>
          <cell r="E1101" t="str">
            <v>Other Misc</v>
          </cell>
        </row>
        <row r="1102">
          <cell r="B1102" t="str">
            <v>Sunflower Oil in KG</v>
          </cell>
          <cell r="C1102" t="str">
            <v>RM</v>
          </cell>
          <cell r="D1102" t="str">
            <v>MISCELLANEOUS - RM</v>
          </cell>
          <cell r="E1102" t="str">
            <v>Other Misc</v>
          </cell>
        </row>
        <row r="1103">
          <cell r="B1103" t="str">
            <v>Tapioca Starch</v>
          </cell>
          <cell r="C1103" t="str">
            <v>RM</v>
          </cell>
          <cell r="D1103" t="str">
            <v>MISCELLANEOUS - RM</v>
          </cell>
          <cell r="E1103" t="str">
            <v>Other Misc</v>
          </cell>
        </row>
        <row r="1104">
          <cell r="B1104" t="str">
            <v>Truffle Oil</v>
          </cell>
          <cell r="C1104" t="str">
            <v>RM</v>
          </cell>
          <cell r="D1104" t="str">
            <v>MISCELLANEOUS - RM</v>
          </cell>
          <cell r="E1104" t="str">
            <v>Other Misc</v>
          </cell>
        </row>
        <row r="1105">
          <cell r="B1105" t="str">
            <v>URBAN PLATTAR JAGGERY POWDER 1KG</v>
          </cell>
          <cell r="C1105" t="str">
            <v>RM</v>
          </cell>
          <cell r="D1105" t="str">
            <v>MISCELLANEOUS - RM</v>
          </cell>
          <cell r="E1105" t="str">
            <v>Other Misc</v>
          </cell>
        </row>
        <row r="1106">
          <cell r="B1106" t="str">
            <v>Urban Platter Castor Sugar, 1kg</v>
          </cell>
          <cell r="C1106" t="str">
            <v>RM</v>
          </cell>
          <cell r="D1106" t="str">
            <v>MISCELLANEOUS - RM</v>
          </cell>
          <cell r="E1106" t="str">
            <v>Other Misc</v>
          </cell>
        </row>
        <row r="1107">
          <cell r="B1107" t="str">
            <v>Urban Platter Organic Coconut Jaggery Sugar Powder 1 kg</v>
          </cell>
          <cell r="C1107" t="str">
            <v>RM</v>
          </cell>
          <cell r="D1107" t="str">
            <v>MISCELLANEOUS - RM</v>
          </cell>
          <cell r="E1107" t="str">
            <v>Other Misc</v>
          </cell>
        </row>
        <row r="1108">
          <cell r="B1108" t="str">
            <v>Vitamins and Minerals Premix</v>
          </cell>
          <cell r="C1108" t="str">
            <v>RM</v>
          </cell>
          <cell r="D1108" t="str">
            <v>MISCELLANEOUS - RM</v>
          </cell>
          <cell r="E1108" t="str">
            <v>Other Misc</v>
          </cell>
        </row>
        <row r="1109">
          <cell r="B1109" t="str">
            <v>Wheat Puff</v>
          </cell>
          <cell r="C1109" t="str">
            <v>RM</v>
          </cell>
          <cell r="D1109" t="str">
            <v>MISCELLANEOUS - RM</v>
          </cell>
          <cell r="E1109" t="str">
            <v>Other Misc</v>
          </cell>
        </row>
        <row r="1110">
          <cell r="B1110" t="str">
            <v>Whey Protein Isolate 90% Instant</v>
          </cell>
          <cell r="C1110" t="str">
            <v>RM</v>
          </cell>
          <cell r="D1110" t="str">
            <v>MISCELLANEOUS - RM</v>
          </cell>
          <cell r="E1110" t="str">
            <v>Other Misc</v>
          </cell>
        </row>
        <row r="1111">
          <cell r="B1111" t="str">
            <v>Xanthan Gum</v>
          </cell>
          <cell r="C1111" t="str">
            <v>RM</v>
          </cell>
          <cell r="D1111" t="str">
            <v>MISCELLANEOUS - RM</v>
          </cell>
          <cell r="E1111" t="str">
            <v>Other Misc</v>
          </cell>
        </row>
        <row r="1112">
          <cell r="B1112" t="str">
            <v>Yoghurt Powder</v>
          </cell>
          <cell r="C1112" t="str">
            <v>RM</v>
          </cell>
          <cell r="D1112" t="str">
            <v>MISCELLANEOUS - RM</v>
          </cell>
          <cell r="E1112" t="str">
            <v>Other Misc</v>
          </cell>
        </row>
        <row r="1113">
          <cell r="B1113" t="str">
            <v>Coffee Crush 1 Kg</v>
          </cell>
          <cell r="C1113" t="str">
            <v>FG</v>
          </cell>
          <cell r="D1113" t="str">
            <v>MISCELLANEOUS - RM</v>
          </cell>
          <cell r="E1113" t="str">
            <v>Other Misc</v>
          </cell>
        </row>
        <row r="1114">
          <cell r="B1114" t="str">
            <v>Urban Platter Pure Maple Syrup 250ml</v>
          </cell>
          <cell r="C1114" t="str">
            <v>FG</v>
          </cell>
          <cell r="D1114" t="str">
            <v>MISCELLANEOUS - RM</v>
          </cell>
          <cell r="E1114" t="str">
            <v>Other Misc</v>
          </cell>
        </row>
        <row r="1115">
          <cell r="B1115" t="str">
            <v>OFF-GRADE PEANUTS</v>
          </cell>
          <cell r="C1115" t="str">
            <v>RM</v>
          </cell>
          <cell r="D1115" t="str">
            <v>PEANUTS</v>
          </cell>
          <cell r="E1115" t="str">
            <v>OFF-GRADE PEANUTS</v>
          </cell>
        </row>
        <row r="1116">
          <cell r="B1116" t="str">
            <v>Alpino Peanut Crackers Chipotle Honey 60g</v>
          </cell>
          <cell r="C1116" t="str">
            <v>FG</v>
          </cell>
          <cell r="D1116" t="str">
            <v>PEANUTS</v>
          </cell>
          <cell r="E1116" t="str">
            <v>Peanut - Coated</v>
          </cell>
        </row>
        <row r="1117">
          <cell r="B1117" t="str">
            <v>Alpino Peanut Crackers Smokey BBQ 60g</v>
          </cell>
          <cell r="C1117" t="str">
            <v>FG</v>
          </cell>
          <cell r="D1117" t="str">
            <v>PEANUTS</v>
          </cell>
          <cell r="E1117" t="str">
            <v>Peanut - Coated</v>
          </cell>
        </row>
        <row r="1118">
          <cell r="B1118" t="str">
            <v>Barbeque Coated Peanuts 60gm</v>
          </cell>
          <cell r="C1118" t="str">
            <v>FG</v>
          </cell>
          <cell r="D1118" t="str">
            <v>PEANUTS</v>
          </cell>
          <cell r="E1118" t="str">
            <v>Peanut - Coated</v>
          </cell>
        </row>
        <row r="1119">
          <cell r="B1119" t="str">
            <v>Cheese Tomato Flavoured Coated Peanuts</v>
          </cell>
          <cell r="C1119" t="str">
            <v>FG</v>
          </cell>
          <cell r="D1119" t="str">
            <v>PEANUTS</v>
          </cell>
          <cell r="E1119" t="str">
            <v>Peanut - Coated</v>
          </cell>
        </row>
        <row r="1120">
          <cell r="B1120" t="str">
            <v>Cheese Tomato Flavoured Coated Peanuts 35gm</v>
          </cell>
          <cell r="C1120" t="str">
            <v>FG</v>
          </cell>
          <cell r="D1120" t="str">
            <v>PEANUTS</v>
          </cell>
          <cell r="E1120" t="str">
            <v>Peanut - Coated</v>
          </cell>
        </row>
        <row r="1121">
          <cell r="B1121" t="str">
            <v>Chilly Garlic Coated Peanuts 60gm</v>
          </cell>
          <cell r="C1121" t="str">
            <v>FG</v>
          </cell>
          <cell r="D1121" t="str">
            <v>PEANUTS</v>
          </cell>
          <cell r="E1121" t="str">
            <v>Peanut - Coated</v>
          </cell>
        </row>
        <row r="1122">
          <cell r="B1122" t="str">
            <v>Chipotle Honey Coated Peanuts 200g</v>
          </cell>
          <cell r="C1122" t="str">
            <v>FG</v>
          </cell>
          <cell r="D1122" t="str">
            <v>PEANUTS</v>
          </cell>
          <cell r="E1122" t="str">
            <v>Peanut - Coated</v>
          </cell>
        </row>
        <row r="1123">
          <cell r="B1123" t="str">
            <v>Chipotle Honey Coated Peanuts 70gm</v>
          </cell>
          <cell r="C1123" t="str">
            <v>FG</v>
          </cell>
          <cell r="D1123" t="str">
            <v>PEANUTS</v>
          </cell>
          <cell r="E1123" t="str">
            <v>Peanut - Coated</v>
          </cell>
        </row>
        <row r="1124">
          <cell r="B1124" t="str">
            <v>Coated Peanut Base</v>
          </cell>
          <cell r="C1124" t="str">
            <v>FG</v>
          </cell>
          <cell r="D1124" t="str">
            <v>PEANUTS</v>
          </cell>
          <cell r="E1124" t="str">
            <v>Peanut - Coated</v>
          </cell>
        </row>
        <row r="1125">
          <cell r="B1125" t="str">
            <v>Coated Peanuts</v>
          </cell>
          <cell r="C1125" t="str">
            <v>FG</v>
          </cell>
          <cell r="D1125" t="str">
            <v>PEANUTS</v>
          </cell>
          <cell r="E1125" t="str">
            <v>Peanut - Coated</v>
          </cell>
        </row>
        <row r="1126">
          <cell r="B1126" t="str">
            <v>Coated Peanuts - Magic Masala 1Kg</v>
          </cell>
          <cell r="C1126" t="str">
            <v>FG</v>
          </cell>
          <cell r="D1126" t="str">
            <v>PEANUTS</v>
          </cell>
          <cell r="E1126" t="str">
            <v>Peanut - Coated</v>
          </cell>
        </row>
        <row r="1127">
          <cell r="B1127" t="str">
            <v>Greendot Coated Peanuts</v>
          </cell>
          <cell r="C1127" t="str">
            <v>FG</v>
          </cell>
          <cell r="D1127" t="str">
            <v>PEANUTS</v>
          </cell>
          <cell r="E1127" t="str">
            <v>Peanut - Coated</v>
          </cell>
        </row>
        <row r="1128">
          <cell r="B1128" t="str">
            <v>Krack Nut Coated Peanuts Magic Masala 110g</v>
          </cell>
          <cell r="C1128" t="str">
            <v>FG</v>
          </cell>
          <cell r="D1128" t="str">
            <v>PEANUTS</v>
          </cell>
          <cell r="E1128" t="str">
            <v>Peanut - Coated</v>
          </cell>
        </row>
        <row r="1129">
          <cell r="B1129" t="str">
            <v>Krack Nut Coated Peanuts Pudina Patakha 100g</v>
          </cell>
          <cell r="C1129" t="str">
            <v>FG</v>
          </cell>
          <cell r="D1129" t="str">
            <v>PEANUTS</v>
          </cell>
          <cell r="E1129" t="str">
            <v>Peanut - Coated</v>
          </cell>
        </row>
        <row r="1130">
          <cell r="B1130" t="str">
            <v>Krack Nut Coated Peanuts Pudina Patakha 25g Not Use</v>
          </cell>
          <cell r="C1130" t="str">
            <v>FG</v>
          </cell>
          <cell r="D1130" t="str">
            <v>PEANUTS</v>
          </cell>
          <cell r="E1130" t="str">
            <v>Peanut - Coated</v>
          </cell>
        </row>
        <row r="1131">
          <cell r="B1131" t="str">
            <v>Krack Nut Coated Peanuts Pudina Patakha 25gm</v>
          </cell>
          <cell r="C1131" t="str">
            <v>FG</v>
          </cell>
          <cell r="D1131" t="str">
            <v>PEANUTS</v>
          </cell>
          <cell r="E1131" t="str">
            <v>Peanut - Coated</v>
          </cell>
        </row>
        <row r="1132">
          <cell r="B1132" t="str">
            <v>Krack Nut Coated Peanuts Tandoori Toofan 1 Kg</v>
          </cell>
          <cell r="C1132" t="str">
            <v>FG</v>
          </cell>
          <cell r="D1132" t="str">
            <v>PEANUTS</v>
          </cell>
          <cell r="E1132" t="str">
            <v>Peanut - Coated</v>
          </cell>
        </row>
        <row r="1133">
          <cell r="B1133" t="str">
            <v>Krack Nut Coated Peanuts Thai Firangi 1 Kg</v>
          </cell>
          <cell r="C1133" t="str">
            <v>FG</v>
          </cell>
          <cell r="D1133" t="str">
            <v>PEANUTS</v>
          </cell>
          <cell r="E1133" t="str">
            <v>Peanut - Coated</v>
          </cell>
        </row>
        <row r="1134">
          <cell r="B1134" t="str">
            <v>Krack Nut Coated Peanuts Thai Firangi 100g</v>
          </cell>
          <cell r="C1134" t="str">
            <v>FG</v>
          </cell>
          <cell r="D1134" t="str">
            <v>PEANUTS</v>
          </cell>
          <cell r="E1134" t="str">
            <v>Peanut - Coated</v>
          </cell>
        </row>
        <row r="1135">
          <cell r="B1135" t="str">
            <v>Kracknut Coated Peanuts - Tandoori Toofan 110g</v>
          </cell>
          <cell r="C1135" t="str">
            <v>FG</v>
          </cell>
          <cell r="D1135" t="str">
            <v>PEANUTS</v>
          </cell>
          <cell r="E1135" t="str">
            <v>Peanut - Coated</v>
          </cell>
        </row>
        <row r="1136">
          <cell r="B1136" t="str">
            <v>Kracknut Coated Peanuts - Tandoori Toofan 160gm</v>
          </cell>
          <cell r="C1136" t="str">
            <v>FG</v>
          </cell>
          <cell r="D1136" t="str">
            <v>PEANUTS</v>
          </cell>
          <cell r="E1136" t="str">
            <v>Peanut - Coated</v>
          </cell>
        </row>
        <row r="1137">
          <cell r="B1137" t="str">
            <v>Kracknut Coated Peanuts - Tandoori Toofan 25g</v>
          </cell>
          <cell r="C1137" t="str">
            <v>FG</v>
          </cell>
          <cell r="D1137" t="str">
            <v>PEANUTS</v>
          </cell>
          <cell r="E1137" t="str">
            <v>Peanut - Coated</v>
          </cell>
        </row>
        <row r="1138">
          <cell r="B1138" t="str">
            <v>Kracknut Coated Peanuts - Thai Firangi 25g</v>
          </cell>
          <cell r="C1138" t="str">
            <v>FG</v>
          </cell>
          <cell r="D1138" t="str">
            <v>PEANUTS</v>
          </cell>
          <cell r="E1138" t="str">
            <v>Peanut - Coated</v>
          </cell>
        </row>
        <row r="1139">
          <cell r="B1139" t="str">
            <v>Kracknut Coated Peanuts-Pudhina Patakha 110g</v>
          </cell>
          <cell r="C1139" t="str">
            <v>FG</v>
          </cell>
          <cell r="D1139" t="str">
            <v>PEANUTS</v>
          </cell>
          <cell r="E1139" t="str">
            <v>Peanut - Coated</v>
          </cell>
        </row>
        <row r="1140">
          <cell r="B1140" t="str">
            <v>Kracknut Coated Peanuts-Pudhina Patakha 160gm</v>
          </cell>
          <cell r="C1140" t="str">
            <v>FG</v>
          </cell>
          <cell r="D1140" t="str">
            <v>PEANUTS</v>
          </cell>
          <cell r="E1140" t="str">
            <v>Peanut - Coated</v>
          </cell>
        </row>
        <row r="1141">
          <cell r="B1141" t="str">
            <v>Kracknut Coated Peanuts-Pudhina Patakha 1kg</v>
          </cell>
          <cell r="C1141" t="str">
            <v>FG</v>
          </cell>
          <cell r="D1141" t="str">
            <v>PEANUTS</v>
          </cell>
          <cell r="E1141" t="str">
            <v>Peanut - Coated</v>
          </cell>
        </row>
        <row r="1142">
          <cell r="B1142" t="str">
            <v>Kracknut Coated Peanuts-Thai Firangi 110g</v>
          </cell>
          <cell r="C1142" t="str">
            <v>FG</v>
          </cell>
          <cell r="D1142" t="str">
            <v>PEANUTS</v>
          </cell>
          <cell r="E1142" t="str">
            <v>Peanut - Coated</v>
          </cell>
        </row>
        <row r="1143">
          <cell r="B1143" t="str">
            <v>Kracknut Coated Peanuts-Thai Firangi 160gm</v>
          </cell>
          <cell r="C1143" t="str">
            <v>FG</v>
          </cell>
          <cell r="D1143" t="str">
            <v>PEANUTS</v>
          </cell>
          <cell r="E1143" t="str">
            <v>Peanut - Coated</v>
          </cell>
        </row>
        <row r="1144">
          <cell r="B1144" t="str">
            <v>Lime Chilly Coated Peanuts 60gm</v>
          </cell>
          <cell r="C1144" t="str">
            <v>FG</v>
          </cell>
          <cell r="D1144" t="str">
            <v>PEANUTS</v>
          </cell>
          <cell r="E1144" t="str">
            <v>Peanut - Coated</v>
          </cell>
        </row>
        <row r="1145">
          <cell r="B1145" t="str">
            <v>Mexican Coated Peanuts 60gm</v>
          </cell>
          <cell r="C1145" t="str">
            <v>FG</v>
          </cell>
          <cell r="D1145" t="str">
            <v>PEANUTS</v>
          </cell>
          <cell r="E1145" t="str">
            <v>Peanut - Coated</v>
          </cell>
        </row>
        <row r="1146">
          <cell r="B1146" t="str">
            <v>Mexican Flavoured Coated Peanuts</v>
          </cell>
          <cell r="C1146" t="str">
            <v>FG</v>
          </cell>
          <cell r="D1146" t="str">
            <v>PEANUTS</v>
          </cell>
          <cell r="E1146" t="str">
            <v>Peanut - Coated</v>
          </cell>
        </row>
        <row r="1147">
          <cell r="B1147" t="str">
            <v>Mexican Flavoured Coated Peanuts 35gm</v>
          </cell>
          <cell r="C1147" t="str">
            <v>FG</v>
          </cell>
          <cell r="D1147" t="str">
            <v>PEANUTS</v>
          </cell>
          <cell r="E1147" t="str">
            <v>Peanut - Coated</v>
          </cell>
        </row>
        <row r="1148">
          <cell r="B1148" t="str">
            <v>Peanut Coated Spanish Tomato</v>
          </cell>
          <cell r="C1148" t="str">
            <v>FG</v>
          </cell>
          <cell r="D1148" t="str">
            <v>PEANUTS</v>
          </cell>
          <cell r="E1148" t="str">
            <v>Peanut - Coated</v>
          </cell>
        </row>
        <row r="1149">
          <cell r="B1149" t="str">
            <v>Peanut Crackers Chipotle Honey Bulk</v>
          </cell>
          <cell r="C1149" t="str">
            <v>FG</v>
          </cell>
          <cell r="D1149" t="str">
            <v>PEANUTS</v>
          </cell>
          <cell r="E1149" t="str">
            <v>Peanut - Coated</v>
          </cell>
        </row>
        <row r="1150">
          <cell r="B1150" t="str">
            <v>Peanut Crackers Smokey BBQ Bulk</v>
          </cell>
          <cell r="C1150" t="str">
            <v>FG</v>
          </cell>
          <cell r="D1150" t="str">
            <v>PEANUTS</v>
          </cell>
          <cell r="E1150" t="str">
            <v>Peanut - Coated</v>
          </cell>
        </row>
        <row r="1151">
          <cell r="B1151" t="str">
            <v>Peanuts Coated Masala Loose</v>
          </cell>
          <cell r="C1151" t="str">
            <v>FG</v>
          </cell>
          <cell r="D1151" t="str">
            <v>PEANUTS</v>
          </cell>
          <cell r="E1151" t="str">
            <v>Peanut - Coated</v>
          </cell>
        </row>
        <row r="1152">
          <cell r="B1152" t="str">
            <v>Peri Peri Coated Peanuts 60gm</v>
          </cell>
          <cell r="C1152" t="str">
            <v>FG</v>
          </cell>
          <cell r="D1152" t="str">
            <v>PEANUTS</v>
          </cell>
          <cell r="E1152" t="str">
            <v>Peanut - Coated</v>
          </cell>
        </row>
        <row r="1153">
          <cell r="B1153" t="str">
            <v>Pizza Flavoured Coated Peanuts</v>
          </cell>
          <cell r="C1153" t="str">
            <v>FG</v>
          </cell>
          <cell r="D1153" t="str">
            <v>PEANUTS</v>
          </cell>
          <cell r="E1153" t="str">
            <v>Peanut - Coated</v>
          </cell>
        </row>
        <row r="1154">
          <cell r="B1154" t="str">
            <v>Pizza Flavoured Coated Peanuts 35gm</v>
          </cell>
          <cell r="C1154" t="str">
            <v>FG</v>
          </cell>
          <cell r="D1154" t="str">
            <v>PEANUTS</v>
          </cell>
          <cell r="E1154" t="str">
            <v>Peanut - Coated</v>
          </cell>
        </row>
        <row r="1155">
          <cell r="B1155" t="str">
            <v>Plain Coated Peanuts</v>
          </cell>
          <cell r="C1155" t="str">
            <v>FG</v>
          </cell>
          <cell r="D1155" t="str">
            <v>PEANUTS</v>
          </cell>
          <cell r="E1155" t="str">
            <v>Peanut - Coated</v>
          </cell>
        </row>
        <row r="1156">
          <cell r="B1156" t="str">
            <v>Smokey BBQ Coated Peanuts 200g</v>
          </cell>
          <cell r="C1156" t="str">
            <v>FG</v>
          </cell>
          <cell r="D1156" t="str">
            <v>PEANUTS</v>
          </cell>
          <cell r="E1156" t="str">
            <v>Peanut - Coated</v>
          </cell>
        </row>
        <row r="1157">
          <cell r="B1157" t="str">
            <v>Smokey BBQ Coated Peanuts 70gm</v>
          </cell>
          <cell r="C1157" t="str">
            <v>FG</v>
          </cell>
          <cell r="D1157" t="str">
            <v>PEANUTS</v>
          </cell>
          <cell r="E1157" t="str">
            <v>Peanut - Coated</v>
          </cell>
        </row>
        <row r="1158">
          <cell r="B1158" t="str">
            <v>snack amor Coated Peanuts Pudina Patakha 100g</v>
          </cell>
          <cell r="C1158" t="str">
            <v>FG</v>
          </cell>
          <cell r="D1158" t="str">
            <v>PEANUTS</v>
          </cell>
          <cell r="E1158" t="str">
            <v>Peanut - Coated</v>
          </cell>
        </row>
        <row r="1159">
          <cell r="B1159" t="str">
            <v>Tasties Coated Peanuts - Pudina Patakha, Flavourful &amp; Crispy 25 g</v>
          </cell>
          <cell r="C1159" t="str">
            <v>FG</v>
          </cell>
          <cell r="D1159" t="str">
            <v>PEANUTS</v>
          </cell>
          <cell r="E1159" t="str">
            <v>Peanut - Coated</v>
          </cell>
        </row>
        <row r="1160">
          <cell r="B1160" t="str">
            <v>Tasties Coated Peanuts - Tandoori Masala, Flavourful &amp; Crispy 25 g</v>
          </cell>
          <cell r="C1160" t="str">
            <v>FG</v>
          </cell>
          <cell r="D1160" t="str">
            <v>PEANUTS</v>
          </cell>
          <cell r="E1160" t="str">
            <v>Peanut - Coated</v>
          </cell>
        </row>
        <row r="1161">
          <cell r="B1161" t="str">
            <v>Tasties Coated Peanuts - Thai Spice, Flavourful &amp; Crispy 25 g</v>
          </cell>
          <cell r="C1161" t="str">
            <v>FG</v>
          </cell>
          <cell r="D1161" t="str">
            <v>PEANUTS</v>
          </cell>
          <cell r="E1161" t="str">
            <v>Peanut - Coated</v>
          </cell>
        </row>
        <row r="1162">
          <cell r="B1162" t="str">
            <v>Thai Chilly Coated Peanuts 60gm</v>
          </cell>
          <cell r="C1162" t="str">
            <v>FG</v>
          </cell>
          <cell r="D1162" t="str">
            <v>PEANUTS</v>
          </cell>
          <cell r="E1162" t="str">
            <v>Peanut - Coated</v>
          </cell>
        </row>
        <row r="1163">
          <cell r="B1163" t="str">
            <v>YUMASANA COATED PEANUTS - BARB EQUE 150g</v>
          </cell>
          <cell r="C1163" t="str">
            <v>FG</v>
          </cell>
          <cell r="D1163" t="str">
            <v>PEANUTS</v>
          </cell>
          <cell r="E1163" t="str">
            <v>Peanut - Coated</v>
          </cell>
        </row>
        <row r="1164">
          <cell r="B1164" t="str">
            <v>YUMASANA COATED PEANUTS - CHILLI GARLIC 150g</v>
          </cell>
          <cell r="C1164" t="str">
            <v>FG</v>
          </cell>
          <cell r="D1164" t="str">
            <v>PEANUTS</v>
          </cell>
          <cell r="E1164" t="str">
            <v>Peanut - Coated</v>
          </cell>
        </row>
        <row r="1165">
          <cell r="B1165" t="str">
            <v>YUMASANA COATED PEANUTS - PERI PERI 150g</v>
          </cell>
          <cell r="C1165" t="str">
            <v>FG</v>
          </cell>
          <cell r="D1165" t="str">
            <v>PEANUTS</v>
          </cell>
          <cell r="E1165" t="str">
            <v>Peanut - Coated</v>
          </cell>
        </row>
        <row r="1166">
          <cell r="B1166" t="str">
            <v>YUMASANA COATED PEANUTS - THAI CHILLI 150g</v>
          </cell>
          <cell r="C1166" t="str">
            <v>FG</v>
          </cell>
          <cell r="D1166" t="str">
            <v>PEANUTS</v>
          </cell>
          <cell r="E1166" t="str">
            <v>Peanut - Coated</v>
          </cell>
        </row>
        <row r="1167">
          <cell r="B1167" t="str">
            <v>Blanched Kernels Peanut Split</v>
          </cell>
          <cell r="C1167" t="str">
            <v>RM</v>
          </cell>
          <cell r="D1167" t="str">
            <v>PEANUTS</v>
          </cell>
          <cell r="E1167" t="str">
            <v>Peanut - Split</v>
          </cell>
        </row>
        <row r="1168">
          <cell r="B1168" t="str">
            <v>Peanut Spilit (Groundnut)</v>
          </cell>
          <cell r="C1168" t="str">
            <v>RM</v>
          </cell>
          <cell r="D1168" t="str">
            <v>PEANUTS</v>
          </cell>
          <cell r="E1168" t="str">
            <v>Peanut - Split</v>
          </cell>
        </row>
        <row r="1169">
          <cell r="B1169" t="str">
            <v>Roasted Peanuts Split</v>
          </cell>
          <cell r="C1169" t="str">
            <v>FG</v>
          </cell>
          <cell r="D1169" t="str">
            <v>PEANUTS</v>
          </cell>
          <cell r="E1169" t="str">
            <v>Peanut - Split</v>
          </cell>
        </row>
        <row r="1170">
          <cell r="B1170" t="str">
            <v>Blanched white Peanut Kernels</v>
          </cell>
          <cell r="C1170" t="str">
            <v>RM</v>
          </cell>
          <cell r="D1170" t="str">
            <v>PEANUTS</v>
          </cell>
          <cell r="E1170" t="str">
            <v>Peanut - Whole</v>
          </cell>
        </row>
        <row r="1171">
          <cell r="B1171" t="str">
            <v>Peanuts</v>
          </cell>
          <cell r="C1171" t="str">
            <v>RM</v>
          </cell>
          <cell r="D1171" t="str">
            <v>PEANUTS</v>
          </cell>
          <cell r="E1171" t="str">
            <v>Peanut - Whole</v>
          </cell>
        </row>
        <row r="1172">
          <cell r="B1172" t="str">
            <v>ROASTED BLANCHED PEANUT WHOLE</v>
          </cell>
          <cell r="C1172" t="str">
            <v>RM</v>
          </cell>
          <cell r="D1172" t="str">
            <v>PEANUTS</v>
          </cell>
          <cell r="E1172" t="str">
            <v>Peanut - Whole</v>
          </cell>
        </row>
        <row r="1173">
          <cell r="B1173" t="str">
            <v>Roasted Peanuts</v>
          </cell>
          <cell r="C1173" t="str">
            <v>RM</v>
          </cell>
          <cell r="D1173" t="str">
            <v>PEANUTS</v>
          </cell>
          <cell r="E1173" t="str">
            <v>Peanut - Whole</v>
          </cell>
        </row>
        <row r="1174">
          <cell r="B1174" t="str">
            <v>Vedaka Salted Peanuts - 200g (B0CZ9GZ9F2)</v>
          </cell>
          <cell r="C1174" t="str">
            <v>FG</v>
          </cell>
          <cell r="D1174" t="str">
            <v>PEANUTS</v>
          </cell>
          <cell r="E1174" t="str">
            <v>Peanut - Whole</v>
          </cell>
        </row>
        <row r="1175">
          <cell r="B1175" t="str">
            <v>Vedaka Salted Peanuts 200 gm (102219262)</v>
          </cell>
          <cell r="C1175" t="str">
            <v>FG</v>
          </cell>
          <cell r="D1175" t="str">
            <v>PEANUTS</v>
          </cell>
          <cell r="E1175" t="str">
            <v>Peanut - Whole</v>
          </cell>
        </row>
        <row r="1176">
          <cell r="B1176" t="str">
            <v>OFF-GRADE PISTACHIO</v>
          </cell>
          <cell r="C1176" t="str">
            <v>RM</v>
          </cell>
          <cell r="D1176" t="str">
            <v>PISTA</v>
          </cell>
          <cell r="E1176" t="str">
            <v>OFF-GRADE PISTACHIO</v>
          </cell>
        </row>
        <row r="1177">
          <cell r="B1177" t="str">
            <v>Pista Akbari 26-28 Count</v>
          </cell>
          <cell r="C1177" t="str">
            <v>RM</v>
          </cell>
          <cell r="D1177" t="str">
            <v>PISTA</v>
          </cell>
          <cell r="E1177" t="str">
            <v>Pista - Akbari</v>
          </cell>
        </row>
        <row r="1178">
          <cell r="B1178" t="str">
            <v>Pista Inshell Iranian Akbari 20-22 Count</v>
          </cell>
          <cell r="C1178" t="str">
            <v>RM</v>
          </cell>
          <cell r="D1178" t="str">
            <v>PISTA</v>
          </cell>
          <cell r="E1178" t="str">
            <v>Pista - Akbari</v>
          </cell>
        </row>
        <row r="1179">
          <cell r="B1179" t="str">
            <v>Curate Pista Akbari 250g JR</v>
          </cell>
          <cell r="C1179" t="str">
            <v>FG</v>
          </cell>
          <cell r="D1179" t="str">
            <v>PISTA</v>
          </cell>
          <cell r="E1179" t="str">
            <v>Pista - Akbari</v>
          </cell>
        </row>
        <row r="1180">
          <cell r="B1180" t="str">
            <v>Curate Pista Akbari 550g JR</v>
          </cell>
          <cell r="C1180" t="str">
            <v>FG</v>
          </cell>
          <cell r="D1180" t="str">
            <v>PISTA</v>
          </cell>
          <cell r="E1180" t="str">
            <v>Pista - Akbari</v>
          </cell>
        </row>
        <row r="1181">
          <cell r="B1181" t="str">
            <v>Ez Pista Roasted Salted Akbari Loose</v>
          </cell>
          <cell r="C1181" t="str">
            <v>FG</v>
          </cell>
          <cell r="D1181" t="str">
            <v>PISTA</v>
          </cell>
          <cell r="E1181" t="str">
            <v>Pista - Akbari</v>
          </cell>
        </row>
        <row r="1182">
          <cell r="B1182" t="str">
            <v>Ha Akbari Pista 200g (1357005)</v>
          </cell>
          <cell r="C1182" t="str">
            <v>FG</v>
          </cell>
          <cell r="D1182" t="str">
            <v>PISTA</v>
          </cell>
          <cell r="E1182" t="str">
            <v>Pista - Akbari</v>
          </cell>
        </row>
        <row r="1183">
          <cell r="B1183" t="str">
            <v>Pista Akbari Roasted and Salted</v>
          </cell>
          <cell r="C1183" t="str">
            <v>FG</v>
          </cell>
          <cell r="D1183" t="str">
            <v>PISTA</v>
          </cell>
          <cell r="E1183" t="str">
            <v>Pista - Akbari</v>
          </cell>
        </row>
        <row r="1184">
          <cell r="B1184" t="str">
            <v>California Pista Inshell</v>
          </cell>
          <cell r="C1184" t="str">
            <v>RM</v>
          </cell>
          <cell r="D1184" t="str">
            <v>PISTA</v>
          </cell>
          <cell r="E1184" t="str">
            <v>Pista - Inshell</v>
          </cell>
        </row>
        <row r="1185">
          <cell r="B1185" t="str">
            <v>California Pista Inshell Jumbo</v>
          </cell>
          <cell r="C1185" t="str">
            <v>RM</v>
          </cell>
          <cell r="D1185" t="str">
            <v>PISTA</v>
          </cell>
          <cell r="E1185" t="str">
            <v>Pista - Inshell</v>
          </cell>
        </row>
        <row r="1186">
          <cell r="B1186" t="str">
            <v>Cafe Galleries  Pepper Pista Inshell 250gm</v>
          </cell>
          <cell r="C1186" t="str">
            <v>FG</v>
          </cell>
          <cell r="D1186" t="str">
            <v>PISTA</v>
          </cell>
          <cell r="E1186" t="str">
            <v>Pista - Inshell</v>
          </cell>
        </row>
        <row r="1187">
          <cell r="B1187" t="str">
            <v>Cafe Galleries American Pista Inshell Regular 250gm</v>
          </cell>
          <cell r="C1187" t="str">
            <v>FG</v>
          </cell>
          <cell r="D1187" t="str">
            <v>PISTA</v>
          </cell>
          <cell r="E1187" t="str">
            <v>Pista - Inshell</v>
          </cell>
        </row>
        <row r="1188">
          <cell r="B1188" t="str">
            <v>Cafe Galleries American Pista Inshell Selected 250g</v>
          </cell>
          <cell r="C1188" t="str">
            <v>FG</v>
          </cell>
          <cell r="D1188" t="str">
            <v>PISTA</v>
          </cell>
          <cell r="E1188" t="str">
            <v>Pista - Inshell</v>
          </cell>
        </row>
        <row r="1189">
          <cell r="B1189" t="str">
            <v>California Pista Inshell Black Pepper</v>
          </cell>
          <cell r="C1189" t="str">
            <v>FG</v>
          </cell>
          <cell r="D1189" t="str">
            <v>PISTA</v>
          </cell>
          <cell r="E1189" t="str">
            <v>Pista - Inshell</v>
          </cell>
        </row>
        <row r="1190">
          <cell r="B1190" t="str">
            <v>California Pista Inshell Pink Salted</v>
          </cell>
          <cell r="C1190" t="str">
            <v>FG</v>
          </cell>
          <cell r="D1190" t="str">
            <v>PISTA</v>
          </cell>
          <cell r="E1190" t="str">
            <v>Pista - Inshell</v>
          </cell>
        </row>
        <row r="1191">
          <cell r="B1191" t="str">
            <v>California Pista Inshell Roasted and Salted</v>
          </cell>
          <cell r="C1191" t="str">
            <v>FG</v>
          </cell>
          <cell r="D1191" t="str">
            <v>PISTA</v>
          </cell>
          <cell r="E1191" t="str">
            <v>Pista - Inshell</v>
          </cell>
        </row>
        <row r="1192">
          <cell r="B1192" t="str">
            <v>California Pista Inshell Roasted and Salted 75gm</v>
          </cell>
          <cell r="C1192" t="str">
            <v>FG</v>
          </cell>
          <cell r="D1192" t="str">
            <v>PISTA</v>
          </cell>
          <cell r="E1192" t="str">
            <v>Pista - Inshell</v>
          </cell>
        </row>
        <row r="1193">
          <cell r="B1193" t="str">
            <v>Carnival Black Pepper Pistachio 80g</v>
          </cell>
          <cell r="C1193" t="str">
            <v>FG</v>
          </cell>
          <cell r="D1193" t="str">
            <v>PISTA</v>
          </cell>
          <cell r="E1193" t="str">
            <v>Pista - Inshell</v>
          </cell>
        </row>
        <row r="1194">
          <cell r="B1194" t="str">
            <v>Carnival California Pista Roasted and Salted 800g</v>
          </cell>
          <cell r="C1194" t="str">
            <v>FG</v>
          </cell>
          <cell r="D1194" t="str">
            <v>PISTA</v>
          </cell>
          <cell r="E1194" t="str">
            <v>Pista - Inshell</v>
          </cell>
        </row>
        <row r="1195">
          <cell r="B1195" t="str">
            <v>Carnival California Pistachio 200g</v>
          </cell>
          <cell r="C1195" t="str">
            <v>FG</v>
          </cell>
          <cell r="D1195" t="str">
            <v>PISTA</v>
          </cell>
          <cell r="E1195" t="str">
            <v>Pista - Inshell</v>
          </cell>
        </row>
        <row r="1196">
          <cell r="B1196" t="str">
            <v>Carnival Festive California Pista (21-26) 100gm</v>
          </cell>
          <cell r="C1196" t="str">
            <v>FG</v>
          </cell>
          <cell r="D1196" t="str">
            <v>PISTA</v>
          </cell>
          <cell r="E1196" t="str">
            <v>Pista - Inshell</v>
          </cell>
        </row>
        <row r="1197">
          <cell r="B1197" t="str">
            <v>Carnival Festive California Pista (21-26) 125gm</v>
          </cell>
          <cell r="C1197" t="str">
            <v>FG</v>
          </cell>
          <cell r="D1197" t="str">
            <v>PISTA</v>
          </cell>
          <cell r="E1197" t="str">
            <v>Pista - Inshell</v>
          </cell>
        </row>
        <row r="1198">
          <cell r="B1198" t="str">
            <v>Carnival Festive California Pista (21-26) 150gm</v>
          </cell>
          <cell r="C1198" t="str">
            <v>FG</v>
          </cell>
          <cell r="D1198" t="str">
            <v>PISTA</v>
          </cell>
          <cell r="E1198" t="str">
            <v>Pista - Inshell</v>
          </cell>
        </row>
        <row r="1199">
          <cell r="B1199" t="str">
            <v>Carnival Festive California Pista (21-26) 200gm</v>
          </cell>
          <cell r="C1199" t="str">
            <v>FG</v>
          </cell>
          <cell r="D1199" t="str">
            <v>PISTA</v>
          </cell>
          <cell r="E1199" t="str">
            <v>Pista - Inshell</v>
          </cell>
        </row>
        <row r="1200">
          <cell r="B1200" t="str">
            <v>Carnival Festive California Pista (21-26) 80gm</v>
          </cell>
          <cell r="C1200" t="str">
            <v>FG</v>
          </cell>
          <cell r="D1200" t="str">
            <v>PISTA</v>
          </cell>
          <cell r="E1200" t="str">
            <v>Pista - Inshell</v>
          </cell>
        </row>
        <row r="1201">
          <cell r="B1201" t="str">
            <v>Carnival Himalayan Salt &amp; Pepper Pistachios 200gm</v>
          </cell>
          <cell r="C1201" t="str">
            <v>FG</v>
          </cell>
          <cell r="D1201" t="str">
            <v>PISTA</v>
          </cell>
          <cell r="E1201" t="str">
            <v>Pista - Inshell</v>
          </cell>
        </row>
        <row r="1202">
          <cell r="B1202" t="str">
            <v>Carnival Himalayan Salt &amp; Pepper Pistachios 25g</v>
          </cell>
          <cell r="C1202" t="str">
            <v>FG</v>
          </cell>
          <cell r="D1202" t="str">
            <v>PISTA</v>
          </cell>
          <cell r="E1202" t="str">
            <v>Pista - Inshell</v>
          </cell>
        </row>
        <row r="1203">
          <cell r="B1203" t="str">
            <v>Carnival Pepper Pistachios 200G</v>
          </cell>
          <cell r="C1203" t="str">
            <v>FG</v>
          </cell>
          <cell r="D1203" t="str">
            <v>PISTA</v>
          </cell>
          <cell r="E1203" t="str">
            <v>Pista - Inshell</v>
          </cell>
        </row>
        <row r="1204">
          <cell r="B1204" t="str">
            <v>Carnival Roasted &amp; Salted Pistachio 100g</v>
          </cell>
          <cell r="C1204" t="str">
            <v>FG</v>
          </cell>
          <cell r="D1204" t="str">
            <v>PISTA</v>
          </cell>
          <cell r="E1204" t="str">
            <v>Pista - Inshell</v>
          </cell>
        </row>
        <row r="1205">
          <cell r="B1205" t="str">
            <v>Carnival Roasted &amp; Salted Pistachio 200g</v>
          </cell>
          <cell r="C1205" t="str">
            <v>FG</v>
          </cell>
          <cell r="D1205" t="str">
            <v>PISTA</v>
          </cell>
          <cell r="E1205" t="str">
            <v>Pista - Inshell</v>
          </cell>
        </row>
        <row r="1206">
          <cell r="B1206" t="str">
            <v>Carnival Roasted &amp; Salted Pistachio 250g</v>
          </cell>
          <cell r="C1206" t="str">
            <v>FG</v>
          </cell>
          <cell r="D1206" t="str">
            <v>PISTA</v>
          </cell>
          <cell r="E1206" t="str">
            <v>Pista - Inshell</v>
          </cell>
        </row>
        <row r="1207">
          <cell r="B1207" t="str">
            <v>Curate Pista Peshawari 300g Jr</v>
          </cell>
          <cell r="C1207" t="str">
            <v>FG</v>
          </cell>
          <cell r="D1207" t="str">
            <v>PISTA</v>
          </cell>
          <cell r="E1207" t="str">
            <v>Pista - Inshell</v>
          </cell>
        </row>
        <row r="1208">
          <cell r="B1208" t="str">
            <v>Ez Green Pista Loose (1459047)</v>
          </cell>
          <cell r="C1208" t="str">
            <v>FG</v>
          </cell>
          <cell r="D1208" t="str">
            <v>PISTA</v>
          </cell>
          <cell r="E1208" t="str">
            <v>Pista - Inshell</v>
          </cell>
        </row>
        <row r="1209">
          <cell r="B1209" t="str">
            <v>FABSTA PISTA CALIFORNIA 200G</v>
          </cell>
          <cell r="C1209" t="str">
            <v>FG</v>
          </cell>
          <cell r="D1209" t="str">
            <v>PISTA</v>
          </cell>
          <cell r="E1209" t="str">
            <v>Pista - Inshell</v>
          </cell>
        </row>
        <row r="1210">
          <cell r="B1210" t="str">
            <v>FNP Pistachios Salted &amp; Roasted 50 gm</v>
          </cell>
          <cell r="C1210" t="str">
            <v>FG</v>
          </cell>
          <cell r="D1210" t="str">
            <v>PISTA</v>
          </cell>
          <cell r="E1210" t="str">
            <v>Pista - Inshell</v>
          </cell>
        </row>
        <row r="1211">
          <cell r="B1211" t="str">
            <v>GL CALIFORNIA PISTA RSTED &amp; SLTD 500g PP</v>
          </cell>
          <cell r="C1211" t="str">
            <v>FG</v>
          </cell>
          <cell r="D1211" t="str">
            <v>PISTA</v>
          </cell>
          <cell r="E1211" t="str">
            <v>Pista - Inshell</v>
          </cell>
        </row>
        <row r="1212">
          <cell r="B1212" t="str">
            <v>GL ROSTED&amp;SLTD CALIFORNIA PISTA 200g PCH</v>
          </cell>
          <cell r="C1212" t="str">
            <v>FG</v>
          </cell>
          <cell r="D1212" t="str">
            <v>PISTA</v>
          </cell>
          <cell r="E1212" t="str">
            <v>Pista - Inshell</v>
          </cell>
        </row>
        <row r="1213">
          <cell r="B1213" t="str">
            <v>Natures California Pista Reg 200 Gm (1411656)</v>
          </cell>
          <cell r="C1213" t="str">
            <v>FG</v>
          </cell>
          <cell r="D1213" t="str">
            <v>PISTA</v>
          </cell>
          <cell r="E1213" t="str">
            <v>Pista - Inshell</v>
          </cell>
        </row>
        <row r="1214">
          <cell r="B1214" t="str">
            <v>Natures Pisto Unshelled 200g (1340526)</v>
          </cell>
          <cell r="C1214" t="str">
            <v>FG</v>
          </cell>
          <cell r="D1214" t="str">
            <v>PISTA</v>
          </cell>
          <cell r="E1214" t="str">
            <v>Pista - Inshell</v>
          </cell>
        </row>
        <row r="1215">
          <cell r="B1215" t="str">
            <v>NB PISTACHIO AKBARI LOOSE</v>
          </cell>
          <cell r="C1215" t="str">
            <v>FG</v>
          </cell>
          <cell r="D1215" t="str">
            <v>PISTA</v>
          </cell>
          <cell r="E1215" t="str">
            <v>Pista - Inshell</v>
          </cell>
        </row>
        <row r="1216">
          <cell r="B1216" t="str">
            <v>Pepper Pista 100g Pet</v>
          </cell>
          <cell r="C1216" t="str">
            <v>FG</v>
          </cell>
          <cell r="D1216" t="str">
            <v>PISTA</v>
          </cell>
          <cell r="E1216" t="str">
            <v>Pista - Inshell</v>
          </cell>
        </row>
        <row r="1217">
          <cell r="B1217" t="str">
            <v>Pepper Pista Inshell</v>
          </cell>
          <cell r="C1217" t="str">
            <v>FG</v>
          </cell>
          <cell r="D1217" t="str">
            <v>PISTA</v>
          </cell>
          <cell r="E1217" t="str">
            <v>Pista - Inshell</v>
          </cell>
        </row>
        <row r="1218">
          <cell r="B1218" t="str">
            <v>Pink Salt Pistachios 90gm</v>
          </cell>
          <cell r="C1218" t="str">
            <v>FG</v>
          </cell>
          <cell r="D1218" t="str">
            <v>PISTA</v>
          </cell>
          <cell r="E1218" t="str">
            <v>Pista - Inshell</v>
          </cell>
        </row>
        <row r="1219">
          <cell r="B1219" t="str">
            <v>PISTA PERI PERI</v>
          </cell>
          <cell r="C1219" t="str">
            <v>FG</v>
          </cell>
          <cell r="D1219" t="str">
            <v>PISTA</v>
          </cell>
          <cell r="E1219" t="str">
            <v>Pista - Inshell</v>
          </cell>
        </row>
        <row r="1220">
          <cell r="B1220" t="str">
            <v>Roasted &amp; Salted Pista 230g</v>
          </cell>
          <cell r="C1220" t="str">
            <v>FG</v>
          </cell>
          <cell r="D1220" t="str">
            <v>PISTA</v>
          </cell>
          <cell r="E1220" t="str">
            <v>Pista - Inshell</v>
          </cell>
        </row>
        <row r="1221">
          <cell r="B1221" t="str">
            <v>Roasted &amp; Salted Pista 75gm</v>
          </cell>
          <cell r="C1221" t="str">
            <v>FG</v>
          </cell>
          <cell r="D1221" t="str">
            <v>PISTA</v>
          </cell>
          <cell r="E1221" t="str">
            <v>Pista - Inshell</v>
          </cell>
        </row>
        <row r="1222">
          <cell r="B1222" t="str">
            <v>SnackAmor Roasted Salted Pistachio 170g</v>
          </cell>
          <cell r="C1222" t="str">
            <v>FG</v>
          </cell>
          <cell r="D1222" t="str">
            <v>PISTA</v>
          </cell>
          <cell r="E1222" t="str">
            <v>Pista - Inshell</v>
          </cell>
        </row>
        <row r="1223">
          <cell r="B1223" t="str">
            <v>Snackania California Pistachio Roasted &amp; Salted 230g</v>
          </cell>
          <cell r="C1223" t="str">
            <v>FG</v>
          </cell>
          <cell r="D1223" t="str">
            <v>PISTA</v>
          </cell>
          <cell r="E1223" t="str">
            <v>Pista - Inshell</v>
          </cell>
        </row>
        <row r="1224">
          <cell r="B1224" t="str">
            <v>Snackania Irani Pistachio Roasted &amp; Salted 230g</v>
          </cell>
          <cell r="C1224" t="str">
            <v>FG</v>
          </cell>
          <cell r="D1224" t="str">
            <v>PISTA</v>
          </cell>
          <cell r="E1224" t="str">
            <v>Pista - Inshell</v>
          </cell>
        </row>
        <row r="1225">
          <cell r="B1225" t="str">
            <v>Tasties Pink Salted Pistachio - Flavourful &amp; Crunchy 75 g</v>
          </cell>
          <cell r="C1225" t="str">
            <v>FG</v>
          </cell>
          <cell r="D1225" t="str">
            <v>PISTA</v>
          </cell>
          <cell r="E1225" t="str">
            <v>Pista - Inshell</v>
          </cell>
        </row>
        <row r="1226">
          <cell r="B1226" t="str">
            <v>Vedaka Roasted and Salted California Pistachios 500g (B0D9NY8F36)</v>
          </cell>
          <cell r="C1226" t="str">
            <v>FG</v>
          </cell>
          <cell r="D1226" t="str">
            <v>PISTA</v>
          </cell>
          <cell r="E1226" t="str">
            <v>Pista - Inshell</v>
          </cell>
        </row>
        <row r="1227">
          <cell r="B1227" t="str">
            <v>Pista Inshell Iranian 26-28</v>
          </cell>
          <cell r="C1227" t="str">
            <v>RM</v>
          </cell>
          <cell r="D1227" t="str">
            <v>PISTA</v>
          </cell>
          <cell r="E1227" t="str">
            <v>Pista - Irani</v>
          </cell>
        </row>
        <row r="1228">
          <cell r="B1228" t="str">
            <v>Pista Irani 101 Inshell</v>
          </cell>
          <cell r="C1228" t="str">
            <v>RM</v>
          </cell>
          <cell r="D1228" t="str">
            <v>PISTA</v>
          </cell>
          <cell r="E1228" t="str">
            <v>Pista - Irani</v>
          </cell>
        </row>
        <row r="1229">
          <cell r="B1229" t="str">
            <v>Pista Irani 999 Inshell</v>
          </cell>
          <cell r="C1229" t="str">
            <v>RM</v>
          </cell>
          <cell r="D1229" t="str">
            <v>PISTA</v>
          </cell>
          <cell r="E1229" t="str">
            <v>Pista - Irani</v>
          </cell>
        </row>
        <row r="1230">
          <cell r="B1230" t="str">
            <v>Pista Irani Inshell</v>
          </cell>
          <cell r="C1230" t="str">
            <v>RM</v>
          </cell>
          <cell r="D1230" t="str">
            <v>PISTA</v>
          </cell>
          <cell r="E1230" t="str">
            <v>Pista - Irani</v>
          </cell>
        </row>
        <row r="1231">
          <cell r="B1231" t="str">
            <v>Pista Irani Super Inshell</v>
          </cell>
          <cell r="C1231" t="str">
            <v>RM</v>
          </cell>
          <cell r="D1231" t="str">
            <v>PISTA</v>
          </cell>
          <cell r="E1231" t="str">
            <v>Pista - Irani</v>
          </cell>
        </row>
        <row r="1232">
          <cell r="B1232" t="str">
            <v>CA PREMIUM PINSHROSTSALTIRANIPISTA15 /P</v>
          </cell>
          <cell r="C1232" t="str">
            <v>FG</v>
          </cell>
          <cell r="D1232" t="str">
            <v>PISTA</v>
          </cell>
          <cell r="E1232" t="str">
            <v>Pista - Irani</v>
          </cell>
        </row>
        <row r="1233">
          <cell r="B1233" t="str">
            <v>Carnival Classic Irani Pistachio Salted 80g</v>
          </cell>
          <cell r="C1233" t="str">
            <v>FG</v>
          </cell>
          <cell r="D1233" t="str">
            <v>PISTA</v>
          </cell>
          <cell r="E1233" t="str">
            <v>Pista - Irani</v>
          </cell>
        </row>
        <row r="1234">
          <cell r="B1234" t="str">
            <v>Carnival Iranian Pistachio 250 Gm</v>
          </cell>
          <cell r="C1234" t="str">
            <v>FG</v>
          </cell>
          <cell r="D1234" t="str">
            <v>PISTA</v>
          </cell>
          <cell r="E1234" t="str">
            <v>Pista - Irani</v>
          </cell>
        </row>
        <row r="1235">
          <cell r="B1235" t="str">
            <v>Carnival Roasted And Salted Irani Pista 250g</v>
          </cell>
          <cell r="C1235" t="str">
            <v>FG</v>
          </cell>
          <cell r="D1235" t="str">
            <v>PISTA</v>
          </cell>
          <cell r="E1235" t="str">
            <v>Pista - Irani</v>
          </cell>
        </row>
        <row r="1236">
          <cell r="B1236" t="str">
            <v>Ez Pista Roasted Salted Irani Loose</v>
          </cell>
          <cell r="C1236" t="str">
            <v>FG</v>
          </cell>
          <cell r="D1236" t="str">
            <v>PISTA</v>
          </cell>
          <cell r="E1236" t="str">
            <v>Pista - Irani</v>
          </cell>
        </row>
        <row r="1237">
          <cell r="B1237" t="str">
            <v>Natures Pista Iranian 100g (1340521)</v>
          </cell>
          <cell r="C1237" t="str">
            <v>FG</v>
          </cell>
          <cell r="D1237" t="str">
            <v>PISTA</v>
          </cell>
          <cell r="E1237" t="str">
            <v>Pista - Irani</v>
          </cell>
        </row>
        <row r="1238">
          <cell r="B1238" t="str">
            <v>Natures Pista Iranian 250g (1340529)</v>
          </cell>
          <cell r="C1238" t="str">
            <v>FG</v>
          </cell>
          <cell r="D1238" t="str">
            <v>PISTA</v>
          </cell>
          <cell r="E1238" t="str">
            <v>Pista - Irani</v>
          </cell>
        </row>
        <row r="1239">
          <cell r="B1239" t="str">
            <v>Natures Pistachia Iranian 500g (1340527)</v>
          </cell>
          <cell r="C1239" t="str">
            <v>FG</v>
          </cell>
          <cell r="D1239" t="str">
            <v>PISTA</v>
          </cell>
          <cell r="E1239" t="str">
            <v>Pista - Irani</v>
          </cell>
        </row>
        <row r="1240">
          <cell r="B1240" t="str">
            <v>NB PISTACHIO IRANI LOOSE</v>
          </cell>
          <cell r="C1240" t="str">
            <v>FG</v>
          </cell>
          <cell r="D1240" t="str">
            <v>PISTA</v>
          </cell>
          <cell r="E1240" t="str">
            <v>Pista - Irani</v>
          </cell>
        </row>
        <row r="1241">
          <cell r="B1241" t="str">
            <v>Pista Irani 101 Inshell Roasted and salted</v>
          </cell>
          <cell r="C1241" t="str">
            <v>FG</v>
          </cell>
          <cell r="D1241" t="str">
            <v>PISTA</v>
          </cell>
          <cell r="E1241" t="str">
            <v>Pista - Irani</v>
          </cell>
        </row>
        <row r="1242">
          <cell r="B1242" t="str">
            <v>Pista Irani Inshell Roasted and Salted</v>
          </cell>
          <cell r="C1242" t="str">
            <v>FG</v>
          </cell>
          <cell r="D1242" t="str">
            <v>PISTA</v>
          </cell>
          <cell r="E1242" t="str">
            <v>Pista - Irani</v>
          </cell>
        </row>
        <row r="1243">
          <cell r="B1243" t="str">
            <v>Pink Lipstick Pista Magaz Premium</v>
          </cell>
          <cell r="C1243" t="str">
            <v>RM</v>
          </cell>
          <cell r="D1243" t="str">
            <v>PISTA</v>
          </cell>
          <cell r="E1243" t="str">
            <v>Pista - Kernel</v>
          </cell>
        </row>
        <row r="1244">
          <cell r="B1244" t="str">
            <v>Pista Kernal Tukda</v>
          </cell>
          <cell r="C1244" t="str">
            <v>RM</v>
          </cell>
          <cell r="D1244" t="str">
            <v>PISTA</v>
          </cell>
          <cell r="E1244" t="str">
            <v>Pista - Kernel</v>
          </cell>
        </row>
        <row r="1245">
          <cell r="B1245" t="str">
            <v>Pista Kernel</v>
          </cell>
          <cell r="C1245" t="str">
            <v>RM</v>
          </cell>
          <cell r="D1245" t="str">
            <v>PISTA</v>
          </cell>
          <cell r="E1245" t="str">
            <v>Pista - Kernel</v>
          </cell>
        </row>
        <row r="1246">
          <cell r="B1246" t="str">
            <v>Pista Kernel B</v>
          </cell>
          <cell r="C1246" t="str">
            <v>RM</v>
          </cell>
          <cell r="D1246" t="str">
            <v>PISTA</v>
          </cell>
          <cell r="E1246" t="str">
            <v>Pista - Kernel</v>
          </cell>
        </row>
        <row r="1247">
          <cell r="B1247" t="str">
            <v>Pista Magaz</v>
          </cell>
          <cell r="C1247" t="str">
            <v>RM</v>
          </cell>
          <cell r="D1247" t="str">
            <v>PISTA</v>
          </cell>
          <cell r="E1247" t="str">
            <v>Pista - Kernel</v>
          </cell>
        </row>
        <row r="1248">
          <cell r="B1248" t="str">
            <v>Pista Magaz Split California</v>
          </cell>
          <cell r="C1248" t="str">
            <v>RM</v>
          </cell>
          <cell r="D1248" t="str">
            <v>PISTA</v>
          </cell>
          <cell r="E1248" t="str">
            <v>Pista - Kernel</v>
          </cell>
        </row>
        <row r="1249">
          <cell r="B1249" t="str">
            <v>Pista sliced</v>
          </cell>
          <cell r="C1249" t="str">
            <v>RM</v>
          </cell>
          <cell r="D1249" t="str">
            <v>PISTA</v>
          </cell>
          <cell r="E1249" t="str">
            <v>Pista - Kernel</v>
          </cell>
        </row>
        <row r="1250">
          <cell r="B1250" t="str">
            <v>Pistachio Kernenal-Rozi Salted</v>
          </cell>
          <cell r="C1250" t="str">
            <v>RM</v>
          </cell>
          <cell r="D1250" t="str">
            <v>PISTA</v>
          </cell>
          <cell r="E1250" t="str">
            <v>Pista - Kernel</v>
          </cell>
        </row>
        <row r="1251">
          <cell r="B1251" t="str">
            <v>NB PISTACHIO KERNEL 5 STAR LOOSE</v>
          </cell>
          <cell r="C1251" t="str">
            <v>FG</v>
          </cell>
          <cell r="D1251" t="str">
            <v>PISTA</v>
          </cell>
          <cell r="E1251" t="str">
            <v>Pista - Kernel</v>
          </cell>
        </row>
        <row r="1252">
          <cell r="B1252" t="str">
            <v>NB PISTACHIO KERNEL PREMIUM LOOSE</v>
          </cell>
          <cell r="C1252" t="str">
            <v>FG</v>
          </cell>
          <cell r="D1252" t="str">
            <v>PISTA</v>
          </cell>
          <cell r="E1252" t="str">
            <v>Pista - Kernel</v>
          </cell>
        </row>
        <row r="1253">
          <cell r="B1253" t="str">
            <v>Pista Kernal Roasted and Salted</v>
          </cell>
          <cell r="C1253" t="str">
            <v>FG</v>
          </cell>
          <cell r="D1253" t="str">
            <v>PISTA</v>
          </cell>
          <cell r="E1253" t="str">
            <v>Pista - Kernel</v>
          </cell>
        </row>
        <row r="1254">
          <cell r="B1254" t="str">
            <v>Solimo Premium Pista Kernels - Plain 250g (B07Q1Z293G)</v>
          </cell>
          <cell r="C1254" t="str">
            <v>FG</v>
          </cell>
          <cell r="D1254" t="str">
            <v>PISTA</v>
          </cell>
          <cell r="E1254" t="str">
            <v>Pista - Kernel</v>
          </cell>
        </row>
        <row r="1255">
          <cell r="B1255" t="str">
            <v>Vedaka Whole California Pista Kernels 500gm [B0D9NY1V9X]</v>
          </cell>
          <cell r="C1255" t="str">
            <v>FG</v>
          </cell>
          <cell r="D1255" t="str">
            <v>PISTA</v>
          </cell>
          <cell r="E1255" t="str">
            <v>Pista - Kernel</v>
          </cell>
        </row>
        <row r="1256">
          <cell r="B1256" t="str">
            <v>PISTACHIO KERNEL-PISHORI</v>
          </cell>
          <cell r="C1256" t="str">
            <v>RM</v>
          </cell>
          <cell r="D1256" t="str">
            <v>PISTA</v>
          </cell>
          <cell r="E1256" t="str">
            <v>Pista - Pishori</v>
          </cell>
        </row>
        <row r="1257">
          <cell r="B1257" t="str">
            <v>Curate Pista Pishori 200g</v>
          </cell>
          <cell r="C1257" t="str">
            <v>FG</v>
          </cell>
          <cell r="D1257" t="str">
            <v>PISTA</v>
          </cell>
          <cell r="E1257" t="str">
            <v>Pista - Pishori</v>
          </cell>
        </row>
        <row r="1258">
          <cell r="B1258" t="str">
            <v>Brazil Nuts</v>
          </cell>
          <cell r="C1258" t="str">
            <v>RM</v>
          </cell>
          <cell r="D1258" t="str">
            <v>PREMIUM NUTS</v>
          </cell>
          <cell r="E1258" t="str">
            <v>Brazil Nuts</v>
          </cell>
        </row>
        <row r="1259">
          <cell r="B1259" t="str">
            <v>Cafe Galleries Brazil Nuts 250g</v>
          </cell>
          <cell r="C1259" t="str">
            <v>FG</v>
          </cell>
          <cell r="D1259" t="str">
            <v>PREMIUM NUTS</v>
          </cell>
          <cell r="E1259" t="str">
            <v>Brazil Nuts</v>
          </cell>
        </row>
        <row r="1260">
          <cell r="B1260" t="str">
            <v>Carnival Premium Brazil Nuts, 250 Gms</v>
          </cell>
          <cell r="C1260" t="str">
            <v>FG</v>
          </cell>
          <cell r="D1260" t="str">
            <v>PREMIUM NUTS</v>
          </cell>
          <cell r="E1260" t="str">
            <v>Brazil Nuts</v>
          </cell>
        </row>
        <row r="1261">
          <cell r="B1261" t="str">
            <v>Ha Brazil Nut 200g (1340533)</v>
          </cell>
          <cell r="C1261" t="str">
            <v>FG</v>
          </cell>
          <cell r="D1261" t="str">
            <v>PREMIUM NUTS</v>
          </cell>
          <cell r="E1261" t="str">
            <v>Brazil Nuts</v>
          </cell>
        </row>
        <row r="1262">
          <cell r="B1262" t="str">
            <v>NB BRAZIL NUT LOOSE</v>
          </cell>
          <cell r="C1262" t="str">
            <v>FG</v>
          </cell>
          <cell r="D1262" t="str">
            <v>PREMIUM NUTS</v>
          </cell>
          <cell r="E1262" t="str">
            <v>Brazil Nuts</v>
          </cell>
        </row>
        <row r="1263">
          <cell r="B1263" t="str">
            <v>Tasties Brazil Nut - Gems Of South Africa 50 g</v>
          </cell>
          <cell r="C1263" t="str">
            <v>FG</v>
          </cell>
          <cell r="D1263" t="str">
            <v>PREMIUM NUTS</v>
          </cell>
          <cell r="E1263" t="str">
            <v>Brazil Nuts</v>
          </cell>
        </row>
        <row r="1264">
          <cell r="B1264" t="str">
            <v>Hazelnut Blanched</v>
          </cell>
          <cell r="C1264" t="str">
            <v>RM</v>
          </cell>
          <cell r="D1264" t="str">
            <v>PREMIUM NUTS</v>
          </cell>
          <cell r="E1264" t="str">
            <v>Hazelnuts</v>
          </cell>
        </row>
        <row r="1265">
          <cell r="B1265" t="str">
            <v>Hazelnut Chocolate Spread</v>
          </cell>
          <cell r="C1265" t="str">
            <v>RM</v>
          </cell>
          <cell r="D1265" t="str">
            <v>PREMIUM NUTS</v>
          </cell>
          <cell r="E1265" t="str">
            <v>Hazelnuts</v>
          </cell>
        </row>
        <row r="1266">
          <cell r="B1266" t="str">
            <v>Hazelnut Kernal</v>
          </cell>
          <cell r="C1266" t="str">
            <v>RM</v>
          </cell>
          <cell r="D1266" t="str">
            <v>PREMIUM NUTS</v>
          </cell>
          <cell r="E1266" t="str">
            <v>Hazelnuts</v>
          </cell>
        </row>
        <row r="1267">
          <cell r="B1267" t="str">
            <v>Cafe Galleries Hazelnuts 250g</v>
          </cell>
          <cell r="C1267" t="str">
            <v>FG</v>
          </cell>
          <cell r="D1267" t="str">
            <v>PREMIUM NUTS</v>
          </cell>
          <cell r="E1267" t="str">
            <v>Hazelnuts</v>
          </cell>
        </row>
        <row r="1268">
          <cell r="B1268" t="str">
            <v>Carnival Classic Hazelnut 250 GMS</v>
          </cell>
          <cell r="C1268" t="str">
            <v>FG</v>
          </cell>
          <cell r="D1268" t="str">
            <v>PREMIUM NUTS</v>
          </cell>
          <cell r="E1268" t="str">
            <v>Hazelnuts</v>
          </cell>
        </row>
        <row r="1269">
          <cell r="B1269" t="str">
            <v>Cocoa Glazed Hazelnuts</v>
          </cell>
          <cell r="C1269" t="str">
            <v>FG</v>
          </cell>
          <cell r="D1269" t="str">
            <v>PREMIUM NUTS</v>
          </cell>
          <cell r="E1269" t="str">
            <v>Hazelnuts</v>
          </cell>
        </row>
        <row r="1270">
          <cell r="B1270" t="str">
            <v>Curate Roasted Hazelnuts 200g</v>
          </cell>
          <cell r="C1270" t="str">
            <v>FG</v>
          </cell>
          <cell r="D1270" t="str">
            <v>PREMIUM NUTS</v>
          </cell>
          <cell r="E1270" t="str">
            <v>Hazelnuts</v>
          </cell>
        </row>
        <row r="1271">
          <cell r="B1271" t="str">
            <v>Curate Roasted Hazelnuts 250g Jr</v>
          </cell>
          <cell r="C1271" t="str">
            <v>FG</v>
          </cell>
          <cell r="D1271" t="str">
            <v>PREMIUM NUTS</v>
          </cell>
          <cell r="E1271" t="str">
            <v>Hazelnuts</v>
          </cell>
        </row>
        <row r="1272">
          <cell r="B1272" t="str">
            <v>Curate Roasted Hazelnuts 550g Jr</v>
          </cell>
          <cell r="C1272" t="str">
            <v>FG</v>
          </cell>
          <cell r="D1272" t="str">
            <v>PREMIUM NUTS</v>
          </cell>
          <cell r="E1272" t="str">
            <v>Hazelnuts</v>
          </cell>
        </row>
        <row r="1273">
          <cell r="B1273" t="str">
            <v>Ha Hazulnut 250g (1340531)</v>
          </cell>
          <cell r="C1273" t="str">
            <v>FG</v>
          </cell>
          <cell r="D1273" t="str">
            <v>PREMIUM NUTS</v>
          </cell>
          <cell r="E1273" t="str">
            <v>Hazelnuts</v>
          </cell>
        </row>
        <row r="1274">
          <cell r="B1274" t="str">
            <v>NB HAZELNUT LOOSE</v>
          </cell>
          <cell r="C1274" t="str">
            <v>FG</v>
          </cell>
          <cell r="D1274" t="str">
            <v>PREMIUM NUTS</v>
          </cell>
          <cell r="E1274" t="str">
            <v>Hazelnuts</v>
          </cell>
        </row>
        <row r="1275">
          <cell r="B1275" t="str">
            <v>Solimo Premium Hazelnuts 250g (B07MLDJKTP) FBA</v>
          </cell>
          <cell r="C1275" t="str">
            <v>FG</v>
          </cell>
          <cell r="D1275" t="str">
            <v>PREMIUM NUTS</v>
          </cell>
          <cell r="E1275" t="str">
            <v>Hazelnuts</v>
          </cell>
        </row>
        <row r="1276">
          <cell r="B1276" t="str">
            <v>Tasties Hazelnut - A Turkish Indulgence 50 g</v>
          </cell>
          <cell r="C1276" t="str">
            <v>FG</v>
          </cell>
          <cell r="D1276" t="str">
            <v>PREMIUM NUTS</v>
          </cell>
          <cell r="E1276" t="str">
            <v>Hazelnuts</v>
          </cell>
        </row>
        <row r="1277">
          <cell r="B1277" t="str">
            <v>Macadamia Commercial Grade Style 1</v>
          </cell>
          <cell r="C1277" t="str">
            <v>RM</v>
          </cell>
          <cell r="D1277" t="str">
            <v>PREMIUM NUTS</v>
          </cell>
          <cell r="E1277" t="str">
            <v>Macadamia Nuts</v>
          </cell>
        </row>
        <row r="1278">
          <cell r="B1278" t="str">
            <v>Macadamia Commercial Grade Style 4L</v>
          </cell>
          <cell r="C1278" t="str">
            <v>RM</v>
          </cell>
          <cell r="D1278" t="str">
            <v>PREMIUM NUTS</v>
          </cell>
          <cell r="E1278" t="str">
            <v>Macadamia Nuts</v>
          </cell>
        </row>
        <row r="1279">
          <cell r="B1279" t="str">
            <v>Macadamia Inshell</v>
          </cell>
          <cell r="C1279" t="str">
            <v>RM</v>
          </cell>
          <cell r="D1279" t="str">
            <v>PREMIUM NUTS</v>
          </cell>
          <cell r="E1279" t="str">
            <v>Macadamia Nuts</v>
          </cell>
        </row>
        <row r="1280">
          <cell r="B1280" t="str">
            <v>Macadamia Kernel ( Kg )</v>
          </cell>
          <cell r="C1280" t="str">
            <v>RM</v>
          </cell>
          <cell r="D1280" t="str">
            <v>PREMIUM NUTS</v>
          </cell>
          <cell r="E1280" t="str">
            <v>Macadamia Nuts</v>
          </cell>
        </row>
        <row r="1281">
          <cell r="B1281" t="str">
            <v>Macadamia Kernel Style 0</v>
          </cell>
          <cell r="C1281" t="str">
            <v>RM</v>
          </cell>
          <cell r="D1281" t="str">
            <v>PREMIUM NUTS</v>
          </cell>
          <cell r="E1281" t="str">
            <v>Macadamia Nuts</v>
          </cell>
        </row>
        <row r="1282">
          <cell r="B1282" t="str">
            <v>Macadamia Kernel Style 1L</v>
          </cell>
          <cell r="C1282" t="str">
            <v>RM</v>
          </cell>
          <cell r="D1282" t="str">
            <v>PREMIUM NUTS</v>
          </cell>
          <cell r="E1282" t="str">
            <v>Macadamia Nuts</v>
          </cell>
        </row>
        <row r="1283">
          <cell r="B1283" t="str">
            <v>Macadamia Paste</v>
          </cell>
          <cell r="C1283" t="str">
            <v>RM</v>
          </cell>
          <cell r="D1283" t="str">
            <v>PREMIUM NUTS</v>
          </cell>
          <cell r="E1283" t="str">
            <v>Macadamia Nuts</v>
          </cell>
        </row>
        <row r="1284">
          <cell r="B1284" t="str">
            <v>Macadamia Roasted - Size 0</v>
          </cell>
          <cell r="C1284" t="str">
            <v>RM</v>
          </cell>
          <cell r="D1284" t="str">
            <v>PREMIUM NUTS</v>
          </cell>
          <cell r="E1284" t="str">
            <v>Macadamia Nuts</v>
          </cell>
        </row>
        <row r="1285">
          <cell r="B1285" t="str">
            <v>Macadamia Roasted - Size 1</v>
          </cell>
          <cell r="C1285" t="str">
            <v>RM</v>
          </cell>
          <cell r="D1285" t="str">
            <v>PREMIUM NUTS</v>
          </cell>
          <cell r="E1285" t="str">
            <v>Macadamia Nuts</v>
          </cell>
        </row>
        <row r="1286">
          <cell r="B1286" t="str">
            <v>Macadamia Roasted - Size 2</v>
          </cell>
          <cell r="C1286" t="str">
            <v>RM</v>
          </cell>
          <cell r="D1286" t="str">
            <v>PREMIUM NUTS</v>
          </cell>
          <cell r="E1286" t="str">
            <v>Macadamia Nuts</v>
          </cell>
        </row>
        <row r="1287">
          <cell r="B1287" t="str">
            <v>Macadamia Roasted - Size 4</v>
          </cell>
          <cell r="C1287" t="str">
            <v>RM</v>
          </cell>
          <cell r="D1287" t="str">
            <v>PREMIUM NUTS</v>
          </cell>
          <cell r="E1287" t="str">
            <v>Macadamia Nuts</v>
          </cell>
        </row>
        <row r="1288">
          <cell r="B1288" t="str">
            <v>Macadamia Roasted - Size 4L</v>
          </cell>
          <cell r="C1288" t="str">
            <v>RM</v>
          </cell>
          <cell r="D1288" t="str">
            <v>PREMIUM NUTS</v>
          </cell>
          <cell r="E1288" t="str">
            <v>Macadamia Nuts</v>
          </cell>
        </row>
        <row r="1289">
          <cell r="B1289" t="str">
            <v>Macadamia Roasted - Size 6</v>
          </cell>
          <cell r="C1289" t="str">
            <v>RM</v>
          </cell>
          <cell r="D1289" t="str">
            <v>PREMIUM NUTS</v>
          </cell>
          <cell r="E1289" t="str">
            <v>Macadamia Nuts</v>
          </cell>
        </row>
        <row r="1290">
          <cell r="B1290" t="str">
            <v>Macadamia Roasted NIS Sawn</v>
          </cell>
          <cell r="C1290" t="str">
            <v>RM</v>
          </cell>
          <cell r="D1290" t="str">
            <v>PREMIUM NUTS</v>
          </cell>
          <cell r="E1290" t="str">
            <v>Macadamia Nuts</v>
          </cell>
        </row>
        <row r="1291">
          <cell r="B1291" t="str">
            <v>Macadamia Roasted Salted - Size 1</v>
          </cell>
          <cell r="C1291" t="str">
            <v>RM</v>
          </cell>
          <cell r="D1291" t="str">
            <v>PREMIUM NUTS</v>
          </cell>
          <cell r="E1291" t="str">
            <v>Macadamia Nuts</v>
          </cell>
        </row>
        <row r="1292">
          <cell r="B1292" t="str">
            <v>Macadamia Roasted Salted - Size 4</v>
          </cell>
          <cell r="C1292" t="str">
            <v>RM</v>
          </cell>
          <cell r="D1292" t="str">
            <v>PREMIUM NUTS</v>
          </cell>
          <cell r="E1292" t="str">
            <v>Macadamia Nuts</v>
          </cell>
        </row>
        <row r="1293">
          <cell r="B1293" t="str">
            <v>Macadamia Vanilla Whole - 320* Cut</v>
          </cell>
          <cell r="C1293" t="str">
            <v>RM</v>
          </cell>
          <cell r="D1293" t="str">
            <v>PREMIUM NUTS</v>
          </cell>
          <cell r="E1293" t="str">
            <v>Macadamia Nuts</v>
          </cell>
        </row>
        <row r="1294">
          <cell r="B1294" t="str">
            <v>Macadamia Whole - 320* Cut</v>
          </cell>
          <cell r="C1294" t="str">
            <v>RM</v>
          </cell>
          <cell r="D1294" t="str">
            <v>PREMIUM NUTS</v>
          </cell>
          <cell r="E1294" t="str">
            <v>Macadamia Nuts</v>
          </cell>
        </row>
        <row r="1295">
          <cell r="B1295" t="str">
            <v>AUSTRALIA MACADAMIA HONEY ROAST 100G PCH</v>
          </cell>
          <cell r="C1295" t="str">
            <v>FG</v>
          </cell>
          <cell r="D1295" t="str">
            <v>PREMIUM NUTS</v>
          </cell>
          <cell r="E1295" t="str">
            <v>Macadamia Nuts</v>
          </cell>
        </row>
        <row r="1296">
          <cell r="B1296" t="str">
            <v>AUSTRALIA MACADAMIA SWEETCHILLI 100G PCH</v>
          </cell>
          <cell r="C1296" t="str">
            <v>FG</v>
          </cell>
          <cell r="D1296" t="str">
            <v>PREMIUM NUTS</v>
          </cell>
          <cell r="E1296" t="str">
            <v>Macadamia Nuts</v>
          </cell>
        </row>
        <row r="1297">
          <cell r="B1297" t="str">
            <v>AUSTRALIA MCADAMIA DARKCHOCOLTE 100G PCH</v>
          </cell>
          <cell r="C1297" t="str">
            <v>FG</v>
          </cell>
          <cell r="D1297" t="str">
            <v>PREMIUM NUTS</v>
          </cell>
          <cell r="E1297" t="str">
            <v>Macadamia Nuts</v>
          </cell>
        </row>
        <row r="1298">
          <cell r="B1298" t="str">
            <v>AUSTRALIA MCDAMIA MILKCHOCOLATE 100G PCH</v>
          </cell>
          <cell r="C1298" t="str">
            <v>FG</v>
          </cell>
          <cell r="D1298" t="str">
            <v>PREMIUM NUTS</v>
          </cell>
          <cell r="E1298" t="str">
            <v>Macadamia Nuts</v>
          </cell>
        </row>
        <row r="1299">
          <cell r="B1299" t="str">
            <v>Barbeque Macadamia</v>
          </cell>
          <cell r="C1299" t="str">
            <v>FG</v>
          </cell>
          <cell r="D1299" t="str">
            <v>PREMIUM NUTS</v>
          </cell>
          <cell r="E1299" t="str">
            <v>Macadamia Nuts</v>
          </cell>
        </row>
        <row r="1300">
          <cell r="B1300" t="str">
            <v>Black Pepper Macadamia Trail Mix</v>
          </cell>
          <cell r="C1300" t="str">
            <v>FG</v>
          </cell>
          <cell r="D1300" t="str">
            <v>PREMIUM NUTS</v>
          </cell>
          <cell r="E1300" t="str">
            <v>Macadamia Nuts</v>
          </cell>
        </row>
        <row r="1301">
          <cell r="B1301" t="str">
            <v>Cafe Galleries Macadamia Nut Salted 250g</v>
          </cell>
          <cell r="C1301" t="str">
            <v>FG</v>
          </cell>
          <cell r="D1301" t="str">
            <v>PREMIUM NUTS</v>
          </cell>
          <cell r="E1301" t="str">
            <v>Macadamia Nuts</v>
          </cell>
        </row>
        <row r="1302">
          <cell r="B1302" t="str">
            <v>Carnival Macadamia 200gm</v>
          </cell>
          <cell r="C1302" t="str">
            <v>FG</v>
          </cell>
          <cell r="D1302" t="str">
            <v>PREMIUM NUTS</v>
          </cell>
          <cell r="E1302" t="str">
            <v>Macadamia Nuts</v>
          </cell>
        </row>
        <row r="1303">
          <cell r="B1303" t="str">
            <v>Carnival Premium Macadamia Nut 250 Gms</v>
          </cell>
          <cell r="C1303" t="str">
            <v>FG</v>
          </cell>
          <cell r="D1303" t="str">
            <v>PREMIUM NUTS</v>
          </cell>
          <cell r="E1303" t="str">
            <v>Macadamia Nuts</v>
          </cell>
        </row>
        <row r="1304">
          <cell r="B1304" t="str">
            <v>Carnival Roasted Macadamia Nuts 100g</v>
          </cell>
          <cell r="C1304" t="str">
            <v>FG</v>
          </cell>
          <cell r="D1304" t="str">
            <v>PREMIUM NUTS</v>
          </cell>
          <cell r="E1304" t="str">
            <v>Macadamia Nuts</v>
          </cell>
        </row>
        <row r="1305">
          <cell r="B1305" t="str">
            <v>Carnival Roasted Macadamia Nuts 250g</v>
          </cell>
          <cell r="C1305" t="str">
            <v>FG</v>
          </cell>
          <cell r="D1305" t="str">
            <v>PREMIUM NUTS</v>
          </cell>
          <cell r="E1305" t="str">
            <v>Macadamia Nuts</v>
          </cell>
        </row>
        <row r="1306">
          <cell r="B1306" t="str">
            <v>Curate Macadamia Nuts 250g Jr</v>
          </cell>
          <cell r="C1306" t="str">
            <v>FG</v>
          </cell>
          <cell r="D1306" t="str">
            <v>PREMIUM NUTS</v>
          </cell>
          <cell r="E1306" t="str">
            <v>Macadamia Nuts</v>
          </cell>
        </row>
        <row r="1307">
          <cell r="B1307" t="str">
            <v>CURATE MACADEMIA NUTS 200G</v>
          </cell>
          <cell r="C1307" t="str">
            <v>FG</v>
          </cell>
          <cell r="D1307" t="str">
            <v>PREMIUM NUTS</v>
          </cell>
          <cell r="E1307" t="str">
            <v>Macadamia Nuts</v>
          </cell>
        </row>
        <row r="1308">
          <cell r="B1308" t="str">
            <v>Dark Chocolate Macadamia Clusters 100gm</v>
          </cell>
          <cell r="C1308" t="str">
            <v>FG</v>
          </cell>
          <cell r="D1308" t="str">
            <v>PREMIUM NUTS</v>
          </cell>
          <cell r="E1308" t="str">
            <v>Macadamia Nuts</v>
          </cell>
        </row>
        <row r="1309">
          <cell r="B1309" t="str">
            <v>Honey Roasted Macadamia Nut</v>
          </cell>
          <cell r="C1309" t="str">
            <v>FG</v>
          </cell>
          <cell r="D1309" t="str">
            <v>PREMIUM NUTS</v>
          </cell>
          <cell r="E1309" t="str">
            <v>Macadamia Nuts</v>
          </cell>
        </row>
        <row r="1310">
          <cell r="B1310" t="str">
            <v>Honey Roasted Macadamias 100gm</v>
          </cell>
          <cell r="C1310" t="str">
            <v>FG</v>
          </cell>
          <cell r="D1310" t="str">
            <v>PREMIUM NUTS</v>
          </cell>
          <cell r="E1310" t="str">
            <v>Macadamia Nuts</v>
          </cell>
        </row>
        <row r="1311">
          <cell r="B1311" t="str">
            <v>Mac Snack Macadamia Stlye 0 Premium-200gm</v>
          </cell>
          <cell r="C1311" t="str">
            <v>FG</v>
          </cell>
          <cell r="D1311" t="str">
            <v>PREMIUM NUTS</v>
          </cell>
          <cell r="E1311" t="str">
            <v>Macadamia Nuts</v>
          </cell>
        </row>
        <row r="1312">
          <cell r="B1312" t="str">
            <v>Mac Snack Macadamia Style 1 Roasted &amp; Salted Premium 200g</v>
          </cell>
          <cell r="C1312" t="str">
            <v>FG</v>
          </cell>
          <cell r="D1312" t="str">
            <v>PREMIUM NUTS</v>
          </cell>
          <cell r="E1312" t="str">
            <v>Macadamia Nuts</v>
          </cell>
        </row>
        <row r="1313">
          <cell r="B1313" t="str">
            <v>Macadamia Dark Chocolate Clusters</v>
          </cell>
          <cell r="C1313" t="str">
            <v>FG</v>
          </cell>
          <cell r="D1313" t="str">
            <v>PREMIUM NUTS</v>
          </cell>
          <cell r="E1313" t="str">
            <v>Macadamia Nuts</v>
          </cell>
        </row>
        <row r="1314">
          <cell r="B1314" t="str">
            <v>MACADAMIA FINGER LIME &amp; JALAPENO</v>
          </cell>
          <cell r="C1314" t="str">
            <v>FG</v>
          </cell>
          <cell r="D1314" t="str">
            <v>PREMIUM NUTS</v>
          </cell>
          <cell r="E1314" t="str">
            <v>Macadamia Nuts</v>
          </cell>
        </row>
        <row r="1315">
          <cell r="B1315" t="str">
            <v>Macadamia Inshell 150g</v>
          </cell>
          <cell r="C1315" t="str">
            <v>FG</v>
          </cell>
          <cell r="D1315" t="str">
            <v>PREMIUM NUTS</v>
          </cell>
          <cell r="E1315" t="str">
            <v>Macadamia Nuts</v>
          </cell>
        </row>
        <row r="1316">
          <cell r="B1316" t="str">
            <v>Macadamia Kernal 150gm</v>
          </cell>
          <cell r="C1316" t="str">
            <v>FG</v>
          </cell>
          <cell r="D1316" t="str">
            <v>PREMIUM NUTS</v>
          </cell>
          <cell r="E1316" t="str">
            <v>Macadamia Nuts</v>
          </cell>
        </row>
        <row r="1317">
          <cell r="B1317" t="str">
            <v>Macadamia Milk Chocolate Clusters</v>
          </cell>
          <cell r="C1317" t="str">
            <v>FG</v>
          </cell>
          <cell r="D1317" t="str">
            <v>PREMIUM NUTS</v>
          </cell>
          <cell r="E1317" t="str">
            <v>Macadamia Nuts</v>
          </cell>
        </row>
        <row r="1318">
          <cell r="B1318" t="str">
            <v>MACADAMIA NIS - ROASTED SEA SALT</v>
          </cell>
          <cell r="C1318" t="str">
            <v>FG</v>
          </cell>
          <cell r="D1318" t="str">
            <v>PREMIUM NUTS</v>
          </cell>
          <cell r="E1318" t="str">
            <v>Macadamia Nuts</v>
          </cell>
        </row>
        <row r="1319">
          <cell r="B1319" t="str">
            <v>Macadamia Roasted &amp; Salted style 4</v>
          </cell>
          <cell r="C1319" t="str">
            <v>FG</v>
          </cell>
          <cell r="D1319" t="str">
            <v>PREMIUM NUTS</v>
          </cell>
          <cell r="E1319" t="str">
            <v>Macadamia Nuts</v>
          </cell>
        </row>
        <row r="1320">
          <cell r="B1320" t="str">
            <v>Macadamia Roasted Salted - Size 0</v>
          </cell>
          <cell r="C1320" t="str">
            <v>FG</v>
          </cell>
          <cell r="D1320" t="str">
            <v>PREMIUM NUTS</v>
          </cell>
          <cell r="E1320" t="str">
            <v>Macadamia Nuts</v>
          </cell>
        </row>
        <row r="1321">
          <cell r="B1321" t="str">
            <v>MACADAMIA ROSEMARY &amp; SEA SALT</v>
          </cell>
          <cell r="C1321" t="str">
            <v>FG</v>
          </cell>
          <cell r="D1321" t="str">
            <v>PREMIUM NUTS</v>
          </cell>
          <cell r="E1321" t="str">
            <v>Macadamia Nuts</v>
          </cell>
        </row>
        <row r="1322">
          <cell r="B1322" t="str">
            <v>MACSNACK DRYRST MCADAMIAMUNCHIE 100G PCH</v>
          </cell>
          <cell r="C1322" t="str">
            <v>FG</v>
          </cell>
          <cell r="D1322" t="str">
            <v>PREMIUM NUTS</v>
          </cell>
          <cell r="E1322" t="str">
            <v>Macadamia Nuts</v>
          </cell>
        </row>
        <row r="1323">
          <cell r="B1323" t="str">
            <v>MACSNACK DRYRST MCADAMIAMUNCHIE 200G PCH</v>
          </cell>
          <cell r="C1323" t="str">
            <v>FG</v>
          </cell>
          <cell r="D1323" t="str">
            <v>PREMIUM NUTS</v>
          </cell>
          <cell r="E1323" t="str">
            <v>Macadamia Nuts</v>
          </cell>
        </row>
        <row r="1324">
          <cell r="B1324" t="str">
            <v>MACSNACK R&amp;S MACADAMIA MUNCHIES 100G PCH</v>
          </cell>
          <cell r="C1324" t="str">
            <v>FG</v>
          </cell>
          <cell r="D1324" t="str">
            <v>PREMIUM NUTS</v>
          </cell>
          <cell r="E1324" t="str">
            <v>Macadamia Nuts</v>
          </cell>
        </row>
        <row r="1325">
          <cell r="B1325" t="str">
            <v>MACSNACK R&amp;S MACADAMIA MUNCHIES 200G PCH</v>
          </cell>
          <cell r="C1325" t="str">
            <v>FG</v>
          </cell>
          <cell r="D1325" t="str">
            <v>PREMIUM NUTS</v>
          </cell>
          <cell r="E1325" t="str">
            <v>Macadamia Nuts</v>
          </cell>
        </row>
        <row r="1326">
          <cell r="B1326" t="str">
            <v>Milk Chocolate Macadamia Clusters 100gm</v>
          </cell>
          <cell r="C1326" t="str">
            <v>FG</v>
          </cell>
          <cell r="D1326" t="str">
            <v>PREMIUM NUTS</v>
          </cell>
          <cell r="E1326" t="str">
            <v>Macadamia Nuts</v>
          </cell>
        </row>
        <row r="1327">
          <cell r="B1327" t="str">
            <v>NATURES MACADAMIA ROASTED&amp;SALTED 100g (1443558)</v>
          </cell>
          <cell r="C1327" t="str">
            <v>FG</v>
          </cell>
          <cell r="D1327" t="str">
            <v>PREMIUM NUTS</v>
          </cell>
          <cell r="E1327" t="str">
            <v>Macadamia Nuts</v>
          </cell>
        </row>
        <row r="1328">
          <cell r="B1328" t="str">
            <v>NB MACADAMIA INSHELL VANILLA LOOSE</v>
          </cell>
          <cell r="C1328" t="str">
            <v>FG</v>
          </cell>
          <cell r="D1328" t="str">
            <v>PREMIUM NUTS</v>
          </cell>
          <cell r="E1328" t="str">
            <v>Macadamia Nuts</v>
          </cell>
        </row>
        <row r="1329">
          <cell r="B1329" t="str">
            <v>NB MACADAMIA LOOSE</v>
          </cell>
          <cell r="C1329" t="str">
            <v>FG</v>
          </cell>
          <cell r="D1329" t="str">
            <v>PREMIUM NUTS</v>
          </cell>
          <cell r="E1329" t="str">
            <v>Macadamia Nuts</v>
          </cell>
        </row>
        <row r="1330">
          <cell r="B1330" t="str">
            <v>NB ROASTED MACADAMIA INSHELL LOOSE</v>
          </cell>
          <cell r="C1330" t="str">
            <v>FG</v>
          </cell>
          <cell r="D1330" t="str">
            <v>PREMIUM NUTS</v>
          </cell>
          <cell r="E1330" t="str">
            <v>Macadamia Nuts</v>
          </cell>
        </row>
        <row r="1331">
          <cell r="B1331" t="str">
            <v>NUTWORKS FINGER LIME &amp; JALAPENO 75G PCH</v>
          </cell>
          <cell r="C1331" t="str">
            <v>FG</v>
          </cell>
          <cell r="D1331" t="str">
            <v>PREMIUM NUTS</v>
          </cell>
          <cell r="E1331" t="str">
            <v>Macadamia Nuts</v>
          </cell>
        </row>
        <row r="1332">
          <cell r="B1332" t="str">
            <v>NUTWORKS ROAST SALT INSHELL 100G PCH</v>
          </cell>
          <cell r="C1332" t="str">
            <v>FG</v>
          </cell>
          <cell r="D1332" t="str">
            <v>PREMIUM NUTS</v>
          </cell>
          <cell r="E1332" t="str">
            <v>Macadamia Nuts</v>
          </cell>
        </row>
        <row r="1333">
          <cell r="B1333" t="str">
            <v>NUTWORKS ROAST SALT INSHELL 200G PCH</v>
          </cell>
          <cell r="C1333" t="str">
            <v>FG</v>
          </cell>
          <cell r="D1333" t="str">
            <v>PREMIUM NUTS</v>
          </cell>
          <cell r="E1333" t="str">
            <v>Macadamia Nuts</v>
          </cell>
        </row>
        <row r="1334">
          <cell r="B1334" t="str">
            <v>NUTWORKS ROSEMARY &amp; SEASALT 75G PCH</v>
          </cell>
          <cell r="C1334" t="str">
            <v>FG</v>
          </cell>
          <cell r="D1334" t="str">
            <v>PREMIUM NUTS</v>
          </cell>
          <cell r="E1334" t="str">
            <v>Macadamia Nuts</v>
          </cell>
        </row>
        <row r="1335">
          <cell r="B1335" t="str">
            <v>NUTWORKS WASABI 75G PCH</v>
          </cell>
          <cell r="C1335" t="str">
            <v>FG</v>
          </cell>
          <cell r="D1335" t="str">
            <v>PREMIUM NUTS</v>
          </cell>
          <cell r="E1335" t="str">
            <v>Macadamia Nuts</v>
          </cell>
        </row>
        <row r="1336">
          <cell r="B1336" t="str">
            <v>Sea Salt Dry - Roasted Macadamia Nuts- Size 1</v>
          </cell>
          <cell r="C1336" t="str">
            <v>FG</v>
          </cell>
          <cell r="D1336" t="str">
            <v>PREMIUM NUTS</v>
          </cell>
          <cell r="E1336" t="str">
            <v>Macadamia Nuts</v>
          </cell>
        </row>
        <row r="1337">
          <cell r="B1337" t="str">
            <v>Snack Amor Macadamia Nuts 50g</v>
          </cell>
          <cell r="C1337" t="str">
            <v>FG</v>
          </cell>
          <cell r="D1337" t="str">
            <v>PREMIUM NUTS</v>
          </cell>
          <cell r="E1337" t="str">
            <v>Macadamia Nuts</v>
          </cell>
        </row>
        <row r="1338">
          <cell r="B1338" t="str">
            <v>Solimo Premium Macadamia Nuts 250g (B07MLD6WFQ)</v>
          </cell>
          <cell r="C1338" t="str">
            <v>FG</v>
          </cell>
          <cell r="D1338" t="str">
            <v>PREMIUM NUTS</v>
          </cell>
          <cell r="E1338" t="str">
            <v>Macadamia Nuts</v>
          </cell>
        </row>
        <row r="1339">
          <cell r="B1339" t="str">
            <v>Sweet Chilli Macadamia Nut</v>
          </cell>
          <cell r="C1339" t="str">
            <v>FG</v>
          </cell>
          <cell r="D1339" t="str">
            <v>PREMIUM NUTS</v>
          </cell>
          <cell r="E1339" t="str">
            <v>Macadamia Nuts</v>
          </cell>
        </row>
        <row r="1340">
          <cell r="B1340" t="str">
            <v>Sweet Chilli Macadamias 100gm</v>
          </cell>
          <cell r="C1340" t="str">
            <v>FG</v>
          </cell>
          <cell r="D1340" t="str">
            <v>PREMIUM NUTS</v>
          </cell>
          <cell r="E1340" t="str">
            <v>Macadamia Nuts</v>
          </cell>
        </row>
        <row r="1341">
          <cell r="B1341" t="str">
            <v>Tasties Macadamia Nuts - From South Africa 50 g</v>
          </cell>
          <cell r="C1341" t="str">
            <v>FG</v>
          </cell>
          <cell r="D1341" t="str">
            <v>PREMIUM NUTS</v>
          </cell>
          <cell r="E1341" t="str">
            <v>Macadamia Nuts</v>
          </cell>
        </row>
        <row r="1342">
          <cell r="B1342" t="str">
            <v>WASABI MACADAMIA STYLE 4</v>
          </cell>
          <cell r="C1342" t="str">
            <v>FG</v>
          </cell>
          <cell r="D1342" t="str">
            <v>PREMIUM NUTS</v>
          </cell>
          <cell r="E1342" t="str">
            <v>Macadamia Nuts</v>
          </cell>
        </row>
        <row r="1343">
          <cell r="B1343" t="str">
            <v>OFF-GRADE PREMIUM NUTS</v>
          </cell>
          <cell r="C1343" t="str">
            <v>RM</v>
          </cell>
          <cell r="D1343" t="str">
            <v>PREMIUM NUTS</v>
          </cell>
          <cell r="E1343" t="str">
            <v>OFF-GRADE PREMIUM NUTS</v>
          </cell>
        </row>
        <row r="1344">
          <cell r="B1344" t="str">
            <v>Pecan Nuts</v>
          </cell>
          <cell r="C1344" t="str">
            <v>RM</v>
          </cell>
          <cell r="D1344" t="str">
            <v>PREMIUM NUTS</v>
          </cell>
          <cell r="E1344" t="str">
            <v>Pecan Nuts</v>
          </cell>
        </row>
        <row r="1345">
          <cell r="B1345" t="str">
            <v>Pecan Nuts Kernel Split</v>
          </cell>
          <cell r="C1345" t="str">
            <v>RM</v>
          </cell>
          <cell r="D1345" t="str">
            <v>PREMIUM NUTS</v>
          </cell>
          <cell r="E1345" t="str">
            <v>Pecan Nuts</v>
          </cell>
        </row>
        <row r="1346">
          <cell r="B1346" t="str">
            <v>Pecans Nuts Inshell</v>
          </cell>
          <cell r="C1346" t="str">
            <v>RM</v>
          </cell>
          <cell r="D1346" t="str">
            <v>PREMIUM NUTS</v>
          </cell>
          <cell r="E1346" t="str">
            <v>Pecan Nuts</v>
          </cell>
        </row>
        <row r="1347">
          <cell r="B1347" t="str">
            <v>American Pecan 50gm</v>
          </cell>
          <cell r="C1347" t="str">
            <v>FG</v>
          </cell>
          <cell r="D1347" t="str">
            <v>PREMIUM NUTS</v>
          </cell>
          <cell r="E1347" t="str">
            <v>Pecan Nuts</v>
          </cell>
        </row>
        <row r="1348">
          <cell r="B1348" t="str">
            <v>Black Pepper Pecannut</v>
          </cell>
          <cell r="C1348" t="str">
            <v>FG</v>
          </cell>
          <cell r="D1348" t="str">
            <v>PREMIUM NUTS</v>
          </cell>
          <cell r="E1348" t="str">
            <v>Pecan Nuts</v>
          </cell>
        </row>
        <row r="1349">
          <cell r="B1349" t="str">
            <v>Cafe Galleries Pecan nuts 250g</v>
          </cell>
          <cell r="C1349" t="str">
            <v>FG</v>
          </cell>
          <cell r="D1349" t="str">
            <v>PREMIUM NUTS</v>
          </cell>
          <cell r="E1349" t="str">
            <v>Pecan Nuts</v>
          </cell>
        </row>
        <row r="1350">
          <cell r="B1350" t="str">
            <v>Cajun Spice Pecan Nuts Loose</v>
          </cell>
          <cell r="C1350" t="str">
            <v>FG</v>
          </cell>
          <cell r="D1350" t="str">
            <v>PREMIUM NUTS</v>
          </cell>
          <cell r="E1350" t="str">
            <v>Pecan Nuts</v>
          </cell>
        </row>
        <row r="1351">
          <cell r="B1351" t="str">
            <v>Caramel Pecannut</v>
          </cell>
          <cell r="C1351" t="str">
            <v>FG</v>
          </cell>
          <cell r="D1351" t="str">
            <v>PREMIUM NUTS</v>
          </cell>
          <cell r="E1351" t="str">
            <v>Pecan Nuts</v>
          </cell>
        </row>
        <row r="1352">
          <cell r="B1352" t="str">
            <v>Carnival Premium Pecan Nuts 200g Mono Carton</v>
          </cell>
          <cell r="C1352" t="str">
            <v>FG</v>
          </cell>
          <cell r="D1352" t="str">
            <v>PREMIUM NUTS</v>
          </cell>
          <cell r="E1352" t="str">
            <v>Pecan Nuts</v>
          </cell>
        </row>
        <row r="1353">
          <cell r="B1353" t="str">
            <v>Carnival Premium Pecan Nuts 250 Gms</v>
          </cell>
          <cell r="C1353" t="str">
            <v>FG</v>
          </cell>
          <cell r="D1353" t="str">
            <v>PREMIUM NUTS</v>
          </cell>
          <cell r="E1353" t="str">
            <v>Pecan Nuts</v>
          </cell>
        </row>
        <row r="1354">
          <cell r="B1354" t="str">
            <v>Carnival Salted Caramel Pecannuts 80g</v>
          </cell>
          <cell r="C1354" t="str">
            <v>FG</v>
          </cell>
          <cell r="D1354" t="str">
            <v>PREMIUM NUTS</v>
          </cell>
          <cell r="E1354" t="str">
            <v>Pecan Nuts</v>
          </cell>
        </row>
        <row r="1355">
          <cell r="B1355" t="str">
            <v>Chocolate Dipped Pecan Nut Loose</v>
          </cell>
          <cell r="C1355" t="str">
            <v>FG</v>
          </cell>
          <cell r="D1355" t="str">
            <v>PREMIUM NUTS</v>
          </cell>
          <cell r="E1355" t="str">
            <v>Pecan Nuts</v>
          </cell>
        </row>
        <row r="1356">
          <cell r="B1356" t="str">
            <v>Cinnamon Glazed Pecan</v>
          </cell>
          <cell r="C1356" t="str">
            <v>FG</v>
          </cell>
          <cell r="D1356" t="str">
            <v>PREMIUM NUTS</v>
          </cell>
          <cell r="E1356" t="str">
            <v>Pecan Nuts</v>
          </cell>
        </row>
        <row r="1357">
          <cell r="B1357" t="str">
            <v>Ha Premium Pecans 150g (1340534)</v>
          </cell>
          <cell r="C1357" t="str">
            <v>FG</v>
          </cell>
          <cell r="D1357" t="str">
            <v>PREMIUM NUTS</v>
          </cell>
          <cell r="E1357" t="str">
            <v>Pecan Nuts</v>
          </cell>
        </row>
        <row r="1358">
          <cell r="B1358" t="str">
            <v>Habit Pecan Nuts 500gm</v>
          </cell>
          <cell r="C1358" t="str">
            <v>FG</v>
          </cell>
          <cell r="D1358" t="str">
            <v>PREMIUM NUTS</v>
          </cell>
          <cell r="E1358" t="str">
            <v>Pecan Nuts</v>
          </cell>
        </row>
        <row r="1359">
          <cell r="B1359" t="str">
            <v>HOH ZORRO PECAN MAPLE GLAZED 100G BOX</v>
          </cell>
          <cell r="C1359" t="str">
            <v>FG</v>
          </cell>
          <cell r="D1359" t="str">
            <v>PREMIUM NUTS</v>
          </cell>
          <cell r="E1359" t="str">
            <v>Pecan Nuts</v>
          </cell>
        </row>
        <row r="1360">
          <cell r="B1360" t="str">
            <v>HOH ZORRO PECAN ROASTED SALTED100G BOX</v>
          </cell>
          <cell r="C1360" t="str">
            <v>FG</v>
          </cell>
          <cell r="D1360" t="str">
            <v>PREMIUM NUTS</v>
          </cell>
          <cell r="E1360" t="str">
            <v>Pecan Nuts</v>
          </cell>
        </row>
        <row r="1361">
          <cell r="B1361" t="str">
            <v>HOH ZORRO PECAN SIMPLY PECAN 100G BOX</v>
          </cell>
          <cell r="C1361" t="str">
            <v>FG</v>
          </cell>
          <cell r="D1361" t="str">
            <v>PREMIUM NUTS</v>
          </cell>
          <cell r="E1361" t="str">
            <v>Pecan Nuts</v>
          </cell>
        </row>
        <row r="1362">
          <cell r="B1362" t="str">
            <v>HOH ZORRO PECAN SWEET &amp; SPICY 100G BOX</v>
          </cell>
          <cell r="C1362" t="str">
            <v>FG</v>
          </cell>
          <cell r="D1362" t="str">
            <v>PREMIUM NUTS</v>
          </cell>
          <cell r="E1362" t="str">
            <v>Pecan Nuts</v>
          </cell>
        </row>
        <row r="1363">
          <cell r="B1363" t="str">
            <v>HOH ZORRO PECANS FREE GRANOLA 100G BOX</v>
          </cell>
          <cell r="C1363" t="str">
            <v>FG</v>
          </cell>
          <cell r="D1363" t="str">
            <v>PREMIUM NUTS</v>
          </cell>
          <cell r="E1363" t="str">
            <v>Pecan Nuts</v>
          </cell>
        </row>
        <row r="1364">
          <cell r="B1364" t="str">
            <v>NB PECAN NUT LOOSE</v>
          </cell>
          <cell r="C1364" t="str">
            <v>FG</v>
          </cell>
          <cell r="D1364" t="str">
            <v>PREMIUM NUTS</v>
          </cell>
          <cell r="E1364" t="str">
            <v>Pecan Nuts</v>
          </cell>
        </row>
        <row r="1365">
          <cell r="B1365" t="str">
            <v>Pecannut Flavoured Rose Mary Loose</v>
          </cell>
          <cell r="C1365" t="str">
            <v>FG</v>
          </cell>
          <cell r="D1365" t="str">
            <v>PREMIUM NUTS</v>
          </cell>
          <cell r="E1365" t="str">
            <v>Pecan Nuts</v>
          </cell>
        </row>
        <row r="1366">
          <cell r="B1366" t="str">
            <v>Pecans Roasted and Salted</v>
          </cell>
          <cell r="C1366" t="str">
            <v>FG</v>
          </cell>
          <cell r="D1366" t="str">
            <v>PREMIUM NUTS</v>
          </cell>
          <cell r="E1366" t="str">
            <v>Pecan Nuts</v>
          </cell>
        </row>
        <row r="1367">
          <cell r="B1367" t="str">
            <v>Peri Peri Pecannut</v>
          </cell>
          <cell r="C1367" t="str">
            <v>FG</v>
          </cell>
          <cell r="D1367" t="str">
            <v>PREMIUM NUTS</v>
          </cell>
          <cell r="E1367" t="str">
            <v>Pecan Nuts</v>
          </cell>
        </row>
        <row r="1368">
          <cell r="B1368" t="str">
            <v>Roasted &amp; Salted Pecan Nuts 75gm</v>
          </cell>
          <cell r="C1368" t="str">
            <v>FG</v>
          </cell>
          <cell r="D1368" t="str">
            <v>PREMIUM NUTS</v>
          </cell>
          <cell r="E1368" t="str">
            <v>Pecan Nuts</v>
          </cell>
        </row>
        <row r="1369">
          <cell r="B1369" t="str">
            <v>Smoked Paprika Pecan Nuts Loose</v>
          </cell>
          <cell r="C1369" t="str">
            <v>FG</v>
          </cell>
          <cell r="D1369" t="str">
            <v>PREMIUM NUTS</v>
          </cell>
          <cell r="E1369" t="str">
            <v>Pecan Nuts</v>
          </cell>
        </row>
        <row r="1370">
          <cell r="B1370" t="str">
            <v>Solimo Premium Pecan Nuts, 250g (B07MF7K9HD)</v>
          </cell>
          <cell r="C1370" t="str">
            <v>FG</v>
          </cell>
          <cell r="D1370" t="str">
            <v>PREMIUM NUTS</v>
          </cell>
          <cell r="E1370" t="str">
            <v>Pecan Nuts</v>
          </cell>
        </row>
        <row r="1371">
          <cell r="B1371" t="str">
            <v>Sweet and Spicy Pecan</v>
          </cell>
          <cell r="C1371" t="str">
            <v>FG</v>
          </cell>
          <cell r="D1371" t="str">
            <v>PREMIUM NUTS</v>
          </cell>
          <cell r="E1371" t="str">
            <v>Pecan Nuts</v>
          </cell>
        </row>
        <row r="1372">
          <cell r="B1372" t="str">
            <v>Tasties Pecan Nuts - Iconic American Nut 50 g</v>
          </cell>
          <cell r="C1372" t="str">
            <v>FG</v>
          </cell>
          <cell r="D1372" t="str">
            <v>PREMIUM NUTS</v>
          </cell>
          <cell r="E1372" t="str">
            <v>Pecan Nuts</v>
          </cell>
        </row>
        <row r="1373">
          <cell r="B1373" t="str">
            <v>Zorro Maple Glazed Pecans 100g</v>
          </cell>
          <cell r="C1373" t="str">
            <v>FG</v>
          </cell>
          <cell r="D1373" t="str">
            <v>PREMIUM NUTS</v>
          </cell>
          <cell r="E1373" t="str">
            <v>Pecan Nuts</v>
          </cell>
        </row>
        <row r="1374">
          <cell r="B1374" t="str">
            <v>Zorro Pecan 100g</v>
          </cell>
          <cell r="C1374" t="str">
            <v>FG</v>
          </cell>
          <cell r="D1374" t="str">
            <v>PREMIUM NUTS</v>
          </cell>
          <cell r="E1374" t="str">
            <v>Pecan Nuts</v>
          </cell>
        </row>
        <row r="1375">
          <cell r="B1375" t="str">
            <v>Zorro Pecan Grain Free Granola 100g</v>
          </cell>
          <cell r="C1375" t="str">
            <v>FG</v>
          </cell>
          <cell r="D1375" t="str">
            <v>PREMIUM NUTS</v>
          </cell>
          <cell r="E1375" t="str">
            <v>Pecan Nuts</v>
          </cell>
        </row>
        <row r="1376">
          <cell r="B1376" t="str">
            <v>Zorro Roasted &amp; Lightly Salted Pecans 100g</v>
          </cell>
          <cell r="C1376" t="str">
            <v>FG</v>
          </cell>
          <cell r="D1376" t="str">
            <v>PREMIUM NUTS</v>
          </cell>
          <cell r="E1376" t="str">
            <v>Pecan Nuts</v>
          </cell>
        </row>
        <row r="1377">
          <cell r="B1377" t="str">
            <v>Zorro Sweet &amp; Spicy Pecan 100g</v>
          </cell>
          <cell r="C1377" t="str">
            <v>FG</v>
          </cell>
          <cell r="D1377" t="str">
            <v>PREMIUM NUTS</v>
          </cell>
          <cell r="E1377" t="str">
            <v>Pecan Nuts</v>
          </cell>
        </row>
        <row r="1378">
          <cell r="B1378" t="str">
            <v>Pine Nut Kernel</v>
          </cell>
          <cell r="C1378" t="str">
            <v>RM</v>
          </cell>
          <cell r="D1378" t="str">
            <v>PREMIUM NUTS</v>
          </cell>
          <cell r="E1378" t="str">
            <v>Pine Nuts</v>
          </cell>
        </row>
        <row r="1379">
          <cell r="B1379" t="str">
            <v>PINE NUT KERNELS ROASTED</v>
          </cell>
          <cell r="C1379" t="str">
            <v>RM</v>
          </cell>
          <cell r="D1379" t="str">
            <v>PREMIUM NUTS</v>
          </cell>
          <cell r="E1379" t="str">
            <v>Pine Nuts</v>
          </cell>
        </row>
        <row r="1380">
          <cell r="B1380" t="str">
            <v>Cafe Galleries Pine nut 250g</v>
          </cell>
          <cell r="C1380" t="str">
            <v>FG</v>
          </cell>
          <cell r="D1380" t="str">
            <v>PREMIUM NUTS</v>
          </cell>
          <cell r="E1380" t="str">
            <v>Pine Nuts</v>
          </cell>
        </row>
        <row r="1381">
          <cell r="B1381" t="str">
            <v>Carnival Pine Nut 100 Gms</v>
          </cell>
          <cell r="C1381" t="str">
            <v>FG</v>
          </cell>
          <cell r="D1381" t="str">
            <v>PREMIUM NUTS</v>
          </cell>
          <cell r="E1381" t="str">
            <v>Pine Nuts</v>
          </cell>
        </row>
        <row r="1382">
          <cell r="B1382" t="str">
            <v>Ha Pinenut 100g (1340543)</v>
          </cell>
          <cell r="C1382" t="str">
            <v>FG</v>
          </cell>
          <cell r="D1382" t="str">
            <v>PREMIUM NUTS</v>
          </cell>
          <cell r="E1382" t="str">
            <v>Pine Nuts</v>
          </cell>
        </row>
        <row r="1383">
          <cell r="B1383" t="str">
            <v>NB PINENUT LOOSE</v>
          </cell>
          <cell r="C1383" t="str">
            <v>FG</v>
          </cell>
          <cell r="D1383" t="str">
            <v>PREMIUM NUTS</v>
          </cell>
          <cell r="E1383" t="str">
            <v>Pine Nuts</v>
          </cell>
        </row>
        <row r="1384">
          <cell r="B1384" t="str">
            <v>Solimo Premium Pine Nuts, 250g (B07MF7FRRG)</v>
          </cell>
          <cell r="C1384" t="str">
            <v>FG</v>
          </cell>
          <cell r="D1384" t="str">
            <v>PREMIUM NUTS</v>
          </cell>
          <cell r="E1384" t="str">
            <v>Pine Nuts</v>
          </cell>
        </row>
        <row r="1385">
          <cell r="B1385" t="str">
            <v>OFF-GRADE PRUNES</v>
          </cell>
          <cell r="C1385" t="str">
            <v>RM</v>
          </cell>
          <cell r="D1385" t="str">
            <v>PRUNES</v>
          </cell>
          <cell r="E1385" t="str">
            <v>OFF-GRADE PRUNES</v>
          </cell>
        </row>
        <row r="1386">
          <cell r="B1386" t="str">
            <v>Dried Prunes (Pitted)</v>
          </cell>
          <cell r="C1386" t="str">
            <v>RM</v>
          </cell>
          <cell r="D1386" t="str">
            <v>PRUNES</v>
          </cell>
          <cell r="E1386" t="str">
            <v>Prunes - Pitted</v>
          </cell>
        </row>
        <row r="1387">
          <cell r="B1387" t="str">
            <v>Carnival California Pitted Prunes 300 Gms</v>
          </cell>
          <cell r="C1387" t="str">
            <v>FG</v>
          </cell>
          <cell r="D1387" t="str">
            <v>PRUNES</v>
          </cell>
          <cell r="E1387" t="str">
            <v>Prunes - Pitted</v>
          </cell>
        </row>
        <row r="1388">
          <cell r="B1388" t="str">
            <v>Carnival Chatpata Prunes 100gm</v>
          </cell>
          <cell r="C1388" t="str">
            <v>FG</v>
          </cell>
          <cell r="D1388" t="str">
            <v>PRUNES</v>
          </cell>
          <cell r="E1388" t="str">
            <v>Prunes - Pitted</v>
          </cell>
        </row>
        <row r="1389">
          <cell r="B1389" t="str">
            <v>Carnival Pitted Prunes 250g</v>
          </cell>
          <cell r="C1389" t="str">
            <v>FG</v>
          </cell>
          <cell r="D1389" t="str">
            <v>PRUNES</v>
          </cell>
          <cell r="E1389" t="str">
            <v>Prunes - Pitted</v>
          </cell>
        </row>
        <row r="1390">
          <cell r="B1390" t="str">
            <v>Chatpata Prunes</v>
          </cell>
          <cell r="C1390" t="str">
            <v>FG</v>
          </cell>
          <cell r="D1390" t="str">
            <v>PRUNES</v>
          </cell>
          <cell r="E1390" t="str">
            <v>Prunes - Pitted</v>
          </cell>
        </row>
        <row r="1391">
          <cell r="B1391" t="str">
            <v>Curate Pitted Prunes 300g Jr</v>
          </cell>
          <cell r="C1391" t="str">
            <v>FG</v>
          </cell>
          <cell r="D1391" t="str">
            <v>PRUNES</v>
          </cell>
          <cell r="E1391" t="str">
            <v>Prunes - Pitted</v>
          </cell>
        </row>
        <row r="1392">
          <cell r="B1392" t="str">
            <v>Curate Prunes 200g</v>
          </cell>
          <cell r="C1392" t="str">
            <v>FG</v>
          </cell>
          <cell r="D1392" t="str">
            <v>PRUNES</v>
          </cell>
          <cell r="E1392" t="str">
            <v>Prunes - Pitted</v>
          </cell>
        </row>
        <row r="1393">
          <cell r="B1393" t="str">
            <v>Delmonte Prunes 130g</v>
          </cell>
          <cell r="C1393" t="str">
            <v>FG</v>
          </cell>
          <cell r="D1393" t="str">
            <v>PRUNES</v>
          </cell>
          <cell r="E1393" t="str">
            <v>Prunes - Pitted</v>
          </cell>
        </row>
        <row r="1394">
          <cell r="B1394" t="str">
            <v>Delmonte Prunes 130g [1 Case x 40 unit]</v>
          </cell>
          <cell r="C1394" t="str">
            <v>FG</v>
          </cell>
          <cell r="D1394" t="str">
            <v>PRUNES</v>
          </cell>
          <cell r="E1394" t="str">
            <v>Prunes - Pitted</v>
          </cell>
        </row>
        <row r="1395">
          <cell r="B1395" t="str">
            <v>Delmonte Prunes 340g</v>
          </cell>
          <cell r="C1395" t="str">
            <v>FG</v>
          </cell>
          <cell r="D1395" t="str">
            <v>PRUNES</v>
          </cell>
          <cell r="E1395" t="str">
            <v>Prunes - Pitted</v>
          </cell>
        </row>
        <row r="1396">
          <cell r="B1396" t="str">
            <v>Delmonte Prunes 340g [1 Case x 20 unit]</v>
          </cell>
          <cell r="C1396" t="str">
            <v>FG</v>
          </cell>
          <cell r="D1396" t="str">
            <v>PRUNES</v>
          </cell>
          <cell r="E1396" t="str">
            <v>Prunes - Pitted</v>
          </cell>
        </row>
        <row r="1397">
          <cell r="B1397" t="str">
            <v>Ha Prunes 275g(1340539)</v>
          </cell>
          <cell r="C1397" t="str">
            <v>FG</v>
          </cell>
          <cell r="D1397" t="str">
            <v>PRUNES</v>
          </cell>
          <cell r="E1397" t="str">
            <v>Prunes - Pitted</v>
          </cell>
        </row>
        <row r="1398">
          <cell r="B1398" t="str">
            <v>NB PRUNES DRIED LOOSE</v>
          </cell>
          <cell r="C1398" t="str">
            <v>FG</v>
          </cell>
          <cell r="D1398" t="str">
            <v>PRUNES</v>
          </cell>
          <cell r="E1398" t="str">
            <v>Prunes - Pitted</v>
          </cell>
        </row>
        <row r="1399">
          <cell r="B1399" t="str">
            <v>PL CALIFORNIA PRUNES 200G</v>
          </cell>
          <cell r="C1399" t="str">
            <v>FG</v>
          </cell>
          <cell r="D1399" t="str">
            <v>PRUNES</v>
          </cell>
          <cell r="E1399" t="str">
            <v>Prunes - Pitted</v>
          </cell>
        </row>
        <row r="1400">
          <cell r="B1400" t="str">
            <v>Premia Prunes 100gm</v>
          </cell>
          <cell r="C1400" t="str">
            <v>FG</v>
          </cell>
          <cell r="D1400" t="str">
            <v>PRUNES</v>
          </cell>
          <cell r="E1400" t="str">
            <v>Prunes - Pitted</v>
          </cell>
        </row>
        <row r="1401">
          <cell r="B1401" t="str">
            <v>Prunes 1KG (B07GR24VN1)</v>
          </cell>
          <cell r="C1401" t="str">
            <v>FG</v>
          </cell>
          <cell r="D1401" t="str">
            <v>PRUNES</v>
          </cell>
          <cell r="E1401" t="str">
            <v>Prunes - Pitted</v>
          </cell>
        </row>
        <row r="1402">
          <cell r="B1402" t="str">
            <v>Prunes 200G (B07GQWRZKN)</v>
          </cell>
          <cell r="C1402" t="str">
            <v>FG</v>
          </cell>
          <cell r="D1402" t="str">
            <v>PRUNES</v>
          </cell>
          <cell r="E1402" t="str">
            <v>Prunes - Pitted</v>
          </cell>
        </row>
        <row r="1403">
          <cell r="B1403" t="str">
            <v>Prunes 500G (B07GQZSS53)</v>
          </cell>
          <cell r="C1403" t="str">
            <v>FG</v>
          </cell>
          <cell r="D1403" t="str">
            <v>PRUNES</v>
          </cell>
          <cell r="E1403" t="str">
            <v>Prunes - Pitted</v>
          </cell>
        </row>
        <row r="1404">
          <cell r="B1404" t="str">
            <v>Snack Amor Dried Prunes 200g</v>
          </cell>
          <cell r="C1404" t="str">
            <v>FG</v>
          </cell>
          <cell r="D1404" t="str">
            <v>PRUNES</v>
          </cell>
          <cell r="E1404" t="str">
            <v>Prunes - Pitted</v>
          </cell>
        </row>
        <row r="1405">
          <cell r="B1405" t="str">
            <v>OFF-GRADE RAISIN</v>
          </cell>
          <cell r="C1405" t="str">
            <v>RM</v>
          </cell>
          <cell r="D1405" t="str">
            <v>RAISIN</v>
          </cell>
          <cell r="E1405" t="str">
            <v>OFF-GRADE RAISIN</v>
          </cell>
        </row>
        <row r="1406">
          <cell r="B1406" t="str">
            <v>Afghan Munakka / Abjosh 1X1</v>
          </cell>
          <cell r="C1406" t="str">
            <v>RM</v>
          </cell>
          <cell r="D1406" t="str">
            <v>RAISIN</v>
          </cell>
          <cell r="E1406" t="str">
            <v>Raisin - Abjosh</v>
          </cell>
        </row>
        <row r="1407">
          <cell r="B1407" t="str">
            <v>Afghan Munakka / Abjosh 1X2</v>
          </cell>
          <cell r="C1407" t="str">
            <v>RM</v>
          </cell>
          <cell r="D1407" t="str">
            <v>RAISIN</v>
          </cell>
          <cell r="E1407" t="str">
            <v>Raisin - Abjosh</v>
          </cell>
        </row>
        <row r="1408">
          <cell r="B1408" t="str">
            <v>Abjosh (Munakka) 100gm</v>
          </cell>
          <cell r="C1408" t="str">
            <v>FG</v>
          </cell>
          <cell r="D1408" t="str">
            <v>RAISIN</v>
          </cell>
          <cell r="E1408" t="str">
            <v>Raisin - Abjosh</v>
          </cell>
        </row>
        <row r="1409">
          <cell r="B1409" t="str">
            <v>Carnival Premium Abjosh 100gm</v>
          </cell>
          <cell r="C1409" t="str">
            <v>FG</v>
          </cell>
          <cell r="D1409" t="str">
            <v>RAISIN</v>
          </cell>
          <cell r="E1409" t="str">
            <v>Raisin - Abjosh</v>
          </cell>
        </row>
        <row r="1410">
          <cell r="B1410" t="str">
            <v>Ez Munakka Loose</v>
          </cell>
          <cell r="C1410" t="str">
            <v>FG</v>
          </cell>
          <cell r="D1410" t="str">
            <v>RAISIN</v>
          </cell>
          <cell r="E1410" t="str">
            <v>Raisin - Abjosh</v>
          </cell>
        </row>
        <row r="1411">
          <cell r="B1411" t="str">
            <v>NB MUNAKKA LOOSE</v>
          </cell>
          <cell r="C1411" t="str">
            <v>FG</v>
          </cell>
          <cell r="D1411" t="str">
            <v>RAISIN</v>
          </cell>
          <cell r="E1411" t="str">
            <v>Raisin - Abjosh</v>
          </cell>
        </row>
        <row r="1412">
          <cell r="B1412" t="str">
            <v>Afghan Raisins 1*1 Green round</v>
          </cell>
          <cell r="C1412" t="str">
            <v>RM</v>
          </cell>
          <cell r="D1412" t="str">
            <v>RAISIN</v>
          </cell>
          <cell r="E1412" t="str">
            <v>Raisin - Afghan</v>
          </cell>
        </row>
        <row r="1413">
          <cell r="B1413" t="str">
            <v>Afghan Raisins 1*2 Green round</v>
          </cell>
          <cell r="C1413" t="str">
            <v>RM</v>
          </cell>
          <cell r="D1413" t="str">
            <v>RAISIN</v>
          </cell>
          <cell r="E1413" t="str">
            <v>Raisin - Afghan</v>
          </cell>
        </row>
        <row r="1414">
          <cell r="B1414" t="str">
            <v>NB RAISIN AFGHAN</v>
          </cell>
          <cell r="C1414" t="str">
            <v>FG</v>
          </cell>
          <cell r="D1414" t="str">
            <v>RAISIN</v>
          </cell>
          <cell r="E1414" t="str">
            <v>Raisin - Afghan</v>
          </cell>
        </row>
        <row r="1415">
          <cell r="B1415" t="str">
            <v>Snackania Afghan Green Raisins 230g</v>
          </cell>
          <cell r="C1415" t="str">
            <v>FG</v>
          </cell>
          <cell r="D1415" t="str">
            <v>RAISIN</v>
          </cell>
          <cell r="E1415" t="str">
            <v>Raisin - Afghan</v>
          </cell>
        </row>
        <row r="1416">
          <cell r="B1416" t="str">
            <v>Afghan Black Raisins Seeded 1*2</v>
          </cell>
          <cell r="C1416" t="str">
            <v>RM</v>
          </cell>
          <cell r="D1416" t="str">
            <v>RAISIN</v>
          </cell>
          <cell r="E1416" t="str">
            <v>Raisin - Black</v>
          </cell>
        </row>
        <row r="1417">
          <cell r="B1417" t="str">
            <v>Afghan Black Raisins Seedless 1*1</v>
          </cell>
          <cell r="C1417" t="str">
            <v>RM</v>
          </cell>
          <cell r="D1417" t="str">
            <v>RAISIN</v>
          </cell>
          <cell r="E1417" t="str">
            <v>Raisin - Black</v>
          </cell>
        </row>
        <row r="1418">
          <cell r="B1418" t="str">
            <v>Afghan Black Raisins Seedless 1*2</v>
          </cell>
          <cell r="C1418" t="str">
            <v>RM</v>
          </cell>
          <cell r="D1418" t="str">
            <v>RAISIN</v>
          </cell>
          <cell r="E1418" t="str">
            <v>Raisin - Black</v>
          </cell>
        </row>
        <row r="1419">
          <cell r="B1419" t="str">
            <v>Afghan Raisins Black Seeded 1*1</v>
          </cell>
          <cell r="C1419" t="str">
            <v>RM</v>
          </cell>
          <cell r="D1419" t="str">
            <v>RAISIN</v>
          </cell>
          <cell r="E1419" t="str">
            <v>Raisin - Black</v>
          </cell>
        </row>
        <row r="1420">
          <cell r="B1420" t="str">
            <v>Indian Black Raisins</v>
          </cell>
          <cell r="C1420" t="str">
            <v>RM</v>
          </cell>
          <cell r="D1420" t="str">
            <v>RAISIN</v>
          </cell>
          <cell r="E1420" t="str">
            <v>Raisin - Black</v>
          </cell>
        </row>
        <row r="1421">
          <cell r="B1421" t="str">
            <v>Carnival Chatpata Black Raisins 100g</v>
          </cell>
          <cell r="C1421" t="str">
            <v>FG</v>
          </cell>
          <cell r="D1421" t="str">
            <v>RAISIN</v>
          </cell>
          <cell r="E1421" t="str">
            <v>Raisin - Black</v>
          </cell>
        </row>
        <row r="1422">
          <cell r="B1422" t="str">
            <v>Carnival Deluxe Seeded Black Raisin 250gm</v>
          </cell>
          <cell r="C1422" t="str">
            <v>FG</v>
          </cell>
          <cell r="D1422" t="str">
            <v>RAISIN</v>
          </cell>
          <cell r="E1422" t="str">
            <v>Raisin - Black</v>
          </cell>
        </row>
        <row r="1423">
          <cell r="B1423" t="str">
            <v>Carnival Festive Black Raisin Seedless 150gm</v>
          </cell>
          <cell r="C1423" t="str">
            <v>FG</v>
          </cell>
          <cell r="D1423" t="str">
            <v>RAISIN</v>
          </cell>
          <cell r="E1423" t="str">
            <v>Raisin - Black</v>
          </cell>
        </row>
        <row r="1424">
          <cell r="B1424" t="str">
            <v>Carnival Festive Seedless Black Raisin 200gm</v>
          </cell>
          <cell r="C1424" t="str">
            <v>FG</v>
          </cell>
          <cell r="D1424" t="str">
            <v>RAISIN</v>
          </cell>
          <cell r="E1424" t="str">
            <v>Raisin - Black</v>
          </cell>
        </row>
        <row r="1425">
          <cell r="B1425" t="str">
            <v>Carnival Raisin Black Seeded 250gm</v>
          </cell>
          <cell r="C1425" t="str">
            <v>FG</v>
          </cell>
          <cell r="D1425" t="str">
            <v>RAISIN</v>
          </cell>
          <cell r="E1425" t="str">
            <v>Raisin - Black</v>
          </cell>
        </row>
        <row r="1426">
          <cell r="B1426" t="str">
            <v>Carnival Raisins Black Chatpata 200g</v>
          </cell>
          <cell r="C1426" t="str">
            <v>FG</v>
          </cell>
          <cell r="D1426" t="str">
            <v>RAISIN</v>
          </cell>
          <cell r="E1426" t="str">
            <v>Raisin - Black</v>
          </cell>
        </row>
        <row r="1427">
          <cell r="B1427" t="str">
            <v>Carnival Seedless Black Raisin 250 Gm</v>
          </cell>
          <cell r="C1427" t="str">
            <v>FG</v>
          </cell>
          <cell r="D1427" t="str">
            <v>RAISIN</v>
          </cell>
          <cell r="E1427" t="str">
            <v>Raisin - Black</v>
          </cell>
        </row>
        <row r="1428">
          <cell r="B1428" t="str">
            <v>Chatpata Black Raisin</v>
          </cell>
          <cell r="C1428" t="str">
            <v>FG</v>
          </cell>
          <cell r="D1428" t="str">
            <v>RAISIN</v>
          </cell>
          <cell r="E1428" t="str">
            <v>Raisin - Black</v>
          </cell>
        </row>
        <row r="1429">
          <cell r="B1429" t="str">
            <v>Ez Black Raisin Loose (1459026)</v>
          </cell>
          <cell r="C1429" t="str">
            <v>FG</v>
          </cell>
          <cell r="D1429" t="str">
            <v>RAISIN</v>
          </cell>
          <cell r="E1429" t="str">
            <v>Raisin - Black</v>
          </cell>
        </row>
        <row r="1430">
          <cell r="B1430" t="str">
            <v>Ez Black Raisin Seedless Loose</v>
          </cell>
          <cell r="C1430" t="str">
            <v>FG</v>
          </cell>
          <cell r="D1430" t="str">
            <v>RAISIN</v>
          </cell>
          <cell r="E1430" t="str">
            <v>Raisin - Black</v>
          </cell>
        </row>
        <row r="1431">
          <cell r="B1431" t="str">
            <v>FABSTA BLACK RAISINS 100G (1455547)</v>
          </cell>
          <cell r="C1431" t="str">
            <v>FG</v>
          </cell>
          <cell r="D1431" t="str">
            <v>RAISIN</v>
          </cell>
          <cell r="E1431" t="str">
            <v>Raisin - Black</v>
          </cell>
        </row>
        <row r="1432">
          <cell r="B1432" t="str">
            <v>FABSTA BLACK RAISINS 200G</v>
          </cell>
          <cell r="C1432" t="str">
            <v>FG</v>
          </cell>
          <cell r="D1432" t="str">
            <v>RAISIN</v>
          </cell>
          <cell r="E1432" t="str">
            <v>Raisin - Black</v>
          </cell>
        </row>
        <row r="1433">
          <cell r="B1433" t="str">
            <v>FABSTA BLACK RAISINS 500G</v>
          </cell>
          <cell r="C1433" t="str">
            <v>FG</v>
          </cell>
          <cell r="D1433" t="str">
            <v>RAISIN</v>
          </cell>
          <cell r="E1433" t="str">
            <v>Raisin - Black</v>
          </cell>
        </row>
        <row r="1434">
          <cell r="B1434" t="str">
            <v>Natures Black Raisin 200g (1340522)</v>
          </cell>
          <cell r="C1434" t="str">
            <v>FG</v>
          </cell>
          <cell r="D1434" t="str">
            <v>RAISIN</v>
          </cell>
          <cell r="E1434" t="str">
            <v>Raisin - Black</v>
          </cell>
        </row>
        <row r="1435">
          <cell r="B1435" t="str">
            <v>NB BLACK RAISIN SEEDLESS LOOSE</v>
          </cell>
          <cell r="C1435" t="str">
            <v>FG</v>
          </cell>
          <cell r="D1435" t="str">
            <v>RAISIN</v>
          </cell>
          <cell r="E1435" t="str">
            <v>Raisin - Black</v>
          </cell>
        </row>
        <row r="1436">
          <cell r="B1436" t="str">
            <v>Snackania Afghan Black Raisins 230g</v>
          </cell>
          <cell r="C1436" t="str">
            <v>FG</v>
          </cell>
          <cell r="D1436" t="str">
            <v>RAISIN</v>
          </cell>
          <cell r="E1436" t="str">
            <v>Raisin - Black</v>
          </cell>
        </row>
        <row r="1437">
          <cell r="B1437" t="str">
            <v>Vedaka Black Raisins - 500g (B0D9P37XTT)</v>
          </cell>
          <cell r="C1437" t="str">
            <v>FG</v>
          </cell>
          <cell r="D1437" t="str">
            <v>RAISIN</v>
          </cell>
          <cell r="E1437" t="str">
            <v>Raisin - Black</v>
          </cell>
        </row>
        <row r="1438">
          <cell r="B1438" t="str">
            <v>Vedaka Premium Black Raisins 100g B07GQVNVV8</v>
          </cell>
          <cell r="C1438" t="str">
            <v>FG</v>
          </cell>
          <cell r="D1438" t="str">
            <v>RAISIN</v>
          </cell>
          <cell r="E1438" t="str">
            <v>Raisin - Black</v>
          </cell>
        </row>
        <row r="1439">
          <cell r="B1439" t="str">
            <v>Vedaka Premium Black Raisins 200g (B07GR346FX)</v>
          </cell>
          <cell r="C1439" t="str">
            <v>FG</v>
          </cell>
          <cell r="D1439" t="str">
            <v>RAISIN</v>
          </cell>
          <cell r="E1439" t="str">
            <v>Raisin - Black</v>
          </cell>
        </row>
        <row r="1440">
          <cell r="B1440" t="str">
            <v>Indian Green Raisins</v>
          </cell>
          <cell r="C1440" t="str">
            <v>RM</v>
          </cell>
          <cell r="D1440" t="str">
            <v>RAISIN</v>
          </cell>
          <cell r="E1440" t="str">
            <v>Raisin - Indian</v>
          </cell>
        </row>
        <row r="1441">
          <cell r="B1441" t="str">
            <v>Indian Long Green Raisins</v>
          </cell>
          <cell r="C1441" t="str">
            <v>RM</v>
          </cell>
          <cell r="D1441" t="str">
            <v>RAISIN</v>
          </cell>
          <cell r="E1441" t="str">
            <v>Raisin - Indian</v>
          </cell>
        </row>
        <row r="1442">
          <cell r="B1442" t="str">
            <v>Raisin Green</v>
          </cell>
          <cell r="C1442" t="str">
            <v>RM</v>
          </cell>
          <cell r="D1442" t="str">
            <v>RAISIN</v>
          </cell>
          <cell r="E1442" t="str">
            <v>Raisin - Indian</v>
          </cell>
        </row>
        <row r="1443">
          <cell r="B1443" t="str">
            <v>CA INDIAN PREMIUM QUALITY RAISINS 150/P</v>
          </cell>
          <cell r="C1443" t="str">
            <v>FG</v>
          </cell>
          <cell r="D1443" t="str">
            <v>RAISIN</v>
          </cell>
          <cell r="E1443" t="str">
            <v>Raisin - Indian</v>
          </cell>
        </row>
        <row r="1444">
          <cell r="B1444" t="str">
            <v>Carnival Classic Indian Kishmish 500 Gms</v>
          </cell>
          <cell r="C1444" t="str">
            <v>FG</v>
          </cell>
          <cell r="D1444" t="str">
            <v>RAISIN</v>
          </cell>
          <cell r="E1444" t="str">
            <v>Raisin - Indian</v>
          </cell>
        </row>
        <row r="1445">
          <cell r="B1445" t="str">
            <v>Carnival Classic Indian Raisins 250g</v>
          </cell>
          <cell r="C1445" t="str">
            <v>FG</v>
          </cell>
          <cell r="D1445" t="str">
            <v>RAISIN</v>
          </cell>
          <cell r="E1445" t="str">
            <v>Raisin - Indian</v>
          </cell>
        </row>
        <row r="1446">
          <cell r="B1446" t="str">
            <v>Carnival Festive Indian Raisin 100gm</v>
          </cell>
          <cell r="C1446" t="str">
            <v>FG</v>
          </cell>
          <cell r="D1446" t="str">
            <v>RAISIN</v>
          </cell>
          <cell r="E1446" t="str">
            <v>Raisin - Indian</v>
          </cell>
        </row>
        <row r="1447">
          <cell r="B1447" t="str">
            <v>Carnival Festive Indian Raisin 150gm</v>
          </cell>
          <cell r="C1447" t="str">
            <v>FG</v>
          </cell>
          <cell r="D1447" t="str">
            <v>RAISIN</v>
          </cell>
          <cell r="E1447" t="str">
            <v>Raisin - Indian</v>
          </cell>
        </row>
        <row r="1448">
          <cell r="B1448" t="str">
            <v>Carnival Festive Indian Raisin 175gm</v>
          </cell>
          <cell r="C1448" t="str">
            <v>FG</v>
          </cell>
          <cell r="D1448" t="str">
            <v>RAISIN</v>
          </cell>
          <cell r="E1448" t="str">
            <v>Raisin - Indian</v>
          </cell>
        </row>
        <row r="1449">
          <cell r="B1449" t="str">
            <v>Carnival Festive Indian Raisin 200gm</v>
          </cell>
          <cell r="C1449" t="str">
            <v>FG</v>
          </cell>
          <cell r="D1449" t="str">
            <v>RAISIN</v>
          </cell>
          <cell r="E1449" t="str">
            <v>Raisin - Indian</v>
          </cell>
        </row>
        <row r="1450">
          <cell r="B1450" t="str">
            <v>Carnival Festive Indian Raisin 250gm</v>
          </cell>
          <cell r="C1450" t="str">
            <v>FG</v>
          </cell>
          <cell r="D1450" t="str">
            <v>RAISIN</v>
          </cell>
          <cell r="E1450" t="str">
            <v>Raisin - Indian</v>
          </cell>
        </row>
        <row r="1451">
          <cell r="B1451" t="str">
            <v>Carnival Festive Paan Raisin 125gm</v>
          </cell>
          <cell r="C1451" t="str">
            <v>FG</v>
          </cell>
          <cell r="D1451" t="str">
            <v>RAISIN</v>
          </cell>
          <cell r="E1451" t="str">
            <v>Raisin - Indian</v>
          </cell>
        </row>
        <row r="1452">
          <cell r="B1452" t="str">
            <v>Carnival Indian Green Raisins 200g</v>
          </cell>
          <cell r="C1452" t="str">
            <v>FG</v>
          </cell>
          <cell r="D1452" t="str">
            <v>RAISIN</v>
          </cell>
          <cell r="E1452" t="str">
            <v>Raisin - Indian</v>
          </cell>
        </row>
        <row r="1453">
          <cell r="B1453" t="str">
            <v>Carnival Indian Kishmish 100g</v>
          </cell>
          <cell r="C1453" t="str">
            <v>FG</v>
          </cell>
          <cell r="D1453" t="str">
            <v>RAISIN</v>
          </cell>
          <cell r="E1453" t="str">
            <v>Raisin - Indian</v>
          </cell>
        </row>
        <row r="1454">
          <cell r="B1454" t="str">
            <v>Carnival Pan Raisin 125g</v>
          </cell>
          <cell r="C1454" t="str">
            <v>FG</v>
          </cell>
          <cell r="D1454" t="str">
            <v>RAISIN</v>
          </cell>
          <cell r="E1454" t="str">
            <v>Raisin - Indian</v>
          </cell>
        </row>
        <row r="1455">
          <cell r="B1455" t="str">
            <v>CARNIVAL RAISIN IDNIAN GREEN/GOLDEN ROUND 1KG</v>
          </cell>
          <cell r="C1455" t="str">
            <v>FG</v>
          </cell>
          <cell r="D1455" t="str">
            <v>RAISIN</v>
          </cell>
          <cell r="E1455" t="str">
            <v>Raisin - Indian</v>
          </cell>
        </row>
        <row r="1456">
          <cell r="B1456" t="str">
            <v>Ez Kishmish Afghani Loose</v>
          </cell>
          <cell r="C1456" t="str">
            <v>FG</v>
          </cell>
          <cell r="D1456" t="str">
            <v>RAISIN</v>
          </cell>
          <cell r="E1456" t="str">
            <v>Raisin - Indian</v>
          </cell>
        </row>
        <row r="1457">
          <cell r="B1457" t="str">
            <v>FABSTA INDIAN RAISINS 200G</v>
          </cell>
          <cell r="C1457" t="str">
            <v>FG</v>
          </cell>
          <cell r="D1457" t="str">
            <v>RAISIN</v>
          </cell>
          <cell r="E1457" t="str">
            <v>Raisin - Indian</v>
          </cell>
        </row>
        <row r="1458">
          <cell r="B1458" t="str">
            <v>FABSTA INDIAN RAISINS 500G</v>
          </cell>
          <cell r="C1458" t="str">
            <v>FG</v>
          </cell>
          <cell r="D1458" t="str">
            <v>RAISIN</v>
          </cell>
          <cell r="E1458" t="str">
            <v>Raisin - Indian</v>
          </cell>
        </row>
        <row r="1459">
          <cell r="B1459" t="str">
            <v>FABSTA Raisins Indian 100 Gm</v>
          </cell>
          <cell r="C1459" t="str">
            <v>FG</v>
          </cell>
          <cell r="D1459" t="str">
            <v>RAISIN</v>
          </cell>
          <cell r="E1459" t="str">
            <v>Raisin - Indian</v>
          </cell>
        </row>
        <row r="1460">
          <cell r="B1460" t="str">
            <v>FNP Indian Raisins 70 gm</v>
          </cell>
          <cell r="C1460" t="str">
            <v>FG</v>
          </cell>
          <cell r="D1460" t="str">
            <v>RAISIN</v>
          </cell>
          <cell r="E1460" t="str">
            <v>Raisin - Indian</v>
          </cell>
        </row>
        <row r="1461">
          <cell r="B1461" t="str">
            <v>Indian Green Raisins 230g</v>
          </cell>
          <cell r="C1461" t="str">
            <v>FG</v>
          </cell>
          <cell r="D1461" t="str">
            <v>RAISIN</v>
          </cell>
          <cell r="E1461" t="str">
            <v>Raisin - Indian</v>
          </cell>
        </row>
        <row r="1462">
          <cell r="B1462" t="str">
            <v>Indian Green Raisins 90gm</v>
          </cell>
          <cell r="C1462" t="str">
            <v>FG</v>
          </cell>
          <cell r="D1462" t="str">
            <v>RAISIN</v>
          </cell>
          <cell r="E1462" t="str">
            <v>Raisin - Indian</v>
          </cell>
        </row>
        <row r="1463">
          <cell r="B1463" t="str">
            <v>Masala Raisin</v>
          </cell>
          <cell r="C1463" t="str">
            <v>FG</v>
          </cell>
          <cell r="D1463" t="str">
            <v>RAISIN</v>
          </cell>
          <cell r="E1463" t="str">
            <v>Raisin - Indian</v>
          </cell>
        </row>
        <row r="1464">
          <cell r="B1464" t="str">
            <v>Natures Indian Raisin Reg 200 Gm (1411654)</v>
          </cell>
          <cell r="C1464" t="str">
            <v>FG</v>
          </cell>
          <cell r="D1464" t="str">
            <v>RAISIN</v>
          </cell>
          <cell r="E1464" t="str">
            <v>Raisin - Indian</v>
          </cell>
        </row>
        <row r="1465">
          <cell r="B1465" t="str">
            <v>Natures Indian Raisin Reg 500 Gm (1411655)</v>
          </cell>
          <cell r="C1465" t="str">
            <v>FG</v>
          </cell>
          <cell r="D1465" t="str">
            <v>RAISIN</v>
          </cell>
          <cell r="E1465" t="str">
            <v>Raisin - Indian</v>
          </cell>
        </row>
        <row r="1466">
          <cell r="B1466" t="str">
            <v>Natures Raisin 100g (1340523)</v>
          </cell>
          <cell r="C1466" t="str">
            <v>FG</v>
          </cell>
          <cell r="D1466" t="str">
            <v>RAISIN</v>
          </cell>
          <cell r="E1466" t="str">
            <v>Raisin - Indian</v>
          </cell>
        </row>
        <row r="1467">
          <cell r="B1467" t="str">
            <v>Natures Raisin 250g (1340519)</v>
          </cell>
          <cell r="C1467" t="str">
            <v>FG</v>
          </cell>
          <cell r="D1467" t="str">
            <v>RAISIN</v>
          </cell>
          <cell r="E1467" t="str">
            <v>Raisin - Indian</v>
          </cell>
        </row>
        <row r="1468">
          <cell r="B1468" t="str">
            <v>Natures Raisin 500g (1356006)</v>
          </cell>
          <cell r="C1468" t="str">
            <v>FG</v>
          </cell>
          <cell r="D1468" t="str">
            <v>RAISIN</v>
          </cell>
          <cell r="E1468" t="str">
            <v>Raisin - Indian</v>
          </cell>
        </row>
        <row r="1469">
          <cell r="B1469" t="str">
            <v>NB MASALA RAISIN LOOSE</v>
          </cell>
          <cell r="C1469" t="str">
            <v>FG</v>
          </cell>
          <cell r="D1469" t="str">
            <v>RAISIN</v>
          </cell>
          <cell r="E1469" t="str">
            <v>Raisin - Indian</v>
          </cell>
        </row>
        <row r="1470">
          <cell r="B1470" t="str">
            <v>NB PAAN RAISIN LOOSE</v>
          </cell>
          <cell r="C1470" t="str">
            <v>FG</v>
          </cell>
          <cell r="D1470" t="str">
            <v>RAISIN</v>
          </cell>
          <cell r="E1470" t="str">
            <v>Raisin - Indian</v>
          </cell>
        </row>
        <row r="1471">
          <cell r="B1471" t="str">
            <v>NB RAISIN INDIAN PREMIUM LOOSE</v>
          </cell>
          <cell r="C1471" t="str">
            <v>FG</v>
          </cell>
          <cell r="D1471" t="str">
            <v>RAISIN</v>
          </cell>
          <cell r="E1471" t="str">
            <v>Raisin - Indian</v>
          </cell>
        </row>
        <row r="1472">
          <cell r="B1472" t="str">
            <v>Pan Raisin</v>
          </cell>
          <cell r="C1472" t="str">
            <v>FG</v>
          </cell>
          <cell r="D1472" t="str">
            <v>RAISIN</v>
          </cell>
          <cell r="E1472" t="str">
            <v>Raisin - Indian</v>
          </cell>
        </row>
        <row r="1473">
          <cell r="B1473" t="str">
            <v>Popular Raisins, 500 g (B07GR3S1RR)</v>
          </cell>
          <cell r="C1473" t="str">
            <v>FG</v>
          </cell>
          <cell r="D1473" t="str">
            <v>RAISIN</v>
          </cell>
          <cell r="E1473" t="str">
            <v>Raisin - Indian</v>
          </cell>
        </row>
        <row r="1474">
          <cell r="B1474" t="str">
            <v>Premia Indian Raisin 100gm</v>
          </cell>
          <cell r="C1474" t="str">
            <v>FG</v>
          </cell>
          <cell r="D1474" t="str">
            <v>RAISIN</v>
          </cell>
          <cell r="E1474" t="str">
            <v>Raisin - Indian</v>
          </cell>
        </row>
        <row r="1475">
          <cell r="B1475" t="str">
            <v>Raisins 200G (B07GRBFFMR) FBA</v>
          </cell>
          <cell r="C1475" t="str">
            <v>FG</v>
          </cell>
          <cell r="D1475" t="str">
            <v>RAISIN</v>
          </cell>
          <cell r="E1475" t="str">
            <v>Raisin - Indian</v>
          </cell>
        </row>
        <row r="1476">
          <cell r="B1476" t="str">
            <v>Royal Traditions Plain Raisins 100g</v>
          </cell>
          <cell r="C1476" t="str">
            <v>FG</v>
          </cell>
          <cell r="D1476" t="str">
            <v>RAISIN</v>
          </cell>
          <cell r="E1476" t="str">
            <v>Raisin - Indian</v>
          </cell>
        </row>
        <row r="1477">
          <cell r="B1477" t="str">
            <v>SnackAmor Paan Raisins 100g</v>
          </cell>
          <cell r="C1477" t="str">
            <v>FG</v>
          </cell>
          <cell r="D1477" t="str">
            <v>RAISIN</v>
          </cell>
          <cell r="E1477" t="str">
            <v>Raisin - Indian</v>
          </cell>
        </row>
        <row r="1478">
          <cell r="B1478" t="str">
            <v>Solimo Premium Raisin 250g (B01LPYAB9O)</v>
          </cell>
          <cell r="C1478" t="str">
            <v>FG</v>
          </cell>
          <cell r="D1478" t="str">
            <v>RAISIN</v>
          </cell>
          <cell r="E1478" t="str">
            <v>Raisin - Indian</v>
          </cell>
        </row>
        <row r="1479">
          <cell r="B1479" t="str">
            <v>Solimo Premium Raisins, 500 g (B07RJXW87Z)</v>
          </cell>
          <cell r="C1479" t="str">
            <v>FG</v>
          </cell>
          <cell r="D1479" t="str">
            <v>RAISIN</v>
          </cell>
          <cell r="E1479" t="str">
            <v>Raisin - Indian</v>
          </cell>
        </row>
        <row r="1480">
          <cell r="B1480" t="str">
            <v>Vedaka Popular Raisins, 1 kg (B07GR82XJR)</v>
          </cell>
          <cell r="C1480" t="str">
            <v>FG</v>
          </cell>
          <cell r="D1480" t="str">
            <v>RAISIN</v>
          </cell>
          <cell r="E1480" t="str">
            <v>Raisin - Indian</v>
          </cell>
        </row>
        <row r="1481">
          <cell r="B1481" t="str">
            <v>Vedaka Popular Raisins, 100 g (B07GRBFFMS)</v>
          </cell>
          <cell r="C1481" t="str">
            <v>FG</v>
          </cell>
          <cell r="D1481" t="str">
            <v>RAISIN</v>
          </cell>
          <cell r="E1481" t="str">
            <v>Raisin - Indian</v>
          </cell>
        </row>
        <row r="1482">
          <cell r="B1482" t="str">
            <v>Afghan Shandukhani Green Raisins</v>
          </cell>
          <cell r="C1482" t="str">
            <v>RM</v>
          </cell>
          <cell r="D1482" t="str">
            <v>RAISIN</v>
          </cell>
          <cell r="E1482" t="str">
            <v>Raisin - Shandukhani</v>
          </cell>
        </row>
        <row r="1483">
          <cell r="B1483" t="str">
            <v>Premium Shandukhani Green Raisins</v>
          </cell>
          <cell r="C1483" t="str">
            <v>RM</v>
          </cell>
          <cell r="D1483" t="str">
            <v>RAISIN</v>
          </cell>
          <cell r="E1483" t="str">
            <v>Raisin - Shandukhani</v>
          </cell>
        </row>
        <row r="1484">
          <cell r="B1484" t="str">
            <v>Curate Sandhukhani Kismis 300g Jr</v>
          </cell>
          <cell r="C1484" t="str">
            <v>FG</v>
          </cell>
          <cell r="D1484" t="str">
            <v>RAISIN</v>
          </cell>
          <cell r="E1484" t="str">
            <v>Raisin - Shandukhani</v>
          </cell>
        </row>
        <row r="1485">
          <cell r="B1485" t="str">
            <v>Curate Sandhukhani Kismis 600g Jr</v>
          </cell>
          <cell r="C1485" t="str">
            <v>FG</v>
          </cell>
          <cell r="D1485" t="str">
            <v>RAISIN</v>
          </cell>
          <cell r="E1485" t="str">
            <v>Raisin - Shandukhani</v>
          </cell>
        </row>
        <row r="1486">
          <cell r="B1486" t="str">
            <v>HA SINDUKANI RAISIN 250GM</v>
          </cell>
          <cell r="C1486" t="str">
            <v>FG</v>
          </cell>
          <cell r="D1486" t="str">
            <v>RAISIN</v>
          </cell>
          <cell r="E1486" t="str">
            <v>Raisin - Shandukhani</v>
          </cell>
        </row>
        <row r="1487">
          <cell r="B1487" t="str">
            <v>NB RAISIN SANDUKANI LOOSE</v>
          </cell>
          <cell r="C1487" t="str">
            <v>FG</v>
          </cell>
          <cell r="D1487" t="str">
            <v>RAISIN</v>
          </cell>
          <cell r="E1487" t="str">
            <v>Raisin - Shandukhani</v>
          </cell>
        </row>
        <row r="1488">
          <cell r="B1488" t="str">
            <v>Black Salt, Kala Namak - Crystal</v>
          </cell>
          <cell r="C1488" t="str">
            <v>RM</v>
          </cell>
          <cell r="D1488" t="str">
            <v>SALT</v>
          </cell>
          <cell r="E1488" t="str">
            <v>Salt</v>
          </cell>
        </row>
        <row r="1489">
          <cell r="B1489" t="str">
            <v>Pink Salt.</v>
          </cell>
          <cell r="C1489" t="str">
            <v>RM</v>
          </cell>
          <cell r="D1489" t="str">
            <v>SALT</v>
          </cell>
          <cell r="E1489" t="str">
            <v>Salt</v>
          </cell>
        </row>
        <row r="1490">
          <cell r="B1490" t="str">
            <v>Refined Fine Powder Iodized Salt Prime</v>
          </cell>
          <cell r="C1490" t="str">
            <v>RM</v>
          </cell>
          <cell r="D1490" t="str">
            <v>SALT</v>
          </cell>
          <cell r="E1490" t="str">
            <v>Salt</v>
          </cell>
        </row>
        <row r="1491">
          <cell r="B1491" t="str">
            <v>Refined Fine Powder Iodized Salt Prime - TPL</v>
          </cell>
          <cell r="C1491" t="str">
            <v>RM</v>
          </cell>
          <cell r="D1491" t="str">
            <v>SALT</v>
          </cell>
          <cell r="E1491" t="str">
            <v>Salt</v>
          </cell>
        </row>
        <row r="1492">
          <cell r="B1492" t="str">
            <v>Rock Salt -Sendha Namak Powder</v>
          </cell>
          <cell r="C1492" t="str">
            <v>RM</v>
          </cell>
          <cell r="D1492" t="str">
            <v>SALT</v>
          </cell>
          <cell r="E1492" t="str">
            <v>Salt</v>
          </cell>
        </row>
        <row r="1493">
          <cell r="B1493" t="str">
            <v>Salt</v>
          </cell>
          <cell r="C1493" t="str">
            <v>RM</v>
          </cell>
          <cell r="D1493" t="str">
            <v>SALT</v>
          </cell>
          <cell r="E1493" t="str">
            <v>Salt</v>
          </cell>
        </row>
        <row r="1494">
          <cell r="B1494" t="str">
            <v>OFF-GRADE SEASONING</v>
          </cell>
          <cell r="C1494" t="str">
            <v>RM</v>
          </cell>
          <cell r="D1494" t="str">
            <v>SEASONING</v>
          </cell>
          <cell r="E1494" t="str">
            <v>OFF-GRADE SEASONING</v>
          </cell>
        </row>
        <row r="1495">
          <cell r="B1495" t="str">
            <v>Anardana Churan</v>
          </cell>
          <cell r="C1495" t="str">
            <v>RM</v>
          </cell>
          <cell r="D1495" t="str">
            <v>SEASONING</v>
          </cell>
          <cell r="E1495" t="str">
            <v>Seasoning</v>
          </cell>
        </row>
        <row r="1496">
          <cell r="B1496" t="str">
            <v>Anardana Powder</v>
          </cell>
          <cell r="C1496" t="str">
            <v>RM</v>
          </cell>
          <cell r="D1496" t="str">
            <v>SEASONING</v>
          </cell>
          <cell r="E1496" t="str">
            <v>Seasoning</v>
          </cell>
        </row>
        <row r="1497">
          <cell r="B1497" t="str">
            <v>Banana flavour (241114) NATURAL</v>
          </cell>
          <cell r="C1497" t="str">
            <v>RM</v>
          </cell>
          <cell r="D1497" t="str">
            <v>SEASONING</v>
          </cell>
          <cell r="E1497" t="str">
            <v>Seasoning</v>
          </cell>
        </row>
        <row r="1498">
          <cell r="B1498" t="str">
            <v>Barbeque Flavour</v>
          </cell>
          <cell r="C1498" t="str">
            <v>RM</v>
          </cell>
          <cell r="D1498" t="str">
            <v>SEASONING</v>
          </cell>
          <cell r="E1498" t="str">
            <v>Seasoning</v>
          </cell>
        </row>
        <row r="1499">
          <cell r="B1499" t="str">
            <v>Barbeque seasoning</v>
          </cell>
          <cell r="C1499" t="str">
            <v>RM</v>
          </cell>
          <cell r="D1499" t="str">
            <v>SEASONING</v>
          </cell>
          <cell r="E1499" t="str">
            <v>Seasoning</v>
          </cell>
        </row>
        <row r="1500">
          <cell r="B1500" t="str">
            <v>Black Pepper Powder</v>
          </cell>
          <cell r="C1500" t="str">
            <v>RM</v>
          </cell>
          <cell r="D1500" t="str">
            <v>SEASONING</v>
          </cell>
          <cell r="E1500" t="str">
            <v>Seasoning</v>
          </cell>
        </row>
        <row r="1501">
          <cell r="B1501" t="str">
            <v>Black Pepper Seasoning</v>
          </cell>
          <cell r="C1501" t="str">
            <v>RM</v>
          </cell>
          <cell r="D1501" t="str">
            <v>SEASONING</v>
          </cell>
          <cell r="E1501" t="str">
            <v>Seasoning</v>
          </cell>
        </row>
        <row r="1502">
          <cell r="B1502" t="str">
            <v>BLACK PEPPER TOPNOTE LIQUID</v>
          </cell>
          <cell r="C1502" t="str">
            <v>RM</v>
          </cell>
          <cell r="D1502" t="str">
            <v>SEASONING</v>
          </cell>
          <cell r="E1502" t="str">
            <v>Seasoning</v>
          </cell>
        </row>
        <row r="1503">
          <cell r="B1503" t="str">
            <v>BLACKPEPPER SEASONING BLEND</v>
          </cell>
          <cell r="C1503" t="str">
            <v>RM</v>
          </cell>
          <cell r="D1503" t="str">
            <v>SEASONING</v>
          </cell>
          <cell r="E1503" t="str">
            <v>Seasoning</v>
          </cell>
        </row>
        <row r="1504">
          <cell r="B1504" t="str">
            <v>Caramel Sweet Popcorn Flavour</v>
          </cell>
          <cell r="C1504" t="str">
            <v>RM</v>
          </cell>
          <cell r="D1504" t="str">
            <v>SEASONING</v>
          </cell>
          <cell r="E1504" t="str">
            <v>Seasoning</v>
          </cell>
        </row>
        <row r="1505">
          <cell r="B1505" t="str">
            <v>Cayenne Pepper Powder</v>
          </cell>
          <cell r="C1505" t="str">
            <v>RM</v>
          </cell>
          <cell r="D1505" t="str">
            <v>SEASONING</v>
          </cell>
          <cell r="E1505" t="str">
            <v>Seasoning</v>
          </cell>
        </row>
        <row r="1506">
          <cell r="B1506" t="str">
            <v>CHAT MASALA</v>
          </cell>
          <cell r="C1506" t="str">
            <v>RM</v>
          </cell>
          <cell r="D1506" t="str">
            <v>SEASONING</v>
          </cell>
          <cell r="E1506" t="str">
            <v>Seasoning</v>
          </cell>
        </row>
        <row r="1507">
          <cell r="B1507" t="str">
            <v>CHAT MASALA MDH</v>
          </cell>
          <cell r="C1507" t="str">
            <v>RM</v>
          </cell>
          <cell r="D1507" t="str">
            <v>SEASONING</v>
          </cell>
          <cell r="E1507" t="str">
            <v>Seasoning</v>
          </cell>
        </row>
        <row r="1508">
          <cell r="B1508" t="str">
            <v>Chatpata Seasoning</v>
          </cell>
          <cell r="C1508" t="str">
            <v>RM</v>
          </cell>
          <cell r="D1508" t="str">
            <v>SEASONING</v>
          </cell>
          <cell r="E1508" t="str">
            <v>Seasoning</v>
          </cell>
        </row>
        <row r="1509">
          <cell r="B1509" t="str">
            <v>CHEESE SEASONING</v>
          </cell>
          <cell r="C1509" t="str">
            <v>RM</v>
          </cell>
          <cell r="D1509" t="str">
            <v>SEASONING</v>
          </cell>
          <cell r="E1509" t="str">
            <v>Seasoning</v>
          </cell>
        </row>
        <row r="1510">
          <cell r="B1510" t="str">
            <v>Cheesy Tomato Seasoning 2 (PR01895/001)</v>
          </cell>
          <cell r="C1510" t="str">
            <v>RM</v>
          </cell>
          <cell r="D1510" t="str">
            <v>SEASONING</v>
          </cell>
          <cell r="E1510" t="str">
            <v>Seasoning</v>
          </cell>
        </row>
        <row r="1511">
          <cell r="B1511" t="str">
            <v>Chilli Garlic Flavour</v>
          </cell>
          <cell r="C1511" t="str">
            <v>RM</v>
          </cell>
          <cell r="D1511" t="str">
            <v>SEASONING</v>
          </cell>
          <cell r="E1511" t="str">
            <v>Seasoning</v>
          </cell>
        </row>
        <row r="1512">
          <cell r="B1512" t="str">
            <v>Chilli Garlic Masala Seasoning</v>
          </cell>
          <cell r="C1512" t="str">
            <v>RM</v>
          </cell>
          <cell r="D1512" t="str">
            <v>SEASONING</v>
          </cell>
          <cell r="E1512" t="str">
            <v>Seasoning</v>
          </cell>
        </row>
        <row r="1513">
          <cell r="B1513" t="str">
            <v>Chilli Powder</v>
          </cell>
          <cell r="C1513" t="str">
            <v>RM</v>
          </cell>
          <cell r="D1513" t="str">
            <v>SEASONING</v>
          </cell>
          <cell r="E1513" t="str">
            <v>Seasoning</v>
          </cell>
        </row>
        <row r="1514">
          <cell r="B1514" t="str">
            <v>Chilli Seasoning</v>
          </cell>
          <cell r="C1514" t="str">
            <v>RM</v>
          </cell>
          <cell r="D1514" t="str">
            <v>SEASONING</v>
          </cell>
          <cell r="E1514" t="str">
            <v>Seasoning</v>
          </cell>
        </row>
        <row r="1515">
          <cell r="B1515" t="str">
            <v>Chipotle Honey Seasoning</v>
          </cell>
          <cell r="C1515" t="str">
            <v>RM</v>
          </cell>
          <cell r="D1515" t="str">
            <v>SEASONING</v>
          </cell>
          <cell r="E1515" t="str">
            <v>Seasoning</v>
          </cell>
        </row>
        <row r="1516">
          <cell r="B1516" t="str">
            <v>Choco Chips</v>
          </cell>
          <cell r="C1516" t="str">
            <v>RM</v>
          </cell>
          <cell r="D1516" t="str">
            <v>SEASONING</v>
          </cell>
          <cell r="E1516" t="str">
            <v>Seasoning</v>
          </cell>
        </row>
        <row r="1517">
          <cell r="B1517" t="str">
            <v>Chocolate Flavour</v>
          </cell>
          <cell r="C1517" t="str">
            <v>RM</v>
          </cell>
          <cell r="D1517" t="str">
            <v>SEASONING</v>
          </cell>
          <cell r="E1517" t="str">
            <v>Seasoning</v>
          </cell>
        </row>
        <row r="1518">
          <cell r="B1518" t="str">
            <v>Chocolate Flavour 170522</v>
          </cell>
          <cell r="C1518" t="str">
            <v>RM</v>
          </cell>
          <cell r="D1518" t="str">
            <v>SEASONING</v>
          </cell>
          <cell r="E1518" t="str">
            <v>Seasoning</v>
          </cell>
        </row>
        <row r="1519">
          <cell r="B1519" t="str">
            <v>Coffee Beans</v>
          </cell>
          <cell r="C1519" t="str">
            <v>RM</v>
          </cell>
          <cell r="D1519" t="str">
            <v>SEASONING</v>
          </cell>
          <cell r="E1519" t="str">
            <v>Seasoning</v>
          </cell>
        </row>
        <row r="1520">
          <cell r="B1520" t="str">
            <v>Coffee Flavour</v>
          </cell>
          <cell r="C1520" t="str">
            <v>RM</v>
          </cell>
          <cell r="D1520" t="str">
            <v>SEASONING</v>
          </cell>
          <cell r="E1520" t="str">
            <v>Seasoning</v>
          </cell>
        </row>
        <row r="1521">
          <cell r="B1521" t="str">
            <v>CORIANDER / DHANIYA / Cilantro seeds</v>
          </cell>
          <cell r="C1521" t="str">
            <v>RM</v>
          </cell>
          <cell r="D1521" t="str">
            <v>SEASONING</v>
          </cell>
          <cell r="E1521" t="str">
            <v>Seasoning</v>
          </cell>
        </row>
        <row r="1522">
          <cell r="B1522" t="str">
            <v>Cranberry Flavour 280619</v>
          </cell>
          <cell r="C1522" t="str">
            <v>RM</v>
          </cell>
          <cell r="D1522" t="str">
            <v>SEASONING</v>
          </cell>
          <cell r="E1522" t="str">
            <v>Seasoning</v>
          </cell>
        </row>
        <row r="1523">
          <cell r="B1523" t="str">
            <v>Dalchini (Cinnamon) Powder</v>
          </cell>
          <cell r="C1523" t="str">
            <v>RM</v>
          </cell>
          <cell r="D1523" t="str">
            <v>SEASONING</v>
          </cell>
          <cell r="E1523" t="str">
            <v>Seasoning</v>
          </cell>
        </row>
        <row r="1524">
          <cell r="B1524" t="str">
            <v>Desi Masala Seasoning</v>
          </cell>
          <cell r="C1524" t="str">
            <v>RM</v>
          </cell>
          <cell r="D1524" t="str">
            <v>SEASONING</v>
          </cell>
          <cell r="E1524" t="str">
            <v>Seasoning</v>
          </cell>
        </row>
        <row r="1525">
          <cell r="B1525" t="str">
            <v>Dried Mango Powder - Amchur</v>
          </cell>
          <cell r="C1525" t="str">
            <v>RM</v>
          </cell>
          <cell r="D1525" t="str">
            <v>SEASONING</v>
          </cell>
          <cell r="E1525" t="str">
            <v>Seasoning</v>
          </cell>
        </row>
        <row r="1526">
          <cell r="B1526" t="str">
            <v>DRIED ROSEMARY</v>
          </cell>
          <cell r="C1526" t="str">
            <v>RM</v>
          </cell>
          <cell r="D1526" t="str">
            <v>SEASONING</v>
          </cell>
          <cell r="E1526" t="str">
            <v>Seasoning</v>
          </cell>
        </row>
        <row r="1527">
          <cell r="B1527" t="str">
            <v>GARLIC POWDER - SPICES</v>
          </cell>
          <cell r="C1527" t="str">
            <v>RM</v>
          </cell>
          <cell r="D1527" t="str">
            <v>SEASONING</v>
          </cell>
          <cell r="E1527" t="str">
            <v>Seasoning</v>
          </cell>
        </row>
        <row r="1528">
          <cell r="B1528" t="str">
            <v>Green Chilli ( 4010000169 )</v>
          </cell>
          <cell r="C1528" t="str">
            <v>RM</v>
          </cell>
          <cell r="D1528" t="str">
            <v>SEASONING</v>
          </cell>
          <cell r="E1528" t="str">
            <v>Seasoning</v>
          </cell>
        </row>
        <row r="1529">
          <cell r="B1529" t="str">
            <v>Hing Jeera - CP2218</v>
          </cell>
          <cell r="C1529" t="str">
            <v>RM</v>
          </cell>
          <cell r="D1529" t="str">
            <v>SEASONING</v>
          </cell>
          <cell r="E1529" t="str">
            <v>Seasoning</v>
          </cell>
        </row>
        <row r="1530">
          <cell r="B1530" t="str">
            <v>Jav</v>
          </cell>
          <cell r="C1530" t="str">
            <v>RM</v>
          </cell>
          <cell r="D1530" t="str">
            <v>SEASONING</v>
          </cell>
          <cell r="E1530" t="str">
            <v>Seasoning</v>
          </cell>
        </row>
        <row r="1531">
          <cell r="B1531" t="str">
            <v>Kerry N&amp;A Butter Flavour - TPL</v>
          </cell>
          <cell r="C1531" t="str">
            <v>RM</v>
          </cell>
          <cell r="D1531" t="str">
            <v>SEASONING</v>
          </cell>
          <cell r="E1531" t="str">
            <v>Seasoning</v>
          </cell>
        </row>
        <row r="1532">
          <cell r="B1532" t="str">
            <v>Lemon Pepper Seasoning</v>
          </cell>
          <cell r="C1532" t="str">
            <v>RM</v>
          </cell>
          <cell r="D1532" t="str">
            <v>SEASONING</v>
          </cell>
          <cell r="E1532" t="str">
            <v>Seasoning</v>
          </cell>
        </row>
        <row r="1533">
          <cell r="B1533" t="str">
            <v>Lime Chilli Seasoning</v>
          </cell>
          <cell r="C1533" t="str">
            <v>RM</v>
          </cell>
          <cell r="D1533" t="str">
            <v>SEASONING</v>
          </cell>
          <cell r="E1533" t="str">
            <v>Seasoning</v>
          </cell>
        </row>
        <row r="1534">
          <cell r="B1534" t="str">
            <v>Maggi Masala Flavours</v>
          </cell>
          <cell r="C1534" t="str">
            <v>RM</v>
          </cell>
          <cell r="D1534" t="str">
            <v>SEASONING</v>
          </cell>
          <cell r="E1534" t="str">
            <v>Seasoning</v>
          </cell>
        </row>
        <row r="1535">
          <cell r="B1535" t="str">
            <v>Magic Masala Seasoning</v>
          </cell>
          <cell r="C1535" t="str">
            <v>RM</v>
          </cell>
          <cell r="D1535" t="str">
            <v>SEASONING</v>
          </cell>
          <cell r="E1535" t="str">
            <v>Seasoning</v>
          </cell>
        </row>
        <row r="1536">
          <cell r="B1536" t="str">
            <v>Mango Flavour 291018</v>
          </cell>
          <cell r="C1536" t="str">
            <v>RM</v>
          </cell>
          <cell r="D1536" t="str">
            <v>SEASONING</v>
          </cell>
          <cell r="E1536" t="str">
            <v>Seasoning</v>
          </cell>
        </row>
        <row r="1537">
          <cell r="B1537" t="str">
            <v>Mango Slice Chilli Seasoning</v>
          </cell>
          <cell r="C1537" t="str">
            <v>RM</v>
          </cell>
          <cell r="D1537" t="str">
            <v>SEASONING</v>
          </cell>
          <cell r="E1537" t="str">
            <v>Seasoning</v>
          </cell>
        </row>
        <row r="1538">
          <cell r="B1538" t="str">
            <v>Masala Seasoning</v>
          </cell>
          <cell r="C1538" t="str">
            <v>RM</v>
          </cell>
          <cell r="D1538" t="str">
            <v>SEASONING</v>
          </cell>
          <cell r="E1538" t="str">
            <v>Seasoning</v>
          </cell>
        </row>
        <row r="1539">
          <cell r="B1539" t="str">
            <v>Mexican Chilli Seasoning (PR01027/001)</v>
          </cell>
          <cell r="C1539" t="str">
            <v>RM</v>
          </cell>
          <cell r="D1539" t="str">
            <v>SEASONING</v>
          </cell>
          <cell r="E1539" t="str">
            <v>Seasoning</v>
          </cell>
        </row>
        <row r="1540">
          <cell r="B1540" t="str">
            <v>Mint Chutney Flavour 1</v>
          </cell>
          <cell r="C1540" t="str">
            <v>RM</v>
          </cell>
          <cell r="D1540" t="str">
            <v>SEASONING</v>
          </cell>
          <cell r="E1540" t="str">
            <v>Seasoning</v>
          </cell>
        </row>
        <row r="1541">
          <cell r="B1541" t="str">
            <v>Mint Chutney Flavour 2</v>
          </cell>
          <cell r="C1541" t="str">
            <v>RM</v>
          </cell>
          <cell r="D1541" t="str">
            <v>SEASONING</v>
          </cell>
          <cell r="E1541" t="str">
            <v>Seasoning</v>
          </cell>
        </row>
        <row r="1542">
          <cell r="B1542" t="str">
            <v>Natural Pineapple Falvour 170914</v>
          </cell>
          <cell r="C1542" t="str">
            <v>RM</v>
          </cell>
          <cell r="D1542" t="str">
            <v>SEASONING</v>
          </cell>
          <cell r="E1542" t="str">
            <v>Seasoning</v>
          </cell>
        </row>
        <row r="1543">
          <cell r="B1543" t="str">
            <v>Onion garlic seasoning</v>
          </cell>
          <cell r="C1543" t="str">
            <v>RM</v>
          </cell>
          <cell r="D1543" t="str">
            <v>SEASONING</v>
          </cell>
          <cell r="E1543" t="str">
            <v>Seasoning</v>
          </cell>
        </row>
        <row r="1544">
          <cell r="B1544" t="str">
            <v>Onion Powder-spices</v>
          </cell>
          <cell r="C1544" t="str">
            <v>RM</v>
          </cell>
          <cell r="D1544" t="str">
            <v>SEASONING</v>
          </cell>
          <cell r="E1544" t="str">
            <v>Seasoning</v>
          </cell>
        </row>
        <row r="1545">
          <cell r="B1545" t="str">
            <v>Orange Flavour 220509</v>
          </cell>
          <cell r="C1545" t="str">
            <v>RM</v>
          </cell>
          <cell r="D1545" t="str">
            <v>SEASONING</v>
          </cell>
          <cell r="E1545" t="str">
            <v>Seasoning</v>
          </cell>
        </row>
        <row r="1546">
          <cell r="B1546" t="str">
            <v>ORANGE SUPREME OIL FLAVOUR</v>
          </cell>
          <cell r="C1546" t="str">
            <v>RM</v>
          </cell>
          <cell r="D1546" t="str">
            <v>SEASONING</v>
          </cell>
          <cell r="E1546" t="str">
            <v>Seasoning</v>
          </cell>
        </row>
        <row r="1547">
          <cell r="B1547" t="str">
            <v>OREGANO</v>
          </cell>
          <cell r="C1547" t="str">
            <v>RM</v>
          </cell>
          <cell r="D1547" t="str">
            <v>SEASONING</v>
          </cell>
          <cell r="E1547" t="str">
            <v>Seasoning</v>
          </cell>
        </row>
        <row r="1548">
          <cell r="B1548" t="str">
            <v>Paan Seasoning AB319</v>
          </cell>
          <cell r="C1548" t="str">
            <v>RM</v>
          </cell>
          <cell r="D1548" t="str">
            <v>SEASONING</v>
          </cell>
          <cell r="E1548" t="str">
            <v>Seasoning</v>
          </cell>
        </row>
        <row r="1549">
          <cell r="B1549" t="str">
            <v>Paneer Tikka Seasoning</v>
          </cell>
          <cell r="C1549" t="str">
            <v>RM</v>
          </cell>
          <cell r="D1549" t="str">
            <v>SEASONING</v>
          </cell>
          <cell r="E1549" t="str">
            <v>Seasoning</v>
          </cell>
        </row>
        <row r="1550">
          <cell r="B1550" t="str">
            <v>Panipuri Seasoning</v>
          </cell>
          <cell r="C1550" t="str">
            <v>RM</v>
          </cell>
          <cell r="D1550" t="str">
            <v>SEASONING</v>
          </cell>
          <cell r="E1550" t="str">
            <v>Seasoning</v>
          </cell>
        </row>
        <row r="1551">
          <cell r="B1551" t="str">
            <v>Peri Peri Liquid</v>
          </cell>
          <cell r="C1551" t="str">
            <v>RM</v>
          </cell>
          <cell r="D1551" t="str">
            <v>SEASONING</v>
          </cell>
          <cell r="E1551" t="str">
            <v>Seasoning</v>
          </cell>
        </row>
        <row r="1552">
          <cell r="B1552" t="str">
            <v>Peri Peri Marination Seasoning</v>
          </cell>
          <cell r="C1552" t="str">
            <v>RM</v>
          </cell>
          <cell r="D1552" t="str">
            <v>SEASONING</v>
          </cell>
          <cell r="E1552" t="str">
            <v>Seasoning</v>
          </cell>
        </row>
        <row r="1553">
          <cell r="B1553" t="str">
            <v>Pizza Seasoning</v>
          </cell>
          <cell r="C1553" t="str">
            <v>RM</v>
          </cell>
          <cell r="D1553" t="str">
            <v>SEASONING</v>
          </cell>
          <cell r="E1553" t="str">
            <v>Seasoning</v>
          </cell>
        </row>
        <row r="1554">
          <cell r="B1554" t="str">
            <v>Powder Black Pepper spices</v>
          </cell>
          <cell r="C1554" t="str">
            <v>RM</v>
          </cell>
          <cell r="D1554" t="str">
            <v>SEASONING</v>
          </cell>
          <cell r="E1554" t="str">
            <v>Seasoning</v>
          </cell>
        </row>
        <row r="1555">
          <cell r="B1555" t="str">
            <v>PREGEFLO CH 10 G</v>
          </cell>
          <cell r="C1555" t="str">
            <v>RM</v>
          </cell>
          <cell r="D1555" t="str">
            <v>SEASONING</v>
          </cell>
          <cell r="E1555" t="str">
            <v>Seasoning</v>
          </cell>
        </row>
        <row r="1556">
          <cell r="B1556" t="str">
            <v>Pudina seasoning</v>
          </cell>
          <cell r="C1556" t="str">
            <v>RM</v>
          </cell>
          <cell r="D1556" t="str">
            <v>SEASONING</v>
          </cell>
          <cell r="E1556" t="str">
            <v>Seasoning</v>
          </cell>
        </row>
        <row r="1557">
          <cell r="B1557" t="str">
            <v>Raspberry Flavour 240323</v>
          </cell>
          <cell r="C1557" t="str">
            <v>RM</v>
          </cell>
          <cell r="D1557" t="str">
            <v>SEASONING</v>
          </cell>
          <cell r="E1557" t="str">
            <v>Seasoning</v>
          </cell>
        </row>
        <row r="1558">
          <cell r="B1558" t="str">
            <v>Red Chilli Oleoresin (Cap Oleoresin 4010000030)</v>
          </cell>
          <cell r="C1558" t="str">
            <v>RM</v>
          </cell>
          <cell r="D1558" t="str">
            <v>SEASONING</v>
          </cell>
          <cell r="E1558" t="str">
            <v>Seasoning</v>
          </cell>
        </row>
        <row r="1559">
          <cell r="B1559" t="str">
            <v>Rose Flavour 060721</v>
          </cell>
          <cell r="C1559" t="str">
            <v>RM</v>
          </cell>
          <cell r="D1559" t="str">
            <v>SEASONING</v>
          </cell>
          <cell r="E1559" t="str">
            <v>Seasoning</v>
          </cell>
        </row>
        <row r="1560">
          <cell r="B1560" t="str">
            <v>Salt &amp; Pepper Seasoning</v>
          </cell>
          <cell r="C1560" t="str">
            <v>RM</v>
          </cell>
          <cell r="D1560" t="str">
            <v>SEASONING</v>
          </cell>
          <cell r="E1560" t="str">
            <v>Seasoning</v>
          </cell>
        </row>
        <row r="1561">
          <cell r="B1561" t="str">
            <v>Salted Caramel Flavour</v>
          </cell>
          <cell r="C1561" t="str">
            <v>RM</v>
          </cell>
          <cell r="D1561" t="str">
            <v>SEASONING</v>
          </cell>
          <cell r="E1561" t="str">
            <v>Seasoning</v>
          </cell>
        </row>
        <row r="1562">
          <cell r="B1562" t="str">
            <v>Schezwan Seasoning</v>
          </cell>
          <cell r="C1562" t="str">
            <v>RM</v>
          </cell>
          <cell r="D1562" t="str">
            <v>SEASONING</v>
          </cell>
          <cell r="E1562" t="str">
            <v>Seasoning</v>
          </cell>
        </row>
        <row r="1563">
          <cell r="B1563" t="str">
            <v>Sesame Seeds (White Til)</v>
          </cell>
          <cell r="C1563" t="str">
            <v>RM</v>
          </cell>
          <cell r="D1563" t="str">
            <v>SEASONING</v>
          </cell>
          <cell r="E1563" t="str">
            <v>Seasoning</v>
          </cell>
        </row>
        <row r="1564">
          <cell r="B1564" t="str">
            <v>Smoke Paprika Flavour F170</v>
          </cell>
          <cell r="C1564" t="str">
            <v>RM</v>
          </cell>
          <cell r="D1564" t="str">
            <v>SEASONING</v>
          </cell>
          <cell r="E1564" t="str">
            <v>Seasoning</v>
          </cell>
        </row>
        <row r="1565">
          <cell r="B1565" t="str">
            <v>Smoke Seasoning</v>
          </cell>
          <cell r="C1565" t="str">
            <v>RM</v>
          </cell>
          <cell r="D1565" t="str">
            <v>SEASONING</v>
          </cell>
          <cell r="E1565" t="str">
            <v>Seasoning</v>
          </cell>
        </row>
        <row r="1566">
          <cell r="B1566" t="str">
            <v>Smokey BBQ seasoning</v>
          </cell>
          <cell r="C1566" t="str">
            <v>RM</v>
          </cell>
          <cell r="D1566" t="str">
            <v>SEASONING</v>
          </cell>
          <cell r="E1566" t="str">
            <v>Seasoning</v>
          </cell>
        </row>
        <row r="1567">
          <cell r="B1567" t="str">
            <v>Sour Cream And Seasoning</v>
          </cell>
          <cell r="C1567" t="str">
            <v>RM</v>
          </cell>
          <cell r="D1567" t="str">
            <v>SEASONING</v>
          </cell>
          <cell r="E1567" t="str">
            <v>Seasoning</v>
          </cell>
        </row>
        <row r="1568">
          <cell r="B1568" t="str">
            <v>Spanish Tomato Seasoning</v>
          </cell>
          <cell r="C1568" t="str">
            <v>RM</v>
          </cell>
          <cell r="D1568" t="str">
            <v>SEASONING</v>
          </cell>
          <cell r="E1568" t="str">
            <v>Seasoning</v>
          </cell>
        </row>
        <row r="1569">
          <cell r="B1569" t="str">
            <v>Strawberry Flavour 260323</v>
          </cell>
          <cell r="C1569" t="str">
            <v>RM</v>
          </cell>
          <cell r="D1569" t="str">
            <v>SEASONING</v>
          </cell>
          <cell r="E1569" t="str">
            <v>Seasoning</v>
          </cell>
        </row>
        <row r="1570">
          <cell r="B1570" t="str">
            <v>SWEET PAPRIKA POWDER</v>
          </cell>
          <cell r="C1570" t="str">
            <v>RM</v>
          </cell>
          <cell r="D1570" t="str">
            <v>SEASONING</v>
          </cell>
          <cell r="E1570" t="str">
            <v>Seasoning</v>
          </cell>
        </row>
        <row r="1571">
          <cell r="B1571" t="str">
            <v>SWEET THAI CHILLI SEASONING</v>
          </cell>
          <cell r="C1571" t="str">
            <v>RM</v>
          </cell>
          <cell r="D1571" t="str">
            <v>SEASONING</v>
          </cell>
          <cell r="E1571" t="str">
            <v>Seasoning</v>
          </cell>
        </row>
        <row r="1572">
          <cell r="B1572" t="str">
            <v>Tandoori Masala</v>
          </cell>
          <cell r="C1572" t="str">
            <v>RM</v>
          </cell>
          <cell r="D1572" t="str">
            <v>SEASONING</v>
          </cell>
          <cell r="E1572" t="str">
            <v>Seasoning</v>
          </cell>
        </row>
        <row r="1573">
          <cell r="B1573" t="str">
            <v>Tandoori Seasoning</v>
          </cell>
          <cell r="C1573" t="str">
            <v>RM</v>
          </cell>
          <cell r="D1573" t="str">
            <v>SEASONING</v>
          </cell>
          <cell r="E1573" t="str">
            <v>Seasoning</v>
          </cell>
        </row>
        <row r="1574">
          <cell r="B1574" t="str">
            <v>TANGY TOMATO SEASONING</v>
          </cell>
          <cell r="C1574" t="str">
            <v>RM</v>
          </cell>
          <cell r="D1574" t="str">
            <v>SEASONING</v>
          </cell>
          <cell r="E1574" t="str">
            <v>Seasoning</v>
          </cell>
        </row>
        <row r="1575">
          <cell r="B1575" t="str">
            <v>URBAN PLATTER ARABIC GUM POWDER</v>
          </cell>
          <cell r="C1575" t="str">
            <v>RM</v>
          </cell>
          <cell r="D1575" t="str">
            <v>SEASONING</v>
          </cell>
          <cell r="E1575" t="str">
            <v>Seasoning</v>
          </cell>
        </row>
        <row r="1576">
          <cell r="B1576" t="str">
            <v>Urban Platter Chipotle Seasoning</v>
          </cell>
          <cell r="C1576" t="str">
            <v>RM</v>
          </cell>
          <cell r="D1576" t="str">
            <v>SEASONING</v>
          </cell>
          <cell r="E1576" t="str">
            <v>Seasoning</v>
          </cell>
        </row>
        <row r="1577">
          <cell r="B1577" t="str">
            <v>Urban Platter Lemon Pepper Seasoning</v>
          </cell>
          <cell r="C1577" t="str">
            <v>RM</v>
          </cell>
          <cell r="D1577" t="str">
            <v>SEASONING</v>
          </cell>
          <cell r="E1577" t="str">
            <v>Seasoning</v>
          </cell>
        </row>
        <row r="1578">
          <cell r="B1578" t="str">
            <v>Urban Platter Soya Chaap Seasoning</v>
          </cell>
          <cell r="C1578" t="str">
            <v>RM</v>
          </cell>
          <cell r="D1578" t="str">
            <v>SEASONING</v>
          </cell>
          <cell r="E1578" t="str">
            <v>Seasoning</v>
          </cell>
        </row>
        <row r="1579">
          <cell r="B1579" t="str">
            <v>Vanila Flavour 19112020</v>
          </cell>
          <cell r="C1579" t="str">
            <v>RM</v>
          </cell>
          <cell r="D1579" t="str">
            <v>SEASONING</v>
          </cell>
          <cell r="E1579" t="str">
            <v>Seasoning</v>
          </cell>
        </row>
        <row r="1580">
          <cell r="B1580" t="str">
            <v>Vanilla Flavour</v>
          </cell>
          <cell r="C1580" t="str">
            <v>RM</v>
          </cell>
          <cell r="D1580" t="str">
            <v>SEASONING</v>
          </cell>
          <cell r="E1580" t="str">
            <v>Seasoning</v>
          </cell>
        </row>
        <row r="1581">
          <cell r="B1581" t="str">
            <v>VANILLA LIQUID EXTRACT</v>
          </cell>
          <cell r="C1581" t="str">
            <v>RM</v>
          </cell>
          <cell r="D1581" t="str">
            <v>SEASONING</v>
          </cell>
          <cell r="E1581" t="str">
            <v>Seasoning</v>
          </cell>
        </row>
        <row r="1582">
          <cell r="B1582" t="str">
            <v>Wasabi Seasoning  AB343</v>
          </cell>
          <cell r="C1582" t="str">
            <v>RM</v>
          </cell>
          <cell r="D1582" t="str">
            <v>SEASONING</v>
          </cell>
          <cell r="E1582" t="str">
            <v>Seasoning</v>
          </cell>
        </row>
        <row r="1583">
          <cell r="B1583" t="str">
            <v>Whey Protein Concentrate 80% Regular</v>
          </cell>
          <cell r="C1583" t="str">
            <v>RM</v>
          </cell>
          <cell r="D1583" t="str">
            <v>SEASONING</v>
          </cell>
          <cell r="E1583" t="str">
            <v>Seasoning</v>
          </cell>
        </row>
        <row r="1584">
          <cell r="B1584" t="str">
            <v>White Pepper (White Miri)</v>
          </cell>
          <cell r="C1584" t="str">
            <v>RM</v>
          </cell>
          <cell r="D1584" t="str">
            <v>SEASONING</v>
          </cell>
          <cell r="E1584" t="str">
            <v>Seasoning</v>
          </cell>
        </row>
        <row r="1585">
          <cell r="B1585" t="str">
            <v>Black Chia Seeds</v>
          </cell>
          <cell r="C1585" t="str">
            <v>RM</v>
          </cell>
          <cell r="D1585" t="str">
            <v>SEEDS</v>
          </cell>
          <cell r="E1585" t="str">
            <v>Chia</v>
          </cell>
        </row>
        <row r="1586">
          <cell r="B1586" t="str">
            <v>Cafe Galleries Chia seeds 250g</v>
          </cell>
          <cell r="C1586" t="str">
            <v>FG</v>
          </cell>
          <cell r="D1586" t="str">
            <v>SEEDS</v>
          </cell>
          <cell r="E1586" t="str">
            <v>Chia</v>
          </cell>
        </row>
        <row r="1587">
          <cell r="B1587" t="str">
            <v>Carnival Classic Chia Seeds 1 Kg</v>
          </cell>
          <cell r="C1587" t="str">
            <v>FG</v>
          </cell>
          <cell r="D1587" t="str">
            <v>SEEDS</v>
          </cell>
          <cell r="E1587" t="str">
            <v>Chia</v>
          </cell>
        </row>
        <row r="1588">
          <cell r="B1588" t="str">
            <v>Carnival Classic Chia Seeds 100gm</v>
          </cell>
          <cell r="C1588" t="str">
            <v>FG</v>
          </cell>
          <cell r="D1588" t="str">
            <v>SEEDS</v>
          </cell>
          <cell r="E1588" t="str">
            <v>Chia</v>
          </cell>
        </row>
        <row r="1589">
          <cell r="B1589" t="str">
            <v>Chia Seeds 100G (B07GQZCP91)</v>
          </cell>
          <cell r="C1589" t="str">
            <v>FG</v>
          </cell>
          <cell r="D1589" t="str">
            <v>SEEDS</v>
          </cell>
          <cell r="E1589" t="str">
            <v>Chia</v>
          </cell>
        </row>
        <row r="1590">
          <cell r="B1590" t="str">
            <v>Chia Seeds 200G (B07GQQLZPD)</v>
          </cell>
          <cell r="C1590" t="str">
            <v>FG</v>
          </cell>
          <cell r="D1590" t="str">
            <v>SEEDS</v>
          </cell>
          <cell r="E1590" t="str">
            <v>Chia</v>
          </cell>
        </row>
        <row r="1591">
          <cell r="B1591" t="str">
            <v>Chia Seeds 500G (B07GQZSJFH)</v>
          </cell>
          <cell r="C1591" t="str">
            <v>FG</v>
          </cell>
          <cell r="D1591" t="str">
            <v>SEEDS</v>
          </cell>
          <cell r="E1591" t="str">
            <v>Chia</v>
          </cell>
        </row>
        <row r="1592">
          <cell r="B1592" t="str">
            <v>GOOD LIFE CHIA SEED 100G</v>
          </cell>
          <cell r="C1592" t="str">
            <v>FG</v>
          </cell>
          <cell r="D1592" t="str">
            <v>SEEDS</v>
          </cell>
          <cell r="E1592" t="str">
            <v>Chia</v>
          </cell>
        </row>
        <row r="1593">
          <cell r="B1593" t="str">
            <v>Healthy Choice Chia Seeds 100 g</v>
          </cell>
          <cell r="C1593" t="str">
            <v>FG</v>
          </cell>
          <cell r="D1593" t="str">
            <v>SEEDS</v>
          </cell>
          <cell r="E1593" t="str">
            <v>Chia</v>
          </cell>
        </row>
        <row r="1594">
          <cell r="B1594" t="str">
            <v>Healthy Choice Chia Seeds 200 g</v>
          </cell>
          <cell r="C1594" t="str">
            <v>FG</v>
          </cell>
          <cell r="D1594" t="str">
            <v>SEEDS</v>
          </cell>
          <cell r="E1594" t="str">
            <v>Chia</v>
          </cell>
        </row>
        <row r="1595">
          <cell r="B1595" t="str">
            <v>NB CHIA SEED LOOSE</v>
          </cell>
          <cell r="C1595" t="str">
            <v>FG</v>
          </cell>
          <cell r="D1595" t="str">
            <v>SEEDS</v>
          </cell>
          <cell r="E1595" t="str">
            <v>Chia</v>
          </cell>
        </row>
        <row r="1596">
          <cell r="B1596" t="str">
            <v>SnackAmor Roasted Chia Seeds 200g</v>
          </cell>
          <cell r="C1596" t="str">
            <v>FG</v>
          </cell>
          <cell r="D1596" t="str">
            <v>SEEDS</v>
          </cell>
          <cell r="E1596" t="str">
            <v>Chia</v>
          </cell>
        </row>
        <row r="1597">
          <cell r="B1597" t="str">
            <v>Vedaka Chia Seeds 1kg ( B0D9P16WZQ )</v>
          </cell>
          <cell r="C1597" t="str">
            <v>FG</v>
          </cell>
          <cell r="D1597" t="str">
            <v>SEEDS</v>
          </cell>
          <cell r="E1597" t="str">
            <v>Chia</v>
          </cell>
        </row>
        <row r="1598">
          <cell r="B1598" t="str">
            <v>Edamame Beans</v>
          </cell>
          <cell r="C1598" t="str">
            <v>RM</v>
          </cell>
          <cell r="D1598" t="str">
            <v>SEEDS</v>
          </cell>
          <cell r="E1598" t="str">
            <v>Edamame</v>
          </cell>
        </row>
        <row r="1599">
          <cell r="B1599" t="str">
            <v>Flax Seeds (Alsi)</v>
          </cell>
          <cell r="C1599" t="str">
            <v>RM</v>
          </cell>
          <cell r="D1599" t="str">
            <v>SEEDS</v>
          </cell>
          <cell r="E1599" t="str">
            <v>FLax</v>
          </cell>
        </row>
        <row r="1600">
          <cell r="B1600" t="str">
            <v>Cafe Galleries Flax seeds 250g</v>
          </cell>
          <cell r="C1600" t="str">
            <v>FG</v>
          </cell>
          <cell r="D1600" t="str">
            <v>SEEDS</v>
          </cell>
          <cell r="E1600" t="str">
            <v>FLax</v>
          </cell>
        </row>
        <row r="1601">
          <cell r="B1601" t="str">
            <v>Carnival Flax Seeds 100G</v>
          </cell>
          <cell r="C1601" t="str">
            <v>FG</v>
          </cell>
          <cell r="D1601" t="str">
            <v>SEEDS</v>
          </cell>
          <cell r="E1601" t="str">
            <v>FLax</v>
          </cell>
        </row>
        <row r="1602">
          <cell r="B1602" t="str">
            <v>Fabsta Rstd Flax Seeds 100g</v>
          </cell>
          <cell r="C1602" t="str">
            <v>FG</v>
          </cell>
          <cell r="D1602" t="str">
            <v>SEEDS</v>
          </cell>
          <cell r="E1602" t="str">
            <v>FLax</v>
          </cell>
        </row>
        <row r="1603">
          <cell r="B1603" t="str">
            <v>Flaxseeds 200G (B07GR346G4)</v>
          </cell>
          <cell r="C1603" t="str">
            <v>FG</v>
          </cell>
          <cell r="D1603" t="str">
            <v>SEEDS</v>
          </cell>
          <cell r="E1603" t="str">
            <v>FLax</v>
          </cell>
        </row>
        <row r="1604">
          <cell r="B1604" t="str">
            <v>Flaxseeds 500G (B07GQZ7ZVT)</v>
          </cell>
          <cell r="C1604" t="str">
            <v>FG</v>
          </cell>
          <cell r="D1604" t="str">
            <v>SEEDS</v>
          </cell>
          <cell r="E1604" t="str">
            <v>FLax</v>
          </cell>
        </row>
        <row r="1605">
          <cell r="B1605" t="str">
            <v>GOOD LIFE FLAX SEED 100G</v>
          </cell>
          <cell r="C1605" t="str">
            <v>FG</v>
          </cell>
          <cell r="D1605" t="str">
            <v>SEEDS</v>
          </cell>
          <cell r="E1605" t="str">
            <v>FLax</v>
          </cell>
        </row>
        <row r="1606">
          <cell r="B1606" t="str">
            <v>NB FLAX SEED LOOSE</v>
          </cell>
          <cell r="C1606" t="str">
            <v>FG</v>
          </cell>
          <cell r="D1606" t="str">
            <v>SEEDS</v>
          </cell>
          <cell r="E1606" t="str">
            <v>FLax</v>
          </cell>
        </row>
        <row r="1607">
          <cell r="B1607" t="str">
            <v>Roasted Flax Seeds</v>
          </cell>
          <cell r="C1607" t="str">
            <v>FG</v>
          </cell>
          <cell r="D1607" t="str">
            <v>SEEDS</v>
          </cell>
          <cell r="E1607" t="str">
            <v>Flax</v>
          </cell>
        </row>
        <row r="1608">
          <cell r="B1608" t="str">
            <v>Roasted Salted Flax Seeds</v>
          </cell>
          <cell r="C1608" t="str">
            <v>FG</v>
          </cell>
          <cell r="D1608" t="str">
            <v>SEEDS</v>
          </cell>
          <cell r="E1608" t="str">
            <v>FLax</v>
          </cell>
        </row>
        <row r="1609">
          <cell r="B1609" t="str">
            <v>Vedaka Raw Flaxseed 1kg (B0D9NZS3JT)</v>
          </cell>
          <cell r="C1609" t="str">
            <v>FG</v>
          </cell>
          <cell r="D1609" t="str">
            <v>SEEDS</v>
          </cell>
          <cell r="E1609" t="str">
            <v>FLax</v>
          </cell>
        </row>
        <row r="1610">
          <cell r="B1610" t="str">
            <v>Hemp Seeds</v>
          </cell>
          <cell r="C1610" t="str">
            <v>RM</v>
          </cell>
          <cell r="D1610" t="str">
            <v>SEEDS</v>
          </cell>
          <cell r="E1610" t="str">
            <v>Hemp</v>
          </cell>
        </row>
        <row r="1611">
          <cell r="B1611" t="str">
            <v>Kalunji Seeds</v>
          </cell>
          <cell r="C1611" t="str">
            <v>RM</v>
          </cell>
          <cell r="D1611" t="str">
            <v>SEEDS</v>
          </cell>
          <cell r="E1611" t="str">
            <v>Kalunji</v>
          </cell>
        </row>
        <row r="1612">
          <cell r="B1612" t="str">
            <v>Kakdi Magaj</v>
          </cell>
          <cell r="C1612" t="str">
            <v>RM</v>
          </cell>
          <cell r="D1612" t="str">
            <v>SEEDS</v>
          </cell>
          <cell r="E1612" t="str">
            <v>Melon</v>
          </cell>
        </row>
        <row r="1613">
          <cell r="B1613" t="str">
            <v>Khira Magaj - Cucumbar Seeds</v>
          </cell>
          <cell r="C1613" t="str">
            <v>RM</v>
          </cell>
          <cell r="D1613" t="str">
            <v>SEEDS</v>
          </cell>
          <cell r="E1613" t="str">
            <v>Melon</v>
          </cell>
        </row>
        <row r="1614">
          <cell r="B1614" t="str">
            <v>Muskmelon Seeds</v>
          </cell>
          <cell r="C1614" t="str">
            <v>RM</v>
          </cell>
          <cell r="D1614" t="str">
            <v>SEEDS</v>
          </cell>
          <cell r="E1614" t="str">
            <v>Melon</v>
          </cell>
        </row>
        <row r="1615">
          <cell r="B1615" t="str">
            <v>Fabsta Rstd Melon Seeds 100g</v>
          </cell>
          <cell r="C1615" t="str">
            <v>FG</v>
          </cell>
          <cell r="D1615" t="str">
            <v>SEEDS</v>
          </cell>
          <cell r="E1615" t="str">
            <v>Melon</v>
          </cell>
        </row>
        <row r="1616">
          <cell r="B1616" t="str">
            <v>OFF-GRADE SEEDS</v>
          </cell>
          <cell r="C1616" t="str">
            <v>RM</v>
          </cell>
          <cell r="D1616" t="str">
            <v>SEEDS</v>
          </cell>
          <cell r="E1616" t="str">
            <v>OFF-GRADE SEEDS</v>
          </cell>
        </row>
        <row r="1617">
          <cell r="B1617" t="str">
            <v>Quinoa Seeds</v>
          </cell>
          <cell r="C1617" t="str">
            <v>RM</v>
          </cell>
          <cell r="D1617" t="str">
            <v>SEEDS</v>
          </cell>
          <cell r="E1617" t="str">
            <v>Other Seeds</v>
          </cell>
        </row>
        <row r="1618">
          <cell r="B1618" t="str">
            <v>Roasted Black Sesame (Kale Til) Seeds</v>
          </cell>
          <cell r="C1618" t="str">
            <v>FG</v>
          </cell>
          <cell r="D1618" t="str">
            <v>SEEDS</v>
          </cell>
          <cell r="E1618" t="str">
            <v>Other Seeds</v>
          </cell>
        </row>
        <row r="1619">
          <cell r="B1619" t="str">
            <v>Roasted Poppy Seed</v>
          </cell>
          <cell r="C1619" t="str">
            <v>FG</v>
          </cell>
          <cell r="D1619" t="str">
            <v>SEEDS</v>
          </cell>
          <cell r="E1619" t="str">
            <v>Other Seeds</v>
          </cell>
        </row>
        <row r="1620">
          <cell r="B1620" t="str">
            <v>Roasted White Sesame (Safed Til) Seeds</v>
          </cell>
          <cell r="C1620" t="str">
            <v>FG</v>
          </cell>
          <cell r="D1620" t="str">
            <v>SEEDS</v>
          </cell>
          <cell r="E1620" t="str">
            <v>Other Seeds</v>
          </cell>
        </row>
        <row r="1621">
          <cell r="B1621" t="str">
            <v>Pumpkin Seed ( 5% )</v>
          </cell>
          <cell r="C1621" t="str">
            <v>RM</v>
          </cell>
          <cell r="D1621" t="str">
            <v>SEEDS</v>
          </cell>
          <cell r="E1621" t="str">
            <v>Pumpkin</v>
          </cell>
        </row>
        <row r="1622">
          <cell r="B1622" t="str">
            <v>Pumpkin Seed 12%</v>
          </cell>
          <cell r="C1622" t="str">
            <v>RM</v>
          </cell>
          <cell r="D1622" t="str">
            <v>SEEDS</v>
          </cell>
          <cell r="E1622" t="str">
            <v>Pumpkin</v>
          </cell>
        </row>
        <row r="1623">
          <cell r="B1623" t="str">
            <v>Cafe Galleries Pumpkin Seeds 250g</v>
          </cell>
          <cell r="C1623" t="str">
            <v>FG</v>
          </cell>
          <cell r="D1623" t="str">
            <v>SEEDS</v>
          </cell>
          <cell r="E1623" t="str">
            <v>Pumpkin</v>
          </cell>
        </row>
        <row r="1624">
          <cell r="B1624" t="str">
            <v>Cafe Galleries Salted Pumpkin Seeds 250g</v>
          </cell>
          <cell r="C1624" t="str">
            <v>FG</v>
          </cell>
          <cell r="D1624" t="str">
            <v>SEEDS</v>
          </cell>
          <cell r="E1624" t="str">
            <v>Pumpkin</v>
          </cell>
        </row>
        <row r="1625">
          <cell r="B1625" t="str">
            <v>Carnival Classic Pumpkin Seeds 100g</v>
          </cell>
          <cell r="C1625" t="str">
            <v>FG</v>
          </cell>
          <cell r="D1625" t="str">
            <v>SEEDS</v>
          </cell>
          <cell r="E1625" t="str">
            <v>Pumpkin</v>
          </cell>
        </row>
        <row r="1626">
          <cell r="B1626" t="str">
            <v>Fabsta Rstd Pumpkin Seeds 100g</v>
          </cell>
          <cell r="C1626" t="str">
            <v>FG</v>
          </cell>
          <cell r="D1626" t="str">
            <v>SEEDS</v>
          </cell>
          <cell r="E1626" t="str">
            <v>Pumpkin</v>
          </cell>
        </row>
        <row r="1627">
          <cell r="B1627" t="str">
            <v>GOOD LIFE PUMPKIN SEED 100G</v>
          </cell>
          <cell r="C1627" t="str">
            <v>FG</v>
          </cell>
          <cell r="D1627" t="str">
            <v>SEEDS</v>
          </cell>
          <cell r="E1627" t="str">
            <v>Pumpkin</v>
          </cell>
        </row>
        <row r="1628">
          <cell r="B1628" t="str">
            <v>Healthy Choice Roasted Pumpkin Seeds 100 g</v>
          </cell>
          <cell r="C1628" t="str">
            <v>FG</v>
          </cell>
          <cell r="D1628" t="str">
            <v>SEEDS</v>
          </cell>
          <cell r="E1628" t="str">
            <v>Pumpkin</v>
          </cell>
        </row>
        <row r="1629">
          <cell r="B1629" t="str">
            <v>Healthy Choice Roasted Pumpkin Seeds 200 g</v>
          </cell>
          <cell r="C1629" t="str">
            <v>FG</v>
          </cell>
          <cell r="D1629" t="str">
            <v>SEEDS</v>
          </cell>
          <cell r="E1629" t="str">
            <v>Pumpkin</v>
          </cell>
        </row>
        <row r="1630">
          <cell r="B1630" t="str">
            <v>NB PUMPKIN SEED LOOSE</v>
          </cell>
          <cell r="C1630" t="str">
            <v>FG</v>
          </cell>
          <cell r="D1630" t="str">
            <v>SEEDS</v>
          </cell>
          <cell r="E1630" t="str">
            <v>Pumpkin</v>
          </cell>
        </row>
        <row r="1631">
          <cell r="B1631" t="str">
            <v>Pumpkin Seed 200g (B07GQW1HJC)</v>
          </cell>
          <cell r="C1631" t="str">
            <v>FG</v>
          </cell>
          <cell r="D1631" t="str">
            <v>SEEDS</v>
          </cell>
          <cell r="E1631" t="str">
            <v>Pumpkin</v>
          </cell>
        </row>
        <row r="1632">
          <cell r="B1632" t="str">
            <v>Pumpkin Seeds 100g (B07GQRWYNP)</v>
          </cell>
          <cell r="C1632" t="str">
            <v>FG</v>
          </cell>
          <cell r="D1632" t="str">
            <v>SEEDS</v>
          </cell>
          <cell r="E1632" t="str">
            <v>Pumpkin</v>
          </cell>
        </row>
        <row r="1633">
          <cell r="B1633" t="str">
            <v>Pumpkin Seeds 500G (B07GQWST7Y) FBA</v>
          </cell>
          <cell r="C1633" t="str">
            <v>FG</v>
          </cell>
          <cell r="D1633" t="str">
            <v>SEEDS</v>
          </cell>
          <cell r="E1633" t="str">
            <v>Pumpkin</v>
          </cell>
        </row>
        <row r="1634">
          <cell r="B1634" t="str">
            <v>Pumpkin Seeds Roasted</v>
          </cell>
          <cell r="C1634" t="str">
            <v>FG</v>
          </cell>
          <cell r="D1634" t="str">
            <v>SEEDS</v>
          </cell>
          <cell r="E1634" t="str">
            <v>Pumpkin</v>
          </cell>
        </row>
        <row r="1635">
          <cell r="B1635" t="str">
            <v>Pumpkin Seeds Roasted and Salted</v>
          </cell>
          <cell r="C1635" t="str">
            <v>FG</v>
          </cell>
          <cell r="D1635" t="str">
            <v>SEEDS</v>
          </cell>
          <cell r="E1635" t="str">
            <v>Pumpkin</v>
          </cell>
        </row>
        <row r="1636">
          <cell r="B1636" t="str">
            <v>SnackAmor Roasted Pumpkin Seeds 200g</v>
          </cell>
          <cell r="C1636" t="str">
            <v>FG</v>
          </cell>
          <cell r="D1636" t="str">
            <v>SEEDS</v>
          </cell>
          <cell r="E1636" t="str">
            <v>Pumpkin</v>
          </cell>
        </row>
        <row r="1637">
          <cell r="B1637" t="str">
            <v>Vedaka Premium Raw Pumpkin Seeds (B0D9NZ6BHJ)</v>
          </cell>
          <cell r="C1637" t="str">
            <v>FG</v>
          </cell>
          <cell r="D1637" t="str">
            <v>SEEDS</v>
          </cell>
          <cell r="E1637" t="str">
            <v>Pumpkin</v>
          </cell>
        </row>
        <row r="1638">
          <cell r="B1638" t="str">
            <v>Basil Seeds (Sabja)</v>
          </cell>
          <cell r="C1638" t="str">
            <v>RM</v>
          </cell>
          <cell r="D1638" t="str">
            <v>SEEDS</v>
          </cell>
          <cell r="E1638" t="str">
            <v>Sabja</v>
          </cell>
        </row>
        <row r="1639">
          <cell r="B1639" t="str">
            <v>Black Sesame seeds - Kali Til</v>
          </cell>
          <cell r="C1639" t="str">
            <v>RM</v>
          </cell>
          <cell r="D1639" t="str">
            <v>SEEDS</v>
          </cell>
          <cell r="E1639" t="str">
            <v>Sesame</v>
          </cell>
        </row>
        <row r="1640">
          <cell r="B1640" t="str">
            <v>Sunflower Seeds</v>
          </cell>
          <cell r="C1640" t="str">
            <v>RM</v>
          </cell>
          <cell r="D1640" t="str">
            <v>SEEDS</v>
          </cell>
          <cell r="E1640" t="str">
            <v>Sunflower</v>
          </cell>
        </row>
        <row r="1641">
          <cell r="B1641" t="str">
            <v>Sunflower Seeds Roasted and Salted</v>
          </cell>
          <cell r="C1641" t="str">
            <v>RM</v>
          </cell>
          <cell r="D1641" t="str">
            <v>SEEDS</v>
          </cell>
          <cell r="E1641" t="str">
            <v>Sunflower</v>
          </cell>
        </row>
        <row r="1642">
          <cell r="B1642" t="str">
            <v>Amazon Brand - Vedaka Raw Sunflower Seeds 1 Kg B0D9P1N25J</v>
          </cell>
          <cell r="C1642" t="str">
            <v>FG</v>
          </cell>
          <cell r="D1642" t="str">
            <v>SEEDS</v>
          </cell>
          <cell r="E1642" t="str">
            <v>Sunflower</v>
          </cell>
        </row>
        <row r="1643">
          <cell r="B1643" t="str">
            <v>Cafe Galleries Sunflower Seeds - 250gm</v>
          </cell>
          <cell r="C1643" t="str">
            <v>FG</v>
          </cell>
          <cell r="D1643" t="str">
            <v>SEEDS</v>
          </cell>
          <cell r="E1643" t="str">
            <v>Sunflower</v>
          </cell>
        </row>
        <row r="1644">
          <cell r="B1644" t="str">
            <v>Carnival Classic Sunflower Seeds 100G</v>
          </cell>
          <cell r="C1644" t="str">
            <v>FG</v>
          </cell>
          <cell r="D1644" t="str">
            <v>SEEDS</v>
          </cell>
          <cell r="E1644" t="str">
            <v>Sunflower</v>
          </cell>
        </row>
        <row r="1645">
          <cell r="B1645" t="str">
            <v>Fabsta Rstd Sunflower Seeds 100g</v>
          </cell>
          <cell r="C1645" t="str">
            <v>FG</v>
          </cell>
          <cell r="D1645" t="str">
            <v>SEEDS</v>
          </cell>
          <cell r="E1645" t="str">
            <v>Sunflower</v>
          </cell>
        </row>
        <row r="1646">
          <cell r="B1646" t="str">
            <v>GOOD LIFE SUNFLOWER SEED 100G</v>
          </cell>
          <cell r="C1646" t="str">
            <v>FG</v>
          </cell>
          <cell r="D1646" t="str">
            <v>SEEDS</v>
          </cell>
          <cell r="E1646" t="str">
            <v>Sunflower</v>
          </cell>
        </row>
        <row r="1647">
          <cell r="B1647" t="str">
            <v>Healthy Choice Roasted Sunflower Seeds 100 g</v>
          </cell>
          <cell r="C1647" t="str">
            <v>FG</v>
          </cell>
          <cell r="D1647" t="str">
            <v>SEEDS</v>
          </cell>
          <cell r="E1647" t="str">
            <v>Sunflower</v>
          </cell>
        </row>
        <row r="1648">
          <cell r="B1648" t="str">
            <v>Healthy Choice Roasted Sunflower Seeds 200 g</v>
          </cell>
          <cell r="C1648" t="str">
            <v>FG</v>
          </cell>
          <cell r="D1648" t="str">
            <v>SEEDS</v>
          </cell>
          <cell r="E1648" t="str">
            <v>Sunflower</v>
          </cell>
        </row>
        <row r="1649">
          <cell r="B1649" t="str">
            <v>NB SUNFLLOWER SEED LOOSE</v>
          </cell>
          <cell r="C1649" t="str">
            <v>FG</v>
          </cell>
          <cell r="D1649" t="str">
            <v>SEEDS</v>
          </cell>
          <cell r="E1649" t="str">
            <v>Sunflower</v>
          </cell>
        </row>
        <row r="1650">
          <cell r="B1650" t="str">
            <v>Sunflower Seed 100g (B07GR6G24J) FBA</v>
          </cell>
          <cell r="C1650" t="str">
            <v>FG</v>
          </cell>
          <cell r="D1650" t="str">
            <v>SEEDS</v>
          </cell>
          <cell r="E1650" t="str">
            <v>Sunflower</v>
          </cell>
        </row>
        <row r="1651">
          <cell r="B1651" t="str">
            <v>Sunflower Seeds 200g (B07GQNLN8S) FBA</v>
          </cell>
          <cell r="C1651" t="str">
            <v>FG</v>
          </cell>
          <cell r="D1651" t="str">
            <v>SEEDS</v>
          </cell>
          <cell r="E1651" t="str">
            <v>Sunflower</v>
          </cell>
        </row>
        <row r="1652">
          <cell r="B1652" t="str">
            <v>Sunflower Seeds Roasted</v>
          </cell>
          <cell r="C1652" t="str">
            <v>FG</v>
          </cell>
          <cell r="D1652" t="str">
            <v>SEEDS</v>
          </cell>
          <cell r="E1652" t="str">
            <v>Sunflower</v>
          </cell>
        </row>
        <row r="1653">
          <cell r="B1653" t="str">
            <v>Vedaka Premium Sunflower Seeds 500g (B07GR2G67L)</v>
          </cell>
          <cell r="C1653" t="str">
            <v>FG</v>
          </cell>
          <cell r="D1653" t="str">
            <v>SEEDS</v>
          </cell>
          <cell r="E1653" t="str">
            <v>Sunflower</v>
          </cell>
        </row>
        <row r="1654">
          <cell r="B1654" t="str">
            <v>Water Melon Seed</v>
          </cell>
          <cell r="C1654" t="str">
            <v>RM</v>
          </cell>
          <cell r="D1654" t="str">
            <v>SEEDS</v>
          </cell>
          <cell r="E1654" t="str">
            <v>Watermelon</v>
          </cell>
        </row>
        <row r="1655">
          <cell r="B1655" t="str">
            <v>Watermelon Seeds Roasted</v>
          </cell>
          <cell r="C1655" t="str">
            <v>RM</v>
          </cell>
          <cell r="D1655" t="str">
            <v>SEEDS</v>
          </cell>
          <cell r="E1655" t="str">
            <v>Watermelon</v>
          </cell>
        </row>
        <row r="1656">
          <cell r="B1656" t="str">
            <v>Healthy Choice Roasted Watermelon Seeds 100 g</v>
          </cell>
          <cell r="C1656" t="str">
            <v>FG</v>
          </cell>
          <cell r="D1656" t="str">
            <v>SEEDS</v>
          </cell>
          <cell r="E1656" t="str">
            <v>Watermelon</v>
          </cell>
        </row>
        <row r="1657">
          <cell r="B1657" t="str">
            <v>Healthy Choice Roasted Watermelon Seeds 200 g</v>
          </cell>
          <cell r="C1657" t="str">
            <v>FG</v>
          </cell>
          <cell r="D1657" t="str">
            <v>SEEDS</v>
          </cell>
          <cell r="E1657" t="str">
            <v>Watermelon</v>
          </cell>
        </row>
        <row r="1658">
          <cell r="B1658" t="str">
            <v>NB WATERMELON SEED LOOSE</v>
          </cell>
          <cell r="C1658" t="str">
            <v>FG</v>
          </cell>
          <cell r="D1658" t="str">
            <v>SEEDS</v>
          </cell>
          <cell r="E1658" t="str">
            <v>Watermelon</v>
          </cell>
        </row>
        <row r="1659">
          <cell r="B1659" t="str">
            <v>Cardamom Powder</v>
          </cell>
          <cell r="C1659" t="str">
            <v>RM</v>
          </cell>
          <cell r="D1659" t="str">
            <v>SPICES</v>
          </cell>
          <cell r="E1659" t="str">
            <v>Ground Spices</v>
          </cell>
        </row>
        <row r="1660">
          <cell r="B1660" t="str">
            <v>Jeera Powder</v>
          </cell>
          <cell r="C1660" t="str">
            <v>RM</v>
          </cell>
          <cell r="D1660" t="str">
            <v>SPICES</v>
          </cell>
          <cell r="E1660" t="str">
            <v>Ground Spices</v>
          </cell>
        </row>
        <row r="1661">
          <cell r="B1661" t="str">
            <v>Turmeric (Haldi) Powder</v>
          </cell>
          <cell r="C1661" t="str">
            <v>RM</v>
          </cell>
          <cell r="D1661" t="str">
            <v>SPICES</v>
          </cell>
          <cell r="E1661" t="str">
            <v>Ground Spices</v>
          </cell>
        </row>
        <row r="1662">
          <cell r="B1662" t="str">
            <v>Black Cardamom</v>
          </cell>
          <cell r="C1662" t="str">
            <v>RM</v>
          </cell>
          <cell r="D1662" t="str">
            <v>SPICES</v>
          </cell>
          <cell r="E1662" t="str">
            <v>Whole Spices</v>
          </cell>
        </row>
        <row r="1663">
          <cell r="B1663" t="str">
            <v>Black Pepper (Kali Miri Whole)</v>
          </cell>
          <cell r="C1663" t="str">
            <v>RM</v>
          </cell>
          <cell r="D1663" t="str">
            <v>SPICES</v>
          </cell>
          <cell r="E1663" t="str">
            <v>Whole Spices</v>
          </cell>
        </row>
        <row r="1664">
          <cell r="B1664" t="str">
            <v>Boria Mirch - Round Red Chilli / Boriya Chilli</v>
          </cell>
          <cell r="C1664" t="str">
            <v>RM</v>
          </cell>
          <cell r="D1664" t="str">
            <v>SPICES</v>
          </cell>
          <cell r="E1664" t="str">
            <v>Whole Spices</v>
          </cell>
        </row>
        <row r="1665">
          <cell r="B1665" t="str">
            <v>Cinnamon Quills</v>
          </cell>
          <cell r="C1665" t="str">
            <v>RM</v>
          </cell>
          <cell r="D1665" t="str">
            <v>SPICES</v>
          </cell>
          <cell r="E1665" t="str">
            <v>Whole Spices</v>
          </cell>
        </row>
        <row r="1666">
          <cell r="B1666" t="str">
            <v>Fennel Seed / Saunf / Variyali</v>
          </cell>
          <cell r="C1666" t="str">
            <v>RM</v>
          </cell>
          <cell r="D1666" t="str">
            <v>SPICES</v>
          </cell>
          <cell r="E1666" t="str">
            <v>Whole Spices</v>
          </cell>
        </row>
        <row r="1667">
          <cell r="B1667" t="str">
            <v>Green Cardamom</v>
          </cell>
          <cell r="C1667" t="str">
            <v>RM</v>
          </cell>
          <cell r="D1667" t="str">
            <v>SPICES</v>
          </cell>
          <cell r="E1667" t="str">
            <v>Whole Spices</v>
          </cell>
        </row>
        <row r="1668">
          <cell r="B1668" t="str">
            <v>JEERA (CUMIN SEEDS)</v>
          </cell>
          <cell r="C1668" t="str">
            <v>RM</v>
          </cell>
          <cell r="D1668" t="str">
            <v>SPICES</v>
          </cell>
          <cell r="E1668" t="str">
            <v>Whole Spices</v>
          </cell>
        </row>
        <row r="1669">
          <cell r="B1669" t="str">
            <v>SHAHI JEERA (CUMIN SEEDS)</v>
          </cell>
          <cell r="C1669" t="str">
            <v>RM</v>
          </cell>
          <cell r="D1669" t="str">
            <v>SPICES</v>
          </cell>
          <cell r="E1669" t="str">
            <v>Whole Spices</v>
          </cell>
        </row>
        <row r="1670">
          <cell r="B1670" t="str">
            <v>Carnival Premium Kesar 0.5 Gms</v>
          </cell>
          <cell r="C1670" t="str">
            <v>FG</v>
          </cell>
          <cell r="D1670" t="str">
            <v>SPICES</v>
          </cell>
          <cell r="E1670" t="str">
            <v>Whole Spices</v>
          </cell>
        </row>
        <row r="1671">
          <cell r="B1671" t="str">
            <v>Kara Coconut Cream Powder (Instant) 15kg/1 - TPL</v>
          </cell>
          <cell r="C1671" t="str">
            <v>RM</v>
          </cell>
          <cell r="D1671" t="str">
            <v>TAJIR</v>
          </cell>
          <cell r="E1671" t="str">
            <v>Tajir - CCP</v>
          </cell>
        </row>
        <row r="1672">
          <cell r="B1672" t="str">
            <v>Kara Coconut Milk 17% 400ml</v>
          </cell>
          <cell r="C1672" t="str">
            <v>RM</v>
          </cell>
          <cell r="D1672" t="str">
            <v>TAJIR</v>
          </cell>
          <cell r="E1672" t="str">
            <v>Tajir - CCP</v>
          </cell>
        </row>
        <row r="1673">
          <cell r="B1673" t="str">
            <v>Habit Coconut Cream Powder 1 Kg (Bakery Division)</v>
          </cell>
          <cell r="C1673" t="str">
            <v>FG</v>
          </cell>
          <cell r="D1673" t="str">
            <v>TAJIR</v>
          </cell>
          <cell r="E1673" t="str">
            <v>Tajir - CCP</v>
          </cell>
        </row>
        <row r="1674">
          <cell r="B1674" t="str">
            <v>Habit Coconut Cream Powder 1 Kg (Instant)</v>
          </cell>
          <cell r="C1674" t="str">
            <v>FG</v>
          </cell>
          <cell r="D1674" t="str">
            <v>TAJIR</v>
          </cell>
          <cell r="E1674" t="str">
            <v>Tajir - CCP</v>
          </cell>
        </row>
        <row r="1675">
          <cell r="B1675" t="str">
            <v>Habit Coconut Cream Powder 1 Kg (Plain)</v>
          </cell>
          <cell r="C1675" t="str">
            <v>FG</v>
          </cell>
          <cell r="D1675" t="str">
            <v>TAJIR</v>
          </cell>
          <cell r="E1675" t="str">
            <v>Tajir - CCP</v>
          </cell>
        </row>
        <row r="1676">
          <cell r="B1676" t="str">
            <v>CHEESE SEASONING - TPL</v>
          </cell>
          <cell r="C1676" t="str">
            <v>RM</v>
          </cell>
          <cell r="D1676" t="str">
            <v>TAJIR</v>
          </cell>
          <cell r="E1676" t="str">
            <v>Tajir - Other</v>
          </cell>
        </row>
        <row r="1677">
          <cell r="B1677" t="str">
            <v>Kara Coconut Milk 17% 200ml New</v>
          </cell>
          <cell r="C1677" t="str">
            <v>RM</v>
          </cell>
          <cell r="D1677" t="str">
            <v>TAJIR</v>
          </cell>
          <cell r="E1677" t="str">
            <v>Tajir - Other</v>
          </cell>
        </row>
        <row r="1678">
          <cell r="B1678" t="str">
            <v>Kara Coconut Milk 17% 400ml New</v>
          </cell>
          <cell r="C1678" t="str">
            <v>RM</v>
          </cell>
          <cell r="D1678" t="str">
            <v>TAJIR</v>
          </cell>
          <cell r="E1678" t="str">
            <v>Tajir - Other</v>
          </cell>
        </row>
        <row r="1679">
          <cell r="B1679" t="str">
            <v>KERRY ARTIFICIAL CHEESE FLAVOR - TPL</v>
          </cell>
          <cell r="C1679" t="str">
            <v>RM</v>
          </cell>
          <cell r="D1679" t="str">
            <v>TAJIR</v>
          </cell>
          <cell r="E1679" t="str">
            <v>Tajir - Other</v>
          </cell>
        </row>
        <row r="1680">
          <cell r="B1680" t="str">
            <v>KERRY SAUCE MIX POWDER 25KG TPL</v>
          </cell>
          <cell r="C1680" t="str">
            <v>RM</v>
          </cell>
          <cell r="D1680" t="str">
            <v>TAJIR</v>
          </cell>
          <cell r="E1680" t="str">
            <v>Tajir - Other</v>
          </cell>
        </row>
        <row r="1681">
          <cell r="B1681" t="str">
            <v>KFI FLAVORCREST UNC NF - TPL</v>
          </cell>
          <cell r="C1681" t="str">
            <v>RM</v>
          </cell>
          <cell r="D1681" t="str">
            <v>TAJIR</v>
          </cell>
          <cell r="E1681" t="str">
            <v>Tajir - Other</v>
          </cell>
        </row>
        <row r="1682">
          <cell r="B1682" t="str">
            <v>Maize Starch</v>
          </cell>
          <cell r="C1682" t="str">
            <v>RM</v>
          </cell>
          <cell r="D1682" t="str">
            <v>TAJIR</v>
          </cell>
          <cell r="E1682" t="str">
            <v>Tajir - Other</v>
          </cell>
        </row>
        <row r="1683">
          <cell r="B1683" t="str">
            <v>Maltodextrin - TPL</v>
          </cell>
          <cell r="C1683" t="str">
            <v>RM</v>
          </cell>
          <cell r="D1683" t="str">
            <v>TAJIR</v>
          </cell>
          <cell r="E1683" t="str">
            <v>Tajir - Other</v>
          </cell>
        </row>
        <row r="1684">
          <cell r="B1684" t="str">
            <v>Natural Red Colour - TPL</v>
          </cell>
          <cell r="C1684" t="str">
            <v>RM</v>
          </cell>
          <cell r="D1684" t="str">
            <v>TAJIR</v>
          </cell>
          <cell r="E1684" t="str">
            <v>Tajir - Other</v>
          </cell>
        </row>
        <row r="1685">
          <cell r="B1685" t="str">
            <v>Sugar Powder -TPL</v>
          </cell>
          <cell r="C1685" t="str">
            <v>RM</v>
          </cell>
          <cell r="D1685" t="str">
            <v>TAJIR</v>
          </cell>
          <cell r="E1685" t="str">
            <v>Tajir - Other</v>
          </cell>
        </row>
        <row r="1686">
          <cell r="B1686" t="str">
            <v>Wheat Aata (Wheat Flour)- TPL</v>
          </cell>
          <cell r="C1686" t="str">
            <v>RM</v>
          </cell>
          <cell r="D1686" t="str">
            <v>TAJIR</v>
          </cell>
          <cell r="E1686" t="str">
            <v>Tajir - Other</v>
          </cell>
        </row>
        <row r="1687">
          <cell r="B1687" t="str">
            <v>Wheat Aata (Wheat Flour)- TPL - 5%</v>
          </cell>
          <cell r="C1687" t="str">
            <v>RM</v>
          </cell>
          <cell r="D1687" t="str">
            <v>TAJIR</v>
          </cell>
          <cell r="E1687" t="str">
            <v>Tajir - Other</v>
          </cell>
        </row>
        <row r="1688">
          <cell r="B1688" t="str">
            <v>Wheat Atta</v>
          </cell>
          <cell r="C1688" t="str">
            <v>RM</v>
          </cell>
          <cell r="D1688" t="str">
            <v>TAJIR</v>
          </cell>
          <cell r="E1688" t="str">
            <v>Tajir - Other</v>
          </cell>
        </row>
        <row r="1689">
          <cell r="B1689" t="str">
            <v>Wheat Starch - TPL</v>
          </cell>
          <cell r="C1689" t="str">
            <v>RM</v>
          </cell>
          <cell r="D1689" t="str">
            <v>TAJIR</v>
          </cell>
          <cell r="E1689" t="str">
            <v>Tajir - Other</v>
          </cell>
        </row>
        <row r="1690">
          <cell r="B1690" t="str">
            <v>Extra Cheese Seasoning (UNC) 1Kg</v>
          </cell>
          <cell r="C1690" t="str">
            <v>FG</v>
          </cell>
          <cell r="D1690" t="str">
            <v>TAJIR</v>
          </cell>
          <cell r="E1690" t="str">
            <v>Tajir - Other</v>
          </cell>
        </row>
        <row r="1691">
          <cell r="B1691" t="str">
            <v>Extra Cheese Seasoning Extreme</v>
          </cell>
          <cell r="C1691" t="str">
            <v>FG</v>
          </cell>
          <cell r="D1691" t="str">
            <v>TAJIR</v>
          </cell>
          <cell r="E1691" t="str">
            <v>Tajir - Other</v>
          </cell>
        </row>
        <row r="1692">
          <cell r="B1692" t="str">
            <v>Extra Cheese Seasoning-UNC( Malaysian) 15kg</v>
          </cell>
          <cell r="C1692" t="str">
            <v>FG</v>
          </cell>
          <cell r="D1692" t="str">
            <v>TAJIR</v>
          </cell>
          <cell r="E1692" t="str">
            <v>Tajir - Other</v>
          </cell>
        </row>
        <row r="1693">
          <cell r="B1693" t="str">
            <v>Extra Cheese Seasoning-UNC( Malaysian) 1kg</v>
          </cell>
          <cell r="C1693" t="str">
            <v>FG</v>
          </cell>
          <cell r="D1693" t="str">
            <v>TAJIR</v>
          </cell>
          <cell r="E1693" t="str">
            <v>Tajir - Other</v>
          </cell>
        </row>
        <row r="1694">
          <cell r="B1694" t="str">
            <v>Extreme Cheese Seasoning( Malaysian) 1kg</v>
          </cell>
          <cell r="C1694" t="str">
            <v>FG</v>
          </cell>
          <cell r="D1694" t="str">
            <v>TAJIR</v>
          </cell>
          <cell r="E1694" t="str">
            <v>Tajir - Other</v>
          </cell>
        </row>
        <row r="1695">
          <cell r="B1695" t="str">
            <v>Habit Extra Cheese Seasoning (15kg)</v>
          </cell>
          <cell r="C1695" t="str">
            <v>FG</v>
          </cell>
          <cell r="D1695" t="str">
            <v>TAJIR</v>
          </cell>
          <cell r="E1695" t="str">
            <v>Tajir - Other</v>
          </cell>
        </row>
        <row r="1696">
          <cell r="B1696" t="str">
            <v>Acrylic 40 Pc Dates Box</v>
          </cell>
          <cell r="C1696" t="str">
            <v>FG</v>
          </cell>
          <cell r="D1696" t="str">
            <v>TRAIL MIX</v>
          </cell>
          <cell r="E1696" t="str">
            <v>Bites</v>
          </cell>
        </row>
        <row r="1697">
          <cell r="B1697" t="str">
            <v>Date Bite Bulk</v>
          </cell>
          <cell r="C1697" t="str">
            <v>FG</v>
          </cell>
          <cell r="D1697" t="str">
            <v>TRAIL MIX</v>
          </cell>
          <cell r="E1697" t="str">
            <v>Bites</v>
          </cell>
        </row>
        <row r="1698">
          <cell r="B1698" t="str">
            <v>Date Bites 9gm</v>
          </cell>
          <cell r="C1698" t="str">
            <v>FG</v>
          </cell>
          <cell r="D1698" t="str">
            <v>TRAIL MIX</v>
          </cell>
          <cell r="E1698" t="str">
            <v>Bites</v>
          </cell>
        </row>
        <row r="1699">
          <cell r="B1699" t="str">
            <v>FNP Choco Berry Bites 50gm</v>
          </cell>
          <cell r="C1699" t="str">
            <v>FG</v>
          </cell>
          <cell r="D1699" t="str">
            <v>TRAIL MIX</v>
          </cell>
          <cell r="E1699" t="str">
            <v>Bites</v>
          </cell>
        </row>
        <row r="1700">
          <cell r="B1700" t="str">
            <v>Date Balls Coated Coconut (22G X 3)</v>
          </cell>
          <cell r="C1700" t="str">
            <v>FG</v>
          </cell>
          <cell r="D1700" t="str">
            <v>TRAIL MIX</v>
          </cell>
          <cell r="E1700" t="str">
            <v>Chocolate</v>
          </cell>
        </row>
        <row r="1701">
          <cell r="B1701" t="str">
            <v>Date Balls Coated Dark (22g x 3)</v>
          </cell>
          <cell r="C1701" t="str">
            <v>FG</v>
          </cell>
          <cell r="D1701" t="str">
            <v>TRAIL MIX</v>
          </cell>
          <cell r="E1701" t="str">
            <v>Chocolate</v>
          </cell>
        </row>
        <row r="1702">
          <cell r="B1702" t="str">
            <v>Date Balls Coated Milk (22g x 3)</v>
          </cell>
          <cell r="C1702" t="str">
            <v>FG</v>
          </cell>
          <cell r="D1702" t="str">
            <v>TRAIL MIX</v>
          </cell>
          <cell r="E1702" t="str">
            <v>Chocolate</v>
          </cell>
        </row>
        <row r="1703">
          <cell r="B1703" t="str">
            <v>Date Balls Coated White (22g x 3)</v>
          </cell>
          <cell r="C1703" t="str">
            <v>FG</v>
          </cell>
          <cell r="D1703" t="str">
            <v>TRAIL MIX</v>
          </cell>
          <cell r="E1703" t="str">
            <v>Chocolate</v>
          </cell>
        </row>
        <row r="1704">
          <cell r="B1704" t="str">
            <v>OFF-GRADE TRAIL MIX</v>
          </cell>
          <cell r="C1704" t="str">
            <v>RM</v>
          </cell>
          <cell r="D1704" t="str">
            <v>TRAIL MIX</v>
          </cell>
          <cell r="E1704" t="str">
            <v>OFF-GRADE TRAIL MIX</v>
          </cell>
        </row>
        <row r="1705">
          <cell r="B1705" t="str">
            <v>Ajfan Barbeque Trail Mix Nuts 125g</v>
          </cell>
          <cell r="C1705" t="str">
            <v>FG</v>
          </cell>
          <cell r="D1705" t="str">
            <v>TRAIL MIX</v>
          </cell>
          <cell r="E1705" t="str">
            <v>Trail Mix</v>
          </cell>
        </row>
        <row r="1706">
          <cell r="B1706" t="str">
            <v>Ajfan Caramel &amp; Himalayan Salt Trail Mix Nuts 125g</v>
          </cell>
          <cell r="C1706" t="str">
            <v>FG</v>
          </cell>
          <cell r="D1706" t="str">
            <v>TRAIL MIX</v>
          </cell>
          <cell r="E1706" t="str">
            <v>Trail Mix</v>
          </cell>
        </row>
        <row r="1707">
          <cell r="B1707" t="str">
            <v>Ajfan Roasted &amp; Salted Trail Mix 125g</v>
          </cell>
          <cell r="C1707" t="str">
            <v>FG</v>
          </cell>
          <cell r="D1707" t="str">
            <v>TRAIL MIX</v>
          </cell>
          <cell r="E1707" t="str">
            <v>Trail Mix</v>
          </cell>
        </row>
        <row r="1708">
          <cell r="B1708" t="str">
            <v>Almond Apricot and Seeds Date Balls 48 gms</v>
          </cell>
          <cell r="C1708" t="str">
            <v>FG</v>
          </cell>
          <cell r="D1708" t="str">
            <v>TRAIL MIX</v>
          </cell>
          <cell r="E1708" t="str">
            <v>Trail Mix</v>
          </cell>
        </row>
        <row r="1709">
          <cell r="B1709" t="str">
            <v>Almond Cranberry Black currant and seeds Date Balls 48 gms</v>
          </cell>
          <cell r="C1709" t="str">
            <v>FG</v>
          </cell>
          <cell r="D1709" t="str">
            <v>TRAIL MIX</v>
          </cell>
          <cell r="E1709" t="str">
            <v>Trail Mix</v>
          </cell>
        </row>
        <row r="1710">
          <cell r="B1710" t="str">
            <v>Amazon Brand Nuts Berries and Seed Mix 200g (B0B69J57QV)</v>
          </cell>
          <cell r="C1710" t="str">
            <v>FG</v>
          </cell>
          <cell r="D1710" t="str">
            <v>TRAIL MIX</v>
          </cell>
          <cell r="E1710" t="str">
            <v>Trail Mix</v>
          </cell>
        </row>
        <row r="1711">
          <cell r="B1711" t="str">
            <v>Amazon Brand Vedaka Dryfruits and Berries Mix 200g (B0B69KXW9J)</v>
          </cell>
          <cell r="C1711" t="str">
            <v>FG</v>
          </cell>
          <cell r="D1711" t="str">
            <v>TRAIL MIX</v>
          </cell>
          <cell r="E1711" t="str">
            <v>Trail Mix</v>
          </cell>
        </row>
        <row r="1712">
          <cell r="B1712" t="str">
            <v>Amazon Brand Vedaka Dryfruits and Nut Mix 200g (B0B69KB4GB)</v>
          </cell>
          <cell r="C1712" t="str">
            <v>FG</v>
          </cell>
          <cell r="D1712" t="str">
            <v>TRAIL MIX</v>
          </cell>
          <cell r="E1712" t="str">
            <v>Trail Mix</v>
          </cell>
        </row>
        <row r="1713">
          <cell r="B1713" t="str">
            <v>Antioxidant Mix 33gm</v>
          </cell>
          <cell r="C1713" t="str">
            <v>FG</v>
          </cell>
          <cell r="D1713" t="str">
            <v>TRAIL MIX</v>
          </cell>
          <cell r="E1713" t="str">
            <v>Trail Mix</v>
          </cell>
        </row>
        <row r="1714">
          <cell r="B1714" t="str">
            <v>Antioxidant Mix 35gm</v>
          </cell>
          <cell r="C1714" t="str">
            <v>FG</v>
          </cell>
          <cell r="D1714" t="str">
            <v>TRAIL MIX</v>
          </cell>
          <cell r="E1714" t="str">
            <v>Trail Mix</v>
          </cell>
        </row>
        <row r="1715">
          <cell r="B1715" t="str">
            <v>Berry Mix</v>
          </cell>
          <cell r="C1715" t="str">
            <v>FG</v>
          </cell>
          <cell r="D1715" t="str">
            <v>TRAIL MIX</v>
          </cell>
          <cell r="E1715" t="str">
            <v>Trail Mix</v>
          </cell>
        </row>
        <row r="1716">
          <cell r="B1716" t="str">
            <v>Black Pepper Nutty Seed Mix 250gm</v>
          </cell>
          <cell r="C1716" t="str">
            <v>FG</v>
          </cell>
          <cell r="D1716" t="str">
            <v>TRAIL MIX</v>
          </cell>
          <cell r="E1716" t="str">
            <v>Trail Mix</v>
          </cell>
        </row>
        <row r="1717">
          <cell r="B1717" t="str">
            <v>Blackcurrant Date Balls 48 gms</v>
          </cell>
          <cell r="C1717" t="str">
            <v>FG</v>
          </cell>
          <cell r="D1717" t="str">
            <v>TRAIL MIX</v>
          </cell>
          <cell r="E1717" t="str">
            <v>Trail Mix</v>
          </cell>
        </row>
        <row r="1718">
          <cell r="B1718" t="str">
            <v>Booster Berries 33gm</v>
          </cell>
          <cell r="C1718" t="str">
            <v>FG</v>
          </cell>
          <cell r="D1718" t="str">
            <v>TRAIL MIX</v>
          </cell>
          <cell r="E1718" t="str">
            <v>Trail Mix</v>
          </cell>
        </row>
        <row r="1719">
          <cell r="B1719" t="str">
            <v>Booster Berries 35gm</v>
          </cell>
          <cell r="C1719" t="str">
            <v>FG</v>
          </cell>
          <cell r="D1719" t="str">
            <v>TRAIL MIX</v>
          </cell>
          <cell r="E1719" t="str">
            <v>Trail Mix</v>
          </cell>
        </row>
        <row r="1720">
          <cell r="B1720" t="str">
            <v>Breakfast Mix Bulk</v>
          </cell>
          <cell r="C1720" t="str">
            <v>FG</v>
          </cell>
          <cell r="D1720" t="str">
            <v>TRAIL MIX</v>
          </cell>
          <cell r="E1720" t="str">
            <v>Trail Mix</v>
          </cell>
        </row>
        <row r="1721">
          <cell r="B1721" t="str">
            <v>Cafe Galleries Cocktail Mix 250g(Almond,Cashew,Pista,Black Raisins)</v>
          </cell>
          <cell r="C1721" t="str">
            <v>FG</v>
          </cell>
          <cell r="D1721" t="str">
            <v>TRAIL MIX</v>
          </cell>
          <cell r="E1721" t="str">
            <v>Trail Mix</v>
          </cell>
        </row>
        <row r="1722">
          <cell r="B1722" t="str">
            <v>Cafe Galleries Healthy Mewa Mix 250g</v>
          </cell>
          <cell r="C1722" t="str">
            <v>FG</v>
          </cell>
          <cell r="D1722" t="str">
            <v>TRAIL MIX</v>
          </cell>
          <cell r="E1722" t="str">
            <v>Trail Mix</v>
          </cell>
        </row>
        <row r="1723">
          <cell r="B1723" t="str">
            <v>Cafe Galleries Premium Cocktail Mix 250g</v>
          </cell>
          <cell r="C1723" t="str">
            <v>FG</v>
          </cell>
          <cell r="D1723" t="str">
            <v>TRAIL MIX</v>
          </cell>
          <cell r="E1723" t="str">
            <v>Trail Mix</v>
          </cell>
        </row>
        <row r="1724">
          <cell r="B1724" t="str">
            <v>Cafe Galleries Seeds Mix, 250g</v>
          </cell>
          <cell r="C1724" t="str">
            <v>FG</v>
          </cell>
          <cell r="D1724" t="str">
            <v>TRAIL MIX</v>
          </cell>
          <cell r="E1724" t="str">
            <v>Trail Mix</v>
          </cell>
        </row>
        <row r="1725">
          <cell r="B1725" t="str">
            <v>Carnival Berry Barbeque Trail Mix 200g</v>
          </cell>
          <cell r="C1725" t="str">
            <v>FG</v>
          </cell>
          <cell r="D1725" t="str">
            <v>TRAIL MIX</v>
          </cell>
          <cell r="E1725" t="str">
            <v>Trail Mix</v>
          </cell>
        </row>
        <row r="1726">
          <cell r="B1726" t="str">
            <v>Carnival Cocktail Mix 100g</v>
          </cell>
          <cell r="C1726" t="str">
            <v>FG</v>
          </cell>
          <cell r="D1726" t="str">
            <v>TRAIL MIX</v>
          </cell>
          <cell r="E1726" t="str">
            <v>Trail Mix</v>
          </cell>
        </row>
        <row r="1727">
          <cell r="B1727" t="str">
            <v>Carnival Cocktail Mix 200g</v>
          </cell>
          <cell r="C1727" t="str">
            <v>FG</v>
          </cell>
          <cell r="D1727" t="str">
            <v>TRAIL MIX</v>
          </cell>
          <cell r="E1727" t="str">
            <v>Trail Mix</v>
          </cell>
        </row>
        <row r="1728">
          <cell r="B1728" t="str">
            <v>Carnival Cocktail Mix 250g</v>
          </cell>
          <cell r="C1728" t="str">
            <v>FG</v>
          </cell>
          <cell r="D1728" t="str">
            <v>TRAIL MIX</v>
          </cell>
          <cell r="E1728" t="str">
            <v>Trail Mix</v>
          </cell>
        </row>
        <row r="1729">
          <cell r="B1729" t="str">
            <v>Carnival Cocktail Mix Plain Pouch 100g</v>
          </cell>
          <cell r="C1729" t="str">
            <v>FG</v>
          </cell>
          <cell r="D1729" t="str">
            <v>TRAIL MIX</v>
          </cell>
          <cell r="E1729" t="str">
            <v>Trail Mix</v>
          </cell>
        </row>
        <row r="1730">
          <cell r="B1730" t="str">
            <v>Carnival Crunchy Caramel Trail Mix 100g</v>
          </cell>
          <cell r="C1730" t="str">
            <v>FG</v>
          </cell>
          <cell r="D1730" t="str">
            <v>TRAIL MIX</v>
          </cell>
          <cell r="E1730" t="str">
            <v>Trail Mix</v>
          </cell>
        </row>
        <row r="1731">
          <cell r="B1731" t="str">
            <v>Carnival Crunchy Caramel Trail Mix 200g</v>
          </cell>
          <cell r="C1731" t="str">
            <v>FG</v>
          </cell>
          <cell r="D1731" t="str">
            <v>TRAIL MIX</v>
          </cell>
          <cell r="E1731" t="str">
            <v>Trail Mix</v>
          </cell>
        </row>
        <row r="1732">
          <cell r="B1732" t="str">
            <v>Carnival Crunchy Caramel Trail Mix 250g</v>
          </cell>
          <cell r="C1732" t="str">
            <v>FG</v>
          </cell>
          <cell r="D1732" t="str">
            <v>TRAIL MIX</v>
          </cell>
          <cell r="E1732" t="str">
            <v>Trail Mix</v>
          </cell>
        </row>
        <row r="1733">
          <cell r="B1733" t="str">
            <v>Carnival Daily Mewa Health Mix 250g</v>
          </cell>
          <cell r="C1733" t="str">
            <v>FG</v>
          </cell>
          <cell r="D1733" t="str">
            <v>TRAIL MIX</v>
          </cell>
          <cell r="E1733" t="str">
            <v>Trail Mix</v>
          </cell>
        </row>
        <row r="1734">
          <cell r="B1734" t="str">
            <v>Carnival Festive Crunchy Caramel Trail Mix 250g</v>
          </cell>
          <cell r="C1734" t="str">
            <v>FG</v>
          </cell>
          <cell r="D1734" t="str">
            <v>TRAIL MIX</v>
          </cell>
          <cell r="E1734" t="str">
            <v>Trail Mix</v>
          </cell>
        </row>
        <row r="1735">
          <cell r="B1735" t="str">
            <v>Carnival Festive Nuts &amp; Seeds Mix 120g</v>
          </cell>
          <cell r="C1735" t="str">
            <v>FG</v>
          </cell>
          <cell r="D1735" t="str">
            <v>TRAIL MIX</v>
          </cell>
          <cell r="E1735" t="str">
            <v>Trail Mix</v>
          </cell>
        </row>
        <row r="1736">
          <cell r="B1736" t="str">
            <v>Carnival Kishmish Almond Mix 100g</v>
          </cell>
          <cell r="C1736" t="str">
            <v>FG</v>
          </cell>
          <cell r="D1736" t="str">
            <v>TRAIL MIX</v>
          </cell>
          <cell r="E1736" t="str">
            <v>Trail Mix</v>
          </cell>
        </row>
        <row r="1737">
          <cell r="B1737" t="str">
            <v>Carnival Mocha Mojo Trail Mix 100g</v>
          </cell>
          <cell r="C1737" t="str">
            <v>FG</v>
          </cell>
          <cell r="D1737" t="str">
            <v>TRAIL MIX</v>
          </cell>
          <cell r="E1737" t="str">
            <v>Trail Mix</v>
          </cell>
        </row>
        <row r="1738">
          <cell r="B1738" t="str">
            <v>Carnival Mocha Mojo Trail Mix 200g</v>
          </cell>
          <cell r="C1738" t="str">
            <v>FG</v>
          </cell>
          <cell r="D1738" t="str">
            <v>TRAIL MIX</v>
          </cell>
          <cell r="E1738" t="str">
            <v>Trail Mix</v>
          </cell>
        </row>
        <row r="1739">
          <cell r="B1739" t="str">
            <v>Carnival Mocha Mojo Trail Mix 250g</v>
          </cell>
          <cell r="C1739" t="str">
            <v>FG</v>
          </cell>
          <cell r="D1739" t="str">
            <v>TRAIL MIX</v>
          </cell>
          <cell r="E1739" t="str">
            <v>Trail Mix</v>
          </cell>
        </row>
        <row r="1740">
          <cell r="B1740" t="str">
            <v>Carnival Nuts &amp; Seed Mix 100gm</v>
          </cell>
          <cell r="C1740" t="str">
            <v>FG</v>
          </cell>
          <cell r="D1740" t="str">
            <v>TRAIL MIX</v>
          </cell>
          <cell r="E1740" t="str">
            <v>Trail Mix</v>
          </cell>
        </row>
        <row r="1741">
          <cell r="B1741" t="str">
            <v>Carnival Premium Cocktail Mix 100g</v>
          </cell>
          <cell r="C1741" t="str">
            <v>FG</v>
          </cell>
          <cell r="D1741" t="str">
            <v>TRAIL MIX</v>
          </cell>
          <cell r="E1741" t="str">
            <v>Trail Mix</v>
          </cell>
        </row>
        <row r="1742">
          <cell r="B1742" t="str">
            <v>Carnival Premium Cocktail Mix 250 Gms</v>
          </cell>
          <cell r="C1742" t="str">
            <v>FG</v>
          </cell>
          <cell r="D1742" t="str">
            <v>TRAIL MIX</v>
          </cell>
          <cell r="E1742" t="str">
            <v>Trail Mix</v>
          </cell>
        </row>
        <row r="1743">
          <cell r="B1743" t="str">
            <v>Carnival Simply Thandai 100g</v>
          </cell>
          <cell r="C1743" t="str">
            <v>FG</v>
          </cell>
          <cell r="D1743" t="str">
            <v>TRAIL MIX</v>
          </cell>
          <cell r="E1743" t="str">
            <v>Trail Mix</v>
          </cell>
        </row>
        <row r="1744">
          <cell r="B1744" t="str">
            <v>Carnival Simply Thandai Mix 200gm</v>
          </cell>
          <cell r="C1744" t="str">
            <v>FG</v>
          </cell>
          <cell r="D1744" t="str">
            <v>TRAIL MIX</v>
          </cell>
          <cell r="E1744" t="str">
            <v>Trail Mix</v>
          </cell>
        </row>
        <row r="1745">
          <cell r="B1745" t="str">
            <v>CHATPATA SNACK MIX</v>
          </cell>
          <cell r="C1745" t="str">
            <v>FG</v>
          </cell>
          <cell r="D1745" t="str">
            <v>TRAIL MIX</v>
          </cell>
          <cell r="E1745" t="str">
            <v>Trail Mix</v>
          </cell>
        </row>
        <row r="1746">
          <cell r="B1746" t="str">
            <v>Cheeky Cheese Trail Mix 250gm</v>
          </cell>
          <cell r="C1746" t="str">
            <v>FG</v>
          </cell>
          <cell r="D1746" t="str">
            <v>TRAIL MIX</v>
          </cell>
          <cell r="E1746" t="str">
            <v>Trail Mix</v>
          </cell>
        </row>
        <row r="1747">
          <cell r="B1747" t="str">
            <v>Chocolate Coated Almond Dragees 50gm</v>
          </cell>
          <cell r="C1747" t="str">
            <v>FG</v>
          </cell>
          <cell r="D1747" t="str">
            <v>TRAIL MIX</v>
          </cell>
          <cell r="E1747" t="str">
            <v>Trail Mix</v>
          </cell>
        </row>
        <row r="1748">
          <cell r="B1748" t="str">
            <v>Chocolate Coated Blueberries Dragees 50gm</v>
          </cell>
          <cell r="C1748" t="str">
            <v>FG</v>
          </cell>
          <cell r="D1748" t="str">
            <v>TRAIL MIX</v>
          </cell>
          <cell r="E1748" t="str">
            <v>Trail Mix</v>
          </cell>
        </row>
        <row r="1749">
          <cell r="B1749" t="str">
            <v>CHOCOLATE MODAK 110g</v>
          </cell>
          <cell r="C1749" t="str">
            <v>FG</v>
          </cell>
          <cell r="D1749" t="str">
            <v>TRAIL MIX</v>
          </cell>
          <cell r="E1749" t="str">
            <v>Trail Mix</v>
          </cell>
        </row>
        <row r="1750">
          <cell r="B1750" t="str">
            <v>Cocktail Mix</v>
          </cell>
          <cell r="C1750" t="str">
            <v>FG</v>
          </cell>
          <cell r="D1750" t="str">
            <v>TRAIL MIX</v>
          </cell>
          <cell r="E1750" t="str">
            <v>Trail Mix</v>
          </cell>
        </row>
        <row r="1751">
          <cell r="B1751" t="str">
            <v>Cocktail Mix 230g</v>
          </cell>
          <cell r="C1751" t="str">
            <v>FG</v>
          </cell>
          <cell r="D1751" t="str">
            <v>TRAIL MIX</v>
          </cell>
          <cell r="E1751" t="str">
            <v>Trail Mix</v>
          </cell>
        </row>
        <row r="1752">
          <cell r="B1752" t="str">
            <v>Cocoa Peanut Date Balls 48 gms</v>
          </cell>
          <cell r="C1752" t="str">
            <v>FG</v>
          </cell>
          <cell r="D1752" t="str">
            <v>TRAIL MIX</v>
          </cell>
          <cell r="E1752" t="str">
            <v>Trail Mix</v>
          </cell>
        </row>
        <row r="1753">
          <cell r="B1753" t="str">
            <v>Cococart Barbeque Trail Mix 60gm</v>
          </cell>
          <cell r="C1753" t="str">
            <v>FG</v>
          </cell>
          <cell r="D1753" t="str">
            <v>TRAIL MIX</v>
          </cell>
          <cell r="E1753" t="str">
            <v>Trail Mix</v>
          </cell>
        </row>
        <row r="1754">
          <cell r="B1754" t="str">
            <v>Cococart Black Pepper Trail Mix 60gm</v>
          </cell>
          <cell r="C1754" t="str">
            <v>FG</v>
          </cell>
          <cell r="D1754" t="str">
            <v>TRAIL MIX</v>
          </cell>
          <cell r="E1754" t="str">
            <v>Trail Mix</v>
          </cell>
        </row>
        <row r="1755">
          <cell r="B1755" t="str">
            <v>Cococart Himalayan Salt Trail Mix 75gm</v>
          </cell>
          <cell r="C1755" t="str">
            <v>FG</v>
          </cell>
          <cell r="D1755" t="str">
            <v>TRAIL MIX</v>
          </cell>
          <cell r="E1755" t="str">
            <v>Trail Mix</v>
          </cell>
        </row>
        <row r="1756">
          <cell r="B1756" t="str">
            <v>Cococart Peri Peri Trail Mix 60gm</v>
          </cell>
          <cell r="C1756" t="str">
            <v>FG</v>
          </cell>
          <cell r="D1756" t="str">
            <v>TRAIL MIX</v>
          </cell>
          <cell r="E1756" t="str">
            <v>Trail Mix</v>
          </cell>
        </row>
        <row r="1757">
          <cell r="B1757" t="str">
            <v>Cranberry Date Balls 48 gms</v>
          </cell>
          <cell r="C1757" t="str">
            <v>FG</v>
          </cell>
          <cell r="D1757" t="str">
            <v>TRAIL MIX</v>
          </cell>
          <cell r="E1757" t="str">
            <v>Trail Mix</v>
          </cell>
        </row>
        <row r="1758">
          <cell r="B1758" t="str">
            <v>Crunchy Caramel Trail Mix</v>
          </cell>
          <cell r="C1758" t="str">
            <v>FG</v>
          </cell>
          <cell r="D1758" t="str">
            <v>TRAIL MIX</v>
          </cell>
          <cell r="E1758" t="str">
            <v>Trail Mix</v>
          </cell>
        </row>
        <row r="1759">
          <cell r="B1759" t="str">
            <v>Crunchy Caramel Trail Mix 230g</v>
          </cell>
          <cell r="C1759" t="str">
            <v>FG</v>
          </cell>
          <cell r="D1759" t="str">
            <v>TRAIL MIX</v>
          </cell>
          <cell r="E1759" t="str">
            <v>Trail Mix</v>
          </cell>
        </row>
        <row r="1760">
          <cell r="B1760" t="str">
            <v>Daily Mewa Healthy Mix</v>
          </cell>
          <cell r="C1760" t="str">
            <v>FG</v>
          </cell>
          <cell r="D1760" t="str">
            <v>TRAIL MIX</v>
          </cell>
          <cell r="E1760" t="str">
            <v>Trail Mix</v>
          </cell>
        </row>
        <row r="1761">
          <cell r="B1761" t="str">
            <v>Dark Chocolate Coated Almond Stuffed Khalas Single</v>
          </cell>
          <cell r="C1761" t="str">
            <v>FG</v>
          </cell>
          <cell r="D1761" t="str">
            <v>TRAIL MIX</v>
          </cell>
          <cell r="E1761" t="str">
            <v>Trail Mix</v>
          </cell>
        </row>
        <row r="1762">
          <cell r="B1762" t="str">
            <v>Dark Chocolate Coated Cashew Stuffed Khalas Single</v>
          </cell>
          <cell r="C1762" t="str">
            <v>FG</v>
          </cell>
          <cell r="D1762" t="str">
            <v>TRAIL MIX</v>
          </cell>
          <cell r="E1762" t="str">
            <v>Trail Mix</v>
          </cell>
        </row>
        <row r="1763">
          <cell r="B1763" t="str">
            <v>Dark Chocolate Coated Deri Date with Almond Single</v>
          </cell>
          <cell r="C1763" t="str">
            <v>FG</v>
          </cell>
          <cell r="D1763" t="str">
            <v>TRAIL MIX</v>
          </cell>
          <cell r="E1763" t="str">
            <v>Trail Mix</v>
          </cell>
        </row>
        <row r="1764">
          <cell r="B1764" t="str">
            <v>Dark Chocolate Coated Fard Date with Almond Single</v>
          </cell>
          <cell r="C1764" t="str">
            <v>FG</v>
          </cell>
          <cell r="D1764" t="str">
            <v>TRAIL MIX</v>
          </cell>
          <cell r="E1764" t="str">
            <v>Trail Mix</v>
          </cell>
        </row>
        <row r="1765">
          <cell r="B1765" t="str">
            <v>Dark Chocolate Coated Safavi Stuffed Dates Pc</v>
          </cell>
          <cell r="C1765" t="str">
            <v>FG</v>
          </cell>
          <cell r="D1765" t="str">
            <v>TRAIL MIX</v>
          </cell>
          <cell r="E1765" t="str">
            <v>Trail Mix</v>
          </cell>
        </row>
        <row r="1766">
          <cell r="B1766" t="str">
            <v>Date Mewa Bon Bon Laddu (18g x 3)</v>
          </cell>
          <cell r="C1766" t="str">
            <v>FG</v>
          </cell>
          <cell r="D1766" t="str">
            <v>TRAIL MIX</v>
          </cell>
          <cell r="E1766" t="str">
            <v>Trail Mix</v>
          </cell>
        </row>
        <row r="1767">
          <cell r="B1767" t="str">
            <v>Date Mewa Ladu 18gm</v>
          </cell>
          <cell r="C1767" t="str">
            <v>FG</v>
          </cell>
          <cell r="D1767" t="str">
            <v>TRAIL MIX</v>
          </cell>
          <cell r="E1767" t="str">
            <v>Trail Mix</v>
          </cell>
        </row>
        <row r="1768">
          <cell r="B1768" t="str">
            <v>Dates Delight Khajur Pak 375gm</v>
          </cell>
          <cell r="C1768" t="str">
            <v>FG</v>
          </cell>
          <cell r="D1768" t="str">
            <v>TRAIL MIX</v>
          </cell>
          <cell r="E1768" t="str">
            <v>Trail Mix</v>
          </cell>
        </row>
        <row r="1769">
          <cell r="B1769" t="str">
            <v>Dates Mewa Assorted 210gm</v>
          </cell>
          <cell r="C1769" t="str">
            <v>FG</v>
          </cell>
          <cell r="D1769" t="str">
            <v>TRAIL MIX</v>
          </cell>
          <cell r="E1769" t="str">
            <v>Trail Mix</v>
          </cell>
        </row>
        <row r="1770">
          <cell r="B1770" t="str">
            <v>Dates Mewa Classic 210gm</v>
          </cell>
          <cell r="C1770" t="str">
            <v>FG</v>
          </cell>
          <cell r="D1770" t="str">
            <v>TRAIL MIX</v>
          </cell>
          <cell r="E1770" t="str">
            <v>Trail Mix</v>
          </cell>
        </row>
        <row r="1771">
          <cell r="B1771" t="str">
            <v>Dragees Dark Cranberry</v>
          </cell>
          <cell r="C1771" t="str">
            <v>FG</v>
          </cell>
          <cell r="D1771" t="str">
            <v>TRAIL MIX</v>
          </cell>
          <cell r="E1771" t="str">
            <v>Trail Mix</v>
          </cell>
        </row>
        <row r="1772">
          <cell r="B1772" t="str">
            <v>Dragees Milk Cranberry</v>
          </cell>
          <cell r="C1772" t="str">
            <v>FG</v>
          </cell>
          <cell r="D1772" t="str">
            <v>TRAIL MIX</v>
          </cell>
          <cell r="E1772" t="str">
            <v>Trail Mix</v>
          </cell>
        </row>
        <row r="1773">
          <cell r="B1773" t="str">
            <v>Dragees White Cranberry</v>
          </cell>
          <cell r="C1773" t="str">
            <v>FG</v>
          </cell>
          <cell r="D1773" t="str">
            <v>TRAIL MIX</v>
          </cell>
          <cell r="E1773" t="str">
            <v>Trail Mix</v>
          </cell>
        </row>
        <row r="1774">
          <cell r="B1774" t="str">
            <v>Ez Mix Dry Fruit Regular Loose (1459062)</v>
          </cell>
          <cell r="C1774" t="str">
            <v>FG</v>
          </cell>
          <cell r="D1774" t="str">
            <v>TRAIL MIX</v>
          </cell>
          <cell r="E1774" t="str">
            <v>Trail Mix</v>
          </cell>
        </row>
        <row r="1775">
          <cell r="B1775" t="str">
            <v>Ez Seeds And Berries Mix Loose (1459071)</v>
          </cell>
          <cell r="C1775" t="str">
            <v>FG</v>
          </cell>
          <cell r="D1775" t="str">
            <v>TRAIL MIX</v>
          </cell>
          <cell r="E1775" t="str">
            <v>Trail Mix</v>
          </cell>
        </row>
        <row r="1776">
          <cell r="B1776" t="str">
            <v>Foodsquare Truffle Laquered Nuts (Bulk)</v>
          </cell>
          <cell r="C1776" t="str">
            <v>FG</v>
          </cell>
          <cell r="D1776" t="str">
            <v>TRAIL MIX</v>
          </cell>
          <cell r="E1776" t="str">
            <v>Trail Mix</v>
          </cell>
        </row>
        <row r="1777">
          <cell r="B1777" t="str">
            <v>Foodsquare Truffle Laquered Nuts 200gm</v>
          </cell>
          <cell r="C1777" t="str">
            <v>FG</v>
          </cell>
          <cell r="D1777" t="str">
            <v>TRAIL MIX</v>
          </cell>
          <cell r="E1777" t="str">
            <v>Trail Mix</v>
          </cell>
        </row>
        <row r="1778">
          <cell r="B1778" t="str">
            <v>Forsi Coctail Mix</v>
          </cell>
          <cell r="C1778" t="str">
            <v>FG</v>
          </cell>
          <cell r="D1778" t="str">
            <v>TRAIL MIX</v>
          </cell>
          <cell r="E1778" t="str">
            <v>Trail Mix</v>
          </cell>
        </row>
        <row r="1779">
          <cell r="B1779" t="str">
            <v>Forsi Panchmewa</v>
          </cell>
          <cell r="C1779" t="str">
            <v>FG</v>
          </cell>
          <cell r="D1779" t="str">
            <v>TRAIL MIX</v>
          </cell>
          <cell r="E1779" t="str">
            <v>Trail Mix</v>
          </cell>
        </row>
        <row r="1780">
          <cell r="B1780" t="str">
            <v>GNG Almonds Coated Dark Chocolate 200g</v>
          </cell>
          <cell r="C1780" t="str">
            <v>FG</v>
          </cell>
          <cell r="D1780" t="str">
            <v>TRAIL MIX</v>
          </cell>
          <cell r="E1780" t="str">
            <v>Trail Mix</v>
          </cell>
        </row>
        <row r="1781">
          <cell r="B1781" t="str">
            <v>GNG Almonds Coated Milk Chocolate 200g</v>
          </cell>
          <cell r="C1781" t="str">
            <v>FG</v>
          </cell>
          <cell r="D1781" t="str">
            <v>TRAIL MIX</v>
          </cell>
          <cell r="E1781" t="str">
            <v>Trail Mix</v>
          </cell>
        </row>
        <row r="1782">
          <cell r="B1782" t="str">
            <v>GNG Almonds Coated White Chocolate 200g</v>
          </cell>
          <cell r="C1782" t="str">
            <v>FG</v>
          </cell>
          <cell r="D1782" t="str">
            <v>TRAIL MIX</v>
          </cell>
          <cell r="E1782" t="str">
            <v>Trail Mix</v>
          </cell>
        </row>
        <row r="1783">
          <cell r="B1783" t="str">
            <v>GNG Cranberry Coated Dark Chocolate 200g</v>
          </cell>
          <cell r="C1783" t="str">
            <v>FG</v>
          </cell>
          <cell r="D1783" t="str">
            <v>TRAIL MIX</v>
          </cell>
          <cell r="E1783" t="str">
            <v>Trail Mix</v>
          </cell>
        </row>
        <row r="1784">
          <cell r="B1784" t="str">
            <v>GNG Cranberry Coated Milk Chocolate 200g</v>
          </cell>
          <cell r="C1784" t="str">
            <v>FG</v>
          </cell>
          <cell r="D1784" t="str">
            <v>TRAIL MIX</v>
          </cell>
          <cell r="E1784" t="str">
            <v>Trail Mix</v>
          </cell>
        </row>
        <row r="1785">
          <cell r="B1785" t="str">
            <v>GNG Cranberry Coated White Chocolate 200g</v>
          </cell>
          <cell r="C1785" t="str">
            <v>FG</v>
          </cell>
          <cell r="D1785" t="str">
            <v>TRAIL MIX</v>
          </cell>
          <cell r="E1785" t="str">
            <v>Trail Mix</v>
          </cell>
        </row>
        <row r="1786">
          <cell r="B1786" t="str">
            <v>Healthy Choice 5 in 1 Seeds Mix 200gm</v>
          </cell>
          <cell r="C1786" t="str">
            <v>FG</v>
          </cell>
          <cell r="D1786" t="str">
            <v>TRAIL MIX</v>
          </cell>
          <cell r="E1786" t="str">
            <v>Trail Mix</v>
          </cell>
        </row>
        <row r="1787">
          <cell r="B1787" t="str">
            <v>Healthy Choice 5 in 1 Seeds Mix Bulk</v>
          </cell>
          <cell r="C1787" t="str">
            <v>FG</v>
          </cell>
          <cell r="D1787" t="str">
            <v>TRAIL MIX</v>
          </cell>
          <cell r="E1787" t="str">
            <v>Trail Mix</v>
          </cell>
        </row>
        <row r="1788">
          <cell r="B1788" t="str">
            <v>Himalayan Pink Salt Trail Mix 150g</v>
          </cell>
          <cell r="C1788" t="str">
            <v>FG</v>
          </cell>
          <cell r="D1788" t="str">
            <v>TRAIL MIX</v>
          </cell>
          <cell r="E1788" t="str">
            <v>Trail Mix</v>
          </cell>
        </row>
        <row r="1789">
          <cell r="B1789" t="str">
            <v>HOH Panch Mewa Mix Loose</v>
          </cell>
          <cell r="C1789" t="str">
            <v>FG</v>
          </cell>
          <cell r="D1789" t="str">
            <v>TRAIL MIX</v>
          </cell>
          <cell r="E1789" t="str">
            <v>Trail Mix</v>
          </cell>
        </row>
        <row r="1790">
          <cell r="B1790" t="str">
            <v>Hot Wasabi Trail Mix 150g</v>
          </cell>
          <cell r="C1790" t="str">
            <v>FG</v>
          </cell>
          <cell r="D1790" t="str">
            <v>TRAIL MIX</v>
          </cell>
          <cell r="E1790" t="str">
            <v>Trail Mix</v>
          </cell>
        </row>
        <row r="1791">
          <cell r="B1791" t="str">
            <v>Masala Masti Trail Mix 150g</v>
          </cell>
          <cell r="C1791" t="str">
            <v>FG</v>
          </cell>
          <cell r="D1791" t="str">
            <v>TRAIL MIX</v>
          </cell>
          <cell r="E1791" t="str">
            <v>Trail Mix</v>
          </cell>
        </row>
        <row r="1792">
          <cell r="B1792" t="str">
            <v>MILK CHOCOLATE ALMOND DATE</v>
          </cell>
          <cell r="C1792" t="str">
            <v>FG</v>
          </cell>
          <cell r="D1792" t="str">
            <v>TRAIL MIX</v>
          </cell>
          <cell r="E1792" t="str">
            <v>Trail Mix</v>
          </cell>
        </row>
        <row r="1793">
          <cell r="B1793" t="str">
            <v>Milk Chocolate Coated Almond Stuffed Khalas Single</v>
          </cell>
          <cell r="C1793" t="str">
            <v>FG</v>
          </cell>
          <cell r="D1793" t="str">
            <v>TRAIL MIX</v>
          </cell>
          <cell r="E1793" t="str">
            <v>Trail Mix</v>
          </cell>
        </row>
        <row r="1794">
          <cell r="B1794" t="str">
            <v>Millennium Nut Mix</v>
          </cell>
          <cell r="C1794" t="str">
            <v>FG</v>
          </cell>
          <cell r="D1794" t="str">
            <v>TRAIL MIX</v>
          </cell>
          <cell r="E1794" t="str">
            <v>Trail Mix</v>
          </cell>
        </row>
        <row r="1795">
          <cell r="B1795" t="str">
            <v>Mocha Mojo Trail Mix</v>
          </cell>
          <cell r="C1795" t="str">
            <v>FG</v>
          </cell>
          <cell r="D1795" t="str">
            <v>TRAIL MIX</v>
          </cell>
          <cell r="E1795" t="str">
            <v>Trail Mix</v>
          </cell>
        </row>
        <row r="1796">
          <cell r="B1796" t="str">
            <v>Natch Glazed Nut Mix Chilli 120gm</v>
          </cell>
          <cell r="C1796" t="str">
            <v>FG</v>
          </cell>
          <cell r="D1796" t="str">
            <v>TRAIL MIX</v>
          </cell>
          <cell r="E1796" t="str">
            <v>Trail Mix</v>
          </cell>
        </row>
        <row r="1797">
          <cell r="B1797" t="str">
            <v>Natch Glazed Nut Mix Cinnamon 120gm</v>
          </cell>
          <cell r="C1797" t="str">
            <v>FG</v>
          </cell>
          <cell r="D1797" t="str">
            <v>TRAIL MIX</v>
          </cell>
          <cell r="E1797" t="str">
            <v>Trail Mix</v>
          </cell>
        </row>
        <row r="1798">
          <cell r="B1798" t="str">
            <v>Natch Glazed Nut Mix Cocoa 120gm</v>
          </cell>
          <cell r="C1798" t="str">
            <v>FG</v>
          </cell>
          <cell r="D1798" t="str">
            <v>TRAIL MIX</v>
          </cell>
          <cell r="E1798" t="str">
            <v>Trail Mix</v>
          </cell>
        </row>
        <row r="1799">
          <cell r="B1799" t="str">
            <v>Natures Premium Mixed Dry Fruits 250g(1356314)</v>
          </cell>
          <cell r="C1799" t="str">
            <v>FG</v>
          </cell>
          <cell r="D1799" t="str">
            <v>TRAIL MIX</v>
          </cell>
          <cell r="E1799" t="str">
            <v>Trail Mix</v>
          </cell>
        </row>
        <row r="1800">
          <cell r="B1800" t="str">
            <v>NB MILLENNIUM NUT MIX LOOSE</v>
          </cell>
          <cell r="C1800" t="str">
            <v>FG</v>
          </cell>
          <cell r="D1800" t="str">
            <v>TRAIL MIX</v>
          </cell>
          <cell r="E1800" t="str">
            <v>Trail Mix</v>
          </cell>
        </row>
        <row r="1801">
          <cell r="B1801" t="str">
            <v>NB TRAIL MIX - POWER SEED LOOSE</v>
          </cell>
          <cell r="C1801" t="str">
            <v>FG</v>
          </cell>
          <cell r="D1801" t="str">
            <v>TRAIL MIX</v>
          </cell>
          <cell r="E1801" t="str">
            <v>Trail Mix</v>
          </cell>
        </row>
        <row r="1802">
          <cell r="B1802" t="str">
            <v>NB TRAIL MIX - PREMIUM NUT LOOSE</v>
          </cell>
          <cell r="C1802" t="str">
            <v>FG</v>
          </cell>
          <cell r="D1802" t="str">
            <v>TRAIL MIX</v>
          </cell>
          <cell r="E1802" t="str">
            <v>Trail Mix</v>
          </cell>
        </row>
        <row r="1803">
          <cell r="B1803" t="str">
            <v>NB TRAIL MIX- EVERY HEALTH LOOSE</v>
          </cell>
          <cell r="C1803" t="str">
            <v>FG</v>
          </cell>
          <cell r="D1803" t="str">
            <v>TRAIL MIX</v>
          </cell>
          <cell r="E1803" t="str">
            <v>Trail Mix</v>
          </cell>
        </row>
        <row r="1804">
          <cell r="B1804" t="str">
            <v>NB TRAIL MIX SALTED COCKTAIL LOOSE</v>
          </cell>
          <cell r="C1804" t="str">
            <v>FG</v>
          </cell>
          <cell r="D1804" t="str">
            <v>TRAIL MIX</v>
          </cell>
          <cell r="E1804" t="str">
            <v>Trail Mix</v>
          </cell>
        </row>
        <row r="1805">
          <cell r="B1805" t="str">
            <v>NUT BAR ALMOND BUTTER</v>
          </cell>
          <cell r="C1805" t="str">
            <v>FG</v>
          </cell>
          <cell r="D1805" t="str">
            <v>TRAIL MIX</v>
          </cell>
          <cell r="E1805" t="str">
            <v>Trail Mix</v>
          </cell>
        </row>
        <row r="1806">
          <cell r="B1806" t="str">
            <v>NUT BAR PEANUT BUTTER</v>
          </cell>
          <cell r="C1806" t="str">
            <v>FG</v>
          </cell>
          <cell r="D1806" t="str">
            <v>TRAIL MIX</v>
          </cell>
          <cell r="E1806" t="str">
            <v>Trail Mix</v>
          </cell>
        </row>
        <row r="1807">
          <cell r="B1807" t="str">
            <v>Nut Flex - Italian Herbs 33gm</v>
          </cell>
          <cell r="C1807" t="str">
            <v>FG</v>
          </cell>
          <cell r="D1807" t="str">
            <v>TRAIL MIX</v>
          </cell>
          <cell r="E1807" t="str">
            <v>Trail Mix</v>
          </cell>
        </row>
        <row r="1808">
          <cell r="B1808" t="str">
            <v>Nut Flex - Italian Herbs 35gm</v>
          </cell>
          <cell r="C1808" t="str">
            <v>FG</v>
          </cell>
          <cell r="D1808" t="str">
            <v>TRAIL MIX</v>
          </cell>
          <cell r="E1808" t="str">
            <v>Trail Mix</v>
          </cell>
        </row>
        <row r="1809">
          <cell r="B1809" t="str">
            <v>Nuts &amp; Seed Mix</v>
          </cell>
          <cell r="C1809" t="str">
            <v>FG</v>
          </cell>
          <cell r="D1809" t="str">
            <v>TRAIL MIX</v>
          </cell>
          <cell r="E1809" t="str">
            <v>Trail Mix</v>
          </cell>
        </row>
        <row r="1810">
          <cell r="B1810" t="str">
            <v>Nuts and Cardamom Date Balls 48 gms</v>
          </cell>
          <cell r="C1810" t="str">
            <v>FG</v>
          </cell>
          <cell r="D1810" t="str">
            <v>TRAIL MIX</v>
          </cell>
          <cell r="E1810" t="str">
            <v>Trail Mix</v>
          </cell>
        </row>
        <row r="1811">
          <cell r="B1811" t="str">
            <v>Omega Mix- Lemon Pepper 33gm</v>
          </cell>
          <cell r="C1811" t="str">
            <v>FG</v>
          </cell>
          <cell r="D1811" t="str">
            <v>TRAIL MIX</v>
          </cell>
          <cell r="E1811" t="str">
            <v>Trail Mix</v>
          </cell>
        </row>
        <row r="1812">
          <cell r="B1812" t="str">
            <v>Omega Mix- Lemon Pepper 35gm</v>
          </cell>
          <cell r="C1812" t="str">
            <v>FG</v>
          </cell>
          <cell r="D1812" t="str">
            <v>TRAIL MIX</v>
          </cell>
          <cell r="E1812" t="str">
            <v>Trail Mix</v>
          </cell>
        </row>
        <row r="1813">
          <cell r="B1813" t="str">
            <v>On The Run Quinoa Cheesy Balls 50gm</v>
          </cell>
          <cell r="C1813" t="str">
            <v>FG</v>
          </cell>
          <cell r="D1813" t="str">
            <v>TRAIL MIX</v>
          </cell>
          <cell r="E1813" t="str">
            <v>Trail Mix</v>
          </cell>
        </row>
        <row r="1814">
          <cell r="B1814" t="str">
            <v>PEANUT BUTTER</v>
          </cell>
          <cell r="C1814" t="str">
            <v>FG</v>
          </cell>
          <cell r="D1814" t="str">
            <v>TRAIL MIX</v>
          </cell>
          <cell r="E1814" t="str">
            <v>Trail Mix</v>
          </cell>
        </row>
        <row r="1815">
          <cell r="B1815" t="str">
            <v>PEPPER SNACK MIX</v>
          </cell>
          <cell r="C1815" t="str">
            <v>FG</v>
          </cell>
          <cell r="D1815" t="str">
            <v>TRAIL MIX</v>
          </cell>
          <cell r="E1815" t="str">
            <v>Trail Mix</v>
          </cell>
        </row>
        <row r="1816">
          <cell r="B1816" t="str">
            <v>Peri Peri Trail Mix 150g</v>
          </cell>
          <cell r="C1816" t="str">
            <v>FG</v>
          </cell>
          <cell r="D1816" t="str">
            <v>TRAIL MIX</v>
          </cell>
          <cell r="E1816" t="str">
            <v>Trail Mix</v>
          </cell>
        </row>
        <row r="1817">
          <cell r="B1817" t="str">
            <v>Planck foods Quinoa puffs sour cream 30gm</v>
          </cell>
          <cell r="C1817" t="str">
            <v>FG</v>
          </cell>
          <cell r="D1817" t="str">
            <v>TRAIL MIX</v>
          </cell>
          <cell r="E1817" t="str">
            <v>Trail Mix</v>
          </cell>
        </row>
        <row r="1818">
          <cell r="B1818" t="str">
            <v>Premia Breakfast Mix 100g (100005226)</v>
          </cell>
          <cell r="C1818" t="str">
            <v>FG</v>
          </cell>
          <cell r="D1818" t="str">
            <v>TRAIL MIX</v>
          </cell>
          <cell r="E1818" t="str">
            <v>Trail Mix</v>
          </cell>
        </row>
        <row r="1819">
          <cell r="B1819" t="str">
            <v>Premia Breakfast Mix Bulk</v>
          </cell>
          <cell r="C1819" t="str">
            <v>FG</v>
          </cell>
          <cell r="D1819" t="str">
            <v>TRAIL MIX</v>
          </cell>
          <cell r="E1819" t="str">
            <v>Trail Mix</v>
          </cell>
        </row>
        <row r="1820">
          <cell r="B1820" t="str">
            <v>Premia Nuts &amp; Seeds Mix 100g (100005422)</v>
          </cell>
          <cell r="C1820" t="str">
            <v>FG</v>
          </cell>
          <cell r="D1820" t="str">
            <v>TRAIL MIX</v>
          </cell>
          <cell r="E1820" t="str">
            <v>Trail Mix</v>
          </cell>
        </row>
        <row r="1821">
          <cell r="B1821" t="str">
            <v>Premia Nuts &amp; Seeds Mix Bulk</v>
          </cell>
          <cell r="C1821" t="str">
            <v>FG</v>
          </cell>
          <cell r="D1821" t="str">
            <v>TRAIL MIX</v>
          </cell>
          <cell r="E1821" t="str">
            <v>Trail Mix</v>
          </cell>
        </row>
        <row r="1822">
          <cell r="B1822" t="str">
            <v>Premia Trail Mix 100g (100005227)</v>
          </cell>
          <cell r="C1822" t="str">
            <v>FG</v>
          </cell>
          <cell r="D1822" t="str">
            <v>TRAIL MIX</v>
          </cell>
          <cell r="E1822" t="str">
            <v>Trail Mix</v>
          </cell>
        </row>
        <row r="1823">
          <cell r="B1823" t="str">
            <v>Premia Trail Mix Bulk</v>
          </cell>
          <cell r="C1823" t="str">
            <v>FG</v>
          </cell>
          <cell r="D1823" t="str">
            <v>TRAIL MIX</v>
          </cell>
          <cell r="E1823" t="str">
            <v>Trail Mix</v>
          </cell>
        </row>
        <row r="1824">
          <cell r="B1824" t="str">
            <v>Premium Trail Mix 100gm</v>
          </cell>
          <cell r="C1824" t="str">
            <v>FG</v>
          </cell>
          <cell r="D1824" t="str">
            <v>TRAIL MIX</v>
          </cell>
          <cell r="E1824" t="str">
            <v>Trail Mix</v>
          </cell>
        </row>
        <row r="1825">
          <cell r="B1825" t="str">
            <v>QWIKSNAX ALMONDS &amp; CASHEWS MIX-25G</v>
          </cell>
          <cell r="C1825" t="str">
            <v>FG</v>
          </cell>
          <cell r="D1825" t="str">
            <v>TRAIL MIX</v>
          </cell>
          <cell r="E1825" t="str">
            <v>Trail Mix</v>
          </cell>
        </row>
        <row r="1826">
          <cell r="B1826" t="str">
            <v>Rhine Valley Barbeque Trail Mix 100gm</v>
          </cell>
          <cell r="C1826" t="str">
            <v>FG</v>
          </cell>
          <cell r="D1826" t="str">
            <v>TRAIL MIX</v>
          </cell>
          <cell r="E1826" t="str">
            <v>Trail Mix</v>
          </cell>
        </row>
        <row r="1827">
          <cell r="B1827" t="str">
            <v>Rhine Valley Black Pepper Trail Mix 100gm</v>
          </cell>
          <cell r="C1827" t="str">
            <v>FG</v>
          </cell>
          <cell r="D1827" t="str">
            <v>TRAIL MIX</v>
          </cell>
          <cell r="E1827" t="str">
            <v>Trail Mix</v>
          </cell>
        </row>
        <row r="1828">
          <cell r="B1828" t="str">
            <v>Rhine Valley Himalayan Pink Salt Trail Mix 100gm</v>
          </cell>
          <cell r="C1828" t="str">
            <v>FG</v>
          </cell>
          <cell r="D1828" t="str">
            <v>TRAIL MIX</v>
          </cell>
          <cell r="E1828" t="str">
            <v>Trail Mix</v>
          </cell>
        </row>
        <row r="1829">
          <cell r="B1829" t="str">
            <v>Rhine Valley Masala Trail mix 100g</v>
          </cell>
          <cell r="C1829" t="str">
            <v>FG</v>
          </cell>
          <cell r="D1829" t="str">
            <v>TRAIL MIX</v>
          </cell>
          <cell r="E1829" t="str">
            <v>Trail Mix</v>
          </cell>
        </row>
        <row r="1830">
          <cell r="B1830" t="str">
            <v>Rhine Valley Peri Peri Trail Mix 100gm</v>
          </cell>
          <cell r="C1830" t="str">
            <v>FG</v>
          </cell>
          <cell r="D1830" t="str">
            <v>TRAIL MIX</v>
          </cell>
          <cell r="E1830" t="str">
            <v>Trail Mix</v>
          </cell>
        </row>
        <row r="1831">
          <cell r="B1831" t="str">
            <v>ROYAL TRADITON SNACK MASALA MIX 100G</v>
          </cell>
          <cell r="C1831" t="str">
            <v>FG</v>
          </cell>
          <cell r="D1831" t="str">
            <v>TRAIL MIX</v>
          </cell>
          <cell r="E1831" t="str">
            <v>Trail Mix</v>
          </cell>
        </row>
        <row r="1832">
          <cell r="B1832" t="str">
            <v>ROYAL TRADITON SNACK MIX CHATPATA-100G</v>
          </cell>
          <cell r="C1832" t="str">
            <v>FG</v>
          </cell>
          <cell r="D1832" t="str">
            <v>TRAIL MIX</v>
          </cell>
          <cell r="E1832" t="str">
            <v>Trail Mix</v>
          </cell>
        </row>
        <row r="1833">
          <cell r="B1833" t="str">
            <v>Safavi Dates Almond Praline Single Pc</v>
          </cell>
          <cell r="C1833" t="str">
            <v>FG</v>
          </cell>
          <cell r="D1833" t="str">
            <v>TRAIL MIX</v>
          </cell>
          <cell r="E1833" t="str">
            <v>Trail Mix</v>
          </cell>
        </row>
        <row r="1834">
          <cell r="B1834" t="str">
            <v>Safavi Dates Pistachio Praline Single Pc</v>
          </cell>
          <cell r="C1834" t="str">
            <v>FG</v>
          </cell>
          <cell r="D1834" t="str">
            <v>TRAIL MIX</v>
          </cell>
          <cell r="E1834" t="str">
            <v>Trail Mix</v>
          </cell>
        </row>
        <row r="1835">
          <cell r="B1835" t="str">
            <v>Salted Premium Nut Mix</v>
          </cell>
          <cell r="C1835" t="str">
            <v>FG</v>
          </cell>
          <cell r="D1835" t="str">
            <v>TRAIL MIX</v>
          </cell>
          <cell r="E1835" t="str">
            <v>Trail Mix</v>
          </cell>
        </row>
        <row r="1836">
          <cell r="B1836" t="str">
            <v>Seed Mix</v>
          </cell>
          <cell r="C1836" t="str">
            <v>FG</v>
          </cell>
          <cell r="D1836" t="str">
            <v>TRAIL MIX</v>
          </cell>
          <cell r="E1836" t="str">
            <v>Trail Mix</v>
          </cell>
        </row>
        <row r="1837">
          <cell r="B1837" t="str">
            <v>Seed Trail Mix</v>
          </cell>
          <cell r="C1837" t="str">
            <v>FG</v>
          </cell>
          <cell r="D1837" t="str">
            <v>TRAIL MIX</v>
          </cell>
          <cell r="E1837" t="str">
            <v>Trail Mix</v>
          </cell>
        </row>
        <row r="1838">
          <cell r="B1838" t="str">
            <v>Seedy Sheid- Lime Chilly 33gm</v>
          </cell>
          <cell r="C1838" t="str">
            <v>FG</v>
          </cell>
          <cell r="D1838" t="str">
            <v>TRAIL MIX</v>
          </cell>
          <cell r="E1838" t="str">
            <v>Trail Mix</v>
          </cell>
        </row>
        <row r="1839">
          <cell r="B1839" t="str">
            <v>Seedy Sheid- Lime Chilly 35gm</v>
          </cell>
          <cell r="C1839" t="str">
            <v>FG</v>
          </cell>
          <cell r="D1839" t="str">
            <v>TRAIL MIX</v>
          </cell>
          <cell r="E1839" t="str">
            <v>Trail Mix</v>
          </cell>
        </row>
        <row r="1840">
          <cell r="B1840" t="str">
            <v>Simply Thandai 1 kg</v>
          </cell>
          <cell r="C1840" t="str">
            <v>FG</v>
          </cell>
          <cell r="D1840" t="str">
            <v>TRAIL MIX</v>
          </cell>
          <cell r="E1840" t="str">
            <v>Trail Mix</v>
          </cell>
        </row>
        <row r="1841">
          <cell r="B1841" t="str">
            <v>Snack Amor Fruit N Nut Mix 200g</v>
          </cell>
          <cell r="C1841" t="str">
            <v>FG</v>
          </cell>
          <cell r="D1841" t="str">
            <v>TRAIL MIX</v>
          </cell>
          <cell r="E1841" t="str">
            <v>Trail Mix</v>
          </cell>
        </row>
        <row r="1842">
          <cell r="B1842" t="str">
            <v>Snack Amor Seed Mix (Unroasted), 175g</v>
          </cell>
          <cell r="C1842" t="str">
            <v>FG</v>
          </cell>
          <cell r="D1842" t="str">
            <v>TRAIL MIX</v>
          </cell>
          <cell r="E1842" t="str">
            <v>Trail Mix</v>
          </cell>
        </row>
        <row r="1843">
          <cell r="B1843" t="str">
            <v>Snack Amor Trail Mix 175g</v>
          </cell>
          <cell r="C1843" t="str">
            <v>FG</v>
          </cell>
          <cell r="D1843" t="str">
            <v>TRAIL MIX</v>
          </cell>
          <cell r="E1843" t="str">
            <v>Trail Mix</v>
          </cell>
        </row>
        <row r="1844">
          <cell r="B1844" t="str">
            <v>SnackAmor Seed Mix 175g</v>
          </cell>
          <cell r="C1844" t="str">
            <v>FG</v>
          </cell>
          <cell r="D1844" t="str">
            <v>TRAIL MIX</v>
          </cell>
          <cell r="E1844" t="str">
            <v>Trail Mix</v>
          </cell>
        </row>
        <row r="1845">
          <cell r="B1845" t="str">
            <v>Snackania Cocktail Mix 480g</v>
          </cell>
          <cell r="C1845" t="str">
            <v>FG</v>
          </cell>
          <cell r="D1845" t="str">
            <v>TRAIL MIX</v>
          </cell>
          <cell r="E1845" t="str">
            <v>Trail Mix</v>
          </cell>
        </row>
        <row r="1846">
          <cell r="B1846" t="str">
            <v>Stuffed Dates 1kg</v>
          </cell>
          <cell r="C1846" t="str">
            <v>FG</v>
          </cell>
          <cell r="D1846" t="str">
            <v>TRAIL MIX</v>
          </cell>
          <cell r="E1846" t="str">
            <v>Trail Mix</v>
          </cell>
        </row>
        <row r="1847">
          <cell r="B1847" t="str">
            <v>STUFFED DERI DATES WITH ALMOND SINGLE</v>
          </cell>
          <cell r="C1847" t="str">
            <v>FG</v>
          </cell>
          <cell r="D1847" t="str">
            <v>TRAIL MIX</v>
          </cell>
          <cell r="E1847" t="str">
            <v>Trail Mix</v>
          </cell>
        </row>
        <row r="1848">
          <cell r="B1848" t="str">
            <v>STUFFED FARD DATES WITH ALMOND SINGLE</v>
          </cell>
          <cell r="C1848" t="str">
            <v>FG</v>
          </cell>
          <cell r="D1848" t="str">
            <v>TRAIL MIX</v>
          </cell>
          <cell r="E1848" t="str">
            <v>Trail Mix</v>
          </cell>
        </row>
        <row r="1849">
          <cell r="B1849" t="str">
            <v>Stuffed Medjoul Large with Ginger Single Pc</v>
          </cell>
          <cell r="C1849" t="str">
            <v>FG</v>
          </cell>
          <cell r="D1849" t="str">
            <v>TRAIL MIX</v>
          </cell>
          <cell r="E1849" t="str">
            <v>Trail Mix</v>
          </cell>
        </row>
        <row r="1850">
          <cell r="B1850" t="str">
            <v>Tasties Trail Mix - Mixed Berries 75 g</v>
          </cell>
          <cell r="C1850" t="str">
            <v>FG</v>
          </cell>
          <cell r="D1850" t="str">
            <v>TRAIL MIX</v>
          </cell>
          <cell r="E1850" t="str">
            <v>Trail Mix</v>
          </cell>
        </row>
        <row r="1851">
          <cell r="B1851" t="str">
            <v>Tasties Trail Mix - Mixed Dry Fruits 75 g</v>
          </cell>
          <cell r="C1851" t="str">
            <v>FG</v>
          </cell>
          <cell r="D1851" t="str">
            <v>TRAIL MIX</v>
          </cell>
          <cell r="E1851" t="str">
            <v>Trail Mix</v>
          </cell>
        </row>
        <row r="1852">
          <cell r="B1852" t="str">
            <v>Tasties Trail Mix - Wholesome Nut Mix 75 g</v>
          </cell>
          <cell r="C1852" t="str">
            <v>FG</v>
          </cell>
          <cell r="D1852" t="str">
            <v>TRAIL MIX</v>
          </cell>
          <cell r="E1852" t="str">
            <v>Trail Mix</v>
          </cell>
        </row>
        <row r="1853">
          <cell r="B1853" t="str">
            <v>Trail Mix</v>
          </cell>
          <cell r="C1853" t="str">
            <v>FG</v>
          </cell>
          <cell r="D1853" t="str">
            <v>TRAIL MIX</v>
          </cell>
          <cell r="E1853" t="str">
            <v>Trail Mix</v>
          </cell>
        </row>
        <row r="1854">
          <cell r="B1854" t="str">
            <v>Trail Mix - Every Health</v>
          </cell>
          <cell r="C1854" t="str">
            <v>FG</v>
          </cell>
          <cell r="D1854" t="str">
            <v>TRAIL MIX</v>
          </cell>
          <cell r="E1854" t="str">
            <v>Trail Mix</v>
          </cell>
        </row>
        <row r="1855">
          <cell r="B1855" t="str">
            <v>Trail Mix Bulk</v>
          </cell>
          <cell r="C1855" t="str">
            <v>FG</v>
          </cell>
          <cell r="D1855" t="str">
            <v>TRAIL MIX</v>
          </cell>
          <cell r="E1855" t="str">
            <v>Trail Mix</v>
          </cell>
        </row>
        <row r="1856">
          <cell r="B1856" t="str">
            <v>UP Berry Mix</v>
          </cell>
          <cell r="C1856" t="str">
            <v>FG</v>
          </cell>
          <cell r="D1856" t="str">
            <v>TRAIL MIX</v>
          </cell>
          <cell r="E1856" t="str">
            <v>Trail Mix</v>
          </cell>
        </row>
        <row r="1857">
          <cell r="B1857" t="str">
            <v>UP Trail Mix Brazil Nut Based</v>
          </cell>
          <cell r="C1857" t="str">
            <v>FG</v>
          </cell>
          <cell r="D1857" t="str">
            <v>TRAIL MIX</v>
          </cell>
          <cell r="E1857" t="str">
            <v>Trail Mix</v>
          </cell>
        </row>
        <row r="1858">
          <cell r="B1858" t="str">
            <v>UP Trail Mix Edamame Babsed</v>
          </cell>
          <cell r="C1858" t="str">
            <v>FG</v>
          </cell>
          <cell r="D1858" t="str">
            <v>TRAIL MIX</v>
          </cell>
          <cell r="E1858" t="str">
            <v>Trail Mix</v>
          </cell>
        </row>
        <row r="1859">
          <cell r="B1859" t="str">
            <v>UP Trail Mix Tandoori Tikka</v>
          </cell>
          <cell r="C1859" t="str">
            <v>FG</v>
          </cell>
          <cell r="D1859" t="str">
            <v>TRAIL MIX</v>
          </cell>
          <cell r="E1859" t="str">
            <v>Trail Mix</v>
          </cell>
        </row>
        <row r="1860">
          <cell r="B1860" t="str">
            <v>Urban Platter Panchmewa</v>
          </cell>
          <cell r="C1860" t="str">
            <v>FG</v>
          </cell>
          <cell r="D1860" t="str">
            <v>TRAIL MIX</v>
          </cell>
          <cell r="E1860" t="str">
            <v>Trail Mix</v>
          </cell>
        </row>
        <row r="1861">
          <cell r="B1861" t="str">
            <v>Vedaka Almonds, Raisins, Cashews, and Pista (4 X 200 gm)B0BVVV1SMF</v>
          </cell>
          <cell r="C1861" t="str">
            <v>FG</v>
          </cell>
          <cell r="D1861" t="str">
            <v>TRAIL MIX</v>
          </cell>
          <cell r="E1861" t="str">
            <v>Trail Mix</v>
          </cell>
        </row>
        <row r="1862">
          <cell r="B1862" t="str">
            <v>Vedaka Dry Fruit Combo - Almonds and Cashews (2 X 200 gm) (B0BVVRS2N7)</v>
          </cell>
          <cell r="C1862" t="str">
            <v>FG</v>
          </cell>
          <cell r="D1862" t="str">
            <v>TRAIL MIX</v>
          </cell>
          <cell r="E1862" t="str">
            <v>Trail Mix</v>
          </cell>
        </row>
        <row r="1863">
          <cell r="B1863" t="str">
            <v>Vedaka Dry Fruit Combo - Almonds and Raisins (2 X 200 gm) (B0BTHYWT53)</v>
          </cell>
          <cell r="C1863" t="str">
            <v>FG</v>
          </cell>
          <cell r="D1863" t="str">
            <v>TRAIL MIX</v>
          </cell>
          <cell r="E1863" t="str">
            <v>Trail Mix</v>
          </cell>
        </row>
        <row r="1864">
          <cell r="B1864" t="str">
            <v>Vedaka Dry Fruit Combo - Raisins and Cashews (2 X 200 gm) (B0BVVVGN99)</v>
          </cell>
          <cell r="C1864" t="str">
            <v>FG</v>
          </cell>
          <cell r="D1864" t="str">
            <v>TRAIL MIX</v>
          </cell>
          <cell r="E1864" t="str">
            <v>Trail Mix</v>
          </cell>
        </row>
        <row r="1865">
          <cell r="B1865" t="str">
            <v>Vedaka Healthy Seed Mix 200gm(B0B69L57PV)</v>
          </cell>
          <cell r="C1865" t="str">
            <v>FG</v>
          </cell>
          <cell r="D1865" t="str">
            <v>TRAIL MIX</v>
          </cell>
          <cell r="E1865" t="str">
            <v>Trail Mix</v>
          </cell>
        </row>
        <row r="1866">
          <cell r="B1866" t="str">
            <v>YUMSANA CHOCO HAZELNUT SPREAD 340GM</v>
          </cell>
          <cell r="C1866" t="str">
            <v>FG</v>
          </cell>
          <cell r="D1866" t="str">
            <v>TRAIL MIX</v>
          </cell>
          <cell r="E1866" t="str">
            <v>Trail Mix</v>
          </cell>
        </row>
        <row r="1867">
          <cell r="B1867" t="str">
            <v>OFF-GRADE WALNUTS</v>
          </cell>
          <cell r="C1867" t="str">
            <v>RM</v>
          </cell>
          <cell r="D1867" t="str">
            <v>WALNUT</v>
          </cell>
          <cell r="E1867" t="str">
            <v>OFF-GRADE WALNUTS</v>
          </cell>
        </row>
        <row r="1868">
          <cell r="B1868" t="str">
            <v>California Walnut Tukda</v>
          </cell>
          <cell r="C1868" t="str">
            <v>RM</v>
          </cell>
          <cell r="D1868" t="str">
            <v>WALNUT</v>
          </cell>
          <cell r="E1868" t="str">
            <v>Walnut - Broken</v>
          </cell>
        </row>
        <row r="1869">
          <cell r="B1869" t="str">
            <v>Chilean Walnut Kernel Kani</v>
          </cell>
          <cell r="C1869" t="str">
            <v>RM</v>
          </cell>
          <cell r="D1869" t="str">
            <v>WALNUT</v>
          </cell>
          <cell r="E1869" t="str">
            <v>Walnut - Broken</v>
          </cell>
        </row>
        <row r="1870">
          <cell r="B1870" t="str">
            <v>Chilean Walnut Kernel Quarter</v>
          </cell>
          <cell r="C1870" t="str">
            <v>RM</v>
          </cell>
          <cell r="D1870" t="str">
            <v>WALNUT</v>
          </cell>
          <cell r="E1870" t="str">
            <v>Walnut - Broken</v>
          </cell>
        </row>
        <row r="1871">
          <cell r="B1871" t="str">
            <v>Walnut Tukda</v>
          </cell>
          <cell r="C1871" t="str">
            <v>RM</v>
          </cell>
          <cell r="D1871" t="str">
            <v>WALNUT</v>
          </cell>
          <cell r="E1871" t="str">
            <v>Walnut - Broken</v>
          </cell>
        </row>
        <row r="1872">
          <cell r="B1872" t="str">
            <v>Carnival Classic Walnut Quarter 250 Gms</v>
          </cell>
          <cell r="C1872" t="str">
            <v>FG</v>
          </cell>
          <cell r="D1872" t="str">
            <v>WALNUT</v>
          </cell>
          <cell r="E1872" t="str">
            <v>Walnut - Broken</v>
          </cell>
        </row>
        <row r="1873">
          <cell r="B1873" t="str">
            <v>Chilean Walnut Kernel Quarter BBQ</v>
          </cell>
          <cell r="C1873" t="str">
            <v>FG</v>
          </cell>
          <cell r="D1873" t="str">
            <v>WALNUT</v>
          </cell>
          <cell r="E1873" t="str">
            <v>Walnut - Broken</v>
          </cell>
        </row>
        <row r="1874">
          <cell r="B1874" t="str">
            <v>Chilean Walnut Kernel Quarter caramel</v>
          </cell>
          <cell r="C1874" t="str">
            <v>FG</v>
          </cell>
          <cell r="D1874" t="str">
            <v>WALNUT</v>
          </cell>
          <cell r="E1874" t="str">
            <v>Walnut - Broken</v>
          </cell>
        </row>
        <row r="1875">
          <cell r="B1875" t="str">
            <v>Chilean Walnut Kernel Quarter lemon pepper</v>
          </cell>
          <cell r="C1875" t="str">
            <v>FG</v>
          </cell>
          <cell r="D1875" t="str">
            <v>WALNUT</v>
          </cell>
          <cell r="E1875" t="str">
            <v>Walnut - Broken</v>
          </cell>
        </row>
        <row r="1876">
          <cell r="B1876" t="str">
            <v>Chilean Walnut Kernel Quarter pepper</v>
          </cell>
          <cell r="C1876" t="str">
            <v>FG</v>
          </cell>
          <cell r="D1876" t="str">
            <v>WALNUT</v>
          </cell>
          <cell r="E1876" t="str">
            <v>Walnut - Broken</v>
          </cell>
        </row>
        <row r="1877">
          <cell r="B1877" t="str">
            <v>Chilean Walnut Kernel Quarter peri peri</v>
          </cell>
          <cell r="C1877" t="str">
            <v>FG</v>
          </cell>
          <cell r="D1877" t="str">
            <v>WALNUT</v>
          </cell>
          <cell r="E1877" t="str">
            <v>Walnut - Broken</v>
          </cell>
        </row>
        <row r="1878">
          <cell r="B1878" t="str">
            <v>Ez Walnut Broken Loose</v>
          </cell>
          <cell r="C1878" t="str">
            <v>FG</v>
          </cell>
          <cell r="D1878" t="str">
            <v>WALNUT</v>
          </cell>
          <cell r="E1878" t="str">
            <v>Walnut - Broken</v>
          </cell>
        </row>
        <row r="1879">
          <cell r="B1879" t="str">
            <v>FABSTA Walnut Split 100gm</v>
          </cell>
          <cell r="C1879" t="str">
            <v>FG</v>
          </cell>
          <cell r="D1879" t="str">
            <v>WALNUT</v>
          </cell>
          <cell r="E1879" t="str">
            <v>Walnut - Broken</v>
          </cell>
        </row>
        <row r="1880">
          <cell r="B1880" t="str">
            <v>FABSTA WALNUT SPLIT 250G</v>
          </cell>
          <cell r="C1880" t="str">
            <v>FG</v>
          </cell>
          <cell r="D1880" t="str">
            <v>WALNUT</v>
          </cell>
          <cell r="E1880" t="str">
            <v>Walnut - Broken</v>
          </cell>
        </row>
        <row r="1881">
          <cell r="B1881" t="str">
            <v>Fabsta Walnut Split 500g</v>
          </cell>
          <cell r="C1881" t="str">
            <v>FG</v>
          </cell>
          <cell r="D1881" t="str">
            <v>WALNUT</v>
          </cell>
          <cell r="E1881" t="str">
            <v>Walnut - Broken</v>
          </cell>
        </row>
        <row r="1882">
          <cell r="B1882" t="str">
            <v>Solimo Premium Walnut Kernels - Broken 500g B07LF8HCLL</v>
          </cell>
          <cell r="C1882" t="str">
            <v>FG</v>
          </cell>
          <cell r="D1882" t="str">
            <v>WALNUT</v>
          </cell>
          <cell r="E1882" t="str">
            <v>Walnut - Broken</v>
          </cell>
        </row>
        <row r="1883">
          <cell r="B1883" t="str">
            <v>Solimo Walnut Kernels – Broken 500g (Pack of 2) B07LFJZR4G</v>
          </cell>
          <cell r="C1883" t="str">
            <v>FG</v>
          </cell>
          <cell r="D1883" t="str">
            <v>WALNUT</v>
          </cell>
          <cell r="E1883" t="str">
            <v>Walnut - Broken</v>
          </cell>
        </row>
        <row r="1884">
          <cell r="B1884" t="str">
            <v>Walnut Flavoured Salt &amp; Pepper (Quarters) Loose</v>
          </cell>
          <cell r="C1884" t="str">
            <v>FG</v>
          </cell>
          <cell r="D1884" t="str">
            <v>WALNUT</v>
          </cell>
          <cell r="E1884" t="str">
            <v>Walnut - Broken</v>
          </cell>
        </row>
        <row r="1885">
          <cell r="B1885" t="str">
            <v>California Walnut Inshell</v>
          </cell>
          <cell r="C1885" t="str">
            <v>RM</v>
          </cell>
          <cell r="D1885" t="str">
            <v>WALNUT</v>
          </cell>
          <cell r="E1885" t="str">
            <v>Walnut - Inshell</v>
          </cell>
        </row>
        <row r="1886">
          <cell r="B1886" t="str">
            <v>Chilean Walnut Inshell</v>
          </cell>
          <cell r="C1886" t="str">
            <v>RM</v>
          </cell>
          <cell r="D1886" t="str">
            <v>WALNUT</v>
          </cell>
          <cell r="E1886" t="str">
            <v>Walnut - Inshell</v>
          </cell>
        </row>
        <row r="1887">
          <cell r="B1887" t="str">
            <v>Ha Walnut Whole 500g(1350935)</v>
          </cell>
          <cell r="C1887" t="str">
            <v>FG</v>
          </cell>
          <cell r="D1887" t="str">
            <v>WALNUT</v>
          </cell>
          <cell r="E1887" t="str">
            <v>Walnut - Inshell</v>
          </cell>
        </row>
        <row r="1888">
          <cell r="B1888" t="str">
            <v>NB WALNUTS CHILEAN INSHELL LOOSE /P</v>
          </cell>
          <cell r="C1888" t="str">
            <v>FG</v>
          </cell>
          <cell r="D1888" t="str">
            <v>WALNUT</v>
          </cell>
          <cell r="E1888" t="str">
            <v>Walnut - Inshell</v>
          </cell>
        </row>
        <row r="1889">
          <cell r="B1889" t="str">
            <v>Vedaka Premium Inshell Walnuts 500g (Pack of 2)B07MSXKDNQ</v>
          </cell>
          <cell r="C1889" t="str">
            <v>FG</v>
          </cell>
          <cell r="D1889" t="str">
            <v>WALNUT</v>
          </cell>
          <cell r="E1889" t="str">
            <v>Walnut - Inshell</v>
          </cell>
        </row>
        <row r="1890">
          <cell r="B1890" t="str">
            <v>Vedaka Premium Inshell Walnuts 500g(B07LFJZR46)</v>
          </cell>
          <cell r="C1890" t="str">
            <v>FG</v>
          </cell>
          <cell r="D1890" t="str">
            <v>WALNUT</v>
          </cell>
          <cell r="E1890" t="str">
            <v>Walnut - Inshell</v>
          </cell>
        </row>
        <row r="1891">
          <cell r="B1891" t="str">
            <v>California Walnut Kernels 2pc</v>
          </cell>
          <cell r="C1891" t="str">
            <v>RM</v>
          </cell>
          <cell r="D1891" t="str">
            <v>WALNUT</v>
          </cell>
          <cell r="E1891" t="str">
            <v>Walnut - Kernel</v>
          </cell>
        </row>
        <row r="1892">
          <cell r="B1892" t="str">
            <v>Chilean Walnut Kernel 2 pcs</v>
          </cell>
          <cell r="C1892" t="str">
            <v>RM</v>
          </cell>
          <cell r="D1892" t="str">
            <v>WALNUT</v>
          </cell>
          <cell r="E1892" t="str">
            <v>Walnut - Kernel</v>
          </cell>
        </row>
        <row r="1893">
          <cell r="B1893" t="str">
            <v>Kashmiri Walnut Kernels</v>
          </cell>
          <cell r="C1893" t="str">
            <v>RM</v>
          </cell>
          <cell r="D1893" t="str">
            <v>WALNUT</v>
          </cell>
          <cell r="E1893" t="str">
            <v>Walnut - Kernel</v>
          </cell>
        </row>
        <row r="1894">
          <cell r="B1894" t="str">
            <v>CA WALNUT CHILE (VACUUM PACKING)250GM /P</v>
          </cell>
          <cell r="C1894" t="str">
            <v>FG</v>
          </cell>
          <cell r="D1894" t="str">
            <v>WALNUT</v>
          </cell>
          <cell r="E1894" t="str">
            <v>Walnut - Kernel</v>
          </cell>
        </row>
        <row r="1895">
          <cell r="B1895" t="str">
            <v>Cafe Galleria Walnut Kernel 250g</v>
          </cell>
          <cell r="C1895" t="str">
            <v>FG</v>
          </cell>
          <cell r="D1895" t="str">
            <v>WALNUT</v>
          </cell>
          <cell r="E1895" t="str">
            <v>Walnut - Kernel</v>
          </cell>
        </row>
        <row r="1896">
          <cell r="B1896" t="str">
            <v>Carnival Caramel Sesame Walnut 150g</v>
          </cell>
          <cell r="C1896" t="str">
            <v>FG</v>
          </cell>
          <cell r="D1896" t="str">
            <v>WALNUT</v>
          </cell>
          <cell r="E1896" t="str">
            <v>Walnut - Kernel</v>
          </cell>
        </row>
        <row r="1897">
          <cell r="B1897" t="str">
            <v>Carnival Caramel Sesame Walnut 70g</v>
          </cell>
          <cell r="C1897" t="str">
            <v>FG</v>
          </cell>
          <cell r="D1897" t="str">
            <v>WALNUT</v>
          </cell>
          <cell r="E1897" t="str">
            <v>Walnut - Kernel</v>
          </cell>
        </row>
        <row r="1898">
          <cell r="B1898" t="str">
            <v>Carnival Choco Orange Walnut 150gm</v>
          </cell>
          <cell r="C1898" t="str">
            <v>FG</v>
          </cell>
          <cell r="D1898" t="str">
            <v>WALNUT</v>
          </cell>
          <cell r="E1898" t="str">
            <v>Walnut - Kernel</v>
          </cell>
        </row>
        <row r="1899">
          <cell r="B1899" t="str">
            <v>Carnival Peri Peri Walnut 150g</v>
          </cell>
          <cell r="C1899" t="str">
            <v>FG</v>
          </cell>
          <cell r="D1899" t="str">
            <v>WALNUT</v>
          </cell>
          <cell r="E1899" t="str">
            <v>Walnut - Kernel</v>
          </cell>
        </row>
        <row r="1900">
          <cell r="B1900" t="str">
            <v>Carnival Premium Walnut Kernels 250 Gms</v>
          </cell>
          <cell r="C1900" t="str">
            <v>FG</v>
          </cell>
          <cell r="D1900" t="str">
            <v>WALNUT</v>
          </cell>
          <cell r="E1900" t="str">
            <v>Walnut - Kernel</v>
          </cell>
        </row>
        <row r="1901">
          <cell r="B1901" t="str">
            <v>Carnival Salt &amp; Pepper Walnut 150g</v>
          </cell>
          <cell r="C1901" t="str">
            <v>FG</v>
          </cell>
          <cell r="D1901" t="str">
            <v>WALNUT</v>
          </cell>
          <cell r="E1901" t="str">
            <v>Walnut - Kernel</v>
          </cell>
        </row>
        <row r="1902">
          <cell r="B1902" t="str">
            <v>Carnival Walnut Kernal 2pc 200gm</v>
          </cell>
          <cell r="C1902" t="str">
            <v>FG</v>
          </cell>
          <cell r="D1902" t="str">
            <v>WALNUT</v>
          </cell>
          <cell r="E1902" t="str">
            <v>Walnut - Kernel</v>
          </cell>
        </row>
        <row r="1903">
          <cell r="B1903" t="str">
            <v>Chilean  Walnut Kernel 2pc 230g</v>
          </cell>
          <cell r="C1903" t="str">
            <v>FG</v>
          </cell>
          <cell r="D1903" t="str">
            <v>WALNUT</v>
          </cell>
          <cell r="E1903" t="str">
            <v>Walnut - Kernel</v>
          </cell>
        </row>
        <row r="1904">
          <cell r="B1904" t="str">
            <v>Ez Chilean Walnut Giri Regular Loose</v>
          </cell>
          <cell r="C1904" t="str">
            <v>FG</v>
          </cell>
          <cell r="D1904" t="str">
            <v>WALNUT</v>
          </cell>
          <cell r="E1904" t="str">
            <v>Walnut - Kernel</v>
          </cell>
        </row>
        <row r="1905">
          <cell r="B1905" t="str">
            <v>Ez Chilean Walnut Giri Small Loose (1459038)</v>
          </cell>
          <cell r="C1905" t="str">
            <v>FG</v>
          </cell>
          <cell r="D1905" t="str">
            <v>WALNUT</v>
          </cell>
          <cell r="E1905" t="str">
            <v>Walnut - Kernel</v>
          </cell>
        </row>
        <row r="1906">
          <cell r="B1906" t="str">
            <v>Ez Walnut Whole Loose</v>
          </cell>
          <cell r="C1906" t="str">
            <v>FG</v>
          </cell>
          <cell r="D1906" t="str">
            <v>WALNUT</v>
          </cell>
          <cell r="E1906" t="str">
            <v>Walnut - Kernel</v>
          </cell>
        </row>
        <row r="1907">
          <cell r="B1907" t="str">
            <v>Ha Walnut Kernal 250g(1340542)</v>
          </cell>
          <cell r="C1907" t="str">
            <v>FG</v>
          </cell>
          <cell r="D1907" t="str">
            <v>WALNUT</v>
          </cell>
          <cell r="E1907" t="str">
            <v>Walnut - Kernel</v>
          </cell>
        </row>
        <row r="1908">
          <cell r="B1908" t="str">
            <v>Ha Walnut Kernal 500g(1350930)</v>
          </cell>
          <cell r="C1908" t="str">
            <v>FG</v>
          </cell>
          <cell r="D1908" t="str">
            <v>WALNUT</v>
          </cell>
          <cell r="E1908" t="str">
            <v>Walnut - Kernel</v>
          </cell>
        </row>
        <row r="1909">
          <cell r="B1909" t="str">
            <v>NB WALNUTS CHILEAN LOOSE</v>
          </cell>
          <cell r="C1909" t="str">
            <v>FG</v>
          </cell>
          <cell r="D1909" t="str">
            <v>WALNUT</v>
          </cell>
          <cell r="E1909" t="str">
            <v>Walnut - Kernel</v>
          </cell>
        </row>
        <row r="1910">
          <cell r="B1910" t="str">
            <v>Snackania California Walnut Kernel 800g</v>
          </cell>
          <cell r="C1910" t="str">
            <v>FG</v>
          </cell>
          <cell r="D1910" t="str">
            <v>WALNUT</v>
          </cell>
          <cell r="E1910" t="str">
            <v>Walnut - Kernel</v>
          </cell>
        </row>
        <row r="1911">
          <cell r="B1911" t="str">
            <v>Snackania Chile Walnut Kernel 230g</v>
          </cell>
          <cell r="C1911" t="str">
            <v>FG</v>
          </cell>
          <cell r="D1911" t="str">
            <v>WALNUT</v>
          </cell>
          <cell r="E1911" t="str">
            <v>Walnut - Kernel</v>
          </cell>
        </row>
        <row r="1912">
          <cell r="B1912" t="str">
            <v>Snackania Chile Walnut Kernel 800g</v>
          </cell>
          <cell r="C1912" t="str">
            <v>FG</v>
          </cell>
          <cell r="D1912" t="str">
            <v>WALNUT</v>
          </cell>
          <cell r="E1912" t="str">
            <v>Walnut - Kernel</v>
          </cell>
        </row>
        <row r="1913">
          <cell r="B1913" t="str">
            <v>Solimo Premium Walnut Kernal 250g (B0754LKDJ4)</v>
          </cell>
          <cell r="C1913" t="str">
            <v>FG</v>
          </cell>
          <cell r="D1913" t="str">
            <v>WALNUT</v>
          </cell>
          <cell r="E1913" t="str">
            <v>Walnut - Kernel</v>
          </cell>
        </row>
        <row r="1914">
          <cell r="B1914" t="str">
            <v>Solimo Premium Walnut Kernels 500g (B07LFH2JNR)</v>
          </cell>
          <cell r="C1914" t="str">
            <v>FG</v>
          </cell>
          <cell r="D1914" t="str">
            <v>WALNUT</v>
          </cell>
          <cell r="E1914" t="str">
            <v>Walnut - Kernel</v>
          </cell>
        </row>
        <row r="1915">
          <cell r="B1915" t="str">
            <v>Solimo Premium Walnut Kernels 500g (Pack of 2) B07LF8HGDB</v>
          </cell>
          <cell r="C1915" t="str">
            <v>FG</v>
          </cell>
          <cell r="D1915" t="str">
            <v>WALNUT</v>
          </cell>
          <cell r="E1915" t="str">
            <v>Walnut - Kernel</v>
          </cell>
        </row>
        <row r="1916">
          <cell r="B1916" t="str">
            <v>NB ROASTED MACADAMIA INSHELL LOOSE (1431996)</v>
          </cell>
          <cell r="C1916" t="str">
            <v>FG</v>
          </cell>
          <cell r="D1916" t="str">
            <v>PREMIUM NUTS</v>
          </cell>
          <cell r="E1916" t="str">
            <v>Macadamia Nuts</v>
          </cell>
        </row>
        <row r="1917">
          <cell r="B1917" t="str">
            <v>Khalas milk coated dates (Ahlan)</v>
          </cell>
          <cell r="C1917" t="str">
            <v>FG</v>
          </cell>
          <cell r="D1917" t="str">
            <v>TRAIL MIX</v>
          </cell>
          <cell r="E1917" t="str">
            <v>Trail Mix</v>
          </cell>
        </row>
        <row r="1918">
          <cell r="B1918" t="str">
            <v>Flax seed date ball</v>
          </cell>
          <cell r="C1918" t="str">
            <v>FG</v>
          </cell>
          <cell r="D1918" t="str">
            <v>TRAIL MIX</v>
          </cell>
          <cell r="E1918" t="str">
            <v>Trail Mix</v>
          </cell>
        </row>
        <row r="1919">
          <cell r="B1919" t="str">
            <v>Fig Paste (Yash sir)</v>
          </cell>
          <cell r="C1919" t="str">
            <v>FG</v>
          </cell>
          <cell r="D1919" t="str">
            <v>ANJEER</v>
          </cell>
          <cell r="E1919" t="str">
            <v>Dried Figs</v>
          </cell>
        </row>
        <row r="1920">
          <cell r="B1920" t="str">
            <v>Dry Kokam Phool</v>
          </cell>
          <cell r="C1920" t="str">
            <v>RM</v>
          </cell>
          <cell r="D1920" t="str">
            <v>DEHYDRATED FRUITS</v>
          </cell>
          <cell r="E1920" t="str">
            <v>DF - Other</v>
          </cell>
        </row>
        <row r="1921">
          <cell r="B1921" t="str">
            <v>Organic Cinnamon-Samruddhi Organic</v>
          </cell>
          <cell r="D1921" t="str">
            <v>SPICES</v>
          </cell>
          <cell r="E1921" t="str">
            <v>Whole Spices</v>
          </cell>
        </row>
        <row r="1922">
          <cell r="B1922" t="str">
            <v>Smoke BBQ Coated Peanut</v>
          </cell>
          <cell r="C1922" t="str">
            <v>FG</v>
          </cell>
          <cell r="D1922" t="str">
            <v>PEANUTS</v>
          </cell>
          <cell r="E1922" t="str">
            <v>Peanut - Coated</v>
          </cell>
        </row>
        <row r="1923">
          <cell r="B1923" t="str">
            <v xml:space="preserve">SNACK MASALA MIX </v>
          </cell>
          <cell r="C1923" t="str">
            <v>FG</v>
          </cell>
          <cell r="D1923" t="str">
            <v>TRAIL MIX</v>
          </cell>
          <cell r="E1923" t="str">
            <v>Trail Mix</v>
          </cell>
        </row>
        <row r="1924">
          <cell r="B1924" t="str">
            <v>Udid dal</v>
          </cell>
          <cell r="C1924" t="str">
            <v>RM</v>
          </cell>
          <cell r="D1924" t="str">
            <v>MISCELLANEOUS - RM</v>
          </cell>
          <cell r="E1924" t="str">
            <v>Other Misc</v>
          </cell>
        </row>
        <row r="1925">
          <cell r="B1925" t="str">
            <v xml:space="preserve">Rhine Valley Barbeque Trail Mix </v>
          </cell>
          <cell r="C1925" t="str">
            <v>FG</v>
          </cell>
          <cell r="D1925" t="str">
            <v>TRAIL MIX</v>
          </cell>
          <cell r="E1925" t="str">
            <v>Trail Mix</v>
          </cell>
        </row>
        <row r="1926">
          <cell r="B1926" t="str">
            <v xml:space="preserve">Rhine Valley Black Pepper Trail Mix </v>
          </cell>
          <cell r="C1926" t="str">
            <v>FG</v>
          </cell>
          <cell r="D1926" t="str">
            <v>TRAIL MIX</v>
          </cell>
          <cell r="E1926" t="str">
            <v>Trail Mix</v>
          </cell>
        </row>
        <row r="1927">
          <cell r="B1927" t="str">
            <v xml:space="preserve">Rhine Valley Peri Peri Trail Mix </v>
          </cell>
          <cell r="C1927" t="str">
            <v>FG</v>
          </cell>
          <cell r="D1927" t="str">
            <v>TRAIL MIX</v>
          </cell>
          <cell r="E1927" t="str">
            <v>Trail Mix</v>
          </cell>
        </row>
        <row r="1928">
          <cell r="B1928" t="str">
            <v xml:space="preserve">Rhine Valley Himalayan Pink Salt Trail Mix </v>
          </cell>
          <cell r="C1928" t="str">
            <v>FG</v>
          </cell>
          <cell r="D1928" t="str">
            <v>TRAIL MIX</v>
          </cell>
          <cell r="E1928" t="str">
            <v>Trail Mix</v>
          </cell>
        </row>
        <row r="1929">
          <cell r="B1929" t="str">
            <v>Bluberry Powder</v>
          </cell>
          <cell r="C1929" t="str">
            <v>RM</v>
          </cell>
          <cell r="D1929" t="str">
            <v>MISCELLANEOUS - RM</v>
          </cell>
          <cell r="E1929" t="str">
            <v>Other Misc</v>
          </cell>
        </row>
        <row r="1930">
          <cell r="B1930" t="str">
            <v>PEPPER PEANUT</v>
          </cell>
          <cell r="C1930" t="str">
            <v>FG</v>
          </cell>
          <cell r="D1930" t="str">
            <v>PEANUTS</v>
          </cell>
          <cell r="E1930" t="str">
            <v>Peanut - Whole</v>
          </cell>
        </row>
        <row r="1931">
          <cell r="B1931" t="str">
            <v>Roasted salted peanuts</v>
          </cell>
          <cell r="C1931" t="str">
            <v>FG</v>
          </cell>
          <cell r="D1931" t="str">
            <v>PEANUTS</v>
          </cell>
          <cell r="E1931" t="str">
            <v>Peanut - Whole</v>
          </cell>
        </row>
        <row r="1932">
          <cell r="B1932" t="str">
            <v>5 GC dark chocolate</v>
          </cell>
          <cell r="C1932" t="str">
            <v>FG</v>
          </cell>
          <cell r="D1932" t="str">
            <v>BARS &amp; CEREALS</v>
          </cell>
          <cell r="E1932" t="str">
            <v>Cereal</v>
          </cell>
        </row>
        <row r="1933">
          <cell r="B1933" t="str">
            <v>Indian Raisin 210 G</v>
          </cell>
          <cell r="C1933" t="str">
            <v>FG</v>
          </cell>
          <cell r="D1933" t="str">
            <v>RAISIN</v>
          </cell>
          <cell r="E1933" t="str">
            <v>Raisin - Indian</v>
          </cell>
        </row>
        <row r="1934">
          <cell r="B1934" t="str">
            <v>Cashew Roasted Salted 210 G</v>
          </cell>
          <cell r="C1934" t="str">
            <v>FG</v>
          </cell>
          <cell r="D1934" t="str">
            <v>CASHEW</v>
          </cell>
          <cell r="E1934" t="str">
            <v>Cashew - Kernel</v>
          </cell>
        </row>
        <row r="1935">
          <cell r="B1935" t="str">
            <v xml:space="preserve">Honey Chipotle Coated Peanut </v>
          </cell>
          <cell r="C1935" t="str">
            <v>FG</v>
          </cell>
          <cell r="D1935" t="str">
            <v>PEANUTS</v>
          </cell>
          <cell r="E1935" t="str">
            <v>Peanut - Coated</v>
          </cell>
        </row>
        <row r="1936">
          <cell r="B1936" t="str">
            <v>Barbeque Coated Peanut</v>
          </cell>
          <cell r="C1936" t="str">
            <v>FG</v>
          </cell>
          <cell r="D1936" t="str">
            <v>PEANUTS</v>
          </cell>
          <cell r="E1936" t="str">
            <v>Peanut - Coated</v>
          </cell>
        </row>
        <row r="1937">
          <cell r="B1937" t="str">
            <v>Besan Laddu bite  (EMPL)</v>
          </cell>
          <cell r="C1937" t="str">
            <v>FG</v>
          </cell>
          <cell r="D1937" t="str">
            <v>BARS &amp; CEREALS</v>
          </cell>
          <cell r="E1937" t="str">
            <v>Bites</v>
          </cell>
        </row>
        <row r="1938">
          <cell r="B1938" t="str">
            <v>Coconut Laddubar Mini 9g (SEMI FINISHED)</v>
          </cell>
          <cell r="C1938" t="str">
            <v>FG</v>
          </cell>
          <cell r="D1938" t="str">
            <v>BARS &amp; CEREALS</v>
          </cell>
          <cell r="E1938" t="str">
            <v>Bites</v>
          </cell>
        </row>
        <row r="1939">
          <cell r="B1939" t="str">
            <v xml:space="preserve">Kamarkas laddu bar </v>
          </cell>
          <cell r="C1939" t="str">
            <v>FG</v>
          </cell>
          <cell r="D1939" t="str">
            <v>BARS &amp; CEREALS</v>
          </cell>
          <cell r="E1939" t="str">
            <v>Energy Bars</v>
          </cell>
        </row>
        <row r="1940">
          <cell r="B1940" t="str">
            <v>Cocoa Glazed chilli cashew</v>
          </cell>
          <cell r="C1940" t="str">
            <v>FG</v>
          </cell>
          <cell r="D1940" t="str">
            <v>CASHEW</v>
          </cell>
          <cell r="E1940" t="str">
            <v>Cashew - Kernel</v>
          </cell>
        </row>
        <row r="1941">
          <cell r="B1941" t="str">
            <v>Jaiphal (Nutmeg)</v>
          </cell>
          <cell r="C1941" t="str">
            <v>RM</v>
          </cell>
          <cell r="D1941" t="str">
            <v>SPICES</v>
          </cell>
          <cell r="E1941" t="str">
            <v>Whole Spices</v>
          </cell>
        </row>
        <row r="1942">
          <cell r="B1942" t="str">
            <v>White chocolate with rose almond dragees</v>
          </cell>
          <cell r="C1942" t="str">
            <v>FG</v>
          </cell>
          <cell r="D1942" t="str">
            <v>BARS &amp; CEREALS</v>
          </cell>
          <cell r="E1942" t="str">
            <v>Chocolate</v>
          </cell>
        </row>
        <row r="1943">
          <cell r="B1943" t="str">
            <v>White chocolate coated khalas date</v>
          </cell>
          <cell r="C1943" t="str">
            <v>FG</v>
          </cell>
          <cell r="D1943" t="str">
            <v>BARS &amp; CEREALS</v>
          </cell>
          <cell r="E1943" t="str">
            <v>Chocolate</v>
          </cell>
        </row>
        <row r="1944">
          <cell r="B1944" t="str">
            <v>Dark chocolate coated macademia</v>
          </cell>
          <cell r="C1944" t="str">
            <v>FG</v>
          </cell>
          <cell r="D1944" t="str">
            <v>BARS &amp; CEREALS</v>
          </cell>
          <cell r="E1944" t="str">
            <v>Chocolate</v>
          </cell>
        </row>
        <row r="1945">
          <cell r="B1945" t="str">
            <v>Dark chocolate coated pecan</v>
          </cell>
          <cell r="C1945" t="str">
            <v>FG</v>
          </cell>
          <cell r="D1945" t="str">
            <v>BARS &amp; CEREALS</v>
          </cell>
          <cell r="E1945" t="str">
            <v>Chocolate</v>
          </cell>
        </row>
        <row r="1946">
          <cell r="B1946" t="str">
            <v>PUDINA COATED KRACKNUT</v>
          </cell>
          <cell r="C1946" t="str">
            <v>FG</v>
          </cell>
          <cell r="D1946" t="str">
            <v>PEANUTS</v>
          </cell>
          <cell r="E1946" t="str">
            <v>Peanut - Coated</v>
          </cell>
        </row>
        <row r="1947">
          <cell r="B1947" t="str">
            <v xml:space="preserve">SMOKEY BBQ COATED PEANUT </v>
          </cell>
          <cell r="C1947" t="str">
            <v>FG</v>
          </cell>
          <cell r="D1947" t="str">
            <v>PEANUTS</v>
          </cell>
          <cell r="E1947" t="str">
            <v>Peanut - Coated</v>
          </cell>
        </row>
        <row r="1948">
          <cell r="B1948" t="str">
            <v xml:space="preserve">TANGY THAI COATED PEANUT </v>
          </cell>
          <cell r="C1948" t="str">
            <v>FG</v>
          </cell>
          <cell r="D1948" t="str">
            <v>PEANUTS</v>
          </cell>
          <cell r="E1948" t="str">
            <v>Peanut - Coated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6078.705175462965" createdVersion="8" refreshedVersion="8" minRefreshableVersion="3" recordCount="111" xr:uid="{F82711E3-FFD1-4429-8DEC-ED404D5A2F7B}">
  <cacheSource type="worksheet">
    <worksheetSource ref="A5:G116" sheet="Rack And Dock Area"/>
  </cacheSource>
  <cacheFields count="7">
    <cacheField name="S.No" numFmtId="0">
      <sharedItems containsString="0" containsBlank="1" containsNumber="1" containsInteger="1" minValue="1" maxValue="109"/>
    </cacheField>
    <cacheField name="Category (Group)" numFmtId="0">
      <sharedItems containsBlank="1"/>
    </cacheField>
    <cacheField name="Subcategory" numFmtId="0">
      <sharedItems containsBlank="1"/>
    </cacheField>
    <cacheField name="Item Description" numFmtId="0">
      <sharedItems count="39">
        <s v="BLACK CHIA SEEDS"/>
        <s v="CASHEW 320"/>
        <s v="FLAX SEEDS (ALSI)"/>
        <s v="RICE ATTA"/>
        <s v="SUGAR POWDER"/>
        <s v="WATER MELON SEED"/>
        <s v="PUMPKIN SEED ( 5% )"/>
        <s v="SUNFLOWER SEEDS"/>
        <s v="MAIZE STARCH"/>
        <s v="AMERICAN ALMONDS RUNNING 25-27 COUNT"/>
        <s v="WHEAT ATTA"/>
        <s v="CALIFORNIA PISTA INSHELL"/>
        <s v="AFGHAN BLACK RAISINS SEEDLESS 1*2"/>
        <s v="CARNIVAL ALMONDS 250 GM"/>
        <s v="PISTA MAGAZ SPLIT CALIFORNIA"/>
        <s v="AL BARAKAH PREMIUM SEEDLESS DATES 500G"/>
        <s v="CALIFORNIA PISTA INSHELL ROASTED AND SALTED"/>
        <s v="AL BARAKAH PREMIUM EMIRATES DATES 500G"/>
        <s v="NACHNI ATTA"/>
        <s v="Cocktail Mix"/>
        <s v="CITRIC ACID"/>
        <s v="BARBEQUE SEASONING"/>
        <s v="SUNFLOWER OIL"/>
        <s v="PALM OIL"/>
        <s v="GLUCOSE SYRUP / LIQUID GLUCOSE"/>
        <s v="REFINED FINE POWDER IODIZED SALT PRIME - TPL"/>
        <s v="CHATPATA SEASONING"/>
        <s v="CORN GRITS / MEAL"/>
        <s v="NUTS &amp; SEED MIX"/>
        <s v="PL CLASSIC DATES 500G"/>
        <s v="CASHEW TUKDA"/>
        <s v="CASHEW 400"/>
        <s v="CASHEW 240"/>
        <s v="CANOLA OIL"/>
        <s v="TURKEY APRICOT NO 3"/>
        <s v="HEALTHY CHOICE ROASTED SUNFLOWER SEEDS 200 G"/>
        <s v="INDIAN GREEN RAISINS"/>
        <s v="HEALTHY CHOICE ROASTED PUMPKIN SEEDS 200 G"/>
        <s v="HEALTHY CHOICE ROASTED PUMPKIN SEEDS 100 G"/>
      </sharedItems>
    </cacheField>
    <cacheField name="UOM (kg)" numFmtId="0">
      <sharedItems/>
    </cacheField>
    <cacheField name="Units" numFmtId="0">
      <sharedItems containsString="0" containsBlank="1" containsNumber="1" minValue="1" maxValue="5108"/>
    </cacheField>
    <cacheField name="Total Weight (kg)" numFmtId="0">
      <sharedItems containsSemiMixedTypes="0" containsString="0" containsNumber="1" minValue="1.5" maxValue="5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6078.705565046293" createdVersion="8" refreshedVersion="8" minRefreshableVersion="3" recordCount="43" xr:uid="{E741C826-7327-4B57-B281-128A72AB7CED}">
  <cacheSource type="worksheet">
    <worksheetSource ref="A5:G48" sheet="Production"/>
  </cacheSource>
  <cacheFields count="7">
    <cacheField name="S.No" numFmtId="0">
      <sharedItems containsString="0" containsBlank="1" containsNumber="1" containsInteger="1" minValue="1" maxValue="41"/>
    </cacheField>
    <cacheField name="Category (Group)" numFmtId="0">
      <sharedItems containsBlank="1"/>
    </cacheField>
    <cacheField name="Subcategory" numFmtId="0">
      <sharedItems containsBlank="1"/>
    </cacheField>
    <cacheField name="Item Description" numFmtId="0">
      <sharedItems count="40">
        <s v="COATED PEANUT BASE"/>
        <s v="SUNFLOWER SEEDS ROASTED"/>
        <s v="PUMPKIN SEEDS ROASTED"/>
        <s v="AMERICAN ALMONDS RUNNING 25-27 COUNT"/>
        <s v="DRIED GOJI BERRY"/>
        <s v="ROASTED &amp; SALTED ALMONDS"/>
        <s v="TURKEY APRICOT NO 3"/>
        <s v="INDIAN GREEN RAISINS"/>
        <s v="CHATPATA CRANBERRY"/>
        <s v="BLACK PEPPER CASHEW"/>
        <s v="BREAKFAST MIX BULK"/>
        <s v="SMOKED ALMONDS"/>
        <s v="GLUCOSE SYRUP / LIQUID GLUCOSE"/>
        <s v="ROASTED &amp; SALTED CASHEW"/>
        <s v="BLACK PEPPER SEASONING"/>
        <s v="PUDINA SEASONING"/>
        <s v="PINK SALT."/>
        <s v="URBAN PLATTER ARABIC GUM POWDER"/>
        <s v="ALMONDS KERNEL CUBE CUT"/>
        <s v="CASHEW TUKDA"/>
        <s v="PISTA KERNAL ROASTED AND SALTED"/>
        <s v="CHIPOTLE HONEY SEASONING"/>
        <s v="SMOKEY BBQ SEASONING"/>
        <s v="BARBEQUE SEASONING"/>
        <s v="CHILLI POWDER"/>
        <s v="SWEET THAI CHILLI SEASONING"/>
        <s v="CHATPATA SEASONING"/>
        <s v="PISTA KERNEL"/>
        <s v="DRIED BLUEBERRY"/>
        <s v="CASHEW 240"/>
        <s v="CASHEW 320"/>
        <s v="BLACK CHIA SEEDS"/>
        <s v="FLAX SEEDS (ALSI)"/>
        <s v="SIDCOT STARCH"/>
        <s v="PREGEFLO C100"/>
        <s v="REFINED FINE POWDER IODIZED SALT PRIME - TPL"/>
        <s v="PEANUTS"/>
        <s v="RICE ATTA"/>
        <s v="Black Raisin Seedless"/>
        <s v="Cocktail Mix"/>
      </sharedItems>
    </cacheField>
    <cacheField name="UOM (kg)" numFmtId="0">
      <sharedItems containsBlank="1"/>
    </cacheField>
    <cacheField name="Units" numFmtId="0">
      <sharedItems containsSemiMixedTypes="0" containsString="0" containsNumber="1" minValue="0.25" maxValue="617"/>
    </cacheField>
    <cacheField name="Total Weight (kg)" numFmtId="0">
      <sharedItems containsSemiMixedTypes="0" containsString="0" containsNumber="1" minValue="0.25" maxValue="6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6078.72894641204" createdVersion="8" refreshedVersion="8" minRefreshableVersion="3" recordCount="92" xr:uid="{FEC85607-35D9-4408-8948-F0D1841FD40F}">
  <cacheSource type="worksheet">
    <worksheetSource ref="A5:G97" sheet="Packing Area"/>
  </cacheSource>
  <cacheFields count="7">
    <cacheField name="S.No" numFmtId="0">
      <sharedItems containsString="0" containsBlank="1" containsNumber="1" containsInteger="1" minValue="1" maxValue="90"/>
    </cacheField>
    <cacheField name="Category (Group)" numFmtId="0">
      <sharedItems containsBlank="1"/>
    </cacheField>
    <cacheField name="Subcategory" numFmtId="0">
      <sharedItems containsBlank="1"/>
    </cacheField>
    <cacheField name="Item Description" numFmtId="0">
      <sharedItems count="67">
        <s v="WATERMELON SEEDS ROASTED"/>
        <s v="PUMPKIN SEED ( 5% )"/>
        <s v="CALIFORNIA PISTA INSHELL ROASTED AND SALTED"/>
        <s v="SUNFLOWER SEEDS ROASTED"/>
        <s v="BLACK CHIA SEEDS"/>
        <s v="AL BARAKAH PREMIUM EMIRATE DATE SEEDLESS 500GM"/>
        <s v="Al Barakah Emirates Dates 500 Gm"/>
        <s v="PL CLASSIC DATES 500G"/>
        <s v="HEALTHY CHOICE CHIA SEEDS 200 G"/>
        <s v="HEALTHY CHOICE ROASTED PUMPKIN SEEDS 200 G"/>
        <s v="HEALTHY CHOICE ROASTED SUNFLOWER SEEDS 200 G"/>
        <s v="HEALTHY CHOICE ROASTED WATERMELON SEEDS 200 G"/>
        <s v="HEALTHY CHOICE ROASTED WATERMELON SEEDS 100 G"/>
        <s v="PREMIA BREAKFAST MIX 100G (100005226)"/>
        <s v="PREMIA NUTS &amp; SEEDS MIX 100G (100005422)"/>
        <s v="PREMIA TRAIL MIX 100G (100005227)"/>
        <s v="PREMIA PRUNES 100GM"/>
        <s v="DRIED CRANBERRY 100GM"/>
        <s v="DRIED BLUEBERRY 100GM"/>
        <s v="QWIKSNAX CRANBERRIES CHTPTA MIX-30G"/>
        <s v="QWIKSNAX ALMONDS &amp; CASHEWS MIX-25G"/>
        <s v="ROYAL TRADITON SNACK MASALA MIX 100G"/>
        <s v="PREMIA CASHEW SALTED 100 GM"/>
        <s v="PREMIA CASHEW BLACK PEPPER 100 GM"/>
        <s v="PREMIA ALMOND SALTED 100 GM"/>
        <s v="PREMIA ALMONDS SMOKD-100G"/>
        <s v="PREMIA CHATPATA CRANBERRY 100GM"/>
        <s v="HEALTHY CHOICE ROASTED PUMPKIN SEEDS 100 G"/>
        <s v="HEALTHY CHOICE ROASTED SUNFLOWER SEEDS 100 G"/>
        <s v="GOOD LIFE ALMOND 500 G PP"/>
        <s v="HEALTHY CHOICE CHIA SEEDS 100 G"/>
        <s v="HEALTHY CHOICE 5 IN 1 SEEDS MIX BULK"/>
        <s v="NUTS &amp; SEED MIX"/>
        <s v="CHATPATA CRANBERRY"/>
        <s v="ROASTED &amp; SALTED CASHEW"/>
        <s v="CALIFORNIA PISTA INSHELL"/>
        <s v="AFGHAN MUNAKKA / ABJOSH 1X2"/>
        <s v="DRIED BLUEBERRY"/>
        <s v="DRIED CRANBERRY WHOLE"/>
        <s v="DRIED CRANBERRY SLICED"/>
        <s v="BREAKFAST MIX BULK"/>
        <s v="TRAIL MIX BULK"/>
        <s v="ROASTED &amp; SALTED ALMONDS"/>
        <s v="ANTIOXIDANT MIX 33GM"/>
        <s v="SEEDY SHEID- LIME CHILLY 33GM"/>
        <s v="BOOSTER BERRIES 33GM"/>
        <s v="GREENDOT COATED PEANUTS"/>
        <s v="SMOKEY BBQ COATED PEANUT "/>
        <s v="TANGY THAI COATED PEANUT "/>
        <s v="BLACK PEPPER CASHEW"/>
        <s v="NIMBU PUDINA MAKHANA"/>
        <s v="PERI PERI MAKHANA"/>
        <s v="TIKKA MASALA MAKHANA"/>
        <s v="HIMALAYAN SALT MAKHANA"/>
        <s v="CHEESE MAKHANA"/>
        <s v="CHATPATA SNACK MIX"/>
        <s v="SNACK MASALA MIX "/>
        <s v="PIZZA FLAVOURED COATED PEANUTS"/>
        <s v="MEXICAN FLAVOURED COATED PEANUTS"/>
        <s v="CHEESE TOMATO FLAVOURED COATED PEANUTS"/>
        <s v="KRACK NUT COATED PEANUTS THAI FIRANGI 1 KG"/>
        <s v="PUDINA COATED KRACKNUT"/>
        <s v="Healthy Choice 5 in 1 Seeds Mix 200gm"/>
        <s v="RT SNACKS MASALA MIX" u="1"/>
        <s v="HEALTHY CHOICE 5 IN 1 SEEDS MIX 100 G" u="1"/>
        <s v="AL BARAKAH PREMIUM ARABIAN DATES 500G" u="1"/>
        <s v="Pl Classic Date 500 g" u="1"/>
      </sharedItems>
    </cacheField>
    <cacheField name="UOM (kg)" numFmtId="0">
      <sharedItems containsBlank="1"/>
    </cacheField>
    <cacheField name="Units" numFmtId="0">
      <sharedItems containsSemiMixedTypes="0" containsString="0" containsNumber="1" minValue="0.8" maxValue="16150"/>
    </cacheField>
    <cacheField name="Total Weight (kg)" numFmtId="0">
      <sharedItems containsSemiMixedTypes="0" containsString="0" containsNumber="1" minValue="0.8" maxValue="1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6078.751780092593" createdVersion="8" refreshedVersion="8" minRefreshableVersion="3" recordCount="13" xr:uid="{1F5C2D97-6F5D-48AA-A95E-61A47D06123F}">
  <cacheSource type="worksheet">
    <worksheetSource ref="A5:G18" sheet="Rack rej"/>
  </cacheSource>
  <cacheFields count="7">
    <cacheField name="S.No" numFmtId="0">
      <sharedItems containsMixedTypes="1" containsNumber="1" containsInteger="1" minValue="1" maxValue="12"/>
    </cacheField>
    <cacheField name="Category (Group)" numFmtId="0">
      <sharedItems/>
    </cacheField>
    <cacheField name="Subcategory" numFmtId="0">
      <sharedItems/>
    </cacheField>
    <cacheField name="Item Description" numFmtId="0">
      <sharedItems count="3">
        <s v="CALIFORNIA PISTA INSHELL ROASTED AND SALTED"/>
        <s v="CALIFORNIA PISTA INSHELL"/>
        <s v=""/>
      </sharedItems>
    </cacheField>
    <cacheField name="UOM (kg)" numFmtId="0">
      <sharedItems/>
    </cacheField>
    <cacheField name="Units" numFmtId="0">
      <sharedItems containsSemiMixedTypes="0" containsString="0" containsNumber="1" minValue="149" maxValue="2970.9"/>
    </cacheField>
    <cacheField name="Total Weight (kg)" numFmtId="0">
      <sharedItems containsSemiMixedTypes="0" containsString="0" containsNumber="1" minValue="149" maxValue="297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6078.753722222224" createdVersion="8" refreshedVersion="8" minRefreshableVersion="3" recordCount="17" xr:uid="{A1926FD4-9F0B-4230-99CE-250424EBA7ED}">
  <cacheSource type="worksheet">
    <worksheetSource ref="A5:G22" sheet="Packing Off Grade"/>
  </cacheSource>
  <cacheFields count="7">
    <cacheField name="S.No" numFmtId="0">
      <sharedItems containsMixedTypes="1" containsNumber="1" containsInteger="1" minValue="1" maxValue="16"/>
    </cacheField>
    <cacheField name="Category (Group)" numFmtId="0">
      <sharedItems/>
    </cacheField>
    <cacheField name="Subcategory" numFmtId="0">
      <sharedItems/>
    </cacheField>
    <cacheField name="Item Description" numFmtId="0">
      <sharedItems count="16">
        <s v="PLAIN COATED PEANUTS"/>
        <s v="SMOKEY BBQ COATED PEANUT "/>
        <s v="Honey Chipotle Coated Peanut "/>
        <s v="ROASTED &amp; SALTED CASHEW"/>
        <s v="BLACK PEPPER CASHEW"/>
        <s v="AFGHAN MUNAKKA / ABJOSH 1X2"/>
        <s v="AFGHAN BLACK RAISINS SEEDLESS 1*2"/>
        <s v="ROASTED &amp; SALTED ALMONDS"/>
        <s v="PISTA KERNAL ROASTED AND SALTED"/>
        <s v="PISTA MAGAZ SPLIT CALIFORNIA"/>
        <s v="PISTA KERNEL"/>
        <s v="SUNFLOWER SEEDS"/>
        <s v="WATER MELON SEED"/>
        <s v="CALIFORNIA PISTA INSHELL"/>
        <s v="CALIFORNIA PISTA INSHELL ROASTED AND SALTED"/>
        <s v=""/>
      </sharedItems>
    </cacheField>
    <cacheField name="UOM (kg)" numFmtId="0">
      <sharedItems/>
    </cacheField>
    <cacheField name="Units" numFmtId="0">
      <sharedItems containsSemiMixedTypes="0" containsString="0" containsNumber="1" minValue="1.5" maxValue="829.94"/>
    </cacheField>
    <cacheField name="Total Weight (kg)" numFmtId="0">
      <sharedItems containsMixedTypes="1" containsNumber="1" minValue="1.5" maxValue="269.56" count="15">
        <n v="269.56"/>
        <n v="1.5"/>
        <n v="5.6"/>
        <n v="31.4"/>
        <n v="5.78"/>
        <n v="22.7"/>
        <n v="2.7"/>
        <n v="6.6"/>
        <n v="14.52"/>
        <n v="14.6"/>
        <n v="2.1"/>
        <n v="19.149999999999999"/>
        <n v="127.4"/>
        <n v="21"/>
        <s v="829.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HRITIK" refreshedDate="46078.758579976849" createdVersion="8" refreshedVersion="8" minRefreshableVersion="3" recordCount="142" xr:uid="{17F8D2B8-5255-4F02-9B7B-D7B4A42F967C}">
  <cacheSource type="worksheet">
    <worksheetSource ref="A1:F143" sheet="Cold Area"/>
  </cacheSource>
  <cacheFields count="6">
    <cacheField name="Category" numFmtId="0">
      <sharedItems/>
    </cacheField>
    <cacheField name="Subcategory" numFmtId="0">
      <sharedItems/>
    </cacheField>
    <cacheField name="Description" numFmtId="0">
      <sharedItems count="84">
        <s v="LIME CHILLI SEASONING"/>
        <s v="URBAN PLATTER CHIPOTLE SEASONING"/>
        <s v="SMOKED ALMONDS"/>
        <s v="PECANS NUTS INSHELL"/>
        <s v="KOKAM PHOOL"/>
        <s v="CRUNCHY CARAMEL TRAIL MIX"/>
        <s v="DRIED BLUEBERRY"/>
        <s v="PURE MAPLE SYRUP"/>
        <s v="DRIED ORANGE PEEL"/>
        <s v="DEHYDRATED MANGO"/>
        <s v="COCOA POWDER"/>
        <s v="CHILLI POWDER"/>
        <s v="DRIED GINGER POWDER - SAUNTH POWDER"/>
        <s v="COCKTAIL MIX"/>
        <s v="PISTA KERNEL"/>
        <s v="CHIPOTLE HONEY SEASONING"/>
        <s v="TANDOORI SEASONING"/>
        <s v="DRIED PRUNES (PITTED)"/>
        <s v="SMOKEY BBQ SEASONING"/>
        <s v="PIZZA SEASONING"/>
        <s v="CHILLI GARLIC MASALA SEASONING"/>
        <s v="ORANGE PEEL"/>
        <s v="ALMONDS KERNEL CUBE CUT"/>
        <s v="CASHEW KERNEL"/>
        <s v="ALMOND BLANCHED, WHOLE"/>
        <s v="HEMP SEEDS"/>
        <s v="PECAN NUTS"/>
        <s v="AFGHAN SHANDUKHANI GREEN RAISINS"/>
        <s v="CHATPATA CRANBERRY"/>
        <s v="EZ WALNUT WHOLE LOOSE"/>
        <s v="AFGHAN MUNAKKA / ABJOSH 1X2"/>
        <s v="AMERICAN ALMOND DOUBLE TONCH"/>
        <s v="WASABI SEASONING  AB343"/>
        <s v="MACADAMIA COMMERCIAL GRADE STYLE 4L"/>
        <s v="DRIED PINEAPPLE"/>
        <s v="CALIFORNIA PISTA INSHELL JUMBO"/>
        <s v="PERI PERI MARINATION SEASONING"/>
        <s v="DRIED GOJI BERRY"/>
        <s v="BARBEQUE SEASONING"/>
        <s v="CRANBERRY SLICE APPLE INFUSED"/>
        <s v="COATING MIX"/>
        <s v="DRIED MANGO POWDER - AMCHUR"/>
        <s v="MACADAMIA ROASTED - SIZE 4L"/>
        <s v="PAAN SEASONING AB319"/>
        <s v="SOUR CREAM AND ONION SEASONING"/>
        <s v="MACADAMIA KERNEL ( KG )"/>
        <s v="MACADAMIA ROASTED - SIZE 6"/>
        <s v="MACADAMIA ROASTED - SIZE 4"/>
        <s v="URBAN PLATTER SOYA CHAAP SEASONING"/>
        <s v="BLACK PEPPER POWDER"/>
        <s v="SWEET THAI CHILLI SEASONING"/>
        <s v="PUDINA SEASONING"/>
        <s v="DRIED BLUEBERRY APPLE INFUSED"/>
        <s v="DARK COMPOUND CHIPS"/>
        <s v="BLACK SALT, KALA NAMAK - CRYSTAL"/>
        <s v="CHAT MASALA MDH"/>
        <s v="DRY DATES-GRADE 2"/>
        <s v="AMERICAN ALMONDS KERNAL SANORA"/>
        <s v="GREEK DARK SEEDLESS RAISINS (BLACK CURRANT)"/>
        <s v="PISTA IRANI INSHELL ROASTED AND SALTED"/>
        <s v="LEMON PEPPER SEASONING"/>
        <s v="MAGIC MASALA SEASONING"/>
        <s v="CHATPATA SEASONING"/>
        <s v="PINK SALT."/>
        <s v="CHEESY TOMATO SEASONING 2 (PR01895/001)"/>
        <s v="URBAN PLATTER ARABIC GUM POWDER"/>
        <s v="DRIED CRANBERRY WHOLE"/>
        <s v="AL BARAKAH DATES SYRUP (400G PACKING)"/>
        <s v="PREGEFLO C100"/>
        <s v="SIDCOT STARCH"/>
        <s v="PUMPKIN SEED ( 5% )"/>
        <s v="DRIED CRANBERRY SLICED"/>
        <s v="WALNUT TUKDA"/>
        <s v="ANARDANA POWDER"/>
        <s v="AFGHAN BLACK RAISINS SEEDLESS 1*2"/>
        <s v="ORANGE SLICE / PIECES"/>
        <s v="NASURE 19"/>
        <s v="AMERICAN ALMONDS RUNNING 25-27 COUNT"/>
        <s v="ANARDANA CHURAN"/>
        <s v="10KG AL BARAKAH DATE POWDER V2"/>
        <s v="AL BARAKAH DATE SYRUP(1.15KG X 12)"/>
        <s v="HAZELNUT KERNAL"/>
        <s v="ROASTED BLANCHED PEANUT WHOLE"/>
        <s v="Kadipatta Seassoning" u="1"/>
      </sharedItems>
    </cacheField>
    <cacheField name="Package Size (kg)" numFmtId="0">
      <sharedItems/>
    </cacheField>
    <cacheField name="Units" numFmtId="0">
      <sharedItems containsSemiMixedTypes="0" containsString="0" containsNumber="1" containsInteger="1" minValue="1" maxValue="16500"/>
    </cacheField>
    <cacheField name="Total Weight (kg)" numFmtId="0">
      <sharedItems containsSemiMixedTypes="0" containsString="0" containsNumber="1" minValue="0.85" maxValue="16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"/>
    <s v="SEEDS"/>
    <s v="CHIA"/>
    <x v="0"/>
    <s v="1.000"/>
    <n v="540"/>
    <n v="540"/>
  </r>
  <r>
    <n v="2"/>
    <s v="CASHEW"/>
    <s v="CASHEW - KERNEL"/>
    <x v="1"/>
    <s v="1.000"/>
    <n v="360"/>
    <n v="360"/>
  </r>
  <r>
    <n v="3"/>
    <s v="SEEDS"/>
    <s v="FLAX"/>
    <x v="2"/>
    <s v="1.000"/>
    <n v="500"/>
    <n v="500"/>
  </r>
  <r>
    <n v="4"/>
    <s v="SEEDS"/>
    <s v="FLAX"/>
    <x v="2"/>
    <s v="1.000"/>
    <n v="500"/>
    <n v="500"/>
  </r>
  <r>
    <n v="5"/>
    <s v="MISCELLANEOUS - RM"/>
    <s v="FLOUR"/>
    <x v="3"/>
    <s v="1.000"/>
    <n v="400"/>
    <n v="400"/>
  </r>
  <r>
    <n v="6"/>
    <s v="SEEDS"/>
    <s v="CHIA"/>
    <x v="0"/>
    <s v="1.000"/>
    <n v="2000"/>
    <n v="2000"/>
  </r>
  <r>
    <n v="7"/>
    <s v="CASHEW"/>
    <s v="CASHEW - KERNEL"/>
    <x v="1"/>
    <s v="1.000"/>
    <n v="350"/>
    <n v="350"/>
  </r>
  <r>
    <n v="8"/>
    <s v="SEEDS"/>
    <s v="CHIA"/>
    <x v="0"/>
    <s v="1.000"/>
    <n v="500"/>
    <n v="500"/>
  </r>
  <r>
    <n v="9"/>
    <s v="MISCELLANEOUS - RM"/>
    <s v="OTHER MISC"/>
    <x v="4"/>
    <s v="1.000"/>
    <n v="200"/>
    <n v="200"/>
  </r>
  <r>
    <n v="10"/>
    <s v="SEEDS"/>
    <s v="WATERMELON"/>
    <x v="5"/>
    <s v="1.000"/>
    <n v="1400"/>
    <n v="1400"/>
  </r>
  <r>
    <n v="11"/>
    <s v="SEEDS"/>
    <s v="PUMPKIN"/>
    <x v="6"/>
    <s v="1.000"/>
    <n v="3600"/>
    <n v="3600"/>
  </r>
  <r>
    <n v="12"/>
    <s v="SEEDS"/>
    <s v="SUNFLOWER"/>
    <x v="7"/>
    <s v="1.000"/>
    <n v="900"/>
    <n v="900"/>
  </r>
  <r>
    <n v="13"/>
    <s v="SEEDS"/>
    <s v="PUMPKIN"/>
    <x v="6"/>
    <s v="1.000"/>
    <n v="975"/>
    <n v="975"/>
  </r>
  <r>
    <n v="14"/>
    <s v="SEEDS"/>
    <s v="CHIA"/>
    <x v="0"/>
    <s v="1.000"/>
    <n v="500"/>
    <n v="500"/>
  </r>
  <r>
    <n v="15"/>
    <s v="SEEDS"/>
    <s v="PUMPKIN"/>
    <x v="6"/>
    <s v="1.000"/>
    <n v="400"/>
    <n v="400"/>
  </r>
  <r>
    <n v="16"/>
    <s v="SEEDS"/>
    <s v="SUNFLOWER"/>
    <x v="7"/>
    <s v="1.000"/>
    <n v="900"/>
    <n v="900"/>
  </r>
  <r>
    <n v="17"/>
    <s v="TAJIR"/>
    <s v="TAJIR - OTHER"/>
    <x v="8"/>
    <s v="1.000"/>
    <n v="500"/>
    <n v="500"/>
  </r>
  <r>
    <n v="18"/>
    <s v="SEEDS"/>
    <s v="SUNFLOWER"/>
    <x v="7"/>
    <s v="1.000"/>
    <n v="450"/>
    <n v="450"/>
  </r>
  <r>
    <n v="19"/>
    <s v="SEEDS"/>
    <s v="FLAX"/>
    <x v="2"/>
    <s v="1.000"/>
    <n v="1250"/>
    <n v="1250"/>
  </r>
  <r>
    <n v="20"/>
    <s v="SEEDS"/>
    <s v="SUNFLOWER"/>
    <x v="7"/>
    <s v="1.000"/>
    <n v="450"/>
    <n v="450"/>
  </r>
  <r>
    <n v="21"/>
    <s v="SEEDS"/>
    <s v="CHIA"/>
    <x v="0"/>
    <s v="1.000"/>
    <n v="500"/>
    <n v="500"/>
  </r>
  <r>
    <n v="22"/>
    <s v="SEEDS"/>
    <s v="SUNFLOWER"/>
    <x v="7"/>
    <s v="1.000"/>
    <n v="900"/>
    <n v="900"/>
  </r>
  <r>
    <n v="23"/>
    <s v="SEEDS"/>
    <s v="WATERMELON"/>
    <x v="5"/>
    <s v="1.000"/>
    <n v="2400"/>
    <n v="2400"/>
  </r>
  <r>
    <n v="24"/>
    <s v="SEEDS"/>
    <s v="SUNFLOWER"/>
    <x v="7"/>
    <s v="1.000"/>
    <n v="450"/>
    <n v="450"/>
  </r>
  <r>
    <n v="25"/>
    <s v="SEEDS"/>
    <s v="PUMPKIN"/>
    <x v="6"/>
    <s v="1.000"/>
    <n v="900"/>
    <n v="900"/>
  </r>
  <r>
    <n v="26"/>
    <s v="SEEDS"/>
    <s v="CHIA"/>
    <x v="0"/>
    <s v="1.000"/>
    <n v="1000"/>
    <n v="1000"/>
  </r>
  <r>
    <n v="27"/>
    <s v="SEEDS"/>
    <s v="SUNFLOWER"/>
    <x v="7"/>
    <s v="1.000"/>
    <n v="450"/>
    <n v="450"/>
  </r>
  <r>
    <n v="28"/>
    <s v="SEEDS"/>
    <s v="PUMPKIN"/>
    <x v="6"/>
    <s v="1.000"/>
    <n v="1050"/>
    <n v="1050"/>
  </r>
  <r>
    <n v="29"/>
    <s v="ALMOND"/>
    <s v="ALMOND - KERNELS"/>
    <x v="9"/>
    <s v="1.000"/>
    <n v="360"/>
    <n v="360"/>
  </r>
  <r>
    <n v="30"/>
    <s v="TAJIR"/>
    <s v="TAJIR - OTHER"/>
    <x v="10"/>
    <s v="1.000"/>
    <n v="480"/>
    <n v="480"/>
  </r>
  <r>
    <n v="31"/>
    <s v="SEEDS"/>
    <s v="CHIA"/>
    <x v="0"/>
    <s v="1.000"/>
    <n v="500"/>
    <n v="500"/>
  </r>
  <r>
    <n v="32"/>
    <s v="SEEDS"/>
    <s v="PUMPKIN"/>
    <x v="6"/>
    <s v="1.000"/>
    <n v="150"/>
    <n v="150"/>
  </r>
  <r>
    <n v="33"/>
    <s v="SEEDS"/>
    <s v="CHIA"/>
    <x v="0"/>
    <s v="1.000"/>
    <n v="500"/>
    <n v="500"/>
  </r>
  <r>
    <n v="34"/>
    <s v="SEEDS"/>
    <s v="CHIA"/>
    <x v="0"/>
    <s v="1.000"/>
    <n v="500"/>
    <n v="500"/>
  </r>
  <r>
    <n v="35"/>
    <s v="SEEDS"/>
    <s v="SUNFLOWER"/>
    <x v="7"/>
    <s v="1.000"/>
    <n v="450"/>
    <n v="450"/>
  </r>
  <r>
    <n v="36"/>
    <s v="SEEDS"/>
    <s v="SUNFLOWER"/>
    <x v="7"/>
    <s v="1.000"/>
    <n v="2700"/>
    <n v="2700"/>
  </r>
  <r>
    <n v="37"/>
    <s v="PISTA"/>
    <s v="PISTA - INSHELL"/>
    <x v="11"/>
    <s v="1.000"/>
    <n v="3356.64"/>
    <n v="3356.64"/>
  </r>
  <r>
    <n v="38"/>
    <s v="RAISIN"/>
    <s v="RAISIN - BLACK"/>
    <x v="12"/>
    <s v="1.000"/>
    <n v="285"/>
    <n v="285"/>
  </r>
  <r>
    <n v="39"/>
    <s v="ALMOND"/>
    <s v="ALMOND - KERNELS"/>
    <x v="13"/>
    <s v="0.250"/>
    <n v="6"/>
    <n v="1.5"/>
  </r>
  <r>
    <n v="40"/>
    <s v="PISTA"/>
    <s v="PISTA - KERNEL"/>
    <x v="14"/>
    <s v="1.000"/>
    <n v="45"/>
    <n v="45"/>
  </r>
  <r>
    <n v="41"/>
    <s v="DATES"/>
    <s v="SEEDLESS"/>
    <x v="15"/>
    <s v="0.500"/>
    <n v="1456"/>
    <n v="728"/>
  </r>
  <r>
    <n v="42"/>
    <s v="SEEDS"/>
    <s v="PUMPKIN"/>
    <x v="6"/>
    <s v="1.000"/>
    <n v="2375"/>
    <n v="2375"/>
  </r>
  <r>
    <n v="43"/>
    <s v="DATES"/>
    <s v="SEEDLESS"/>
    <x v="15"/>
    <s v="0.500"/>
    <n v="768"/>
    <n v="384"/>
  </r>
  <r>
    <n v="44"/>
    <s v="ALMOND"/>
    <s v="ALMOND - KERNELS"/>
    <x v="9"/>
    <s v="1.000"/>
    <n v="64.5"/>
    <n v="64.5"/>
  </r>
  <r>
    <n v="45"/>
    <s v="PISTA"/>
    <s v="PISTA - INSHELL"/>
    <x v="16"/>
    <s v="1.000"/>
    <n v="7"/>
    <n v="7"/>
  </r>
  <r>
    <n v="46"/>
    <s v="DATES"/>
    <s v="EMIRATES"/>
    <x v="17"/>
    <s v="0.500"/>
    <n v="1456"/>
    <n v="728"/>
  </r>
  <r>
    <n v="47"/>
    <s v="DATES"/>
    <s v="SEEDLESS"/>
    <x v="15"/>
    <s v="0.500"/>
    <n v="432"/>
    <n v="216"/>
  </r>
  <r>
    <n v="48"/>
    <s v="SEEDS"/>
    <s v="CHIA"/>
    <x v="0"/>
    <s v="1.000"/>
    <n v="500"/>
    <n v="500"/>
  </r>
  <r>
    <n v="49"/>
    <s v="SEEDS"/>
    <s v="SUNFLOWER"/>
    <x v="7"/>
    <s v="1.000"/>
    <n v="150"/>
    <n v="150"/>
  </r>
  <r>
    <n v="50"/>
    <s v="SEEDS"/>
    <s v="CHIA"/>
    <x v="0"/>
    <s v="1.000"/>
    <n v="500"/>
    <n v="500"/>
  </r>
  <r>
    <n v="51"/>
    <s v="SEEDS"/>
    <s v="PUMPKIN"/>
    <x v="6"/>
    <s v="1.000"/>
    <n v="450"/>
    <n v="450"/>
  </r>
  <r>
    <n v="52"/>
    <s v="SEEDS"/>
    <s v="SUNFLOWER"/>
    <x v="7"/>
    <s v="1.000"/>
    <n v="3150"/>
    <n v="3150"/>
  </r>
  <r>
    <n v="53"/>
    <s v="SEEDS"/>
    <s v="CHIA"/>
    <x v="0"/>
    <s v="1.000"/>
    <n v="500"/>
    <n v="500"/>
  </r>
  <r>
    <m/>
    <m/>
    <m/>
    <x v="10"/>
    <s v="1.000"/>
    <n v="1"/>
    <n v="29.7"/>
  </r>
  <r>
    <n v="54"/>
    <s v="MISCELLANEOUS - RM"/>
    <s v="FLOUR"/>
    <x v="18"/>
    <s v="1.000"/>
    <n v="30"/>
    <n v="30"/>
  </r>
  <r>
    <n v="55"/>
    <s v="RAISIN"/>
    <s v="RAISIN - BLACK"/>
    <x v="12"/>
    <s v="1.000"/>
    <n v="4.8"/>
    <n v="4.8"/>
  </r>
  <r>
    <m/>
    <m/>
    <m/>
    <x v="19"/>
    <s v="1.000"/>
    <m/>
    <n v="5.18"/>
  </r>
  <r>
    <n v="56"/>
    <s v="MISCELLANEOUS - RM"/>
    <s v="OTHER MISC"/>
    <x v="20"/>
    <s v="1.000"/>
    <n v="25"/>
    <n v="25"/>
  </r>
  <r>
    <n v="57"/>
    <s v="SEASONING"/>
    <s v="SEASONING"/>
    <x v="21"/>
    <s v="1.000"/>
    <n v="25"/>
    <n v="25"/>
  </r>
  <r>
    <n v="58"/>
    <s v="MISCELLANEOUS - RM"/>
    <s v="OTHER MISC"/>
    <x v="22"/>
    <s v="1.000"/>
    <n v="39"/>
    <n v="39"/>
  </r>
  <r>
    <n v="59"/>
    <s v="MISCELLANEOUS - RM"/>
    <s v="OTHER MISC"/>
    <x v="23"/>
    <s v="1.000"/>
    <n v="13"/>
    <n v="13"/>
  </r>
  <r>
    <n v="60"/>
    <s v="MISCELLANEOUS - RM"/>
    <s v="OTHER MISC"/>
    <x v="24"/>
    <s v="1.000"/>
    <n v="300"/>
    <n v="300"/>
  </r>
  <r>
    <n v="61"/>
    <s v="SALT"/>
    <s v="SALT"/>
    <x v="25"/>
    <s v="1.000"/>
    <n v="550"/>
    <n v="550"/>
  </r>
  <r>
    <n v="62"/>
    <s v="SEASONING"/>
    <s v="SEASONING"/>
    <x v="26"/>
    <s v="1.000"/>
    <n v="93.5"/>
    <n v="93.5"/>
  </r>
  <r>
    <n v="63"/>
    <s v="MISCELLANEOUS - RM"/>
    <s v="OTHER MISC"/>
    <x v="4"/>
    <s v="1.000"/>
    <n v="150"/>
    <n v="150"/>
  </r>
  <r>
    <n v="64"/>
    <s v="MISCELLANEOUS - RM"/>
    <s v="OTHER MISC"/>
    <x v="27"/>
    <s v="1.000"/>
    <n v="50"/>
    <n v="50"/>
  </r>
  <r>
    <n v="65"/>
    <s v="SEEDS"/>
    <s v="WATERMELON"/>
    <x v="5"/>
    <s v="1.000"/>
    <n v="250"/>
    <n v="250"/>
  </r>
  <r>
    <n v="66"/>
    <s v="TRAIL MIX"/>
    <s v="TRAIL MIX"/>
    <x v="28"/>
    <s v="1.000"/>
    <n v="5.18"/>
    <n v="5.18"/>
  </r>
  <r>
    <n v="67"/>
    <s v="DATES"/>
    <s v="SAYER"/>
    <x v="29"/>
    <s v="0.500"/>
    <n v="1008"/>
    <n v="504"/>
  </r>
  <r>
    <n v="68"/>
    <s v="DATES"/>
    <s v="SAYER"/>
    <x v="29"/>
    <s v="0.500"/>
    <n v="1008"/>
    <n v="504"/>
  </r>
  <r>
    <n v="69"/>
    <s v="SEEDS"/>
    <s v="CHIA"/>
    <x v="0"/>
    <s v="1.000"/>
    <n v="500"/>
    <n v="500"/>
  </r>
  <r>
    <n v="70"/>
    <s v="DATES"/>
    <s v="SAYER"/>
    <x v="29"/>
    <s v="0.500"/>
    <n v="880"/>
    <n v="440"/>
  </r>
  <r>
    <n v="71"/>
    <s v="SEEDS"/>
    <s v="CHIA"/>
    <x v="0"/>
    <s v="1.000"/>
    <n v="450"/>
    <n v="450"/>
  </r>
  <r>
    <n v="72"/>
    <s v="CASHEW"/>
    <s v="CASHEW - BROKEN"/>
    <x v="30"/>
    <s v="1.000"/>
    <n v="30"/>
    <n v="30"/>
  </r>
  <r>
    <n v="73"/>
    <s v="CASHEW"/>
    <s v="CASHEW - KERNEL"/>
    <x v="31"/>
    <s v="1.000"/>
    <n v="40"/>
    <n v="40"/>
  </r>
  <r>
    <n v="74"/>
    <s v="CASHEW"/>
    <s v="CASHEW - KERNEL"/>
    <x v="32"/>
    <s v="1.000"/>
    <n v="10"/>
    <n v="10"/>
  </r>
  <r>
    <n v="75"/>
    <s v="SEEDS"/>
    <s v="CHIA"/>
    <x v="0"/>
    <s v="1.000"/>
    <n v="500"/>
    <n v="500"/>
  </r>
  <r>
    <n v="76"/>
    <s v="ALMOND"/>
    <s v="ALMOND - KERNELS"/>
    <x v="9"/>
    <s v="1.000"/>
    <n v="360"/>
    <n v="360"/>
  </r>
  <r>
    <n v="77"/>
    <s v="ALMOND"/>
    <s v="ALMOND - KERNELS"/>
    <x v="9"/>
    <s v="1.000"/>
    <n v="360"/>
    <n v="360"/>
  </r>
  <r>
    <n v="78"/>
    <s v="SEEDS"/>
    <s v="CHIA"/>
    <x v="0"/>
    <s v="1.000"/>
    <n v="500"/>
    <n v="500"/>
  </r>
  <r>
    <n v="79"/>
    <s v="SEEDS"/>
    <s v="WATERMELON"/>
    <x v="5"/>
    <s v="1.000"/>
    <n v="500"/>
    <n v="500"/>
  </r>
  <r>
    <n v="80"/>
    <s v="SEEDS"/>
    <s v="SUNFLOWER"/>
    <x v="7"/>
    <s v="1.000"/>
    <n v="450"/>
    <n v="450"/>
  </r>
  <r>
    <n v="81"/>
    <s v="SEEDS"/>
    <s v="WATERMELON"/>
    <x v="5"/>
    <s v="1.000"/>
    <n v="500"/>
    <n v="500"/>
  </r>
  <r>
    <n v="82"/>
    <s v="ALMOND"/>
    <s v="ALMOND - KERNELS"/>
    <x v="9"/>
    <s v="1.000"/>
    <n v="360"/>
    <n v="360"/>
  </r>
  <r>
    <n v="83"/>
    <s v="SEEDS"/>
    <s v="PUMPKIN"/>
    <x v="6"/>
    <s v="1.000"/>
    <n v="2400"/>
    <n v="2400"/>
  </r>
  <r>
    <n v="84"/>
    <s v="SEEDS"/>
    <s v="SUNFLOWER"/>
    <x v="7"/>
    <s v="1.000"/>
    <n v="450"/>
    <n v="450"/>
  </r>
  <r>
    <n v="85"/>
    <s v="SEEDS"/>
    <s v="PUMPKIN"/>
    <x v="6"/>
    <s v="1.000"/>
    <n v="400"/>
    <n v="400"/>
  </r>
  <r>
    <n v="86"/>
    <s v="SEEDS"/>
    <s v="CHIA"/>
    <x v="0"/>
    <s v="1.000"/>
    <n v="500"/>
    <n v="500"/>
  </r>
  <r>
    <n v="87"/>
    <s v="SEEDS"/>
    <s v="FLAX"/>
    <x v="2"/>
    <s v="1.000"/>
    <n v="500"/>
    <n v="500"/>
  </r>
  <r>
    <n v="88"/>
    <s v="SEEDS"/>
    <s v="PUMPKIN"/>
    <x v="6"/>
    <s v="1.000"/>
    <n v="1050"/>
    <n v="1050"/>
  </r>
  <r>
    <n v="89"/>
    <s v="MISCELLANEOUS - RM"/>
    <s v="OTHER MISC"/>
    <x v="33"/>
    <s v="1.000"/>
    <n v="60"/>
    <n v="60"/>
  </r>
  <r>
    <n v="90"/>
    <s v="MISCELLANEOUS - RM"/>
    <s v="OTHER MISC"/>
    <x v="33"/>
    <s v="1.000"/>
    <n v="125"/>
    <n v="125"/>
  </r>
  <r>
    <n v="91"/>
    <s v="SEEDS"/>
    <s v="PUMPKIN"/>
    <x v="6"/>
    <s v="1.000"/>
    <n v="450"/>
    <n v="450"/>
  </r>
  <r>
    <n v="92"/>
    <s v="TAJIR"/>
    <s v="TAJIR - OTHER"/>
    <x v="10"/>
    <s v="1.000"/>
    <n v="510"/>
    <n v="510"/>
  </r>
  <r>
    <n v="93"/>
    <s v="TAJIR"/>
    <s v="TAJIR - OTHER"/>
    <x v="10"/>
    <s v="1.000"/>
    <n v="120"/>
    <n v="120"/>
  </r>
  <r>
    <n v="94"/>
    <s v="SEEDS"/>
    <s v="CHIA"/>
    <x v="0"/>
    <s v="1.000"/>
    <n v="1525"/>
    <n v="1525"/>
  </r>
  <r>
    <n v="95"/>
    <s v="PISTA"/>
    <s v="PISTA - INSHELL"/>
    <x v="11"/>
    <s v="1.000"/>
    <n v="5108"/>
    <n v="5108"/>
  </r>
  <r>
    <n v="96"/>
    <s v="SEEDS"/>
    <s v="PUMPKIN"/>
    <x v="6"/>
    <s v="1.000"/>
    <n v="100"/>
    <n v="100"/>
  </r>
  <r>
    <n v="97"/>
    <s v="APRICOT"/>
    <s v="APRICOT - TURKEY"/>
    <x v="34"/>
    <s v="1.000"/>
    <n v="250"/>
    <n v="250"/>
  </r>
  <r>
    <n v="98"/>
    <s v="DATES"/>
    <s v="SAYER"/>
    <x v="29"/>
    <s v="0.500"/>
    <n v="166"/>
    <n v="83"/>
  </r>
  <r>
    <n v="99"/>
    <s v="PISTA"/>
    <s v="PISTA - KERNEL"/>
    <x v="14"/>
    <s v="1.000"/>
    <n v="65"/>
    <n v="65"/>
  </r>
  <r>
    <n v="100"/>
    <s v="ALMOND"/>
    <s v="ALMOND - KERNELS"/>
    <x v="9"/>
    <s v="1.000"/>
    <n v="330"/>
    <n v="330"/>
  </r>
  <r>
    <n v="101"/>
    <s v="SEEDS"/>
    <s v="SUNFLOWER"/>
    <x v="35"/>
    <s v="0.200"/>
    <n v="50"/>
    <n v="10"/>
  </r>
  <r>
    <n v="102"/>
    <s v="RAISIN"/>
    <s v="RAISIN - INDIAN"/>
    <x v="36"/>
    <s v="1.000"/>
    <n v="10"/>
    <n v="10"/>
  </r>
  <r>
    <n v="103"/>
    <s v="PISTA"/>
    <s v="PISTA - INSHELL"/>
    <x v="16"/>
    <s v="1.000"/>
    <n v="8.4"/>
    <n v="8.4"/>
  </r>
  <r>
    <n v="104"/>
    <s v="SEEDS"/>
    <s v="SUNFLOWER"/>
    <x v="35"/>
    <s v="0.200"/>
    <n v="50"/>
    <n v="10"/>
  </r>
  <r>
    <n v="105"/>
    <s v="SEEDS"/>
    <s v="PUMPKIN"/>
    <x v="37"/>
    <s v="0.200"/>
    <n v="50"/>
    <n v="10"/>
  </r>
  <r>
    <n v="106"/>
    <s v="SEEDS"/>
    <s v="PUMPKIN"/>
    <x v="38"/>
    <s v="0.100"/>
    <n v="30"/>
    <n v="3"/>
  </r>
  <r>
    <n v="107"/>
    <s v="DATES"/>
    <s v="EMIRATES"/>
    <x v="17"/>
    <s v="0.500"/>
    <n v="32"/>
    <n v="16"/>
  </r>
  <r>
    <n v="108"/>
    <s v="SEEDS"/>
    <s v="SUNFLOWER"/>
    <x v="7"/>
    <s v="1.000"/>
    <n v="4.5"/>
    <n v="4.5"/>
  </r>
  <r>
    <n v="109"/>
    <s v="CASHEW"/>
    <s v="CASHEW - KERNEL"/>
    <x v="1"/>
    <s v="1.000"/>
    <n v="6.5"/>
    <n v="6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s v="PEANUTS"/>
    <s v="PEANUT - COATED"/>
    <x v="0"/>
    <s v="1.000"/>
    <n v="617"/>
    <n v="617"/>
  </r>
  <r>
    <n v="2"/>
    <s v="SEEDS"/>
    <s v="SUNFLOWER"/>
    <x v="1"/>
    <s v="1.000"/>
    <n v="229"/>
    <n v="229"/>
  </r>
  <r>
    <n v="3"/>
    <s v="SEEDS"/>
    <s v="PUMPKIN"/>
    <x v="2"/>
    <s v="1.000"/>
    <n v="179"/>
    <n v="179"/>
  </r>
  <r>
    <n v="4"/>
    <s v="ALMOND"/>
    <s v="ALMOND - KERNELS"/>
    <x v="3"/>
    <s v="1.000"/>
    <n v="270"/>
    <n v="270"/>
  </r>
  <r>
    <n v="5"/>
    <s v="DEHYDRATED FRUITS"/>
    <s v="DF - BERRIES"/>
    <x v="4"/>
    <s v="1.000"/>
    <n v="12"/>
    <n v="12"/>
  </r>
  <r>
    <n v="6"/>
    <s v="ALMOND"/>
    <s v="ALMOND - KERNELS"/>
    <x v="5"/>
    <s v="1.000"/>
    <n v="8"/>
    <n v="116"/>
  </r>
  <r>
    <n v="7"/>
    <s v="APRICOT"/>
    <s v="APRICOT - TURKEY"/>
    <x v="6"/>
    <s v="1.000"/>
    <n v="13"/>
    <n v="13"/>
  </r>
  <r>
    <n v="8"/>
    <s v="RAISIN"/>
    <s v="RAISIN - INDIAN"/>
    <x v="7"/>
    <s v="1.000"/>
    <n v="6"/>
    <n v="6"/>
  </r>
  <r>
    <n v="9"/>
    <s v="CRANBERRY"/>
    <s v="CRANBERRY - WHOLE"/>
    <x v="8"/>
    <s v="1.000"/>
    <n v="334.08"/>
    <n v="334.08"/>
  </r>
  <r>
    <n v="10"/>
    <s v="CASHEW"/>
    <s v="CASHEW - KERNEL"/>
    <x v="9"/>
    <s v="1.000"/>
    <n v="249"/>
    <n v="249"/>
  </r>
  <r>
    <n v="11"/>
    <s v="TRAIL MIX"/>
    <s v="TRAIL MIX"/>
    <x v="10"/>
    <s v="1.000"/>
    <n v="200"/>
    <n v="200"/>
  </r>
  <r>
    <n v="12"/>
    <s v="ALMOND"/>
    <s v="ALMOND - KERNELS"/>
    <x v="11"/>
    <s v="1.000"/>
    <n v="128.19999999999999"/>
    <n v="128.19999999999999"/>
  </r>
  <r>
    <n v="13"/>
    <s v="MISCELLANEOUS - RM"/>
    <s v="OTHER MISC"/>
    <x v="12"/>
    <s v="1.000"/>
    <n v="100"/>
    <n v="100"/>
  </r>
  <r>
    <n v="14"/>
    <s v="CASHEW"/>
    <s v="CASHEW - KERNEL"/>
    <x v="13"/>
    <s v="1.000"/>
    <n v="200"/>
    <n v="200"/>
  </r>
  <r>
    <n v="15"/>
    <s v="CASHEW"/>
    <s v="CASHEW - KERNEL"/>
    <x v="9"/>
    <s v="1.000"/>
    <n v="332"/>
    <n v="332"/>
  </r>
  <r>
    <n v="16"/>
    <s v="SEASONING"/>
    <s v="SEASONING"/>
    <x v="14"/>
    <s v="1.000"/>
    <n v="3"/>
    <n v="3"/>
  </r>
  <r>
    <n v="17"/>
    <s v="SEASONING"/>
    <s v="SEASONING"/>
    <x v="15"/>
    <s v="1.000"/>
    <n v="3.1"/>
    <n v="3.1"/>
  </r>
  <r>
    <n v="18"/>
    <s v="SALT"/>
    <s v="SALT"/>
    <x v="16"/>
    <s v="1.000"/>
    <n v="1.4"/>
    <n v="1.4"/>
  </r>
  <r>
    <n v="19"/>
    <s v="SEASONING"/>
    <s v="SEASONING"/>
    <x v="17"/>
    <s v="1.000"/>
    <n v="2.1"/>
    <n v="2.1"/>
  </r>
  <r>
    <n v="20"/>
    <s v="ALMOND"/>
    <s v="ALMOND - BROKEN"/>
    <x v="18"/>
    <s v="1.000"/>
    <n v="4.5999999999999996"/>
    <n v="4.5999999999999996"/>
  </r>
  <r>
    <n v="21"/>
    <s v="CASHEW"/>
    <s v="CASHEW - BROKEN"/>
    <x v="19"/>
    <s v="1.000"/>
    <n v="2.4"/>
    <n v="2.4"/>
  </r>
  <r>
    <n v="22"/>
    <s v="PISTA"/>
    <s v="PISTA - KERNEL"/>
    <x v="20"/>
    <s v="1.000"/>
    <n v="7.5"/>
    <n v="7.5"/>
  </r>
  <r>
    <n v="23"/>
    <s v="SEASONING"/>
    <s v="SEASONING"/>
    <x v="21"/>
    <s v="1.000"/>
    <n v="7.9"/>
    <n v="7.9"/>
  </r>
  <r>
    <n v="24"/>
    <s v="SEASONING"/>
    <s v="SEASONING"/>
    <x v="22"/>
    <s v="1.000"/>
    <n v="21.5"/>
    <n v="21.5"/>
  </r>
  <r>
    <n v="25"/>
    <s v="SEASONING"/>
    <s v="SEASONING"/>
    <x v="23"/>
    <s v="1.000"/>
    <n v="10"/>
    <n v="10"/>
  </r>
  <r>
    <n v="26"/>
    <s v="SEASONING"/>
    <s v="SEASONING"/>
    <x v="23"/>
    <s v="1.000"/>
    <n v="9"/>
    <n v="9"/>
  </r>
  <r>
    <n v="27"/>
    <s v="SEASONING"/>
    <s v="SEASONING"/>
    <x v="24"/>
    <s v="1.000"/>
    <n v="1"/>
    <n v="1"/>
  </r>
  <r>
    <n v="28"/>
    <s v="SEASONING"/>
    <s v="SEASONING"/>
    <x v="25"/>
    <s v="1.000"/>
    <n v="9.31"/>
    <n v="9.31"/>
  </r>
  <r>
    <n v="29"/>
    <s v="SEASONING"/>
    <s v="SEASONING"/>
    <x v="26"/>
    <s v="1.000"/>
    <n v="74.400000000000006"/>
    <n v="74.400000000000006"/>
  </r>
  <r>
    <n v="30"/>
    <s v="PISTA"/>
    <s v="PISTA - KERNEL"/>
    <x v="27"/>
    <s v="1.000"/>
    <n v="135"/>
    <n v="135"/>
  </r>
  <r>
    <n v="31"/>
    <s v="BLUEBERRY"/>
    <s v="BLUEBERRY - PLAIN"/>
    <x v="28"/>
    <s v="1.000"/>
    <n v="12.08"/>
    <n v="12.08"/>
  </r>
  <r>
    <n v="32"/>
    <s v="CASHEW"/>
    <s v="CASHEW - KERNEL"/>
    <x v="29"/>
    <s v="1.000"/>
    <n v="20"/>
    <n v="20"/>
  </r>
  <r>
    <n v="33"/>
    <s v="CRANBERRY"/>
    <s v="CRANBERRY - WHOLE"/>
    <x v="8"/>
    <s v="1.000"/>
    <n v="222.72"/>
    <n v="222.72"/>
  </r>
  <r>
    <n v="34"/>
    <s v="CASHEW"/>
    <s v="CASHEW - KERNEL"/>
    <x v="30"/>
    <s v="1.000"/>
    <n v="240"/>
    <n v="240"/>
  </r>
  <r>
    <n v="35"/>
    <s v="SEEDS"/>
    <s v="CHIA"/>
    <x v="31"/>
    <s v="1.000"/>
    <n v="60"/>
    <n v="60"/>
  </r>
  <r>
    <n v="36"/>
    <s v="SEEDS"/>
    <s v="FLAX"/>
    <x v="32"/>
    <s v="1.000"/>
    <n v="310"/>
    <n v="310"/>
  </r>
  <r>
    <n v="37"/>
    <s v="MISCELLANEOUS - RM"/>
    <s v="OTHER MISC"/>
    <x v="33"/>
    <s v="1.000"/>
    <n v="25"/>
    <n v="25"/>
  </r>
  <r>
    <n v="38"/>
    <s v="MISCELLANEOUS - RM"/>
    <s v="OTHER MISC"/>
    <x v="34"/>
    <s v="1.000"/>
    <n v="20"/>
    <n v="20"/>
  </r>
  <r>
    <n v="39"/>
    <s v="SALT"/>
    <s v="SALT"/>
    <x v="35"/>
    <s v="1.000"/>
    <n v="45"/>
    <n v="45"/>
  </r>
  <r>
    <n v="40"/>
    <s v="PEANUTS"/>
    <s v="PEANUT - WHOLE"/>
    <x v="36"/>
    <s v="1.000"/>
    <n v="550"/>
    <n v="550"/>
  </r>
  <r>
    <n v="41"/>
    <s v="MISCELLANEOUS - RM"/>
    <s v="FLOUR"/>
    <x v="37"/>
    <s v="1.000"/>
    <n v="50"/>
    <n v="50"/>
  </r>
  <r>
    <m/>
    <m/>
    <m/>
    <x v="38"/>
    <m/>
    <n v="0.25"/>
    <n v="0.25"/>
  </r>
  <r>
    <m/>
    <m/>
    <m/>
    <x v="39"/>
    <m/>
    <n v="170"/>
    <n v="17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n v="1"/>
    <s v="SEEDS"/>
    <s v="WATERMELON"/>
    <x v="0"/>
    <s v="1.000"/>
    <n v="291.27999999999997"/>
    <n v="291.27999999999997"/>
  </r>
  <r>
    <n v="2"/>
    <s v="SEEDS"/>
    <s v="WATERMELON"/>
    <x v="0"/>
    <s v="1.000"/>
    <n v="297.39999999999998"/>
    <n v="297.39999999999998"/>
  </r>
  <r>
    <n v="3"/>
    <s v="SEEDS"/>
    <s v="WATERMELON"/>
    <x v="0"/>
    <s v="1.000"/>
    <n v="269.2"/>
    <n v="269.2"/>
  </r>
  <r>
    <n v="4"/>
    <s v="SEEDS"/>
    <s v="WATERMELON"/>
    <x v="0"/>
    <s v="1.000"/>
    <n v="291.06"/>
    <n v="291.06"/>
  </r>
  <r>
    <n v="5"/>
    <s v="SEEDS"/>
    <s v="WATERMELON"/>
    <x v="0"/>
    <s v="1.000"/>
    <n v="233.46"/>
    <n v="233.46"/>
  </r>
  <r>
    <n v="6"/>
    <s v="SEEDS"/>
    <s v="WATERMELON"/>
    <x v="0"/>
    <s v="1.000"/>
    <n v="340.48"/>
    <n v="340.48"/>
  </r>
  <r>
    <n v="7"/>
    <s v="SEEDS"/>
    <s v="PUMPKIN"/>
    <x v="1"/>
    <s v="1.000"/>
    <n v="254.29"/>
    <n v="254.29"/>
  </r>
  <r>
    <n v="8"/>
    <s v="SEEDS"/>
    <s v="PUMPKIN"/>
    <x v="1"/>
    <s v="1.000"/>
    <n v="201.6"/>
    <n v="201.6"/>
  </r>
  <r>
    <n v="9"/>
    <s v="SEEDS"/>
    <s v="PUMPKIN"/>
    <x v="1"/>
    <s v="1.000"/>
    <n v="156.1"/>
    <n v="156.1"/>
  </r>
  <r>
    <n v="10"/>
    <s v="PISTA"/>
    <s v="PISTA - INSHELL"/>
    <x v="2"/>
    <s v="1.000"/>
    <n v="36.4"/>
    <n v="36.4"/>
  </r>
  <r>
    <n v="11"/>
    <s v="SEEDS"/>
    <s v="SUNFLOWER"/>
    <x v="3"/>
    <s v="1.000"/>
    <n v="234.62"/>
    <n v="234.62"/>
  </r>
  <r>
    <n v="12"/>
    <s v="SEEDS"/>
    <s v="SUNFLOWER"/>
    <x v="3"/>
    <s v="1.000"/>
    <n v="102.9"/>
    <n v="102.9"/>
  </r>
  <r>
    <n v="13"/>
    <s v="SEEDS"/>
    <s v="SUNFLOWER"/>
    <x v="3"/>
    <s v="1.000"/>
    <n v="264.39999999999998"/>
    <n v="264.39999999999998"/>
  </r>
  <r>
    <n v="14"/>
    <s v="SEEDS"/>
    <s v="SUNFLOWER"/>
    <x v="3"/>
    <s v="1.000"/>
    <n v="259.62"/>
    <n v="259.62"/>
  </r>
  <r>
    <n v="15"/>
    <s v="SEEDS"/>
    <s v="SUNFLOWER"/>
    <x v="3"/>
    <s v="1.000"/>
    <n v="148.71"/>
    <n v="148.71"/>
  </r>
  <r>
    <n v="16"/>
    <s v="SEEDS"/>
    <s v="SUNFLOWER"/>
    <x v="3"/>
    <s v="1.000"/>
    <n v="251.84"/>
    <n v="251.84"/>
  </r>
  <r>
    <n v="17"/>
    <s v="SEEDS"/>
    <s v="SUNFLOWER"/>
    <x v="3"/>
    <s v="1.000"/>
    <n v="247.25"/>
    <n v="247.25"/>
  </r>
  <r>
    <n v="18"/>
    <s v="SEEDS"/>
    <s v="SUNFLOWER"/>
    <x v="3"/>
    <s v="1.000"/>
    <n v="308.48"/>
    <n v="308.48"/>
  </r>
  <r>
    <n v="19"/>
    <s v="SEEDS"/>
    <s v="SUNFLOWER"/>
    <x v="3"/>
    <s v="1.000"/>
    <n v="271.08999999999997"/>
    <n v="271.08999999999997"/>
  </r>
  <r>
    <n v="20"/>
    <s v="SEEDS"/>
    <s v="SUNFLOWER"/>
    <x v="3"/>
    <s v="1.000"/>
    <n v="236.74"/>
    <n v="236.74"/>
  </r>
  <r>
    <n v="21"/>
    <s v="SEEDS"/>
    <s v="WATERMELON"/>
    <x v="0"/>
    <s v="1.000"/>
    <n v="295.43"/>
    <n v="295.43"/>
  </r>
  <r>
    <n v="22"/>
    <s v="SEEDS"/>
    <s v="WATERMELON"/>
    <x v="0"/>
    <s v="1.000"/>
    <n v="267.89"/>
    <n v="267.89"/>
  </r>
  <r>
    <n v="23"/>
    <s v="SEEDS"/>
    <s v="WATERMELON"/>
    <x v="0"/>
    <s v="1.000"/>
    <n v="299.64"/>
    <n v="299.64"/>
  </r>
  <r>
    <n v="24"/>
    <s v="SEEDS"/>
    <s v="PUMPKIN"/>
    <x v="1"/>
    <s v="1.000"/>
    <n v="239.91"/>
    <n v="239.91"/>
  </r>
  <r>
    <n v="25"/>
    <s v="SEEDS"/>
    <s v="CHIA"/>
    <x v="4"/>
    <s v="1.000"/>
    <n v="157.03"/>
    <n v="157.03"/>
  </r>
  <r>
    <n v="26"/>
    <s v="DATES"/>
    <s v="EMIRATES"/>
    <x v="5"/>
    <s v="0.500"/>
    <n v="68"/>
    <n v="34"/>
  </r>
  <r>
    <n v="27"/>
    <s v="DATES"/>
    <s v="KHALAS"/>
    <x v="6"/>
    <s v="0.500"/>
    <n v="3818"/>
    <n v="1909"/>
  </r>
  <r>
    <n v="28"/>
    <s v="DATES"/>
    <s v="EMIRATES"/>
    <x v="7"/>
    <s v="0.500"/>
    <n v="1760"/>
    <n v="880"/>
  </r>
  <r>
    <m/>
    <s v="DATES"/>
    <m/>
    <x v="7"/>
    <s v="0.500"/>
    <n v="51"/>
    <n v="25.5"/>
  </r>
  <r>
    <n v="29"/>
    <s v="SEEDS"/>
    <s v="CHIA"/>
    <x v="8"/>
    <s v="0.200"/>
    <n v="2000"/>
    <n v="400"/>
  </r>
  <r>
    <n v="30"/>
    <s v="SEEDS"/>
    <s v="PUMPKIN"/>
    <x v="9"/>
    <s v="0.200"/>
    <n v="8200"/>
    <n v="1640"/>
  </r>
  <r>
    <n v="31"/>
    <s v="SEEDS"/>
    <s v="SUNFLOWER"/>
    <x v="10"/>
    <s v="0.200"/>
    <n v="6600"/>
    <n v="1320"/>
  </r>
  <r>
    <n v="32"/>
    <s v="SEEDS"/>
    <s v="WATERMELON"/>
    <x v="11"/>
    <s v="0.200"/>
    <n v="2050"/>
    <n v="410"/>
  </r>
  <r>
    <n v="33"/>
    <s v="SEEDS"/>
    <s v="WATERMELON"/>
    <x v="12"/>
    <s v="0.100"/>
    <n v="2900"/>
    <n v="290"/>
  </r>
  <r>
    <n v="34"/>
    <s v="TRAIL MIX"/>
    <s v="TRAIL MIX"/>
    <x v="13"/>
    <s v="0.100"/>
    <n v="2150"/>
    <n v="215"/>
  </r>
  <r>
    <n v="35"/>
    <s v="TRAIL MIX"/>
    <s v="TRAIL MIX"/>
    <x v="14"/>
    <s v="0.100"/>
    <n v="450"/>
    <n v="45"/>
  </r>
  <r>
    <n v="36"/>
    <s v="TRAIL MIX"/>
    <s v="TRAIL MIX"/>
    <x v="15"/>
    <s v="0.100"/>
    <n v="50"/>
    <n v="5"/>
  </r>
  <r>
    <n v="37"/>
    <s v="PRUNES"/>
    <s v="PRUNES - PITTED"/>
    <x v="16"/>
    <s v="0.100"/>
    <n v="195"/>
    <n v="19.5"/>
  </r>
  <r>
    <n v="38"/>
    <s v="CRANBERRY"/>
    <s v="CRANBERRY - WHOLE"/>
    <x v="17"/>
    <s v="0.100"/>
    <n v="96"/>
    <n v="9.6"/>
  </r>
  <r>
    <n v="39"/>
    <s v="BLUEBERRY"/>
    <s v="BLUEBERRY - PLAIN"/>
    <x v="18"/>
    <s v="0.100"/>
    <n v="192"/>
    <n v="19.2"/>
  </r>
  <r>
    <n v="40"/>
    <s v="CRANBERRY"/>
    <s v="CRANBERRY - SLICED"/>
    <x v="19"/>
    <s v="0.030"/>
    <n v="850"/>
    <n v="25.5"/>
  </r>
  <r>
    <n v="41"/>
    <s v="TRAIL MIX"/>
    <s v="TRAIL MIX"/>
    <x v="20"/>
    <s v="0.025"/>
    <n v="800"/>
    <n v="20"/>
  </r>
  <r>
    <n v="42"/>
    <s v="TRAIL MIX"/>
    <s v="TRAIL MIX"/>
    <x v="21"/>
    <s v="0.100"/>
    <n v="24"/>
    <n v="2.4"/>
  </r>
  <r>
    <n v="43"/>
    <s v="CASHEW"/>
    <s v="CASHEW - KERNEL"/>
    <x v="22"/>
    <s v="0.100"/>
    <n v="3321"/>
    <n v="332.1"/>
  </r>
  <r>
    <n v="44"/>
    <s v="CASHEW"/>
    <s v="CASHEW - KERNEL"/>
    <x v="23"/>
    <s v="0.100"/>
    <n v="4067"/>
    <n v="406.7"/>
  </r>
  <r>
    <n v="45"/>
    <s v="ALMOND"/>
    <s v="ALMOND - KERNELS"/>
    <x v="24"/>
    <s v="0.100"/>
    <n v="144"/>
    <n v="14.4"/>
  </r>
  <r>
    <n v="46"/>
    <s v="ALMOND"/>
    <s v="ALMOND - KERNELS"/>
    <x v="25"/>
    <s v="0.100"/>
    <n v="1956"/>
    <n v="195.6"/>
  </r>
  <r>
    <n v="47"/>
    <s v="CRANBERRY"/>
    <s v="CRANBERRY - SLICED"/>
    <x v="26"/>
    <s v="0.100"/>
    <n v="11880"/>
    <n v="1188"/>
  </r>
  <r>
    <n v="48"/>
    <s v="SEEDS"/>
    <s v="PUMPKIN"/>
    <x v="27"/>
    <s v="0.100"/>
    <n v="16150"/>
    <n v="1615"/>
  </r>
  <r>
    <n v="49"/>
    <s v="SEEDS"/>
    <s v="SUNFLOWER"/>
    <x v="28"/>
    <s v="0.100"/>
    <n v="6395"/>
    <n v="639.5"/>
  </r>
  <r>
    <n v="50"/>
    <s v="ALMOND"/>
    <s v="ALMOND - KERNELS"/>
    <x v="29"/>
    <s v="0.500"/>
    <n v="100"/>
    <n v="50"/>
  </r>
  <r>
    <n v="51"/>
    <s v="SEEDS"/>
    <s v="CHIA"/>
    <x v="8"/>
    <s v="0.200"/>
    <n v="23"/>
    <n v="4.5999999999999996"/>
  </r>
  <r>
    <n v="52"/>
    <s v="SEEDS"/>
    <s v="CHIA"/>
    <x v="30"/>
    <s v="0.100"/>
    <n v="30"/>
    <n v="3"/>
  </r>
  <r>
    <n v="53"/>
    <s v=""/>
    <s v=""/>
    <x v="31"/>
    <s v="1.000"/>
    <n v="225.49"/>
    <n v="225.49"/>
  </r>
  <r>
    <n v="54"/>
    <s v=""/>
    <s v=""/>
    <x v="31"/>
    <s v="1.000"/>
    <n v="167.39"/>
    <n v="167.39"/>
  </r>
  <r>
    <n v="55"/>
    <s v=""/>
    <s v=""/>
    <x v="31"/>
    <s v="1.000"/>
    <n v="241.99"/>
    <n v="241.99"/>
  </r>
  <r>
    <n v="56"/>
    <s v="TRAIL MIX"/>
    <s v="TRAIL MIX"/>
    <x v="32"/>
    <s v="1.000"/>
    <n v="177.13"/>
    <n v="177.13"/>
  </r>
  <r>
    <n v="57"/>
    <s v="CRANBERRY"/>
    <s v="CRANBERRY - SLICED"/>
    <x v="33"/>
    <s v="1.000"/>
    <n v="126.88"/>
    <n v="126.88"/>
  </r>
  <r>
    <n v="58"/>
    <s v="CASHEW"/>
    <s v="CASHEW - KERNEL"/>
    <x v="34"/>
    <s v="1.000"/>
    <n v="61.87"/>
    <n v="61.87"/>
  </r>
  <r>
    <n v="59"/>
    <s v="PISTA"/>
    <s v="PISTA - INSHELL"/>
    <x v="35"/>
    <s v="1.000"/>
    <n v="332.95"/>
    <n v="332.95"/>
  </r>
  <r>
    <n v="60"/>
    <s v="RAISIN"/>
    <s v="RAISIN - ABJOSH"/>
    <x v="36"/>
    <s v="1.000"/>
    <n v="82.3"/>
    <n v="82.3"/>
  </r>
  <r>
    <n v="61"/>
    <s v="BLUEBERRY"/>
    <s v="BLUEBERRY - PLAIN"/>
    <x v="37"/>
    <s v="1.000"/>
    <n v="28.9"/>
    <n v="28.9"/>
  </r>
  <r>
    <n v="62"/>
    <s v="CRANBERRY"/>
    <s v="CRANBERRY - WHOLE"/>
    <x v="38"/>
    <s v="1.000"/>
    <n v="117.39"/>
    <n v="117.39"/>
  </r>
  <r>
    <n v="63"/>
    <s v="CRANBERRY"/>
    <s v="CRANBERRY - SLICED"/>
    <x v="39"/>
    <s v="1.000"/>
    <n v="14.2"/>
    <n v="14.2"/>
  </r>
  <r>
    <n v="64"/>
    <s v="TRAIL MIX"/>
    <s v="TRAIL MIX"/>
    <x v="40"/>
    <s v="1.000"/>
    <n v="30.66"/>
    <n v="30.66"/>
  </r>
  <r>
    <n v="65"/>
    <s v="TRAIL MIX"/>
    <s v="TRAIL MIX"/>
    <x v="41"/>
    <s v="1.000"/>
    <n v="29.1"/>
    <n v="29.1"/>
  </r>
  <r>
    <n v="66"/>
    <s v="TRAIL MIX"/>
    <s v="TRAIL MIX"/>
    <x v="41"/>
    <s v="1.000"/>
    <n v="28.8"/>
    <n v="28.8"/>
  </r>
  <r>
    <n v="67"/>
    <s v="ALMOND"/>
    <s v="ALMOND - KERNELS"/>
    <x v="42"/>
    <s v="1.000"/>
    <n v="36.64"/>
    <n v="36.64"/>
  </r>
  <r>
    <n v="68"/>
    <s v="TRAIL MIX"/>
    <s v="TRAIL MIX"/>
    <x v="43"/>
    <s v="0.033"/>
    <n v="145"/>
    <n v="4.79"/>
  </r>
  <r>
    <n v="69"/>
    <s v="TRAIL MIX"/>
    <s v="TRAIL MIX"/>
    <x v="44"/>
    <s v="0.033"/>
    <n v="68"/>
    <n v="2.2400000000000002"/>
  </r>
  <r>
    <n v="70"/>
    <s v="TRAIL MIX"/>
    <s v="TRAIL MIX"/>
    <x v="45"/>
    <s v="0.033"/>
    <n v="59"/>
    <n v="1.95"/>
  </r>
  <r>
    <n v="71"/>
    <s v="PEANUTS"/>
    <s v="PEANUT - COATED"/>
    <x v="46"/>
    <s v="1.000"/>
    <n v="6"/>
    <n v="6"/>
  </r>
  <r>
    <n v="72"/>
    <s v="CASHEW"/>
    <s v="CASHEW - KERNEL"/>
    <x v="34"/>
    <s v="1.000"/>
    <n v="32.799999999999997"/>
    <n v="32.799999999999997"/>
  </r>
  <r>
    <n v="73"/>
    <s v=""/>
    <s v=""/>
    <x v="47"/>
    <s v="1.000"/>
    <n v="4.3"/>
    <n v="4.3"/>
  </r>
  <r>
    <n v="74"/>
    <s v=""/>
    <s v=""/>
    <x v="48"/>
    <s v="1.000"/>
    <n v="2.83"/>
    <n v="2.83"/>
  </r>
  <r>
    <n v="75"/>
    <s v="CASHEW"/>
    <s v="CASHEW - KERNEL"/>
    <x v="49"/>
    <s v="1.000"/>
    <n v="12.29"/>
    <n v="12.29"/>
  </r>
  <r>
    <n v="76"/>
    <s v="PISTA"/>
    <s v="PISTA - INSHELL"/>
    <x v="2"/>
    <s v="1.000"/>
    <n v="7.68"/>
    <n v="7.68"/>
  </r>
  <r>
    <n v="77"/>
    <s v="PISTA"/>
    <s v="PISTA - INSHELL"/>
    <x v="35"/>
    <s v="1.000"/>
    <n v="10"/>
    <n v="10"/>
  </r>
  <r>
    <n v="78"/>
    <s v="RAISIN"/>
    <s v="RAISIN - ABJOSH"/>
    <x v="36"/>
    <s v="1.000"/>
    <n v="12"/>
    <n v="12"/>
  </r>
  <r>
    <n v="79"/>
    <s v=""/>
    <s v=""/>
    <x v="50"/>
    <s v="1.000"/>
    <n v="1.8"/>
    <n v="1.8"/>
  </r>
  <r>
    <n v="80"/>
    <s v=""/>
    <s v=""/>
    <x v="51"/>
    <s v="1.000"/>
    <n v="0.8"/>
    <n v="0.8"/>
  </r>
  <r>
    <n v="81"/>
    <s v=""/>
    <s v=""/>
    <x v="52"/>
    <s v="1.000"/>
    <n v="0.9"/>
    <n v="0.9"/>
  </r>
  <r>
    <n v="82"/>
    <s v=""/>
    <s v=""/>
    <x v="53"/>
    <s v="1.000"/>
    <n v="2.8"/>
    <n v="2.8"/>
  </r>
  <r>
    <n v="83"/>
    <s v="MAKHANA"/>
    <s v="MAKHANA - SUTA"/>
    <x v="54"/>
    <s v="1.000"/>
    <n v="1.4"/>
    <n v="1.4"/>
  </r>
  <r>
    <n v="84"/>
    <s v="TRAIL MIX"/>
    <s v="TRAIL MIX"/>
    <x v="55"/>
    <s v="1.000"/>
    <n v="1.4"/>
    <n v="1.4"/>
  </r>
  <r>
    <n v="85"/>
    <s v=""/>
    <s v=""/>
    <x v="56"/>
    <s v="1.000"/>
    <n v="1.7"/>
    <n v="1.7"/>
  </r>
  <r>
    <n v="86"/>
    <s v="PEANUTS"/>
    <s v="PEANUT - COATED"/>
    <x v="57"/>
    <s v="1.000"/>
    <n v="2.1"/>
    <n v="2.1"/>
  </r>
  <r>
    <n v="87"/>
    <s v="PEANUTS"/>
    <s v="PEANUT - COATED"/>
    <x v="58"/>
    <s v="1.000"/>
    <n v="1.25"/>
    <n v="1.25"/>
  </r>
  <r>
    <n v="88"/>
    <s v="PEANUTS"/>
    <s v="PEANUT - COATED"/>
    <x v="59"/>
    <s v="1.000"/>
    <n v="30.15"/>
    <n v="30.15"/>
  </r>
  <r>
    <n v="89"/>
    <s v="PEANUTS"/>
    <s v="PEANUT - COATED"/>
    <x v="60"/>
    <s v="1.000"/>
    <n v="10"/>
    <n v="10"/>
  </r>
  <r>
    <n v="90"/>
    <s v=""/>
    <s v=""/>
    <x v="61"/>
    <s v="1.000"/>
    <n v="4.4800000000000004"/>
    <n v="4.4800000000000004"/>
  </r>
  <r>
    <m/>
    <m/>
    <m/>
    <x v="62"/>
    <m/>
    <n v="3066"/>
    <n v="613.2000000000000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s v="PISTA"/>
    <s v="PISTA - INSHELL"/>
    <x v="0"/>
    <s v="1.000"/>
    <n v="303"/>
    <n v="303"/>
  </r>
  <r>
    <n v="2"/>
    <s v="PISTA"/>
    <s v="PISTA - INSHELL"/>
    <x v="1"/>
    <s v="1.000"/>
    <n v="266"/>
    <n v="266"/>
  </r>
  <r>
    <n v="3"/>
    <s v="PISTA"/>
    <s v="PISTA - INSHELL"/>
    <x v="0"/>
    <s v="1.000"/>
    <n v="386.42"/>
    <n v="386.42"/>
  </r>
  <r>
    <n v="4"/>
    <s v="PISTA"/>
    <s v="PISTA - INSHELL"/>
    <x v="1"/>
    <s v="1.000"/>
    <n v="149"/>
    <n v="149"/>
  </r>
  <r>
    <n v="5"/>
    <s v="PISTA"/>
    <s v="PISTA - INSHELL"/>
    <x v="1"/>
    <s v="1.000"/>
    <n v="240"/>
    <n v="240"/>
  </r>
  <r>
    <n v="6"/>
    <s v="PISTA"/>
    <s v="PISTA - INSHELL"/>
    <x v="1"/>
    <s v="1.000"/>
    <n v="331.18"/>
    <n v="331.18"/>
  </r>
  <r>
    <n v="7"/>
    <s v="PISTA"/>
    <s v="PISTA - INSHELL"/>
    <x v="1"/>
    <s v="1.000"/>
    <n v="150"/>
    <n v="150"/>
  </r>
  <r>
    <n v="8"/>
    <s v="PISTA"/>
    <s v="PISTA - INSHELL"/>
    <x v="0"/>
    <s v="1.000"/>
    <n v="149"/>
    <n v="149"/>
  </r>
  <r>
    <n v="9"/>
    <s v="PISTA"/>
    <s v="PISTA - INSHELL"/>
    <x v="1"/>
    <s v="1.000"/>
    <n v="240"/>
    <n v="240"/>
  </r>
  <r>
    <n v="10"/>
    <s v="PISTA"/>
    <s v="PISTA - INSHELL"/>
    <x v="0"/>
    <s v="1.000"/>
    <n v="332.28"/>
    <n v="332.28"/>
  </r>
  <r>
    <n v="11"/>
    <s v="PISTA"/>
    <s v="PISTA - INSHELL"/>
    <x v="0"/>
    <s v="1.000"/>
    <n v="243.86"/>
    <n v="243.86"/>
  </r>
  <r>
    <n v="12"/>
    <s v="PISTA"/>
    <s v="PISTA - INSHELL"/>
    <x v="0"/>
    <s v="1.000"/>
    <n v="180.16"/>
    <n v="180.16"/>
  </r>
  <r>
    <s v="TOTAL"/>
    <s v=""/>
    <s v=""/>
    <x v="2"/>
    <s v=""/>
    <n v="2970.9"/>
    <n v="2970.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s v="PEANUTS"/>
    <s v="PEANUT - COATED"/>
    <x v="0"/>
    <s v="1.000"/>
    <n v="269.56"/>
    <x v="0"/>
  </r>
  <r>
    <n v="2"/>
    <s v="PEANUTS"/>
    <s v="PEANUT - COATED"/>
    <x v="1"/>
    <s v="1.000"/>
    <n v="1.5"/>
    <x v="1"/>
  </r>
  <r>
    <n v="3"/>
    <s v="PEANUTS"/>
    <s v="PEANUT - COATED"/>
    <x v="2"/>
    <s v="1.000"/>
    <n v="5.6"/>
    <x v="2"/>
  </r>
  <r>
    <n v="4"/>
    <s v="CASHEW"/>
    <s v="CASHEW - KERNEL"/>
    <x v="3"/>
    <s v="1.000"/>
    <n v="31.4"/>
    <x v="3"/>
  </r>
  <r>
    <n v="5"/>
    <s v="CASHEW"/>
    <s v="CASHEW - KERNEL"/>
    <x v="3"/>
    <s v="1.000"/>
    <n v="5.78"/>
    <x v="4"/>
  </r>
  <r>
    <n v="6"/>
    <s v="CASHEW"/>
    <s v="CASHEW - KERNEL"/>
    <x v="4"/>
    <s v="1.000"/>
    <n v="22.7"/>
    <x v="5"/>
  </r>
  <r>
    <n v="7"/>
    <s v="RAISIN"/>
    <s v="RAISIN - ABJOSH"/>
    <x v="5"/>
    <s v="1.000"/>
    <n v="2.7"/>
    <x v="6"/>
  </r>
  <r>
    <n v="8"/>
    <s v="RAISIN"/>
    <s v="RAISIN - BLACK"/>
    <x v="6"/>
    <s v="1.000"/>
    <n v="5.6"/>
    <x v="2"/>
  </r>
  <r>
    <n v="9"/>
    <s v="ALMOND"/>
    <s v="ALMOND - KERNELS"/>
    <x v="7"/>
    <s v="1.000"/>
    <n v="6.6"/>
    <x v="7"/>
  </r>
  <r>
    <n v="10"/>
    <s v="PISTA"/>
    <s v="PISTA - KERNEL"/>
    <x v="8"/>
    <s v="1.000"/>
    <n v="14.52"/>
    <x v="8"/>
  </r>
  <r>
    <n v="11"/>
    <s v="PISTA"/>
    <s v="PISTA - KERNEL"/>
    <x v="9"/>
    <s v="1.000"/>
    <n v="14.6"/>
    <x v="9"/>
  </r>
  <r>
    <n v="12"/>
    <s v="PISTA"/>
    <s v="PISTA - KERNEL"/>
    <x v="10"/>
    <s v="1.000"/>
    <n v="2.1"/>
    <x v="10"/>
  </r>
  <r>
    <n v="13"/>
    <s v="SEEDS"/>
    <s v="SUNFLOWER"/>
    <x v="11"/>
    <s v="1.000"/>
    <n v="19.149999999999999"/>
    <x v="11"/>
  </r>
  <r>
    <n v="14"/>
    <s v="SEEDS"/>
    <s v="WATERMELON"/>
    <x v="12"/>
    <s v="1.000"/>
    <n v="2.7"/>
    <x v="6"/>
  </r>
  <r>
    <n v="15"/>
    <s v="PISTA"/>
    <s v="PISTA - INSHELL"/>
    <x v="13"/>
    <s v="1.000"/>
    <n v="127.4"/>
    <x v="12"/>
  </r>
  <r>
    <n v="16"/>
    <s v="PISTA"/>
    <s v="PISTA - INSHELL"/>
    <x v="14"/>
    <s v="1.000"/>
    <n v="21"/>
    <x v="13"/>
  </r>
  <r>
    <s v="TOTAL"/>
    <s v=""/>
    <s v=""/>
    <x v="15"/>
    <s v=""/>
    <n v="829.94"/>
    <x v="1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SEASONING"/>
    <s v="SEASONING"/>
    <x v="0"/>
    <s v="1.000"/>
    <n v="5"/>
    <n v="5"/>
  </r>
  <r>
    <s v="SEASONING"/>
    <s v="SEASONING"/>
    <x v="1"/>
    <s v="1.000"/>
    <n v="4"/>
    <n v="4"/>
  </r>
  <r>
    <s v="ALMOND"/>
    <s v="ALMOND - KERNELS"/>
    <x v="2"/>
    <s v="1.000"/>
    <n v="201"/>
    <n v="201"/>
  </r>
  <r>
    <s v="PREMIUM NUTS"/>
    <s v="PECAN NUTS"/>
    <x v="3"/>
    <s v="1.000"/>
    <n v="75"/>
    <n v="75"/>
  </r>
  <r>
    <s v="GENERAL"/>
    <s v="OTHER"/>
    <x v="4"/>
    <s v="1.000"/>
    <n v="12"/>
    <n v="12"/>
  </r>
  <r>
    <s v="TRAIL MIX"/>
    <s v="TRAIL MIX"/>
    <x v="5"/>
    <s v="1.000"/>
    <n v="144"/>
    <n v="143.69999999999999"/>
  </r>
  <r>
    <s v="BLUEBERRY"/>
    <s v="BLUEBERRY - PLAIN"/>
    <x v="6"/>
    <s v="1.000"/>
    <n v="2"/>
    <n v="1.5"/>
  </r>
  <r>
    <s v="MISCELLANEOUS - RM"/>
    <s v="OTHER MISC"/>
    <x v="7"/>
    <s v="1.000"/>
    <n v="8"/>
    <n v="8"/>
  </r>
  <r>
    <s v="DEHYDRATED FRUITS"/>
    <s v="DF - ORANGE"/>
    <x v="8"/>
    <s v="1.000"/>
    <n v="10"/>
    <n v="9.6999999999999993"/>
  </r>
  <r>
    <s v="DEHYDRATED FRUITS"/>
    <s v="DF - MANGO"/>
    <x v="9"/>
    <s v="1.000"/>
    <n v="82"/>
    <n v="82.2"/>
  </r>
  <r>
    <s v="MISCELLANEOUS - RM"/>
    <s v="OTHER MISC"/>
    <x v="10"/>
    <s v="1.000"/>
    <n v="4"/>
    <n v="4"/>
  </r>
  <r>
    <s v="SEASONING"/>
    <s v="SEASONING"/>
    <x v="11"/>
    <s v="1.000"/>
    <n v="1"/>
    <n v="1"/>
  </r>
  <r>
    <s v="DEHYDRATED FRUITS"/>
    <s v="DF - GINGER"/>
    <x v="12"/>
    <s v="1.000"/>
    <n v="3"/>
    <n v="3"/>
  </r>
  <r>
    <s v="TRAIL MIX"/>
    <s v="TRAIL MIX"/>
    <x v="13"/>
    <s v="1.000"/>
    <n v="2"/>
    <n v="1.9"/>
  </r>
  <r>
    <s v="PISTA"/>
    <s v="PISTA - KERNEL"/>
    <x v="14"/>
    <s v="1.000"/>
    <n v="2"/>
    <n v="1.9"/>
  </r>
  <r>
    <s v="SEASONING"/>
    <s v="SEASONING"/>
    <x v="15"/>
    <s v="1.000"/>
    <n v="15"/>
    <n v="15"/>
  </r>
  <r>
    <s v="SEASONING"/>
    <s v="SEASONING"/>
    <x v="16"/>
    <s v="1.000"/>
    <n v="50"/>
    <n v="50"/>
  </r>
  <r>
    <s v="PRUNES"/>
    <s v="PRUNES - PITTED"/>
    <x v="17"/>
    <s v="1.000"/>
    <n v="23"/>
    <n v="22.68"/>
  </r>
  <r>
    <s v="SEASONING"/>
    <s v="SEASONING"/>
    <x v="18"/>
    <s v="1.000"/>
    <n v="25"/>
    <n v="25"/>
  </r>
  <r>
    <s v="SEASONING"/>
    <s v="SEASONING"/>
    <x v="19"/>
    <s v="1.000"/>
    <n v="1"/>
    <n v="1"/>
  </r>
  <r>
    <s v="SEASONING"/>
    <s v="SEASONING"/>
    <x v="20"/>
    <s v="1.000"/>
    <n v="25"/>
    <n v="25"/>
  </r>
  <r>
    <s v="PISTA"/>
    <s v="PISTA - KERNEL"/>
    <x v="14"/>
    <s v="1.000"/>
    <n v="275"/>
    <n v="274.62"/>
  </r>
  <r>
    <s v="DEHYDRATED FRUITS"/>
    <s v="DF - ORANGE"/>
    <x v="21"/>
    <s v="1.000"/>
    <n v="195"/>
    <n v="195"/>
  </r>
  <r>
    <s v="ALMOND"/>
    <s v="ALMOND - BROKEN"/>
    <x v="22"/>
    <s v="1.000"/>
    <n v="4"/>
    <n v="3.97"/>
  </r>
  <r>
    <s v="CASHEW"/>
    <s v="CASHEW - KERNEL"/>
    <x v="23"/>
    <s v="1.000"/>
    <n v="10"/>
    <n v="10"/>
  </r>
  <r>
    <s v="ALMOND"/>
    <s v="ALMOND - KERNELS"/>
    <x v="24"/>
    <s v="1.000"/>
    <n v="10"/>
    <n v="10"/>
  </r>
  <r>
    <s v="SEEDS"/>
    <s v="HEMP"/>
    <x v="25"/>
    <s v="1.000"/>
    <n v="52"/>
    <n v="52.45"/>
  </r>
  <r>
    <s v="PREMIUM NUTS"/>
    <s v="PECAN NUTS"/>
    <x v="26"/>
    <s v="1.000"/>
    <n v="37"/>
    <n v="37.200000000000003"/>
  </r>
  <r>
    <s v="RAISIN"/>
    <s v="RAISIN - SHANDUKHANI"/>
    <x v="27"/>
    <s v="1.000"/>
    <n v="1"/>
    <n v="0.95"/>
  </r>
  <r>
    <s v="CRANBERRY"/>
    <s v="CRANBERRY - WHOLE"/>
    <x v="28"/>
    <s v="1.000"/>
    <n v="1"/>
    <n v="1.1000000000000001"/>
  </r>
  <r>
    <s v="WALNUT"/>
    <s v="WALNUT - KERNEL"/>
    <x v="29"/>
    <s v="1.000"/>
    <n v="1"/>
    <n v="0.85"/>
  </r>
  <r>
    <s v="RAISIN"/>
    <s v="RAISIN - ABJOSH"/>
    <x v="30"/>
    <s v="1.000"/>
    <n v="18"/>
    <n v="18.399999999999999"/>
  </r>
  <r>
    <s v="ALMOND"/>
    <s v="ALMOND - KERNELS"/>
    <x v="31"/>
    <s v="1.000"/>
    <n v="60"/>
    <n v="60.12"/>
  </r>
  <r>
    <s v="PREMIUM NUTS"/>
    <s v="PECAN NUTS"/>
    <x v="26"/>
    <s v="1.000"/>
    <n v="3"/>
    <n v="3.4"/>
  </r>
  <r>
    <s v="SEASONING"/>
    <s v="SEASONING"/>
    <x v="32"/>
    <s v="1.000"/>
    <n v="26"/>
    <n v="26"/>
  </r>
  <r>
    <s v="PREMIUM NUTS"/>
    <s v="MACADAMIA NUTS"/>
    <x v="33"/>
    <s v="1.000"/>
    <n v="15"/>
    <n v="14.8"/>
  </r>
  <r>
    <s v="DEHYDRATED FRUITS"/>
    <s v="DF - PINEAPPLE"/>
    <x v="34"/>
    <s v="1.000"/>
    <n v="5"/>
    <n v="5"/>
  </r>
  <r>
    <s v="PISTA"/>
    <s v="PISTA - INSHELL"/>
    <x v="35"/>
    <s v="1.000"/>
    <n v="215"/>
    <n v="215.46"/>
  </r>
  <r>
    <s v="SEASONING"/>
    <s v="SEASONING"/>
    <x v="36"/>
    <s v="1.000"/>
    <n v="52"/>
    <n v="51.5"/>
  </r>
  <r>
    <s v="DEHYDRATED FRUITS"/>
    <s v="DF - BERRIES"/>
    <x v="37"/>
    <s v="1.000"/>
    <n v="80"/>
    <n v="80"/>
  </r>
  <r>
    <s v="SEASONING"/>
    <s v="SEASONING"/>
    <x v="38"/>
    <s v="1.000"/>
    <n v="5"/>
    <n v="5"/>
  </r>
  <r>
    <s v="CRANBERRY"/>
    <s v="CRANBERRY - SLICED"/>
    <x v="39"/>
    <s v="1.000"/>
    <n v="204"/>
    <n v="204.12"/>
  </r>
  <r>
    <s v="PREMIUM NUTS"/>
    <s v="PECAN NUTS"/>
    <x v="3"/>
    <s v="1.000"/>
    <n v="54"/>
    <n v="54.4"/>
  </r>
  <r>
    <s v="MISCELLANEOUS - RM"/>
    <s v="OTHER MISC"/>
    <x v="40"/>
    <s v="1.000"/>
    <n v="25"/>
    <n v="25"/>
  </r>
  <r>
    <s v="SEASONING"/>
    <s v="SEASONING"/>
    <x v="41"/>
    <s v="1.000"/>
    <n v="2"/>
    <n v="2"/>
  </r>
  <r>
    <s v="PREMIUM NUTS"/>
    <s v="MACADAMIA NUTS"/>
    <x v="42"/>
    <s v="1.000"/>
    <n v="11"/>
    <n v="11.34"/>
  </r>
  <r>
    <s v="SEASONING"/>
    <s v="SEASONING"/>
    <x v="43"/>
    <s v="1.000"/>
    <n v="25"/>
    <n v="25"/>
  </r>
  <r>
    <s v="MISCELLANEOUS - RM"/>
    <s v="OTHER MISC"/>
    <x v="44"/>
    <s v="1.000"/>
    <n v="25"/>
    <n v="25"/>
  </r>
  <r>
    <s v="PREMIUM NUTS"/>
    <s v="MACADAMIA NUTS"/>
    <x v="45"/>
    <s v="1.000"/>
    <n v="2"/>
    <n v="2"/>
  </r>
  <r>
    <s v="PREMIUM NUTS"/>
    <s v="MACADAMIA NUTS"/>
    <x v="46"/>
    <s v="1.000"/>
    <n v="11"/>
    <n v="11"/>
  </r>
  <r>
    <s v="PREMIUM NUTS"/>
    <s v="MACADAMIA NUTS"/>
    <x v="33"/>
    <s v="1.000"/>
    <n v="1"/>
    <n v="1.4"/>
  </r>
  <r>
    <s v="PREMIUM NUTS"/>
    <s v="MACADAMIA NUTS"/>
    <x v="47"/>
    <s v="1.000"/>
    <n v="44"/>
    <n v="44.08"/>
  </r>
  <r>
    <s v="MISCELLANEOUS - RM"/>
    <s v="OTHER MISC"/>
    <x v="44"/>
    <s v="1.000"/>
    <n v="1"/>
    <n v="1"/>
  </r>
  <r>
    <s v="SEASONING"/>
    <s v="SEASONING"/>
    <x v="16"/>
    <s v="1.000"/>
    <n v="2"/>
    <n v="2"/>
  </r>
  <r>
    <s v="SEASONING"/>
    <s v="SEASONING"/>
    <x v="36"/>
    <s v="1.000"/>
    <n v="25"/>
    <n v="25"/>
  </r>
  <r>
    <s v="SEASONING"/>
    <s v="SEASONING"/>
    <x v="41"/>
    <s v="1.000"/>
    <n v="1"/>
    <n v="1"/>
  </r>
  <r>
    <s v="SEASONING"/>
    <s v="SEASONING"/>
    <x v="48"/>
    <s v="1.000"/>
    <n v="2"/>
    <n v="2"/>
  </r>
  <r>
    <s v="SEASONING"/>
    <s v="SEASONING"/>
    <x v="49"/>
    <s v="1.000"/>
    <n v="3"/>
    <n v="3"/>
  </r>
  <r>
    <s v="SEASONING"/>
    <s v="SEASONING"/>
    <x v="38"/>
    <s v="1.000"/>
    <n v="1"/>
    <n v="1.3"/>
  </r>
  <r>
    <s v="SEASONING"/>
    <s v="SEASONING"/>
    <x v="50"/>
    <s v="1.000"/>
    <n v="25"/>
    <n v="25"/>
  </r>
  <r>
    <s v="SEASONING"/>
    <s v="SEASONING"/>
    <x v="51"/>
    <s v="1.000"/>
    <n v="10"/>
    <n v="10"/>
  </r>
  <r>
    <s v="BLUEBERRY"/>
    <s v="BLUEBERRY - APPLE INFUSED"/>
    <x v="52"/>
    <s v="1.000"/>
    <n v="45"/>
    <n v="45.35"/>
  </r>
  <r>
    <s v="SEASONING"/>
    <s v="SEASONING"/>
    <x v="16"/>
    <s v="1.000"/>
    <n v="2"/>
    <n v="2"/>
  </r>
  <r>
    <s v="SEASONING"/>
    <s v="SEASONING"/>
    <x v="1"/>
    <s v="1.000"/>
    <n v="1"/>
    <n v="0.9"/>
  </r>
  <r>
    <s v="PREMIUM NUTS"/>
    <s v="PECAN NUTS"/>
    <x v="26"/>
    <s v="1.000"/>
    <n v="141"/>
    <n v="141"/>
  </r>
  <r>
    <s v="SEASONING"/>
    <s v="SEASONING"/>
    <x v="48"/>
    <s v="1.000"/>
    <n v="2"/>
    <n v="1.6"/>
  </r>
  <r>
    <s v="RAISIN"/>
    <s v="RAISIN - ABJOSH"/>
    <x v="30"/>
    <s v="1.000"/>
    <n v="2"/>
    <n v="2.4"/>
  </r>
  <r>
    <s v="ALMOND"/>
    <s v="ALMOND - KERNELS"/>
    <x v="2"/>
    <s v="1.000"/>
    <n v="440"/>
    <n v="440"/>
  </r>
  <r>
    <s v="MISCELLANEOUS - RM"/>
    <s v="OTHER MISC"/>
    <x v="53"/>
    <s v="1.000"/>
    <n v="51"/>
    <n v="51.2"/>
  </r>
  <r>
    <s v="SALT"/>
    <s v="SALT"/>
    <x v="54"/>
    <s v="1.000"/>
    <n v="14"/>
    <n v="14"/>
  </r>
  <r>
    <s v="SALT"/>
    <s v="SALT"/>
    <x v="54"/>
    <s v="1.000"/>
    <n v="18"/>
    <n v="18"/>
  </r>
  <r>
    <s v="PREMIUM NUTS"/>
    <s v="MACADAMIA NUTS"/>
    <x v="42"/>
    <s v="1.000"/>
    <n v="11"/>
    <n v="11.34"/>
  </r>
  <r>
    <s v="SEASONING"/>
    <s v="SEASONING"/>
    <x v="55"/>
    <s v="1.000"/>
    <n v="2"/>
    <n v="1.5"/>
  </r>
  <r>
    <s v="SEASONING"/>
    <s v="SEASONING"/>
    <x v="51"/>
    <s v="1.000"/>
    <n v="35"/>
    <n v="35"/>
  </r>
  <r>
    <s v="SEASONING"/>
    <s v="SEASONING"/>
    <x v="51"/>
    <s v="1.000"/>
    <n v="35"/>
    <n v="35"/>
  </r>
  <r>
    <s v="RAISIN"/>
    <s v="RAISIN - ABJOSH"/>
    <x v="30"/>
    <s v="1.000"/>
    <n v="4"/>
    <n v="4"/>
  </r>
  <r>
    <s v="DATES"/>
    <s v="DRY DATES"/>
    <x v="56"/>
    <s v="1.000"/>
    <n v="90"/>
    <n v="90"/>
  </r>
  <r>
    <s v="RAISIN"/>
    <s v="RAISIN - ABJOSH"/>
    <x v="30"/>
    <s v="1.000"/>
    <n v="122"/>
    <n v="122"/>
  </r>
  <r>
    <s v="ALMOND"/>
    <s v="ALMOND - KERNELS"/>
    <x v="57"/>
    <s v="1.000"/>
    <n v="50"/>
    <n v="50"/>
  </r>
  <r>
    <s v="BLACKCURRANT"/>
    <s v="DRIED BLACKCURRANT"/>
    <x v="58"/>
    <s v="1.000"/>
    <n v="25"/>
    <n v="25"/>
  </r>
  <r>
    <s v="SEASONING"/>
    <s v="SEASONING"/>
    <x v="15"/>
    <s v="1.000"/>
    <n v="120"/>
    <n v="120"/>
  </r>
  <r>
    <s v="CASHEW"/>
    <s v="CASHEW - KERNEL"/>
    <x v="23"/>
    <s v="1.000"/>
    <n v="10"/>
    <n v="10"/>
  </r>
  <r>
    <s v="PISTA"/>
    <s v="PISTA - IRANI"/>
    <x v="59"/>
    <s v="1.000"/>
    <n v="50"/>
    <n v="50"/>
  </r>
  <r>
    <s v="SEASONING"/>
    <s v="SEASONING"/>
    <x v="60"/>
    <s v="1.000"/>
    <n v="20"/>
    <n v="20"/>
  </r>
  <r>
    <s v="SEASONING"/>
    <s v="SEASONING"/>
    <x v="61"/>
    <s v="1.000"/>
    <n v="25"/>
    <n v="25"/>
  </r>
  <r>
    <s v="SEASONING"/>
    <s v="SEASONING"/>
    <x v="41"/>
    <s v="1.000"/>
    <n v="2"/>
    <n v="2"/>
  </r>
  <r>
    <s v="SEASONING"/>
    <s v="SEASONING"/>
    <x v="62"/>
    <s v="1.000"/>
    <n v="9"/>
    <n v="9.35"/>
  </r>
  <r>
    <s v="SALT"/>
    <s v="SALT"/>
    <x v="63"/>
    <s v="1.000"/>
    <n v="5"/>
    <n v="5"/>
  </r>
  <r>
    <s v="SEASONING"/>
    <s v="SEASONING"/>
    <x v="51"/>
    <s v="1.000"/>
    <n v="75"/>
    <n v="75"/>
  </r>
  <r>
    <s v="SEASONING"/>
    <s v="SEASONING"/>
    <x v="64"/>
    <s v="1.000"/>
    <n v="10"/>
    <n v="10"/>
  </r>
  <r>
    <s v="SEASONING"/>
    <s v="SEASONING"/>
    <x v="18"/>
    <s v="1.000"/>
    <n v="150"/>
    <n v="150"/>
  </r>
  <r>
    <s v="SEASONING"/>
    <s v="SEASONING"/>
    <x v="19"/>
    <s v="1.000"/>
    <n v="25"/>
    <n v="25"/>
  </r>
  <r>
    <s v="SEASONING"/>
    <s v="SEASONING"/>
    <x v="65"/>
    <s v="1.000"/>
    <n v="47"/>
    <n v="47"/>
  </r>
  <r>
    <s v="SEASONING"/>
    <s v="SEASONING"/>
    <x v="60"/>
    <s v="1.000"/>
    <n v="30"/>
    <n v="30"/>
  </r>
  <r>
    <s v="SEASONING"/>
    <s v="SEASONING"/>
    <x v="62"/>
    <s v="1.000"/>
    <n v="28"/>
    <n v="28.05"/>
  </r>
  <r>
    <s v="SEASONING"/>
    <s v="SEASONING"/>
    <x v="38"/>
    <s v="1.000"/>
    <n v="75"/>
    <n v="75"/>
  </r>
  <r>
    <s v="CRANBERRY"/>
    <s v="CRANBERRY - WHOLE"/>
    <x v="66"/>
    <s v="1.000"/>
    <n v="363"/>
    <n v="362.88"/>
  </r>
  <r>
    <s v="DATES"/>
    <s v="SYRUP"/>
    <x v="67"/>
    <s v="0.400"/>
    <n v="260"/>
    <n v="104"/>
  </r>
  <r>
    <s v="CRANBERRY"/>
    <s v="CRANBERRY - WHOLE"/>
    <x v="66"/>
    <s v="1.000"/>
    <n v="6"/>
    <n v="5.5"/>
  </r>
  <r>
    <s v="MISCELLANEOUS - RM"/>
    <s v="OTHER MISC"/>
    <x v="68"/>
    <s v="1.000"/>
    <n v="60"/>
    <n v="60"/>
  </r>
  <r>
    <s v="MISCELLANEOUS - RM"/>
    <s v="OTHER MISC"/>
    <x v="68"/>
    <s v="1.000"/>
    <n v="1000"/>
    <n v="1000"/>
  </r>
  <r>
    <s v="MISCELLANEOUS - RM"/>
    <s v="OTHER MISC"/>
    <x v="69"/>
    <s v="1.000"/>
    <n v="550"/>
    <n v="550"/>
  </r>
  <r>
    <s v="SEEDS"/>
    <s v="PUMPKIN"/>
    <x v="70"/>
    <s v="1.000"/>
    <n v="2400"/>
    <n v="2400"/>
  </r>
  <r>
    <s v="SEEDS"/>
    <s v="PUMPKIN"/>
    <x v="70"/>
    <s v="1.000"/>
    <n v="16500"/>
    <n v="16500"/>
  </r>
  <r>
    <s v="CRANBERRY"/>
    <s v="CRANBERRY - SLICED"/>
    <x v="71"/>
    <s v="1.000"/>
    <n v="45"/>
    <n v="45.36"/>
  </r>
  <r>
    <s v="SEEDS"/>
    <s v="PUMPKIN"/>
    <x v="70"/>
    <s v="1.000"/>
    <n v="6600"/>
    <n v="6600"/>
  </r>
  <r>
    <s v="BLUEBERRY"/>
    <s v="BLUEBERRY - PLAIN"/>
    <x v="6"/>
    <s v="1.000"/>
    <n v="404"/>
    <n v="404.06"/>
  </r>
  <r>
    <s v="BLUEBERRY"/>
    <s v="BLUEBERRY - PLAIN"/>
    <x v="6"/>
    <s v="1.000"/>
    <n v="9"/>
    <n v="9.08"/>
  </r>
  <r>
    <s v="BLUEBERRY"/>
    <s v="BLUEBERRY - PLAIN"/>
    <x v="6"/>
    <s v="1.000"/>
    <n v="531"/>
    <n v="531.17999999999995"/>
  </r>
  <r>
    <s v="BLUEBERRY"/>
    <s v="BLUEBERRY - PLAIN"/>
    <x v="6"/>
    <s v="1.000"/>
    <n v="767"/>
    <n v="767.26"/>
  </r>
  <r>
    <s v="BLUEBERRY"/>
    <s v="BLUEBERRY - PLAIN"/>
    <x v="6"/>
    <s v="1.000"/>
    <n v="531"/>
    <n v="531.17999999999995"/>
  </r>
  <r>
    <s v="WALNUT"/>
    <s v="WALNUT - BROKEN"/>
    <x v="72"/>
    <s v="1.000"/>
    <n v="130"/>
    <n v="130"/>
  </r>
  <r>
    <s v="BLUEBERRY"/>
    <s v="BLUEBERRY - PLAIN"/>
    <x v="6"/>
    <s v="1.000"/>
    <n v="767"/>
    <n v="767.26"/>
  </r>
  <r>
    <s v="SEASONING"/>
    <s v="SEASONING"/>
    <x v="73"/>
    <s v="1.000"/>
    <n v="50"/>
    <n v="50"/>
  </r>
  <r>
    <s v="RAISIN"/>
    <s v="RAISIN - BLACK"/>
    <x v="74"/>
    <s v="1.000"/>
    <n v="1000"/>
    <n v="1000"/>
  </r>
  <r>
    <s v="DEHYDRATED FRUITS"/>
    <s v="DF - ORANGE"/>
    <x v="75"/>
    <s v="1.000"/>
    <n v="30"/>
    <n v="30"/>
  </r>
  <r>
    <s v="RAISIN"/>
    <s v="RAISIN - BLACK"/>
    <x v="74"/>
    <s v="1.000"/>
    <n v="1000"/>
    <n v="1000"/>
  </r>
  <r>
    <s v="MISCELLANEOUS - RM"/>
    <s v="OTHER MISC"/>
    <x v="76"/>
    <s v="1.000"/>
    <n v="3"/>
    <n v="3"/>
  </r>
  <r>
    <s v="RAISIN"/>
    <s v="RAISIN - BLACK"/>
    <x v="74"/>
    <s v="1.000"/>
    <n v="1000"/>
    <n v="1000"/>
  </r>
  <r>
    <s v="ALMOND"/>
    <s v="ALMOND - KERNELS"/>
    <x v="77"/>
    <s v="1.000"/>
    <n v="336"/>
    <n v="336.2"/>
  </r>
  <r>
    <s v="BLACKCURRANT"/>
    <s v="DRIED BLACKCURRANT"/>
    <x v="58"/>
    <s v="1.000"/>
    <n v="9"/>
    <n v="9.1999999999999993"/>
  </r>
  <r>
    <s v="BLUEBERRY"/>
    <s v="BLUEBERRY - APPLE INFUSED"/>
    <x v="52"/>
    <s v="1.000"/>
    <n v="10"/>
    <n v="10"/>
  </r>
  <r>
    <s v="PRUNES"/>
    <s v="PRUNES - PITTED"/>
    <x v="17"/>
    <s v="1.000"/>
    <n v="1474"/>
    <n v="1474.2"/>
  </r>
  <r>
    <s v="PISTA"/>
    <s v="PISTA - KERNEL"/>
    <x v="14"/>
    <s v="1.000"/>
    <n v="100"/>
    <n v="100"/>
  </r>
  <r>
    <s v="SEASONING"/>
    <s v="SEASONING"/>
    <x v="78"/>
    <s v="1.000"/>
    <n v="50"/>
    <n v="50"/>
  </r>
  <r>
    <s v="PRUNES"/>
    <s v="PRUNES - PITTED"/>
    <x v="17"/>
    <s v="1.000"/>
    <n v="1588"/>
    <n v="1587.6"/>
  </r>
  <r>
    <s v="PRUNES"/>
    <s v="PRUNES - PITTED"/>
    <x v="17"/>
    <s v="1.000"/>
    <n v="1474"/>
    <n v="1474.2"/>
  </r>
  <r>
    <s v="MISCELLANEOUS - RM"/>
    <s v="OTHER MISC"/>
    <x v="69"/>
    <s v="1.000"/>
    <n v="350"/>
    <n v="350"/>
  </r>
  <r>
    <s v="SEASONING"/>
    <s v="SEASONING"/>
    <x v="73"/>
    <s v="1.000"/>
    <n v="200"/>
    <n v="200"/>
  </r>
  <r>
    <s v="MISCELLANEOUS - RM"/>
    <s v="OTHER MISC"/>
    <x v="68"/>
    <s v="1.000"/>
    <n v="280"/>
    <n v="280"/>
  </r>
  <r>
    <s v="BLACKCURRANT"/>
    <s v="DRIED BLACKCURRANT"/>
    <x v="58"/>
    <s v="1.000"/>
    <n v="30"/>
    <n v="30"/>
  </r>
  <r>
    <s v="BLACKCURRANT"/>
    <s v="DRIED BLACKCURRANT"/>
    <x v="58"/>
    <s v="1.000"/>
    <n v="13"/>
    <n v="12.5"/>
  </r>
  <r>
    <s v="DATES"/>
    <s v="POWDER"/>
    <x v="79"/>
    <s v="1.000"/>
    <n v="70"/>
    <n v="70"/>
  </r>
  <r>
    <s v="PRUNES"/>
    <s v="PRUNES - PITTED"/>
    <x v="17"/>
    <s v="1.000"/>
    <n v="510"/>
    <n v="510.3"/>
  </r>
  <r>
    <s v="DATES"/>
    <s v="DRY DATES"/>
    <x v="56"/>
    <s v="1.000"/>
    <n v="2177"/>
    <n v="2177"/>
  </r>
  <r>
    <s v="CRANBERRY"/>
    <s v="CRANBERRY - SLICED"/>
    <x v="39"/>
    <s v="1.000"/>
    <n v="11"/>
    <n v="11.34"/>
  </r>
  <r>
    <s v="DATES"/>
    <s v="SYRUP"/>
    <x v="80"/>
    <s v="1.150"/>
    <n v="2556"/>
    <n v="2939.4"/>
  </r>
  <r>
    <s v="PREMIUM NUTS"/>
    <s v="HAZELNUTS"/>
    <x v="81"/>
    <s v="1.000"/>
    <n v="20"/>
    <n v="20"/>
  </r>
  <r>
    <s v="DATES"/>
    <s v="DRY DATES"/>
    <x v="56"/>
    <s v="1.000"/>
    <n v="1162"/>
    <n v="1162"/>
  </r>
  <r>
    <s v="PEANUTS"/>
    <s v="PEANUT - WHOLE"/>
    <x v="82"/>
    <s v="1.000"/>
    <n v="535"/>
    <n v="535"/>
  </r>
  <r>
    <s v="CRANBERRY"/>
    <s v="CRANBERRY - WHOLE"/>
    <x v="66"/>
    <s v="1.000"/>
    <n v="1372"/>
    <n v="1372.14"/>
  </r>
  <r>
    <s v="PREMIUM NUTS"/>
    <s v="HAZELNUTS"/>
    <x v="81"/>
    <s v="1.000"/>
    <n v="8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EC2EA-9F73-41FA-A137-24CEEEB49DBD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9" firstHeaderRow="1" firstDataRow="1" firstDataCol="1"/>
  <pivotFields count="7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Weight (kg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94A96-6F58-4E06-88FD-6AA4B32EA0AF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22" firstHeaderRow="1" firstDataRow="1" firstDataCol="1"/>
  <pivotFields count="7">
    <pivotField showAll="0"/>
    <pivotField showAll="0"/>
    <pivotField showAll="0"/>
    <pivotField axis="axisRow" showAll="0">
      <items count="17">
        <item x="15"/>
        <item x="6"/>
        <item x="5"/>
        <item x="4"/>
        <item x="13"/>
        <item x="14"/>
        <item x="2"/>
        <item x="8"/>
        <item x="10"/>
        <item x="9"/>
        <item x="0"/>
        <item x="7"/>
        <item x="3"/>
        <item x="1"/>
        <item x="11"/>
        <item x="12"/>
        <item t="default"/>
      </items>
    </pivotField>
    <pivotField showAll="0"/>
    <pivotField showAll="0"/>
    <pivotField dataField="1" showAll="0">
      <items count="16">
        <item x="1"/>
        <item x="10"/>
        <item x="6"/>
        <item x="2"/>
        <item x="4"/>
        <item x="7"/>
        <item x="8"/>
        <item x="9"/>
        <item x="11"/>
        <item x="13"/>
        <item x="5"/>
        <item x="3"/>
        <item x="12"/>
        <item x="0"/>
        <item x="14"/>
        <item t="default"/>
      </items>
    </pivotField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Weight (kg)" fld="6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7C5D1-B020-4B14-9E32-AA59A39E0F2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K45" firstHeaderRow="0" firstDataRow="1" firstDataCol="1"/>
  <pivotFields count="7">
    <pivotField showAll="0"/>
    <pivotField showAll="0"/>
    <pivotField showAll="0"/>
    <pivotField axis="axisRow" showAll="0">
      <items count="40">
        <item x="12"/>
        <item x="17"/>
        <item x="15"/>
        <item x="9"/>
        <item x="21"/>
        <item x="0"/>
        <item x="11"/>
        <item x="16"/>
        <item x="33"/>
        <item x="13"/>
        <item x="32"/>
        <item x="1"/>
        <item x="31"/>
        <item x="30"/>
        <item x="26"/>
        <item x="20"/>
        <item x="19"/>
        <item x="27"/>
        <item x="2"/>
        <item x="24"/>
        <item x="38"/>
        <item x="37"/>
        <item x="35"/>
        <item x="36"/>
        <item x="8"/>
        <item x="18"/>
        <item x="28"/>
        <item x="23"/>
        <item x="14"/>
        <item x="29"/>
        <item x="6"/>
        <item x="25"/>
        <item x="3"/>
        <item x="4"/>
        <item x="22"/>
        <item x="7"/>
        <item x="34"/>
        <item x="5"/>
        <item x="10"/>
        <item t="default"/>
      </items>
    </pivotField>
    <pivotField showAll="0"/>
    <pivotField dataField="1" showAll="0"/>
    <pivotField dataField="1" showAll="0"/>
  </pivotFields>
  <rowFields count="1">
    <field x="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/>
    <dataField name="Sum of Total Weight (kg)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E3DDF-A7F9-4721-8462-C3C8DC2A5DD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L46" firstHeaderRow="0" firstDataRow="1" firstDataCol="1"/>
  <pivotFields count="7">
    <pivotField showAll="0"/>
    <pivotField showAll="0"/>
    <pivotField showAll="0"/>
    <pivotField axis="axisRow" showAll="0">
      <items count="41">
        <item x="3"/>
        <item x="23"/>
        <item x="31"/>
        <item x="29"/>
        <item x="30"/>
        <item x="19"/>
        <item x="26"/>
        <item x="39"/>
        <item x="32"/>
        <item x="12"/>
        <item x="7"/>
        <item x="35"/>
        <item x="37"/>
        <item x="6"/>
        <item x="0"/>
        <item x="1"/>
        <item x="2"/>
        <item x="4"/>
        <item x="5"/>
        <item x="8"/>
        <item x="9"/>
        <item x="10"/>
        <item x="11"/>
        <item x="13"/>
        <item x="14"/>
        <item x="15"/>
        <item x="16"/>
        <item x="17"/>
        <item x="18"/>
        <item x="20"/>
        <item x="21"/>
        <item x="22"/>
        <item x="24"/>
        <item x="25"/>
        <item x="27"/>
        <item x="28"/>
        <item x="33"/>
        <item x="34"/>
        <item x="36"/>
        <item x="38"/>
        <item t="default"/>
      </items>
    </pivotField>
    <pivotField showAll="0"/>
    <pivotField dataField="1" showAll="0"/>
    <pivotField dataField="1"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/>
    <dataField name="Sum of Total Weight (kg)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0D697-791E-4399-8750-445F1DE49EB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L69" firstHeaderRow="0" firstDataRow="1" firstDataCol="1"/>
  <pivotFields count="7">
    <pivotField showAll="0"/>
    <pivotField showAll="0"/>
    <pivotField showAll="0"/>
    <pivotField axis="axisRow" showAll="0">
      <items count="68">
        <item x="4"/>
        <item x="3"/>
        <item x="42"/>
        <item x="33"/>
        <item x="49"/>
        <item x="40"/>
        <item x="34"/>
        <item x="37"/>
        <item x="0"/>
        <item x="1"/>
        <item x="2"/>
        <item x="5"/>
        <item m="1" x="65"/>
        <item m="1" x="6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8"/>
        <item x="39"/>
        <item x="41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m="1" x="63"/>
        <item x="57"/>
        <item x="58"/>
        <item x="59"/>
        <item x="60"/>
        <item x="61"/>
        <item m="1" x="64"/>
        <item x="7"/>
        <item x="6"/>
        <item x="62"/>
        <item x="56"/>
        <item t="default"/>
      </items>
    </pivotField>
    <pivotField showAll="0"/>
    <pivotField dataField="1" showAll="0"/>
    <pivotField dataField="1" showAll="0"/>
  </pivotFields>
  <rowFields count="1">
    <field x="3"/>
  </rowFields>
  <row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7"/>
    </i>
    <i>
      <x v="58"/>
    </i>
    <i>
      <x v="59"/>
    </i>
    <i>
      <x v="60"/>
    </i>
    <i>
      <x v="61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/>
    <dataField name="Sum of Total Weight (kg)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C19D3-C22D-4B05-A1B9-F1D2CDFC2FF9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85" firstHeaderRow="1" firstDataRow="1" firstDataCol="1"/>
  <pivotFields count="6">
    <pivotField showAll="0"/>
    <pivotField showAll="0"/>
    <pivotField axis="axisRow" showAll="0">
      <items count="85">
        <item x="79"/>
        <item x="74"/>
        <item x="30"/>
        <item x="27"/>
        <item x="80"/>
        <item x="67"/>
        <item x="24"/>
        <item x="22"/>
        <item x="31"/>
        <item x="57"/>
        <item x="77"/>
        <item x="78"/>
        <item x="73"/>
        <item x="38"/>
        <item x="49"/>
        <item x="54"/>
        <item x="35"/>
        <item x="23"/>
        <item x="55"/>
        <item x="28"/>
        <item x="62"/>
        <item x="64"/>
        <item x="20"/>
        <item x="11"/>
        <item x="15"/>
        <item x="40"/>
        <item x="13"/>
        <item x="10"/>
        <item x="39"/>
        <item x="5"/>
        <item x="53"/>
        <item x="9"/>
        <item x="6"/>
        <item x="52"/>
        <item x="71"/>
        <item x="66"/>
        <item x="12"/>
        <item x="37"/>
        <item x="41"/>
        <item x="8"/>
        <item x="34"/>
        <item x="17"/>
        <item x="56"/>
        <item x="29"/>
        <item x="58"/>
        <item x="81"/>
        <item x="25"/>
        <item m="1" x="83"/>
        <item x="4"/>
        <item x="60"/>
        <item x="0"/>
        <item x="33"/>
        <item x="45"/>
        <item x="47"/>
        <item x="42"/>
        <item x="46"/>
        <item x="61"/>
        <item x="76"/>
        <item x="21"/>
        <item x="75"/>
        <item x="43"/>
        <item x="26"/>
        <item x="3"/>
        <item x="36"/>
        <item x="63"/>
        <item x="59"/>
        <item x="14"/>
        <item x="19"/>
        <item x="68"/>
        <item x="51"/>
        <item x="70"/>
        <item x="7"/>
        <item x="82"/>
        <item x="69"/>
        <item x="2"/>
        <item x="18"/>
        <item x="44"/>
        <item x="50"/>
        <item x="16"/>
        <item x="65"/>
        <item x="1"/>
        <item x="48"/>
        <item x="72"/>
        <item x="32"/>
        <item t="default"/>
      </items>
    </pivotField>
    <pivotField showAll="0"/>
    <pivotField showAll="0"/>
    <pivotField dataField="1" showAll="0"/>
  </pivotFields>
  <rowFields count="1">
    <field x="2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Total Weight (kg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5B2F-B8BD-4835-9049-3DBB90E79264}">
  <dimension ref="A1:N1948"/>
  <sheetViews>
    <sheetView topLeftCell="A3" workbookViewId="0">
      <selection activeCell="B3" sqref="B3"/>
    </sheetView>
  </sheetViews>
  <sheetFormatPr defaultRowHeight="14.5" x14ac:dyDescent="0.35"/>
  <cols>
    <col min="1" max="1" width="10.6328125" bestFit="1" customWidth="1"/>
    <col min="2" max="2" width="34.54296875" customWidth="1"/>
    <col min="3" max="3" width="10.6328125" bestFit="1" customWidth="1"/>
    <col min="4" max="4" width="18.7265625" bestFit="1" customWidth="1"/>
    <col min="5" max="5" width="16.54296875" customWidth="1"/>
    <col min="6" max="6" width="10.54296875" bestFit="1" customWidth="1"/>
    <col min="7" max="7" width="12.54296875" bestFit="1" customWidth="1"/>
    <col min="8" max="8" width="11" bestFit="1" customWidth="1"/>
    <col min="9" max="9" width="12.54296875" bestFit="1" customWidth="1"/>
    <col min="10" max="10" width="11" bestFit="1" customWidth="1"/>
    <col min="11" max="11" width="12.54296875" bestFit="1" customWidth="1"/>
    <col min="12" max="12" width="11" bestFit="1" customWidth="1"/>
    <col min="13" max="13" width="8" bestFit="1" customWidth="1"/>
    <col min="14" max="14" width="7.81640625" bestFit="1" customWidth="1"/>
  </cols>
  <sheetData>
    <row r="1" spans="1:14" x14ac:dyDescent="0.35">
      <c r="A1" s="40"/>
      <c r="B1" s="40"/>
      <c r="C1" s="40"/>
      <c r="D1" s="40"/>
      <c r="E1" s="40"/>
      <c r="F1" s="40"/>
      <c r="G1" s="56">
        <f t="shared" ref="G1:N1" si="0">SUBTOTAL(9,G4:G149027)</f>
        <v>7392</v>
      </c>
      <c r="H1" s="56">
        <f t="shared" si="0"/>
        <v>65088.399999999994</v>
      </c>
      <c r="I1" s="56">
        <f t="shared" si="0"/>
        <v>0</v>
      </c>
      <c r="J1" s="56">
        <f t="shared" si="0"/>
        <v>5002.54</v>
      </c>
      <c r="K1" s="56">
        <f t="shared" si="0"/>
        <v>79659.7</v>
      </c>
      <c r="L1" s="56">
        <f t="shared" si="0"/>
        <v>20145.970000000008</v>
      </c>
      <c r="M1" s="56">
        <f t="shared" si="0"/>
        <v>87051.7</v>
      </c>
      <c r="N1" s="56">
        <f t="shared" si="0"/>
        <v>90236.90999999996</v>
      </c>
    </row>
    <row r="2" spans="1:14" x14ac:dyDescent="0.35">
      <c r="A2" s="45"/>
      <c r="B2" s="31" t="s">
        <v>2306</v>
      </c>
      <c r="C2" s="47"/>
      <c r="D2" s="49">
        <v>46075</v>
      </c>
      <c r="E2" s="50" t="s">
        <v>2307</v>
      </c>
      <c r="F2" s="45"/>
      <c r="G2" s="62" t="s">
        <v>2363</v>
      </c>
      <c r="H2" s="62"/>
      <c r="I2" s="62" t="s">
        <v>2364</v>
      </c>
      <c r="J2" s="62"/>
      <c r="K2" s="62" t="s">
        <v>2365</v>
      </c>
      <c r="L2" s="62"/>
      <c r="M2" s="62" t="s">
        <v>2371</v>
      </c>
      <c r="N2" s="62"/>
    </row>
    <row r="3" spans="1:14" ht="23" x14ac:dyDescent="0.35">
      <c r="A3" s="29" t="s">
        <v>290</v>
      </c>
      <c r="B3" s="30" t="s">
        <v>291</v>
      </c>
      <c r="C3" s="30" t="s">
        <v>292</v>
      </c>
      <c r="D3" s="31" t="s">
        <v>293</v>
      </c>
      <c r="E3" s="31" t="s">
        <v>294</v>
      </c>
      <c r="F3" s="32" t="s">
        <v>295</v>
      </c>
      <c r="G3" s="57" t="s">
        <v>2361</v>
      </c>
      <c r="H3" s="57" t="s">
        <v>2362</v>
      </c>
      <c r="I3" s="57" t="s">
        <v>2361</v>
      </c>
      <c r="J3" s="57" t="s">
        <v>2362</v>
      </c>
      <c r="K3" s="57" t="s">
        <v>2361</v>
      </c>
      <c r="L3" s="57" t="s">
        <v>2362</v>
      </c>
      <c r="M3" s="57" t="s">
        <v>2361</v>
      </c>
      <c r="N3" s="57" t="s">
        <v>2362</v>
      </c>
    </row>
    <row r="4" spans="1:14" x14ac:dyDescent="0.35">
      <c r="A4" s="33">
        <v>1</v>
      </c>
      <c r="B4" s="34" t="s">
        <v>296</v>
      </c>
      <c r="C4" s="33" t="s">
        <v>297</v>
      </c>
      <c r="D4" s="33" t="s">
        <v>36</v>
      </c>
      <c r="E4" s="33" t="s">
        <v>298</v>
      </c>
      <c r="F4" s="35">
        <v>1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40">
        <f>G4+I4+K4</f>
        <v>0</v>
      </c>
      <c r="N4" s="40">
        <f>H4+J4+L4</f>
        <v>0</v>
      </c>
    </row>
    <row r="5" spans="1:14" x14ac:dyDescent="0.35">
      <c r="A5" s="33">
        <v>2</v>
      </c>
      <c r="B5" s="34" t="s">
        <v>299</v>
      </c>
      <c r="C5" s="33" t="s">
        <v>297</v>
      </c>
      <c r="D5" s="33" t="s">
        <v>36</v>
      </c>
      <c r="E5" s="33" t="s">
        <v>298</v>
      </c>
      <c r="F5" s="35">
        <v>1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0">
        <f t="shared" ref="M5:M68" si="1">G5+I5+K5</f>
        <v>0</v>
      </c>
      <c r="N5" s="40">
        <f t="shared" ref="N5:N68" si="2">H5+J5+L5</f>
        <v>0</v>
      </c>
    </row>
    <row r="6" spans="1:14" x14ac:dyDescent="0.35">
      <c r="A6" s="33">
        <v>3</v>
      </c>
      <c r="B6" s="34" t="s">
        <v>300</v>
      </c>
      <c r="C6" s="33" t="s">
        <v>297</v>
      </c>
      <c r="D6" s="33" t="s">
        <v>36</v>
      </c>
      <c r="E6" s="33" t="s">
        <v>298</v>
      </c>
      <c r="F6" s="35">
        <v>1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f t="shared" si="1"/>
        <v>0</v>
      </c>
      <c r="N6" s="40">
        <f t="shared" si="2"/>
        <v>0</v>
      </c>
    </row>
    <row r="7" spans="1:14" x14ac:dyDescent="0.35">
      <c r="A7" s="33">
        <v>4</v>
      </c>
      <c r="B7" s="34" t="s">
        <v>301</v>
      </c>
      <c r="C7" s="33" t="s">
        <v>297</v>
      </c>
      <c r="D7" s="33" t="s">
        <v>36</v>
      </c>
      <c r="E7" s="33" t="s">
        <v>298</v>
      </c>
      <c r="F7" s="35">
        <v>1</v>
      </c>
      <c r="G7" s="40">
        <v>0</v>
      </c>
      <c r="H7" s="40">
        <v>0</v>
      </c>
      <c r="I7" s="40">
        <v>0</v>
      </c>
      <c r="J7" s="40">
        <v>4.5999999999999996</v>
      </c>
      <c r="K7" s="40">
        <v>0</v>
      </c>
      <c r="L7" s="40">
        <v>0</v>
      </c>
      <c r="M7" s="40">
        <f t="shared" si="1"/>
        <v>0</v>
      </c>
      <c r="N7" s="40">
        <f t="shared" si="2"/>
        <v>4.5999999999999996</v>
      </c>
    </row>
    <row r="8" spans="1:14" x14ac:dyDescent="0.35">
      <c r="A8" s="33">
        <v>5</v>
      </c>
      <c r="B8" s="34" t="s">
        <v>302</v>
      </c>
      <c r="C8" s="33" t="s">
        <v>297</v>
      </c>
      <c r="D8" s="33" t="s">
        <v>36</v>
      </c>
      <c r="E8" s="33" t="s">
        <v>298</v>
      </c>
      <c r="F8" s="35">
        <v>1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f t="shared" si="1"/>
        <v>0</v>
      </c>
      <c r="N8" s="40">
        <f t="shared" si="2"/>
        <v>0</v>
      </c>
    </row>
    <row r="9" spans="1:14" x14ac:dyDescent="0.35">
      <c r="A9" s="33">
        <v>6</v>
      </c>
      <c r="B9" s="34" t="s">
        <v>303</v>
      </c>
      <c r="C9" s="33" t="s">
        <v>297</v>
      </c>
      <c r="D9" s="33" t="s">
        <v>36</v>
      </c>
      <c r="E9" s="33" t="s">
        <v>298</v>
      </c>
      <c r="F9" s="35">
        <v>1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f t="shared" si="1"/>
        <v>0</v>
      </c>
      <c r="N9" s="40">
        <f t="shared" si="2"/>
        <v>0</v>
      </c>
    </row>
    <row r="10" spans="1:14" x14ac:dyDescent="0.35">
      <c r="A10" s="33">
        <v>7</v>
      </c>
      <c r="B10" s="34" t="s">
        <v>304</v>
      </c>
      <c r="C10" s="33" t="s">
        <v>297</v>
      </c>
      <c r="D10" s="33" t="s">
        <v>36</v>
      </c>
      <c r="E10" s="33" t="s">
        <v>298</v>
      </c>
      <c r="F10" s="35">
        <v>1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f t="shared" si="1"/>
        <v>0</v>
      </c>
      <c r="N10" s="40">
        <f t="shared" si="2"/>
        <v>0</v>
      </c>
    </row>
    <row r="11" spans="1:14" x14ac:dyDescent="0.35">
      <c r="A11" s="33">
        <v>8</v>
      </c>
      <c r="B11" s="34" t="s">
        <v>305</v>
      </c>
      <c r="C11" s="33" t="s">
        <v>297</v>
      </c>
      <c r="D11" s="33" t="s">
        <v>36</v>
      </c>
      <c r="E11" s="33" t="s">
        <v>298</v>
      </c>
      <c r="F11" s="35">
        <v>1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f t="shared" si="1"/>
        <v>0</v>
      </c>
      <c r="N11" s="40">
        <f t="shared" si="2"/>
        <v>0</v>
      </c>
    </row>
    <row r="12" spans="1:14" x14ac:dyDescent="0.35">
      <c r="A12" s="33">
        <v>9</v>
      </c>
      <c r="B12" s="34" t="s">
        <v>306</v>
      </c>
      <c r="C12" s="33" t="s">
        <v>297</v>
      </c>
      <c r="D12" s="33" t="s">
        <v>36</v>
      </c>
      <c r="E12" s="33" t="s">
        <v>307</v>
      </c>
      <c r="F12" s="35">
        <v>1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f t="shared" si="1"/>
        <v>0</v>
      </c>
      <c r="N12" s="40">
        <f t="shared" si="2"/>
        <v>0</v>
      </c>
    </row>
    <row r="13" spans="1:14" x14ac:dyDescent="0.35">
      <c r="A13" s="33">
        <v>10</v>
      </c>
      <c r="B13" s="34" t="s">
        <v>308</v>
      </c>
      <c r="C13" s="33" t="s">
        <v>297</v>
      </c>
      <c r="D13" s="33" t="s">
        <v>36</v>
      </c>
      <c r="E13" s="33" t="s">
        <v>307</v>
      </c>
      <c r="F13" s="35">
        <v>1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f t="shared" si="1"/>
        <v>0</v>
      </c>
      <c r="N13" s="40">
        <f t="shared" si="2"/>
        <v>0</v>
      </c>
    </row>
    <row r="14" spans="1:14" x14ac:dyDescent="0.35">
      <c r="A14" s="33">
        <v>11</v>
      </c>
      <c r="B14" s="34" t="s">
        <v>309</v>
      </c>
      <c r="C14" s="33" t="s">
        <v>297</v>
      </c>
      <c r="D14" s="33" t="s">
        <v>36</v>
      </c>
      <c r="E14" s="33" t="s">
        <v>307</v>
      </c>
      <c r="F14" s="35">
        <v>1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f t="shared" si="1"/>
        <v>0</v>
      </c>
      <c r="N14" s="40">
        <f t="shared" si="2"/>
        <v>0</v>
      </c>
    </row>
    <row r="15" spans="1:14" x14ac:dyDescent="0.35">
      <c r="A15" s="33">
        <v>12</v>
      </c>
      <c r="B15" s="34" t="s">
        <v>310</v>
      </c>
      <c r="C15" s="33" t="s">
        <v>297</v>
      </c>
      <c r="D15" s="33" t="s">
        <v>36</v>
      </c>
      <c r="E15" s="33" t="s">
        <v>311</v>
      </c>
      <c r="F15" s="35">
        <v>1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f t="shared" si="1"/>
        <v>0</v>
      </c>
      <c r="N15" s="40">
        <f t="shared" si="2"/>
        <v>0</v>
      </c>
    </row>
    <row r="16" spans="1:14" x14ac:dyDescent="0.35">
      <c r="A16" s="33">
        <v>13</v>
      </c>
      <c r="B16" s="34" t="s">
        <v>312</v>
      </c>
      <c r="C16" s="33" t="s">
        <v>297</v>
      </c>
      <c r="D16" s="33" t="s">
        <v>36</v>
      </c>
      <c r="E16" s="33" t="s">
        <v>311</v>
      </c>
      <c r="F16" s="35">
        <v>1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f t="shared" si="1"/>
        <v>0</v>
      </c>
      <c r="N16" s="40">
        <f t="shared" si="2"/>
        <v>0</v>
      </c>
    </row>
    <row r="17" spans="1:14" x14ac:dyDescent="0.35">
      <c r="A17" s="33">
        <v>14</v>
      </c>
      <c r="B17" s="34" t="s">
        <v>313</v>
      </c>
      <c r="C17" s="33" t="s">
        <v>297</v>
      </c>
      <c r="D17" s="33" t="s">
        <v>36</v>
      </c>
      <c r="E17" s="33" t="s">
        <v>311</v>
      </c>
      <c r="F17" s="35">
        <v>1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f t="shared" si="1"/>
        <v>0</v>
      </c>
      <c r="N17" s="40">
        <f t="shared" si="2"/>
        <v>0</v>
      </c>
    </row>
    <row r="18" spans="1:14" x14ac:dyDescent="0.35">
      <c r="A18" s="33">
        <v>15</v>
      </c>
      <c r="B18" s="34" t="s">
        <v>314</v>
      </c>
      <c r="C18" s="33" t="s">
        <v>297</v>
      </c>
      <c r="D18" s="33" t="s">
        <v>36</v>
      </c>
      <c r="E18" s="33" t="s">
        <v>311</v>
      </c>
      <c r="F18" s="35">
        <v>1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f t="shared" si="1"/>
        <v>0</v>
      </c>
      <c r="N18" s="40">
        <f t="shared" si="2"/>
        <v>0</v>
      </c>
    </row>
    <row r="19" spans="1:14" x14ac:dyDescent="0.35">
      <c r="A19" s="33">
        <v>16</v>
      </c>
      <c r="B19" s="34" t="s">
        <v>315</v>
      </c>
      <c r="C19" s="33" t="s">
        <v>297</v>
      </c>
      <c r="D19" s="33" t="s">
        <v>36</v>
      </c>
      <c r="E19" s="33" t="s">
        <v>311</v>
      </c>
      <c r="F19" s="35">
        <v>1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f t="shared" si="1"/>
        <v>0</v>
      </c>
      <c r="N19" s="40">
        <f t="shared" si="2"/>
        <v>0</v>
      </c>
    </row>
    <row r="20" spans="1:14" x14ac:dyDescent="0.35">
      <c r="A20" s="33">
        <v>17</v>
      </c>
      <c r="B20" s="34" t="s">
        <v>316</v>
      </c>
      <c r="C20" s="33" t="s">
        <v>297</v>
      </c>
      <c r="D20" s="33" t="s">
        <v>36</v>
      </c>
      <c r="E20" s="33" t="s">
        <v>311</v>
      </c>
      <c r="F20" s="35">
        <v>1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f t="shared" si="1"/>
        <v>0</v>
      </c>
      <c r="N20" s="40">
        <f t="shared" si="2"/>
        <v>0</v>
      </c>
    </row>
    <row r="21" spans="1:14" x14ac:dyDescent="0.35">
      <c r="A21" s="33">
        <v>18</v>
      </c>
      <c r="B21" s="34" t="s">
        <v>317</v>
      </c>
      <c r="C21" s="33" t="s">
        <v>297</v>
      </c>
      <c r="D21" s="33" t="s">
        <v>36</v>
      </c>
      <c r="E21" s="33" t="s">
        <v>311</v>
      </c>
      <c r="F21" s="35">
        <v>1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f t="shared" si="1"/>
        <v>0</v>
      </c>
      <c r="N21" s="40">
        <f t="shared" si="2"/>
        <v>0</v>
      </c>
    </row>
    <row r="22" spans="1:14" x14ac:dyDescent="0.35">
      <c r="A22" s="33">
        <v>19</v>
      </c>
      <c r="B22" s="34" t="s">
        <v>318</v>
      </c>
      <c r="C22" s="33" t="s">
        <v>297</v>
      </c>
      <c r="D22" s="33" t="s">
        <v>36</v>
      </c>
      <c r="E22" s="33" t="s">
        <v>311</v>
      </c>
      <c r="F22" s="35">
        <v>1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f t="shared" si="1"/>
        <v>0</v>
      </c>
      <c r="N22" s="40">
        <f t="shared" si="2"/>
        <v>0</v>
      </c>
    </row>
    <row r="23" spans="1:14" x14ac:dyDescent="0.35">
      <c r="A23" s="33">
        <v>20</v>
      </c>
      <c r="B23" s="34" t="s">
        <v>319</v>
      </c>
      <c r="C23" s="33" t="s">
        <v>297</v>
      </c>
      <c r="D23" s="33" t="s">
        <v>36</v>
      </c>
      <c r="E23" s="33" t="s">
        <v>311</v>
      </c>
      <c r="F23" s="35">
        <v>1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f t="shared" si="1"/>
        <v>0</v>
      </c>
      <c r="N23" s="40">
        <f t="shared" si="2"/>
        <v>0</v>
      </c>
    </row>
    <row r="24" spans="1:14" x14ac:dyDescent="0.35">
      <c r="A24" s="33">
        <v>21</v>
      </c>
      <c r="B24" s="34" t="s">
        <v>320</v>
      </c>
      <c r="C24" s="33" t="s">
        <v>297</v>
      </c>
      <c r="D24" s="33" t="s">
        <v>36</v>
      </c>
      <c r="E24" s="33" t="s">
        <v>311</v>
      </c>
      <c r="F24" s="35">
        <v>1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f t="shared" si="1"/>
        <v>0</v>
      </c>
      <c r="N24" s="40">
        <f t="shared" si="2"/>
        <v>0</v>
      </c>
    </row>
    <row r="25" spans="1:14" x14ac:dyDescent="0.35">
      <c r="A25" s="33">
        <v>22</v>
      </c>
      <c r="B25" s="34" t="s">
        <v>321</v>
      </c>
      <c r="C25" s="33" t="s">
        <v>297</v>
      </c>
      <c r="D25" s="33" t="s">
        <v>36</v>
      </c>
      <c r="E25" s="33" t="s">
        <v>311</v>
      </c>
      <c r="F25" s="35">
        <v>1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f t="shared" si="1"/>
        <v>0</v>
      </c>
      <c r="N25" s="40">
        <f t="shared" si="2"/>
        <v>0</v>
      </c>
    </row>
    <row r="26" spans="1:14" x14ac:dyDescent="0.35">
      <c r="A26" s="33">
        <v>23</v>
      </c>
      <c r="B26" s="34" t="s">
        <v>322</v>
      </c>
      <c r="C26" s="33" t="s">
        <v>297</v>
      </c>
      <c r="D26" s="33" t="s">
        <v>36</v>
      </c>
      <c r="E26" s="33" t="s">
        <v>311</v>
      </c>
      <c r="F26" s="35">
        <v>1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f t="shared" si="1"/>
        <v>0</v>
      </c>
      <c r="N26" s="40">
        <f t="shared" si="2"/>
        <v>0</v>
      </c>
    </row>
    <row r="27" spans="1:14" x14ac:dyDescent="0.35">
      <c r="A27" s="33">
        <v>24</v>
      </c>
      <c r="B27" s="34" t="s">
        <v>323</v>
      </c>
      <c r="C27" s="33" t="s">
        <v>297</v>
      </c>
      <c r="D27" s="33" t="s">
        <v>36</v>
      </c>
      <c r="E27" s="33" t="s">
        <v>311</v>
      </c>
      <c r="F27" s="35">
        <v>1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f t="shared" si="1"/>
        <v>0</v>
      </c>
      <c r="N27" s="40">
        <f t="shared" si="2"/>
        <v>0</v>
      </c>
    </row>
    <row r="28" spans="1:14" x14ac:dyDescent="0.35">
      <c r="A28" s="33">
        <v>25</v>
      </c>
      <c r="B28" s="34" t="s">
        <v>324</v>
      </c>
      <c r="C28" s="33" t="s">
        <v>297</v>
      </c>
      <c r="D28" s="33" t="s">
        <v>36</v>
      </c>
      <c r="E28" s="33" t="s">
        <v>311</v>
      </c>
      <c r="F28" s="35">
        <v>1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f t="shared" si="1"/>
        <v>0</v>
      </c>
      <c r="N28" s="40">
        <f t="shared" si="2"/>
        <v>0</v>
      </c>
    </row>
    <row r="29" spans="1:14" x14ac:dyDescent="0.35">
      <c r="A29" s="33">
        <v>26</v>
      </c>
      <c r="B29" s="34" t="s">
        <v>325</v>
      </c>
      <c r="C29" s="33" t="s">
        <v>297</v>
      </c>
      <c r="D29" s="33" t="s">
        <v>36</v>
      </c>
      <c r="E29" s="33" t="s">
        <v>311</v>
      </c>
      <c r="F29" s="35">
        <v>1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f t="shared" si="1"/>
        <v>0</v>
      </c>
      <c r="N29" s="40">
        <f t="shared" si="2"/>
        <v>0</v>
      </c>
    </row>
    <row r="30" spans="1:14" x14ac:dyDescent="0.35">
      <c r="A30" s="33">
        <v>27</v>
      </c>
      <c r="B30" s="34" t="s">
        <v>326</v>
      </c>
      <c r="C30" s="33" t="s">
        <v>297</v>
      </c>
      <c r="D30" s="33" t="s">
        <v>36</v>
      </c>
      <c r="E30" s="33" t="s">
        <v>311</v>
      </c>
      <c r="F30" s="35">
        <v>1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f t="shared" si="1"/>
        <v>0</v>
      </c>
      <c r="N30" s="40">
        <f t="shared" si="2"/>
        <v>0</v>
      </c>
    </row>
    <row r="31" spans="1:14" x14ac:dyDescent="0.35">
      <c r="A31" s="33">
        <v>28</v>
      </c>
      <c r="B31" s="34" t="s">
        <v>327</v>
      </c>
      <c r="C31" s="33" t="s">
        <v>297</v>
      </c>
      <c r="D31" s="33" t="s">
        <v>36</v>
      </c>
      <c r="E31" s="33" t="s">
        <v>311</v>
      </c>
      <c r="F31" s="35">
        <v>1</v>
      </c>
      <c r="G31" s="40">
        <v>0</v>
      </c>
      <c r="H31" s="40">
        <v>1834.5</v>
      </c>
      <c r="I31" s="40">
        <v>0</v>
      </c>
      <c r="J31" s="40">
        <v>270</v>
      </c>
      <c r="K31" s="40">
        <v>0</v>
      </c>
      <c r="L31" s="40">
        <v>0</v>
      </c>
      <c r="M31" s="40">
        <f t="shared" si="1"/>
        <v>0</v>
      </c>
      <c r="N31" s="40">
        <f t="shared" si="2"/>
        <v>2104.5</v>
      </c>
    </row>
    <row r="32" spans="1:14" x14ac:dyDescent="0.35">
      <c r="A32" s="33">
        <v>29</v>
      </c>
      <c r="B32" s="34" t="s">
        <v>328</v>
      </c>
      <c r="C32" s="33" t="s">
        <v>297</v>
      </c>
      <c r="D32" s="33" t="s">
        <v>36</v>
      </c>
      <c r="E32" s="33" t="s">
        <v>311</v>
      </c>
      <c r="F32" s="35">
        <v>1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f t="shared" si="1"/>
        <v>0</v>
      </c>
      <c r="N32" s="40">
        <f t="shared" si="2"/>
        <v>0</v>
      </c>
    </row>
    <row r="33" spans="1:14" x14ac:dyDescent="0.35">
      <c r="A33" s="33">
        <v>30</v>
      </c>
      <c r="B33" s="34" t="s">
        <v>329</v>
      </c>
      <c r="C33" s="33" t="s">
        <v>297</v>
      </c>
      <c r="D33" s="33" t="s">
        <v>36</v>
      </c>
      <c r="E33" s="33" t="s">
        <v>311</v>
      </c>
      <c r="F33" s="35">
        <v>1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f t="shared" si="1"/>
        <v>0</v>
      </c>
      <c r="N33" s="40">
        <f t="shared" si="2"/>
        <v>0</v>
      </c>
    </row>
    <row r="34" spans="1:14" x14ac:dyDescent="0.35">
      <c r="A34" s="33">
        <v>31</v>
      </c>
      <c r="B34" s="34" t="s">
        <v>330</v>
      </c>
      <c r="C34" s="33" t="s">
        <v>297</v>
      </c>
      <c r="D34" s="33" t="s">
        <v>36</v>
      </c>
      <c r="E34" s="33" t="s">
        <v>311</v>
      </c>
      <c r="F34" s="35">
        <v>1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f t="shared" si="1"/>
        <v>0</v>
      </c>
      <c r="N34" s="40">
        <f t="shared" si="2"/>
        <v>0</v>
      </c>
    </row>
    <row r="35" spans="1:14" x14ac:dyDescent="0.35">
      <c r="A35" s="33">
        <v>32</v>
      </c>
      <c r="B35" s="34" t="s">
        <v>331</v>
      </c>
      <c r="C35" s="33" t="s">
        <v>297</v>
      </c>
      <c r="D35" s="33" t="s">
        <v>36</v>
      </c>
      <c r="E35" s="33" t="s">
        <v>311</v>
      </c>
      <c r="F35" s="35">
        <v>1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f t="shared" si="1"/>
        <v>0</v>
      </c>
      <c r="N35" s="40">
        <f t="shared" si="2"/>
        <v>0</v>
      </c>
    </row>
    <row r="36" spans="1:14" x14ac:dyDescent="0.35">
      <c r="A36" s="33">
        <v>33</v>
      </c>
      <c r="B36" s="34" t="s">
        <v>345</v>
      </c>
      <c r="C36" s="33" t="s">
        <v>346</v>
      </c>
      <c r="D36" s="33" t="s">
        <v>36</v>
      </c>
      <c r="E36" s="33" t="s">
        <v>311</v>
      </c>
      <c r="F36" s="35">
        <v>1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f t="shared" si="1"/>
        <v>0</v>
      </c>
      <c r="N36" s="40">
        <f t="shared" si="2"/>
        <v>0</v>
      </c>
    </row>
    <row r="37" spans="1:14" x14ac:dyDescent="0.35">
      <c r="A37" s="33">
        <v>34</v>
      </c>
      <c r="B37" s="34" t="s">
        <v>347</v>
      </c>
      <c r="C37" s="33" t="s">
        <v>346</v>
      </c>
      <c r="D37" s="33" t="s">
        <v>36</v>
      </c>
      <c r="E37" s="33" t="s">
        <v>311</v>
      </c>
      <c r="F37" s="35">
        <v>1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f t="shared" si="1"/>
        <v>0</v>
      </c>
      <c r="N37" s="40">
        <f t="shared" si="2"/>
        <v>0</v>
      </c>
    </row>
    <row r="38" spans="1:14" x14ac:dyDescent="0.35">
      <c r="A38" s="33">
        <v>35</v>
      </c>
      <c r="B38" s="34" t="s">
        <v>348</v>
      </c>
      <c r="C38" s="33" t="s">
        <v>346</v>
      </c>
      <c r="D38" s="33" t="s">
        <v>36</v>
      </c>
      <c r="E38" s="33" t="s">
        <v>311</v>
      </c>
      <c r="F38" s="35">
        <v>0.15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f t="shared" si="1"/>
        <v>0</v>
      </c>
      <c r="N38" s="40">
        <f t="shared" si="2"/>
        <v>0</v>
      </c>
    </row>
    <row r="39" spans="1:14" x14ac:dyDescent="0.35">
      <c r="A39" s="33">
        <v>36</v>
      </c>
      <c r="B39" s="34" t="s">
        <v>349</v>
      </c>
      <c r="C39" s="33" t="s">
        <v>346</v>
      </c>
      <c r="D39" s="33" t="s">
        <v>36</v>
      </c>
      <c r="E39" s="33" t="s">
        <v>311</v>
      </c>
      <c r="F39" s="35">
        <v>0.45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f t="shared" si="1"/>
        <v>0</v>
      </c>
      <c r="N39" s="40">
        <f t="shared" si="2"/>
        <v>0</v>
      </c>
    </row>
    <row r="40" spans="1:14" x14ac:dyDescent="0.35">
      <c r="A40" s="33">
        <v>37</v>
      </c>
      <c r="B40" s="34" t="s">
        <v>350</v>
      </c>
      <c r="C40" s="33" t="s">
        <v>346</v>
      </c>
      <c r="D40" s="33" t="s">
        <v>36</v>
      </c>
      <c r="E40" s="33" t="s">
        <v>311</v>
      </c>
      <c r="F40" s="35">
        <v>1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f t="shared" si="1"/>
        <v>0</v>
      </c>
      <c r="N40" s="40">
        <f t="shared" si="2"/>
        <v>0</v>
      </c>
    </row>
    <row r="41" spans="1:14" x14ac:dyDescent="0.35">
      <c r="A41" s="33">
        <v>38</v>
      </c>
      <c r="B41" s="34" t="s">
        <v>351</v>
      </c>
      <c r="C41" s="33" t="s">
        <v>346</v>
      </c>
      <c r="D41" s="33" t="s">
        <v>36</v>
      </c>
      <c r="E41" s="33" t="s">
        <v>311</v>
      </c>
      <c r="F41" s="35">
        <v>1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f t="shared" si="1"/>
        <v>0</v>
      </c>
      <c r="N41" s="40">
        <f t="shared" si="2"/>
        <v>0</v>
      </c>
    </row>
    <row r="42" spans="1:14" x14ac:dyDescent="0.35">
      <c r="A42" s="33">
        <v>39</v>
      </c>
      <c r="B42" s="34" t="s">
        <v>352</v>
      </c>
      <c r="C42" s="33" t="s">
        <v>346</v>
      </c>
      <c r="D42" s="33" t="s">
        <v>36</v>
      </c>
      <c r="E42" s="33" t="s">
        <v>311</v>
      </c>
      <c r="F42" s="35">
        <v>7.4999999999999997E-2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f t="shared" si="1"/>
        <v>0</v>
      </c>
      <c r="N42" s="40">
        <f t="shared" si="2"/>
        <v>0</v>
      </c>
    </row>
    <row r="43" spans="1:14" x14ac:dyDescent="0.35">
      <c r="A43" s="33">
        <v>40</v>
      </c>
      <c r="B43" s="34" t="s">
        <v>353</v>
      </c>
      <c r="C43" s="33" t="s">
        <v>346</v>
      </c>
      <c r="D43" s="33" t="s">
        <v>36</v>
      </c>
      <c r="E43" s="33" t="s">
        <v>311</v>
      </c>
      <c r="F43" s="35">
        <v>1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f t="shared" si="1"/>
        <v>0</v>
      </c>
      <c r="N43" s="40">
        <f t="shared" si="2"/>
        <v>0</v>
      </c>
    </row>
    <row r="44" spans="1:14" x14ac:dyDescent="0.35">
      <c r="A44" s="33">
        <v>41</v>
      </c>
      <c r="B44" s="34" t="s">
        <v>354</v>
      </c>
      <c r="C44" s="33" t="s">
        <v>346</v>
      </c>
      <c r="D44" s="33" t="s">
        <v>36</v>
      </c>
      <c r="E44" s="33" t="s">
        <v>311</v>
      </c>
      <c r="F44" s="35">
        <v>0.23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f t="shared" si="1"/>
        <v>0</v>
      </c>
      <c r="N44" s="40">
        <f t="shared" si="2"/>
        <v>0</v>
      </c>
    </row>
    <row r="45" spans="1:14" x14ac:dyDescent="0.35">
      <c r="A45" s="33">
        <v>42</v>
      </c>
      <c r="B45" s="34" t="s">
        <v>355</v>
      </c>
      <c r="C45" s="33" t="s">
        <v>346</v>
      </c>
      <c r="D45" s="33" t="s">
        <v>36</v>
      </c>
      <c r="E45" s="33" t="s">
        <v>311</v>
      </c>
      <c r="F45" s="35">
        <v>1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f t="shared" si="1"/>
        <v>0</v>
      </c>
      <c r="N45" s="40">
        <f t="shared" si="2"/>
        <v>0</v>
      </c>
    </row>
    <row r="46" spans="1:14" x14ac:dyDescent="0.35">
      <c r="A46" s="33">
        <v>43</v>
      </c>
      <c r="B46" s="34" t="s">
        <v>356</v>
      </c>
      <c r="C46" s="33" t="s">
        <v>346</v>
      </c>
      <c r="D46" s="33" t="s">
        <v>36</v>
      </c>
      <c r="E46" s="33" t="s">
        <v>311</v>
      </c>
      <c r="F46" s="35">
        <v>1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f t="shared" si="1"/>
        <v>0</v>
      </c>
      <c r="N46" s="40">
        <f t="shared" si="2"/>
        <v>0</v>
      </c>
    </row>
    <row r="47" spans="1:14" x14ac:dyDescent="0.35">
      <c r="A47" s="33">
        <v>44</v>
      </c>
      <c r="B47" s="34" t="s">
        <v>357</v>
      </c>
      <c r="C47" s="33" t="s">
        <v>346</v>
      </c>
      <c r="D47" s="33" t="s">
        <v>36</v>
      </c>
      <c r="E47" s="33" t="s">
        <v>311</v>
      </c>
      <c r="F47" s="35">
        <v>1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f t="shared" si="1"/>
        <v>0</v>
      </c>
      <c r="N47" s="40">
        <f t="shared" si="2"/>
        <v>0</v>
      </c>
    </row>
    <row r="48" spans="1:14" x14ac:dyDescent="0.35">
      <c r="A48" s="33">
        <v>45</v>
      </c>
      <c r="B48" s="34" t="s">
        <v>358</v>
      </c>
      <c r="C48" s="33" t="s">
        <v>346</v>
      </c>
      <c r="D48" s="33" t="s">
        <v>36</v>
      </c>
      <c r="E48" s="33" t="s">
        <v>311</v>
      </c>
      <c r="F48" s="35">
        <v>0.218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f t="shared" si="1"/>
        <v>0</v>
      </c>
      <c r="N48" s="40">
        <f t="shared" si="2"/>
        <v>0</v>
      </c>
    </row>
    <row r="49" spans="1:14" x14ac:dyDescent="0.35">
      <c r="A49" s="33">
        <v>46</v>
      </c>
      <c r="B49" s="34" t="s">
        <v>359</v>
      </c>
      <c r="C49" s="33" t="s">
        <v>346</v>
      </c>
      <c r="D49" s="33" t="s">
        <v>36</v>
      </c>
      <c r="E49" s="33" t="s">
        <v>311</v>
      </c>
      <c r="F49" s="35">
        <v>0.25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f t="shared" si="1"/>
        <v>0</v>
      </c>
      <c r="N49" s="40">
        <f t="shared" si="2"/>
        <v>0</v>
      </c>
    </row>
    <row r="50" spans="1:14" x14ac:dyDescent="0.35">
      <c r="A50" s="33">
        <v>47</v>
      </c>
      <c r="B50" s="34" t="s">
        <v>360</v>
      </c>
      <c r="C50" s="33" t="s">
        <v>346</v>
      </c>
      <c r="D50" s="33" t="s">
        <v>36</v>
      </c>
      <c r="E50" s="33" t="s">
        <v>311</v>
      </c>
      <c r="F50" s="35">
        <v>0.25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f t="shared" si="1"/>
        <v>0</v>
      </c>
      <c r="N50" s="40">
        <f t="shared" si="2"/>
        <v>0</v>
      </c>
    </row>
    <row r="51" spans="1:14" x14ac:dyDescent="0.35">
      <c r="A51" s="33">
        <v>48</v>
      </c>
      <c r="B51" s="34" t="s">
        <v>361</v>
      </c>
      <c r="C51" s="33" t="s">
        <v>346</v>
      </c>
      <c r="D51" s="33" t="s">
        <v>36</v>
      </c>
      <c r="E51" s="33" t="s">
        <v>311</v>
      </c>
      <c r="F51" s="35">
        <v>0.25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f t="shared" si="1"/>
        <v>0</v>
      </c>
      <c r="N51" s="40">
        <f t="shared" si="2"/>
        <v>0</v>
      </c>
    </row>
    <row r="52" spans="1:14" x14ac:dyDescent="0.35">
      <c r="A52" s="33">
        <v>49</v>
      </c>
      <c r="B52" s="34" t="s">
        <v>362</v>
      </c>
      <c r="C52" s="33" t="s">
        <v>346</v>
      </c>
      <c r="D52" s="33" t="s">
        <v>36</v>
      </c>
      <c r="E52" s="33" t="s">
        <v>311</v>
      </c>
      <c r="F52" s="35">
        <v>0.1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f t="shared" si="1"/>
        <v>0</v>
      </c>
      <c r="N52" s="40">
        <f t="shared" si="2"/>
        <v>0</v>
      </c>
    </row>
    <row r="53" spans="1:14" x14ac:dyDescent="0.35">
      <c r="A53" s="33">
        <v>50</v>
      </c>
      <c r="B53" s="34" t="s">
        <v>363</v>
      </c>
      <c r="C53" s="33" t="s">
        <v>346</v>
      </c>
      <c r="D53" s="33" t="s">
        <v>36</v>
      </c>
      <c r="E53" s="33" t="s">
        <v>311</v>
      </c>
      <c r="F53" s="35">
        <v>0.1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f t="shared" si="1"/>
        <v>0</v>
      </c>
      <c r="N53" s="40">
        <f t="shared" si="2"/>
        <v>0</v>
      </c>
    </row>
    <row r="54" spans="1:14" x14ac:dyDescent="0.35">
      <c r="A54" s="33">
        <v>51</v>
      </c>
      <c r="B54" s="34" t="s">
        <v>364</v>
      </c>
      <c r="C54" s="33" t="s">
        <v>346</v>
      </c>
      <c r="D54" s="33" t="s">
        <v>36</v>
      </c>
      <c r="E54" s="33" t="s">
        <v>311</v>
      </c>
      <c r="F54" s="35">
        <v>0.2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f t="shared" si="1"/>
        <v>0</v>
      </c>
      <c r="N54" s="40">
        <f t="shared" si="2"/>
        <v>0</v>
      </c>
    </row>
    <row r="55" spans="1:14" x14ac:dyDescent="0.35">
      <c r="A55" s="33">
        <v>52</v>
      </c>
      <c r="B55" s="34" t="s">
        <v>365</v>
      </c>
      <c r="C55" s="33" t="s">
        <v>346</v>
      </c>
      <c r="D55" s="33" t="s">
        <v>36</v>
      </c>
      <c r="E55" s="33" t="s">
        <v>311</v>
      </c>
      <c r="F55" s="35">
        <v>0.2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f t="shared" si="1"/>
        <v>0</v>
      </c>
      <c r="N55" s="40">
        <f t="shared" si="2"/>
        <v>0</v>
      </c>
    </row>
    <row r="56" spans="1:14" x14ac:dyDescent="0.35">
      <c r="A56" s="33">
        <v>53</v>
      </c>
      <c r="B56" s="34" t="s">
        <v>366</v>
      </c>
      <c r="C56" s="33" t="s">
        <v>346</v>
      </c>
      <c r="D56" s="33" t="s">
        <v>36</v>
      </c>
      <c r="E56" s="33" t="s">
        <v>311</v>
      </c>
      <c r="F56" s="35">
        <v>0.2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f t="shared" si="1"/>
        <v>0</v>
      </c>
      <c r="N56" s="40">
        <f t="shared" si="2"/>
        <v>0</v>
      </c>
    </row>
    <row r="57" spans="1:14" x14ac:dyDescent="0.35">
      <c r="A57" s="33">
        <v>54</v>
      </c>
      <c r="B57" s="34" t="s">
        <v>367</v>
      </c>
      <c r="C57" s="33" t="s">
        <v>346</v>
      </c>
      <c r="D57" s="33" t="s">
        <v>36</v>
      </c>
      <c r="E57" s="33" t="s">
        <v>311</v>
      </c>
      <c r="F57" s="35">
        <v>0.25</v>
      </c>
      <c r="G57" s="40">
        <v>6</v>
      </c>
      <c r="H57" s="40">
        <v>1.5</v>
      </c>
      <c r="I57" s="40">
        <v>0</v>
      </c>
      <c r="J57" s="40">
        <v>0</v>
      </c>
      <c r="K57" s="40">
        <v>0</v>
      </c>
      <c r="L57" s="40">
        <v>0</v>
      </c>
      <c r="M57" s="40">
        <f t="shared" si="1"/>
        <v>6</v>
      </c>
      <c r="N57" s="40">
        <f t="shared" si="2"/>
        <v>1.5</v>
      </c>
    </row>
    <row r="58" spans="1:14" x14ac:dyDescent="0.35">
      <c r="A58" s="33">
        <v>55</v>
      </c>
      <c r="B58" s="34" t="s">
        <v>368</v>
      </c>
      <c r="C58" s="33" t="s">
        <v>346</v>
      </c>
      <c r="D58" s="33" t="s">
        <v>36</v>
      </c>
      <c r="E58" s="33" t="s">
        <v>311</v>
      </c>
      <c r="F58" s="35">
        <v>1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f t="shared" si="1"/>
        <v>0</v>
      </c>
      <c r="N58" s="40">
        <f t="shared" si="2"/>
        <v>0</v>
      </c>
    </row>
    <row r="59" spans="1:14" x14ac:dyDescent="0.35">
      <c r="A59" s="33">
        <v>56</v>
      </c>
      <c r="B59" s="34" t="s">
        <v>369</v>
      </c>
      <c r="C59" s="33" t="s">
        <v>346</v>
      </c>
      <c r="D59" s="33" t="s">
        <v>36</v>
      </c>
      <c r="E59" s="33" t="s">
        <v>311</v>
      </c>
      <c r="F59" s="35">
        <v>1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f t="shared" si="1"/>
        <v>0</v>
      </c>
      <c r="N59" s="40">
        <f t="shared" si="2"/>
        <v>0</v>
      </c>
    </row>
    <row r="60" spans="1:14" x14ac:dyDescent="0.35">
      <c r="A60" s="33">
        <v>57</v>
      </c>
      <c r="B60" s="34" t="s">
        <v>370</v>
      </c>
      <c r="C60" s="33" t="s">
        <v>346</v>
      </c>
      <c r="D60" s="33" t="s">
        <v>36</v>
      </c>
      <c r="E60" s="33" t="s">
        <v>311</v>
      </c>
      <c r="F60" s="35">
        <v>0.1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f t="shared" si="1"/>
        <v>0</v>
      </c>
      <c r="N60" s="40">
        <f t="shared" si="2"/>
        <v>0</v>
      </c>
    </row>
    <row r="61" spans="1:14" x14ac:dyDescent="0.35">
      <c r="A61" s="33">
        <v>58</v>
      </c>
      <c r="B61" s="34" t="s">
        <v>371</v>
      </c>
      <c r="C61" s="33" t="s">
        <v>346</v>
      </c>
      <c r="D61" s="33" t="s">
        <v>36</v>
      </c>
      <c r="E61" s="33" t="s">
        <v>311</v>
      </c>
      <c r="F61" s="35">
        <v>0.25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f t="shared" si="1"/>
        <v>0</v>
      </c>
      <c r="N61" s="40">
        <f t="shared" si="2"/>
        <v>0</v>
      </c>
    </row>
    <row r="62" spans="1:14" x14ac:dyDescent="0.35">
      <c r="A62" s="33">
        <v>59</v>
      </c>
      <c r="B62" s="34" t="s">
        <v>372</v>
      </c>
      <c r="C62" s="33" t="s">
        <v>346</v>
      </c>
      <c r="D62" s="33" t="s">
        <v>36</v>
      </c>
      <c r="E62" s="33" t="s">
        <v>311</v>
      </c>
      <c r="F62" s="35">
        <v>0.1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f t="shared" si="1"/>
        <v>0</v>
      </c>
      <c r="N62" s="40">
        <f t="shared" si="2"/>
        <v>0</v>
      </c>
    </row>
    <row r="63" spans="1:14" x14ac:dyDescent="0.35">
      <c r="A63" s="33">
        <v>60</v>
      </c>
      <c r="B63" s="34" t="s">
        <v>373</v>
      </c>
      <c r="C63" s="33" t="s">
        <v>346</v>
      </c>
      <c r="D63" s="33" t="s">
        <v>36</v>
      </c>
      <c r="E63" s="33" t="s">
        <v>311</v>
      </c>
      <c r="F63" s="35">
        <v>0.125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f t="shared" si="1"/>
        <v>0</v>
      </c>
      <c r="N63" s="40">
        <f t="shared" si="2"/>
        <v>0</v>
      </c>
    </row>
    <row r="64" spans="1:14" x14ac:dyDescent="0.35">
      <c r="A64" s="33">
        <v>61</v>
      </c>
      <c r="B64" s="34" t="s">
        <v>374</v>
      </c>
      <c r="C64" s="33" t="s">
        <v>346</v>
      </c>
      <c r="D64" s="33" t="s">
        <v>36</v>
      </c>
      <c r="E64" s="33" t="s">
        <v>311</v>
      </c>
      <c r="F64" s="35">
        <v>0.15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f t="shared" si="1"/>
        <v>0</v>
      </c>
      <c r="N64" s="40">
        <f t="shared" si="2"/>
        <v>0</v>
      </c>
    </row>
    <row r="65" spans="1:14" x14ac:dyDescent="0.35">
      <c r="A65" s="33">
        <v>62</v>
      </c>
      <c r="B65" s="34" t="s">
        <v>375</v>
      </c>
      <c r="C65" s="33" t="s">
        <v>346</v>
      </c>
      <c r="D65" s="33" t="s">
        <v>36</v>
      </c>
      <c r="E65" s="33" t="s">
        <v>311</v>
      </c>
      <c r="F65" s="35">
        <v>0.2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f t="shared" si="1"/>
        <v>0</v>
      </c>
      <c r="N65" s="40">
        <f t="shared" si="2"/>
        <v>0</v>
      </c>
    </row>
    <row r="66" spans="1:14" x14ac:dyDescent="0.35">
      <c r="A66" s="33">
        <v>63</v>
      </c>
      <c r="B66" s="34" t="s">
        <v>376</v>
      </c>
      <c r="C66" s="33" t="s">
        <v>346</v>
      </c>
      <c r="D66" s="33" t="s">
        <v>36</v>
      </c>
      <c r="E66" s="33" t="s">
        <v>311</v>
      </c>
      <c r="F66" s="35">
        <v>0.1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f t="shared" si="1"/>
        <v>0</v>
      </c>
      <c r="N66" s="40">
        <f t="shared" si="2"/>
        <v>0</v>
      </c>
    </row>
    <row r="67" spans="1:14" x14ac:dyDescent="0.35">
      <c r="A67" s="33">
        <v>64</v>
      </c>
      <c r="B67" s="34" t="s">
        <v>377</v>
      </c>
      <c r="C67" s="33" t="s">
        <v>346</v>
      </c>
      <c r="D67" s="33" t="s">
        <v>36</v>
      </c>
      <c r="E67" s="33" t="s">
        <v>311</v>
      </c>
      <c r="F67" s="35">
        <v>0.15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f t="shared" si="1"/>
        <v>0</v>
      </c>
      <c r="N67" s="40">
        <f t="shared" si="2"/>
        <v>0</v>
      </c>
    </row>
    <row r="68" spans="1:14" x14ac:dyDescent="0.35">
      <c r="A68" s="33">
        <v>65</v>
      </c>
      <c r="B68" s="34" t="s">
        <v>378</v>
      </c>
      <c r="C68" s="33" t="s">
        <v>346</v>
      </c>
      <c r="D68" s="33" t="s">
        <v>36</v>
      </c>
      <c r="E68" s="33" t="s">
        <v>311</v>
      </c>
      <c r="F68" s="35">
        <v>0.23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f t="shared" si="1"/>
        <v>0</v>
      </c>
      <c r="N68" s="40">
        <f t="shared" si="2"/>
        <v>0</v>
      </c>
    </row>
    <row r="69" spans="1:14" x14ac:dyDescent="0.35">
      <c r="A69" s="33">
        <v>66</v>
      </c>
      <c r="B69" s="34" t="s">
        <v>379</v>
      </c>
      <c r="C69" s="33" t="s">
        <v>346</v>
      </c>
      <c r="D69" s="33" t="s">
        <v>36</v>
      </c>
      <c r="E69" s="33" t="s">
        <v>311</v>
      </c>
      <c r="F69" s="35">
        <v>0.08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f t="shared" ref="M69:M132" si="3">G69+I69+K69</f>
        <v>0</v>
      </c>
      <c r="N69" s="40">
        <f t="shared" ref="N69:N132" si="4">H69+J69+L69</f>
        <v>0</v>
      </c>
    </row>
    <row r="70" spans="1:14" x14ac:dyDescent="0.35">
      <c r="A70" s="33">
        <v>67</v>
      </c>
      <c r="B70" s="34" t="s">
        <v>380</v>
      </c>
      <c r="C70" s="33" t="s">
        <v>346</v>
      </c>
      <c r="D70" s="33" t="s">
        <v>36</v>
      </c>
      <c r="E70" s="33" t="s">
        <v>311</v>
      </c>
      <c r="F70" s="35">
        <v>0.1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f t="shared" si="3"/>
        <v>0</v>
      </c>
      <c r="N70" s="40">
        <f t="shared" si="4"/>
        <v>0</v>
      </c>
    </row>
    <row r="71" spans="1:14" x14ac:dyDescent="0.35">
      <c r="A71" s="33">
        <v>68</v>
      </c>
      <c r="B71" s="34" t="s">
        <v>381</v>
      </c>
      <c r="C71" s="33" t="s">
        <v>346</v>
      </c>
      <c r="D71" s="33" t="s">
        <v>36</v>
      </c>
      <c r="E71" s="33" t="s">
        <v>311</v>
      </c>
      <c r="F71" s="35">
        <v>0.23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f t="shared" si="3"/>
        <v>0</v>
      </c>
      <c r="N71" s="40">
        <f t="shared" si="4"/>
        <v>0</v>
      </c>
    </row>
    <row r="72" spans="1:14" x14ac:dyDescent="0.35">
      <c r="A72" s="33">
        <v>69</v>
      </c>
      <c r="B72" s="34" t="s">
        <v>382</v>
      </c>
      <c r="C72" s="33" t="s">
        <v>346</v>
      </c>
      <c r="D72" s="33" t="s">
        <v>36</v>
      </c>
      <c r="E72" s="33" t="s">
        <v>311</v>
      </c>
      <c r="F72" s="35">
        <v>0.125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f t="shared" si="3"/>
        <v>0</v>
      </c>
      <c r="N72" s="40">
        <f t="shared" si="4"/>
        <v>0</v>
      </c>
    </row>
    <row r="73" spans="1:14" x14ac:dyDescent="0.35">
      <c r="A73" s="33">
        <v>70</v>
      </c>
      <c r="B73" s="34" t="s">
        <v>383</v>
      </c>
      <c r="C73" s="33" t="s">
        <v>346</v>
      </c>
      <c r="D73" s="33" t="s">
        <v>36</v>
      </c>
      <c r="E73" s="33" t="s">
        <v>311</v>
      </c>
      <c r="F73" s="35">
        <v>0.1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f t="shared" si="3"/>
        <v>0</v>
      </c>
      <c r="N73" s="40">
        <f t="shared" si="4"/>
        <v>0</v>
      </c>
    </row>
    <row r="74" spans="1:14" x14ac:dyDescent="0.35">
      <c r="A74" s="33">
        <v>71</v>
      </c>
      <c r="B74" s="34" t="s">
        <v>384</v>
      </c>
      <c r="C74" s="33" t="s">
        <v>346</v>
      </c>
      <c r="D74" s="33" t="s">
        <v>36</v>
      </c>
      <c r="E74" s="33" t="s">
        <v>311</v>
      </c>
      <c r="F74" s="35">
        <v>0.23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f t="shared" si="3"/>
        <v>0</v>
      </c>
      <c r="N74" s="40">
        <f t="shared" si="4"/>
        <v>0</v>
      </c>
    </row>
    <row r="75" spans="1:14" x14ac:dyDescent="0.35">
      <c r="A75" s="33">
        <v>72</v>
      </c>
      <c r="B75" s="34" t="s">
        <v>385</v>
      </c>
      <c r="C75" s="33" t="s">
        <v>346</v>
      </c>
      <c r="D75" s="33" t="s">
        <v>36</v>
      </c>
      <c r="E75" s="33" t="s">
        <v>311</v>
      </c>
      <c r="F75" s="35">
        <v>0.25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f t="shared" si="3"/>
        <v>0</v>
      </c>
      <c r="N75" s="40">
        <f t="shared" si="4"/>
        <v>0</v>
      </c>
    </row>
    <row r="76" spans="1:14" x14ac:dyDescent="0.35">
      <c r="A76" s="33">
        <v>73</v>
      </c>
      <c r="B76" s="34" t="s">
        <v>386</v>
      </c>
      <c r="C76" s="33" t="s">
        <v>346</v>
      </c>
      <c r="D76" s="33" t="s">
        <v>36</v>
      </c>
      <c r="E76" s="33" t="s">
        <v>311</v>
      </c>
      <c r="F76" s="35">
        <v>0.1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f t="shared" si="3"/>
        <v>0</v>
      </c>
      <c r="N76" s="40">
        <f t="shared" si="4"/>
        <v>0</v>
      </c>
    </row>
    <row r="77" spans="1:14" x14ac:dyDescent="0.35">
      <c r="A77" s="33">
        <v>74</v>
      </c>
      <c r="B77" s="34" t="s">
        <v>387</v>
      </c>
      <c r="C77" s="33" t="s">
        <v>346</v>
      </c>
      <c r="D77" s="33" t="s">
        <v>36</v>
      </c>
      <c r="E77" s="33" t="s">
        <v>311</v>
      </c>
      <c r="F77" s="35">
        <v>0.2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f t="shared" si="3"/>
        <v>0</v>
      </c>
      <c r="N77" s="40">
        <f t="shared" si="4"/>
        <v>0</v>
      </c>
    </row>
    <row r="78" spans="1:14" x14ac:dyDescent="0.35">
      <c r="A78" s="33">
        <v>75</v>
      </c>
      <c r="B78" s="34" t="s">
        <v>388</v>
      </c>
      <c r="C78" s="33" t="s">
        <v>346</v>
      </c>
      <c r="D78" s="33" t="s">
        <v>36</v>
      </c>
      <c r="E78" s="33" t="s">
        <v>311</v>
      </c>
      <c r="F78" s="35">
        <v>1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f t="shared" si="3"/>
        <v>0</v>
      </c>
      <c r="N78" s="40">
        <f t="shared" si="4"/>
        <v>0</v>
      </c>
    </row>
    <row r="79" spans="1:14" x14ac:dyDescent="0.35">
      <c r="A79" s="33">
        <v>76</v>
      </c>
      <c r="B79" s="34" t="s">
        <v>389</v>
      </c>
      <c r="C79" s="33" t="s">
        <v>346</v>
      </c>
      <c r="D79" s="33" t="s">
        <v>36</v>
      </c>
      <c r="E79" s="33" t="s">
        <v>311</v>
      </c>
      <c r="F79" s="35">
        <v>1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f t="shared" si="3"/>
        <v>0</v>
      </c>
      <c r="N79" s="40">
        <f t="shared" si="4"/>
        <v>0</v>
      </c>
    </row>
    <row r="80" spans="1:14" x14ac:dyDescent="0.35">
      <c r="A80" s="33">
        <v>77</v>
      </c>
      <c r="B80" s="34" t="s">
        <v>390</v>
      </c>
      <c r="C80" s="33" t="s">
        <v>346</v>
      </c>
      <c r="D80" s="33" t="s">
        <v>36</v>
      </c>
      <c r="E80" s="33" t="s">
        <v>311</v>
      </c>
      <c r="F80" s="35">
        <v>1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f t="shared" si="3"/>
        <v>0</v>
      </c>
      <c r="N80" s="40">
        <f t="shared" si="4"/>
        <v>0</v>
      </c>
    </row>
    <row r="81" spans="1:14" x14ac:dyDescent="0.35">
      <c r="A81" s="33">
        <v>78</v>
      </c>
      <c r="B81" s="34" t="s">
        <v>391</v>
      </c>
      <c r="C81" s="33" t="s">
        <v>346</v>
      </c>
      <c r="D81" s="33" t="s">
        <v>36</v>
      </c>
      <c r="E81" s="33" t="s">
        <v>311</v>
      </c>
      <c r="F81" s="35">
        <v>1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f t="shared" si="3"/>
        <v>0</v>
      </c>
      <c r="N81" s="40">
        <f t="shared" si="4"/>
        <v>0</v>
      </c>
    </row>
    <row r="82" spans="1:14" x14ac:dyDescent="0.35">
      <c r="A82" s="33">
        <v>79</v>
      </c>
      <c r="B82" s="34" t="s">
        <v>392</v>
      </c>
      <c r="C82" s="33" t="s">
        <v>346</v>
      </c>
      <c r="D82" s="33" t="s">
        <v>36</v>
      </c>
      <c r="E82" s="33" t="s">
        <v>311</v>
      </c>
      <c r="F82" s="35">
        <v>1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f t="shared" si="3"/>
        <v>0</v>
      </c>
      <c r="N82" s="40">
        <f t="shared" si="4"/>
        <v>0</v>
      </c>
    </row>
    <row r="83" spans="1:14" x14ac:dyDescent="0.35">
      <c r="A83" s="33">
        <v>80</v>
      </c>
      <c r="B83" s="34" t="s">
        <v>393</v>
      </c>
      <c r="C83" s="33" t="s">
        <v>346</v>
      </c>
      <c r="D83" s="33" t="s">
        <v>36</v>
      </c>
      <c r="E83" s="33" t="s">
        <v>311</v>
      </c>
      <c r="F83" s="35">
        <v>1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f t="shared" si="3"/>
        <v>0</v>
      </c>
      <c r="N83" s="40">
        <f t="shared" si="4"/>
        <v>0</v>
      </c>
    </row>
    <row r="84" spans="1:14" x14ac:dyDescent="0.35">
      <c r="A84" s="33">
        <v>81</v>
      </c>
      <c r="B84" s="34" t="s">
        <v>394</v>
      </c>
      <c r="C84" s="33" t="s">
        <v>346</v>
      </c>
      <c r="D84" s="33" t="s">
        <v>36</v>
      </c>
      <c r="E84" s="33" t="s">
        <v>311</v>
      </c>
      <c r="F84" s="35">
        <v>1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f t="shared" si="3"/>
        <v>0</v>
      </c>
      <c r="N84" s="40">
        <f t="shared" si="4"/>
        <v>0</v>
      </c>
    </row>
    <row r="85" spans="1:14" x14ac:dyDescent="0.35">
      <c r="A85" s="33">
        <v>82</v>
      </c>
      <c r="B85" s="34" t="s">
        <v>395</v>
      </c>
      <c r="C85" s="33" t="s">
        <v>346</v>
      </c>
      <c r="D85" s="33" t="s">
        <v>36</v>
      </c>
      <c r="E85" s="33" t="s">
        <v>311</v>
      </c>
      <c r="F85" s="35">
        <v>1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f t="shared" si="3"/>
        <v>0</v>
      </c>
      <c r="N85" s="40">
        <f t="shared" si="4"/>
        <v>0</v>
      </c>
    </row>
    <row r="86" spans="1:14" x14ac:dyDescent="0.35">
      <c r="A86" s="33">
        <v>83</v>
      </c>
      <c r="B86" s="34" t="s">
        <v>396</v>
      </c>
      <c r="C86" s="33" t="s">
        <v>346</v>
      </c>
      <c r="D86" s="33" t="s">
        <v>36</v>
      </c>
      <c r="E86" s="33" t="s">
        <v>311</v>
      </c>
      <c r="F86" s="35">
        <v>1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f t="shared" si="3"/>
        <v>0</v>
      </c>
      <c r="N86" s="40">
        <f t="shared" si="4"/>
        <v>0</v>
      </c>
    </row>
    <row r="87" spans="1:14" x14ac:dyDescent="0.35">
      <c r="A87" s="33">
        <v>84</v>
      </c>
      <c r="B87" s="34" t="s">
        <v>397</v>
      </c>
      <c r="C87" s="33" t="s">
        <v>346</v>
      </c>
      <c r="D87" s="33" t="s">
        <v>36</v>
      </c>
      <c r="E87" s="33" t="s">
        <v>311</v>
      </c>
      <c r="F87" s="35">
        <v>1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f t="shared" si="3"/>
        <v>0</v>
      </c>
      <c r="N87" s="40">
        <f t="shared" si="4"/>
        <v>0</v>
      </c>
    </row>
    <row r="88" spans="1:14" x14ac:dyDescent="0.35">
      <c r="A88" s="33">
        <v>85</v>
      </c>
      <c r="B88" s="34" t="s">
        <v>398</v>
      </c>
      <c r="C88" s="33" t="s">
        <v>346</v>
      </c>
      <c r="D88" s="33" t="s">
        <v>36</v>
      </c>
      <c r="E88" s="33" t="s">
        <v>311</v>
      </c>
      <c r="F88" s="35">
        <v>1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f t="shared" si="3"/>
        <v>0</v>
      </c>
      <c r="N88" s="40">
        <f t="shared" si="4"/>
        <v>0</v>
      </c>
    </row>
    <row r="89" spans="1:14" x14ac:dyDescent="0.35">
      <c r="A89" s="33">
        <v>86</v>
      </c>
      <c r="B89" s="34" t="s">
        <v>399</v>
      </c>
      <c r="C89" s="33" t="s">
        <v>346</v>
      </c>
      <c r="D89" s="33" t="s">
        <v>36</v>
      </c>
      <c r="E89" s="33" t="s">
        <v>311</v>
      </c>
      <c r="F89" s="35">
        <v>0.1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f t="shared" si="3"/>
        <v>0</v>
      </c>
      <c r="N89" s="40">
        <f t="shared" si="4"/>
        <v>0</v>
      </c>
    </row>
    <row r="90" spans="1:14" x14ac:dyDescent="0.35">
      <c r="A90" s="33">
        <v>87</v>
      </c>
      <c r="B90" s="34" t="s">
        <v>400</v>
      </c>
      <c r="C90" s="33" t="s">
        <v>346</v>
      </c>
      <c r="D90" s="33" t="s">
        <v>36</v>
      </c>
      <c r="E90" s="33" t="s">
        <v>311</v>
      </c>
      <c r="F90" s="35">
        <v>1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f t="shared" si="3"/>
        <v>0</v>
      </c>
      <c r="N90" s="40">
        <f t="shared" si="4"/>
        <v>0</v>
      </c>
    </row>
    <row r="91" spans="1:14" x14ac:dyDescent="0.35">
      <c r="A91" s="33">
        <v>88</v>
      </c>
      <c r="B91" s="34" t="s">
        <v>401</v>
      </c>
      <c r="C91" s="33" t="s">
        <v>346</v>
      </c>
      <c r="D91" s="33" t="s">
        <v>36</v>
      </c>
      <c r="E91" s="33" t="s">
        <v>311</v>
      </c>
      <c r="F91" s="35">
        <v>0.2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f t="shared" si="3"/>
        <v>0</v>
      </c>
      <c r="N91" s="40">
        <f t="shared" si="4"/>
        <v>0</v>
      </c>
    </row>
    <row r="92" spans="1:14" x14ac:dyDescent="0.35">
      <c r="A92" s="33">
        <v>89</v>
      </c>
      <c r="B92" s="34" t="s">
        <v>402</v>
      </c>
      <c r="C92" s="33" t="s">
        <v>346</v>
      </c>
      <c r="D92" s="33" t="s">
        <v>36</v>
      </c>
      <c r="E92" s="33" t="s">
        <v>311</v>
      </c>
      <c r="F92" s="35">
        <v>0.5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f t="shared" si="3"/>
        <v>0</v>
      </c>
      <c r="N92" s="40">
        <f t="shared" si="4"/>
        <v>0</v>
      </c>
    </row>
    <row r="93" spans="1:14" x14ac:dyDescent="0.35">
      <c r="A93" s="33">
        <v>90</v>
      </c>
      <c r="B93" s="34" t="s">
        <v>403</v>
      </c>
      <c r="C93" s="33" t="s">
        <v>346</v>
      </c>
      <c r="D93" s="33" t="s">
        <v>36</v>
      </c>
      <c r="E93" s="33" t="s">
        <v>311</v>
      </c>
      <c r="F93" s="35">
        <v>0.1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f t="shared" si="3"/>
        <v>0</v>
      </c>
      <c r="N93" s="40">
        <f t="shared" si="4"/>
        <v>0</v>
      </c>
    </row>
    <row r="94" spans="1:14" x14ac:dyDescent="0.35">
      <c r="A94" s="33">
        <v>91</v>
      </c>
      <c r="B94" s="34" t="s">
        <v>404</v>
      </c>
      <c r="C94" s="33" t="s">
        <v>346</v>
      </c>
      <c r="D94" s="33" t="s">
        <v>36</v>
      </c>
      <c r="E94" s="33" t="s">
        <v>311</v>
      </c>
      <c r="F94" s="35">
        <v>0.2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f t="shared" si="3"/>
        <v>0</v>
      </c>
      <c r="N94" s="40">
        <f t="shared" si="4"/>
        <v>0</v>
      </c>
    </row>
    <row r="95" spans="1:14" x14ac:dyDescent="0.35">
      <c r="A95" s="33">
        <v>92</v>
      </c>
      <c r="B95" s="34" t="s">
        <v>405</v>
      </c>
      <c r="C95" s="33" t="s">
        <v>346</v>
      </c>
      <c r="D95" s="33" t="s">
        <v>36</v>
      </c>
      <c r="E95" s="33" t="s">
        <v>311</v>
      </c>
      <c r="F95" s="35">
        <v>0.5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f t="shared" si="3"/>
        <v>0</v>
      </c>
      <c r="N95" s="40">
        <f t="shared" si="4"/>
        <v>0</v>
      </c>
    </row>
    <row r="96" spans="1:14" x14ac:dyDescent="0.35">
      <c r="A96" s="33">
        <v>93</v>
      </c>
      <c r="B96" s="34" t="s">
        <v>406</v>
      </c>
      <c r="C96" s="33" t="s">
        <v>346</v>
      </c>
      <c r="D96" s="33" t="s">
        <v>36</v>
      </c>
      <c r="E96" s="33" t="s">
        <v>311</v>
      </c>
      <c r="F96" s="35">
        <v>0.05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f t="shared" si="3"/>
        <v>0</v>
      </c>
      <c r="N96" s="40">
        <f t="shared" si="4"/>
        <v>0</v>
      </c>
    </row>
    <row r="97" spans="1:14" x14ac:dyDescent="0.35">
      <c r="A97" s="33">
        <v>94</v>
      </c>
      <c r="B97" s="34" t="s">
        <v>407</v>
      </c>
      <c r="C97" s="33" t="s">
        <v>346</v>
      </c>
      <c r="D97" s="33" t="s">
        <v>36</v>
      </c>
      <c r="E97" s="33" t="s">
        <v>311</v>
      </c>
      <c r="F97" s="35">
        <v>0.05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f t="shared" si="3"/>
        <v>0</v>
      </c>
      <c r="N97" s="40">
        <f t="shared" si="4"/>
        <v>0</v>
      </c>
    </row>
    <row r="98" spans="1:14" x14ac:dyDescent="0.35">
      <c r="A98" s="33">
        <v>95</v>
      </c>
      <c r="B98" s="34" t="s">
        <v>408</v>
      </c>
      <c r="C98" s="33" t="s">
        <v>346</v>
      </c>
      <c r="D98" s="33" t="s">
        <v>36</v>
      </c>
      <c r="E98" s="33" t="s">
        <v>311</v>
      </c>
      <c r="F98" s="35">
        <v>0.05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f t="shared" si="3"/>
        <v>0</v>
      </c>
      <c r="N98" s="40">
        <f t="shared" si="4"/>
        <v>0</v>
      </c>
    </row>
    <row r="99" spans="1:14" x14ac:dyDescent="0.35">
      <c r="A99" s="33">
        <v>96</v>
      </c>
      <c r="B99" s="34" t="s">
        <v>409</v>
      </c>
      <c r="C99" s="33" t="s">
        <v>346</v>
      </c>
      <c r="D99" s="33" t="s">
        <v>36</v>
      </c>
      <c r="E99" s="33" t="s">
        <v>311</v>
      </c>
      <c r="F99" s="35">
        <v>0.05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f t="shared" si="3"/>
        <v>0</v>
      </c>
      <c r="N99" s="40">
        <f t="shared" si="4"/>
        <v>0</v>
      </c>
    </row>
    <row r="100" spans="1:14" x14ac:dyDescent="0.35">
      <c r="A100" s="33">
        <v>97</v>
      </c>
      <c r="B100" s="34" t="s">
        <v>410</v>
      </c>
      <c r="C100" s="33" t="s">
        <v>346</v>
      </c>
      <c r="D100" s="33" t="s">
        <v>36</v>
      </c>
      <c r="E100" s="33" t="s">
        <v>311</v>
      </c>
      <c r="F100" s="35">
        <v>0.1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f t="shared" si="3"/>
        <v>0</v>
      </c>
      <c r="N100" s="40">
        <f t="shared" si="4"/>
        <v>0</v>
      </c>
    </row>
    <row r="101" spans="1:14" x14ac:dyDescent="0.35">
      <c r="A101" s="33">
        <v>98</v>
      </c>
      <c r="B101" s="34" t="s">
        <v>411</v>
      </c>
      <c r="C101" s="33" t="s">
        <v>346</v>
      </c>
      <c r="D101" s="33" t="s">
        <v>36</v>
      </c>
      <c r="E101" s="33" t="s">
        <v>311</v>
      </c>
      <c r="F101" s="35">
        <v>0.2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f t="shared" si="3"/>
        <v>0</v>
      </c>
      <c r="N101" s="40">
        <f t="shared" si="4"/>
        <v>0</v>
      </c>
    </row>
    <row r="102" spans="1:14" x14ac:dyDescent="0.35">
      <c r="A102" s="33">
        <v>99</v>
      </c>
      <c r="B102" s="34" t="s">
        <v>412</v>
      </c>
      <c r="C102" s="33" t="s">
        <v>346</v>
      </c>
      <c r="D102" s="33" t="s">
        <v>36</v>
      </c>
      <c r="E102" s="33" t="s">
        <v>311</v>
      </c>
      <c r="F102" s="35">
        <v>0.5</v>
      </c>
      <c r="G102" s="40">
        <v>0</v>
      </c>
      <c r="H102" s="40">
        <v>0</v>
      </c>
      <c r="I102" s="40">
        <v>0</v>
      </c>
      <c r="J102" s="40">
        <v>0</v>
      </c>
      <c r="K102" s="40">
        <v>100</v>
      </c>
      <c r="L102" s="40">
        <v>50</v>
      </c>
      <c r="M102" s="40">
        <f t="shared" si="3"/>
        <v>100</v>
      </c>
      <c r="N102" s="40">
        <f t="shared" si="4"/>
        <v>50</v>
      </c>
    </row>
    <row r="103" spans="1:14" x14ac:dyDescent="0.35">
      <c r="A103" s="33">
        <v>100</v>
      </c>
      <c r="B103" s="34" t="s">
        <v>413</v>
      </c>
      <c r="C103" s="33" t="s">
        <v>346</v>
      </c>
      <c r="D103" s="33" t="s">
        <v>36</v>
      </c>
      <c r="E103" s="33" t="s">
        <v>311</v>
      </c>
      <c r="F103" s="35">
        <v>0.25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f t="shared" si="3"/>
        <v>0</v>
      </c>
      <c r="N103" s="40">
        <f t="shared" si="4"/>
        <v>0</v>
      </c>
    </row>
    <row r="104" spans="1:14" x14ac:dyDescent="0.35">
      <c r="A104" s="33">
        <v>101</v>
      </c>
      <c r="B104" s="34" t="s">
        <v>414</v>
      </c>
      <c r="C104" s="33" t="s">
        <v>346</v>
      </c>
      <c r="D104" s="33" t="s">
        <v>36</v>
      </c>
      <c r="E104" s="33" t="s">
        <v>311</v>
      </c>
      <c r="F104" s="35">
        <v>0.5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f t="shared" si="3"/>
        <v>0</v>
      </c>
      <c r="N104" s="40">
        <f t="shared" si="4"/>
        <v>0</v>
      </c>
    </row>
    <row r="105" spans="1:14" x14ac:dyDescent="0.35">
      <c r="A105" s="33">
        <v>102</v>
      </c>
      <c r="B105" s="34" t="s">
        <v>415</v>
      </c>
      <c r="C105" s="33" t="s">
        <v>346</v>
      </c>
      <c r="D105" s="33" t="s">
        <v>36</v>
      </c>
      <c r="E105" s="33" t="s">
        <v>311</v>
      </c>
      <c r="F105" s="35">
        <v>1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f t="shared" si="3"/>
        <v>0</v>
      </c>
      <c r="N105" s="40">
        <f t="shared" si="4"/>
        <v>0</v>
      </c>
    </row>
    <row r="106" spans="1:14" x14ac:dyDescent="0.35">
      <c r="A106" s="33">
        <v>103</v>
      </c>
      <c r="B106" s="34" t="s">
        <v>416</v>
      </c>
      <c r="C106" s="33" t="s">
        <v>346</v>
      </c>
      <c r="D106" s="33" t="s">
        <v>36</v>
      </c>
      <c r="E106" s="33" t="s">
        <v>311</v>
      </c>
      <c r="F106" s="35">
        <v>1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f t="shared" si="3"/>
        <v>0</v>
      </c>
      <c r="N106" s="40">
        <f t="shared" si="4"/>
        <v>0</v>
      </c>
    </row>
    <row r="107" spans="1:14" x14ac:dyDescent="0.35">
      <c r="A107" s="33">
        <v>104</v>
      </c>
      <c r="B107" s="34" t="s">
        <v>417</v>
      </c>
      <c r="C107" s="33" t="s">
        <v>346</v>
      </c>
      <c r="D107" s="33" t="s">
        <v>36</v>
      </c>
      <c r="E107" s="33" t="s">
        <v>311</v>
      </c>
      <c r="F107" s="35">
        <v>1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f t="shared" si="3"/>
        <v>0</v>
      </c>
      <c r="N107" s="40">
        <f t="shared" si="4"/>
        <v>0</v>
      </c>
    </row>
    <row r="108" spans="1:14" x14ac:dyDescent="0.35">
      <c r="A108" s="33">
        <v>105</v>
      </c>
      <c r="B108" s="34" t="s">
        <v>418</v>
      </c>
      <c r="C108" s="33" t="s">
        <v>346</v>
      </c>
      <c r="D108" s="33" t="s">
        <v>36</v>
      </c>
      <c r="E108" s="33" t="s">
        <v>311</v>
      </c>
      <c r="F108" s="35">
        <v>0.2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f t="shared" si="3"/>
        <v>0</v>
      </c>
      <c r="N108" s="40">
        <f t="shared" si="4"/>
        <v>0</v>
      </c>
    </row>
    <row r="109" spans="1:14" x14ac:dyDescent="0.35">
      <c r="A109" s="33">
        <v>106</v>
      </c>
      <c r="B109" s="34" t="s">
        <v>419</v>
      </c>
      <c r="C109" s="33" t="s">
        <v>346</v>
      </c>
      <c r="D109" s="33" t="s">
        <v>36</v>
      </c>
      <c r="E109" s="33" t="s">
        <v>311</v>
      </c>
      <c r="F109" s="35">
        <v>0.17499999999999999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f t="shared" si="3"/>
        <v>0</v>
      </c>
      <c r="N109" s="40">
        <f t="shared" si="4"/>
        <v>0</v>
      </c>
    </row>
    <row r="110" spans="1:14" x14ac:dyDescent="0.35">
      <c r="A110" s="33">
        <v>107</v>
      </c>
      <c r="B110" s="34" t="s">
        <v>420</v>
      </c>
      <c r="C110" s="33" t="s">
        <v>346</v>
      </c>
      <c r="D110" s="33" t="s">
        <v>36</v>
      </c>
      <c r="E110" s="33" t="s">
        <v>311</v>
      </c>
      <c r="F110" s="35">
        <v>0.5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f t="shared" si="3"/>
        <v>0</v>
      </c>
      <c r="N110" s="40">
        <f t="shared" si="4"/>
        <v>0</v>
      </c>
    </row>
    <row r="111" spans="1:14" x14ac:dyDescent="0.35">
      <c r="A111" s="33">
        <v>108</v>
      </c>
      <c r="B111" s="34" t="s">
        <v>421</v>
      </c>
      <c r="C111" s="33" t="s">
        <v>346</v>
      </c>
      <c r="D111" s="33" t="s">
        <v>36</v>
      </c>
      <c r="E111" s="33" t="s">
        <v>311</v>
      </c>
      <c r="F111" s="35">
        <v>0.2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f t="shared" si="3"/>
        <v>0</v>
      </c>
      <c r="N111" s="40">
        <f t="shared" si="4"/>
        <v>0</v>
      </c>
    </row>
    <row r="112" spans="1:14" x14ac:dyDescent="0.35">
      <c r="A112" s="33">
        <v>109</v>
      </c>
      <c r="B112" s="34" t="s">
        <v>422</v>
      </c>
      <c r="C112" s="33" t="s">
        <v>346</v>
      </c>
      <c r="D112" s="33" t="s">
        <v>36</v>
      </c>
      <c r="E112" s="33" t="s">
        <v>311</v>
      </c>
      <c r="F112" s="35">
        <v>0.1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f t="shared" si="3"/>
        <v>0</v>
      </c>
      <c r="N112" s="40">
        <f t="shared" si="4"/>
        <v>0</v>
      </c>
    </row>
    <row r="113" spans="1:14" x14ac:dyDescent="0.35">
      <c r="A113" s="33">
        <v>110</v>
      </c>
      <c r="B113" s="34" t="s">
        <v>423</v>
      </c>
      <c r="C113" s="33" t="s">
        <v>346</v>
      </c>
      <c r="D113" s="33" t="s">
        <v>36</v>
      </c>
      <c r="E113" s="33" t="s">
        <v>311</v>
      </c>
      <c r="F113" s="35">
        <v>0.25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f t="shared" si="3"/>
        <v>0</v>
      </c>
      <c r="N113" s="40">
        <f t="shared" si="4"/>
        <v>0</v>
      </c>
    </row>
    <row r="114" spans="1:14" x14ac:dyDescent="0.35">
      <c r="A114" s="33">
        <v>111</v>
      </c>
      <c r="B114" s="34" t="s">
        <v>424</v>
      </c>
      <c r="C114" s="33" t="s">
        <v>346</v>
      </c>
      <c r="D114" s="33" t="s">
        <v>36</v>
      </c>
      <c r="E114" s="33" t="s">
        <v>311</v>
      </c>
      <c r="F114" s="35">
        <v>0.5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f t="shared" si="3"/>
        <v>0</v>
      </c>
      <c r="N114" s="40">
        <f t="shared" si="4"/>
        <v>0</v>
      </c>
    </row>
    <row r="115" spans="1:14" x14ac:dyDescent="0.35">
      <c r="A115" s="33">
        <v>112</v>
      </c>
      <c r="B115" s="34" t="s">
        <v>425</v>
      </c>
      <c r="C115" s="33" t="s">
        <v>346</v>
      </c>
      <c r="D115" s="33" t="s">
        <v>36</v>
      </c>
      <c r="E115" s="33" t="s">
        <v>311</v>
      </c>
      <c r="F115" s="35">
        <v>1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f t="shared" si="3"/>
        <v>0</v>
      </c>
      <c r="N115" s="40">
        <f t="shared" si="4"/>
        <v>0</v>
      </c>
    </row>
    <row r="116" spans="1:14" x14ac:dyDescent="0.35">
      <c r="A116" s="33">
        <v>113</v>
      </c>
      <c r="B116" s="34" t="s">
        <v>426</v>
      </c>
      <c r="C116" s="33" t="s">
        <v>346</v>
      </c>
      <c r="D116" s="33" t="s">
        <v>36</v>
      </c>
      <c r="E116" s="33" t="s">
        <v>311</v>
      </c>
      <c r="F116" s="35">
        <v>1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f t="shared" si="3"/>
        <v>0</v>
      </c>
      <c r="N116" s="40">
        <f t="shared" si="4"/>
        <v>0</v>
      </c>
    </row>
    <row r="117" spans="1:14" x14ac:dyDescent="0.35">
      <c r="A117" s="33">
        <v>114</v>
      </c>
      <c r="B117" s="34" t="s">
        <v>427</v>
      </c>
      <c r="C117" s="33" t="s">
        <v>346</v>
      </c>
      <c r="D117" s="33" t="s">
        <v>36</v>
      </c>
      <c r="E117" s="33" t="s">
        <v>311</v>
      </c>
      <c r="F117" s="35">
        <v>1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>
        <f t="shared" si="3"/>
        <v>0</v>
      </c>
      <c r="N117" s="40">
        <f t="shared" si="4"/>
        <v>0</v>
      </c>
    </row>
    <row r="118" spans="1:14" x14ac:dyDescent="0.35">
      <c r="A118" s="33">
        <v>115</v>
      </c>
      <c r="B118" s="34" t="s">
        <v>428</v>
      </c>
      <c r="C118" s="33" t="s">
        <v>346</v>
      </c>
      <c r="D118" s="33" t="s">
        <v>36</v>
      </c>
      <c r="E118" s="33" t="s">
        <v>311</v>
      </c>
      <c r="F118" s="35">
        <v>1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f t="shared" si="3"/>
        <v>0</v>
      </c>
      <c r="N118" s="40">
        <f t="shared" si="4"/>
        <v>0</v>
      </c>
    </row>
    <row r="119" spans="1:14" x14ac:dyDescent="0.35">
      <c r="A119" s="33">
        <v>116</v>
      </c>
      <c r="B119" s="34" t="s">
        <v>429</v>
      </c>
      <c r="C119" s="33" t="s">
        <v>346</v>
      </c>
      <c r="D119" s="33" t="s">
        <v>36</v>
      </c>
      <c r="E119" s="33" t="s">
        <v>311</v>
      </c>
      <c r="F119" s="35">
        <v>1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f t="shared" si="3"/>
        <v>0</v>
      </c>
      <c r="N119" s="40">
        <f t="shared" si="4"/>
        <v>0</v>
      </c>
    </row>
    <row r="120" spans="1:14" x14ac:dyDescent="0.35">
      <c r="A120" s="33">
        <v>117</v>
      </c>
      <c r="B120" s="34" t="s">
        <v>430</v>
      </c>
      <c r="C120" s="33" t="s">
        <v>346</v>
      </c>
      <c r="D120" s="33" t="s">
        <v>36</v>
      </c>
      <c r="E120" s="33" t="s">
        <v>311</v>
      </c>
      <c r="F120" s="35">
        <v>1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f t="shared" si="3"/>
        <v>0</v>
      </c>
      <c r="N120" s="40">
        <f t="shared" si="4"/>
        <v>0</v>
      </c>
    </row>
    <row r="121" spans="1:14" x14ac:dyDescent="0.35">
      <c r="A121" s="33">
        <v>118</v>
      </c>
      <c r="B121" s="34" t="s">
        <v>431</v>
      </c>
      <c r="C121" s="33" t="s">
        <v>346</v>
      </c>
      <c r="D121" s="33" t="s">
        <v>36</v>
      </c>
      <c r="E121" s="33" t="s">
        <v>311</v>
      </c>
      <c r="F121" s="35">
        <v>1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f t="shared" si="3"/>
        <v>0</v>
      </c>
      <c r="N121" s="40">
        <f t="shared" si="4"/>
        <v>0</v>
      </c>
    </row>
    <row r="122" spans="1:14" x14ac:dyDescent="0.35">
      <c r="A122" s="33">
        <v>119</v>
      </c>
      <c r="B122" s="34" t="s">
        <v>432</v>
      </c>
      <c r="C122" s="33" t="s">
        <v>346</v>
      </c>
      <c r="D122" s="33" t="s">
        <v>36</v>
      </c>
      <c r="E122" s="33" t="s">
        <v>311</v>
      </c>
      <c r="F122" s="35">
        <v>1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f t="shared" si="3"/>
        <v>0</v>
      </c>
      <c r="N122" s="40">
        <f t="shared" si="4"/>
        <v>0</v>
      </c>
    </row>
    <row r="123" spans="1:14" x14ac:dyDescent="0.35">
      <c r="A123" s="33">
        <v>120</v>
      </c>
      <c r="B123" s="34" t="s">
        <v>433</v>
      </c>
      <c r="C123" s="33" t="s">
        <v>346</v>
      </c>
      <c r="D123" s="33" t="s">
        <v>36</v>
      </c>
      <c r="E123" s="33" t="s">
        <v>311</v>
      </c>
      <c r="F123" s="35">
        <v>7.4999999999999997E-2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f t="shared" si="3"/>
        <v>0</v>
      </c>
      <c r="N123" s="40">
        <f t="shared" si="4"/>
        <v>0</v>
      </c>
    </row>
    <row r="124" spans="1:14" x14ac:dyDescent="0.35">
      <c r="A124" s="33">
        <v>121</v>
      </c>
      <c r="B124" s="34" t="s">
        <v>434</v>
      </c>
      <c r="C124" s="33" t="s">
        <v>346</v>
      </c>
      <c r="D124" s="33" t="s">
        <v>36</v>
      </c>
      <c r="E124" s="33" t="s">
        <v>311</v>
      </c>
      <c r="F124" s="35">
        <v>0.1</v>
      </c>
      <c r="G124" s="40">
        <v>0</v>
      </c>
      <c r="H124" s="40">
        <v>0</v>
      </c>
      <c r="I124" s="40">
        <v>0</v>
      </c>
      <c r="J124" s="40">
        <v>0</v>
      </c>
      <c r="K124" s="40">
        <v>144</v>
      </c>
      <c r="L124" s="40">
        <v>14.4</v>
      </c>
      <c r="M124" s="40">
        <f t="shared" si="3"/>
        <v>144</v>
      </c>
      <c r="N124" s="40">
        <f t="shared" si="4"/>
        <v>14.4</v>
      </c>
    </row>
    <row r="125" spans="1:14" x14ac:dyDescent="0.35">
      <c r="A125" s="33">
        <v>122</v>
      </c>
      <c r="B125" s="34" t="s">
        <v>247</v>
      </c>
      <c r="C125" s="33" t="s">
        <v>346</v>
      </c>
      <c r="D125" s="33" t="s">
        <v>36</v>
      </c>
      <c r="E125" s="33" t="s">
        <v>311</v>
      </c>
      <c r="F125" s="35">
        <v>0.1</v>
      </c>
      <c r="G125" s="40">
        <v>0</v>
      </c>
      <c r="H125" s="40">
        <v>0</v>
      </c>
      <c r="I125" s="40">
        <v>0</v>
      </c>
      <c r="J125" s="40">
        <v>0</v>
      </c>
      <c r="K125" s="40">
        <v>1956</v>
      </c>
      <c r="L125" s="40">
        <v>195.6</v>
      </c>
      <c r="M125" s="40">
        <f t="shared" si="3"/>
        <v>1956</v>
      </c>
      <c r="N125" s="40">
        <f t="shared" si="4"/>
        <v>195.6</v>
      </c>
    </row>
    <row r="126" spans="1:14" x14ac:dyDescent="0.35">
      <c r="A126" s="33">
        <v>123</v>
      </c>
      <c r="B126" s="34" t="s">
        <v>435</v>
      </c>
      <c r="C126" s="33" t="s">
        <v>346</v>
      </c>
      <c r="D126" s="33" t="s">
        <v>36</v>
      </c>
      <c r="E126" s="33" t="s">
        <v>311</v>
      </c>
      <c r="F126" s="35">
        <v>1</v>
      </c>
      <c r="G126" s="40">
        <v>0</v>
      </c>
      <c r="H126" s="40">
        <v>0</v>
      </c>
      <c r="I126" s="40">
        <v>0</v>
      </c>
      <c r="J126" s="40">
        <v>116</v>
      </c>
      <c r="K126" s="40">
        <v>0</v>
      </c>
      <c r="L126" s="40">
        <v>36.64</v>
      </c>
      <c r="M126" s="40">
        <f t="shared" si="3"/>
        <v>0</v>
      </c>
      <c r="N126" s="40">
        <f t="shared" si="4"/>
        <v>152.63999999999999</v>
      </c>
    </row>
    <row r="127" spans="1:14" x14ac:dyDescent="0.35">
      <c r="A127" s="33">
        <v>124</v>
      </c>
      <c r="B127" s="34" t="s">
        <v>436</v>
      </c>
      <c r="C127" s="33" t="s">
        <v>346</v>
      </c>
      <c r="D127" s="33" t="s">
        <v>36</v>
      </c>
      <c r="E127" s="33" t="s">
        <v>311</v>
      </c>
      <c r="F127" s="35">
        <v>0.14000000000000001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f t="shared" si="3"/>
        <v>0</v>
      </c>
      <c r="N127" s="40">
        <f t="shared" si="4"/>
        <v>0</v>
      </c>
    </row>
    <row r="128" spans="1:14" x14ac:dyDescent="0.35">
      <c r="A128" s="33">
        <v>125</v>
      </c>
      <c r="B128" s="34" t="s">
        <v>437</v>
      </c>
      <c r="C128" s="33" t="s">
        <v>346</v>
      </c>
      <c r="D128" s="33" t="s">
        <v>36</v>
      </c>
      <c r="E128" s="33" t="s">
        <v>311</v>
      </c>
      <c r="F128" s="35">
        <v>7.4999999999999997E-2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f t="shared" si="3"/>
        <v>0</v>
      </c>
      <c r="N128" s="40">
        <f t="shared" si="4"/>
        <v>0</v>
      </c>
    </row>
    <row r="129" spans="1:14" x14ac:dyDescent="0.35">
      <c r="A129" s="33">
        <v>126</v>
      </c>
      <c r="B129" s="34" t="s">
        <v>438</v>
      </c>
      <c r="C129" s="33" t="s">
        <v>346</v>
      </c>
      <c r="D129" s="33" t="s">
        <v>36</v>
      </c>
      <c r="E129" s="33" t="s">
        <v>311</v>
      </c>
      <c r="F129" s="35">
        <v>0.09</v>
      </c>
      <c r="G129" s="40">
        <v>0</v>
      </c>
      <c r="H129" s="40">
        <v>0</v>
      </c>
      <c r="I129" s="40">
        <v>0</v>
      </c>
      <c r="J129" s="40">
        <v>0</v>
      </c>
      <c r="K129" s="40">
        <v>0</v>
      </c>
      <c r="L129" s="40">
        <v>0</v>
      </c>
      <c r="M129" s="40">
        <f t="shared" si="3"/>
        <v>0</v>
      </c>
      <c r="N129" s="40">
        <f t="shared" si="4"/>
        <v>0</v>
      </c>
    </row>
    <row r="130" spans="1:14" x14ac:dyDescent="0.35">
      <c r="A130" s="33">
        <v>127</v>
      </c>
      <c r="B130" s="34" t="s">
        <v>439</v>
      </c>
      <c r="C130" s="33" t="s">
        <v>346</v>
      </c>
      <c r="D130" s="33" t="s">
        <v>36</v>
      </c>
      <c r="E130" s="33" t="s">
        <v>311</v>
      </c>
      <c r="F130" s="35">
        <v>1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  <c r="M130" s="40">
        <f t="shared" si="3"/>
        <v>0</v>
      </c>
      <c r="N130" s="40">
        <f t="shared" si="4"/>
        <v>0</v>
      </c>
    </row>
    <row r="131" spans="1:14" x14ac:dyDescent="0.35">
      <c r="A131" s="33">
        <v>128</v>
      </c>
      <c r="B131" s="34" t="s">
        <v>440</v>
      </c>
      <c r="C131" s="33" t="s">
        <v>346</v>
      </c>
      <c r="D131" s="33" t="s">
        <v>36</v>
      </c>
      <c r="E131" s="33" t="s">
        <v>311</v>
      </c>
      <c r="F131" s="35">
        <v>1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f t="shared" si="3"/>
        <v>0</v>
      </c>
      <c r="N131" s="40">
        <f t="shared" si="4"/>
        <v>0</v>
      </c>
    </row>
    <row r="132" spans="1:14" x14ac:dyDescent="0.35">
      <c r="A132" s="33">
        <v>129</v>
      </c>
      <c r="B132" s="34" t="s">
        <v>441</v>
      </c>
      <c r="C132" s="33" t="s">
        <v>346</v>
      </c>
      <c r="D132" s="33" t="s">
        <v>36</v>
      </c>
      <c r="E132" s="33" t="s">
        <v>311</v>
      </c>
      <c r="F132" s="35">
        <v>0.1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f t="shared" si="3"/>
        <v>0</v>
      </c>
      <c r="N132" s="40">
        <f t="shared" si="4"/>
        <v>0</v>
      </c>
    </row>
    <row r="133" spans="1:14" x14ac:dyDescent="0.35">
      <c r="A133" s="33">
        <v>130</v>
      </c>
      <c r="B133" s="34" t="s">
        <v>442</v>
      </c>
      <c r="C133" s="33" t="s">
        <v>346</v>
      </c>
      <c r="D133" s="33" t="s">
        <v>36</v>
      </c>
      <c r="E133" s="33" t="s">
        <v>311</v>
      </c>
      <c r="F133" s="35">
        <v>0.1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  <c r="M133" s="40">
        <f t="shared" ref="M133:M196" si="5">G133+I133+K133</f>
        <v>0</v>
      </c>
      <c r="N133" s="40">
        <f t="shared" ref="N133:N196" si="6">H133+J133+L133</f>
        <v>0</v>
      </c>
    </row>
    <row r="134" spans="1:14" x14ac:dyDescent="0.35">
      <c r="A134" s="33">
        <v>131</v>
      </c>
      <c r="B134" s="34" t="s">
        <v>443</v>
      </c>
      <c r="C134" s="33" t="s">
        <v>346</v>
      </c>
      <c r="D134" s="33" t="s">
        <v>36</v>
      </c>
      <c r="E134" s="33" t="s">
        <v>311</v>
      </c>
      <c r="F134" s="35">
        <v>1</v>
      </c>
      <c r="G134" s="40">
        <v>0</v>
      </c>
      <c r="H134" s="40">
        <v>0</v>
      </c>
      <c r="I134" s="40">
        <v>0</v>
      </c>
      <c r="J134" s="40">
        <v>128.19999999999999</v>
      </c>
      <c r="K134" s="40">
        <v>0</v>
      </c>
      <c r="L134" s="40">
        <v>0</v>
      </c>
      <c r="M134" s="40">
        <f t="shared" si="5"/>
        <v>0</v>
      </c>
      <c r="N134" s="40">
        <f t="shared" si="6"/>
        <v>128.19999999999999</v>
      </c>
    </row>
    <row r="135" spans="1:14" x14ac:dyDescent="0.35">
      <c r="A135" s="33">
        <v>132</v>
      </c>
      <c r="B135" s="34" t="s">
        <v>444</v>
      </c>
      <c r="C135" s="33" t="s">
        <v>346</v>
      </c>
      <c r="D135" s="33" t="s">
        <v>36</v>
      </c>
      <c r="E135" s="33" t="s">
        <v>311</v>
      </c>
      <c r="F135" s="35">
        <v>1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  <c r="M135" s="40">
        <f t="shared" si="5"/>
        <v>0</v>
      </c>
      <c r="N135" s="40">
        <f t="shared" si="6"/>
        <v>0</v>
      </c>
    </row>
    <row r="136" spans="1:14" x14ac:dyDescent="0.35">
      <c r="A136" s="33">
        <v>133</v>
      </c>
      <c r="B136" s="34" t="s">
        <v>445</v>
      </c>
      <c r="C136" s="33" t="s">
        <v>346</v>
      </c>
      <c r="D136" s="33" t="s">
        <v>36</v>
      </c>
      <c r="E136" s="33" t="s">
        <v>311</v>
      </c>
      <c r="F136" s="35">
        <v>0.17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f t="shared" si="5"/>
        <v>0</v>
      </c>
      <c r="N136" s="40">
        <f t="shared" si="6"/>
        <v>0</v>
      </c>
    </row>
    <row r="137" spans="1:14" x14ac:dyDescent="0.35">
      <c r="A137" s="33">
        <v>134</v>
      </c>
      <c r="B137" s="34" t="s">
        <v>446</v>
      </c>
      <c r="C137" s="33" t="s">
        <v>346</v>
      </c>
      <c r="D137" s="33" t="s">
        <v>36</v>
      </c>
      <c r="E137" s="33" t="s">
        <v>311</v>
      </c>
      <c r="F137" s="35">
        <v>0.48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  <c r="M137" s="40">
        <f t="shared" si="5"/>
        <v>0</v>
      </c>
      <c r="N137" s="40">
        <f t="shared" si="6"/>
        <v>0</v>
      </c>
    </row>
    <row r="138" spans="1:14" x14ac:dyDescent="0.35">
      <c r="A138" s="33">
        <v>135</v>
      </c>
      <c r="B138" s="34" t="s">
        <v>447</v>
      </c>
      <c r="C138" s="33" t="s">
        <v>346</v>
      </c>
      <c r="D138" s="33" t="s">
        <v>36</v>
      </c>
      <c r="E138" s="33" t="s">
        <v>311</v>
      </c>
      <c r="F138" s="35">
        <v>1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40">
        <f t="shared" si="5"/>
        <v>0</v>
      </c>
      <c r="N138" s="40">
        <f t="shared" si="6"/>
        <v>0</v>
      </c>
    </row>
    <row r="139" spans="1:14" x14ac:dyDescent="0.35">
      <c r="A139" s="33">
        <v>136</v>
      </c>
      <c r="B139" s="34" t="s">
        <v>448</v>
      </c>
      <c r="C139" s="33" t="s">
        <v>346</v>
      </c>
      <c r="D139" s="33" t="s">
        <v>36</v>
      </c>
      <c r="E139" s="33" t="s">
        <v>311</v>
      </c>
      <c r="F139" s="35">
        <v>0.25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f t="shared" si="5"/>
        <v>0</v>
      </c>
      <c r="N139" s="40">
        <f t="shared" si="6"/>
        <v>0</v>
      </c>
    </row>
    <row r="140" spans="1:14" x14ac:dyDescent="0.35">
      <c r="A140" s="33">
        <v>137</v>
      </c>
      <c r="B140" s="34" t="s">
        <v>449</v>
      </c>
      <c r="C140" s="33" t="s">
        <v>346</v>
      </c>
      <c r="D140" s="33" t="s">
        <v>36</v>
      </c>
      <c r="E140" s="33" t="s">
        <v>311</v>
      </c>
      <c r="F140" s="35">
        <v>0.5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f t="shared" si="5"/>
        <v>0</v>
      </c>
      <c r="N140" s="40">
        <f t="shared" si="6"/>
        <v>0</v>
      </c>
    </row>
    <row r="141" spans="1:14" x14ac:dyDescent="0.35">
      <c r="A141" s="33">
        <v>138</v>
      </c>
      <c r="B141" s="34" t="s">
        <v>450</v>
      </c>
      <c r="C141" s="33" t="s">
        <v>346</v>
      </c>
      <c r="D141" s="33" t="s">
        <v>36</v>
      </c>
      <c r="E141" s="33" t="s">
        <v>311</v>
      </c>
      <c r="F141" s="35">
        <v>7.4999999999999997E-2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f t="shared" si="5"/>
        <v>0</v>
      </c>
      <c r="N141" s="40">
        <f t="shared" si="6"/>
        <v>0</v>
      </c>
    </row>
    <row r="142" spans="1:14" x14ac:dyDescent="0.35">
      <c r="A142" s="33">
        <v>139</v>
      </c>
      <c r="B142" s="34" t="s">
        <v>451</v>
      </c>
      <c r="C142" s="33" t="s">
        <v>346</v>
      </c>
      <c r="D142" s="33" t="s">
        <v>36</v>
      </c>
      <c r="E142" s="33" t="s">
        <v>311</v>
      </c>
      <c r="F142" s="35">
        <v>7.4999999999999997E-2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f t="shared" si="5"/>
        <v>0</v>
      </c>
      <c r="N142" s="40">
        <f t="shared" si="6"/>
        <v>0</v>
      </c>
    </row>
    <row r="143" spans="1:14" x14ac:dyDescent="0.35">
      <c r="A143" s="33">
        <v>140</v>
      </c>
      <c r="B143" s="34" t="s">
        <v>452</v>
      </c>
      <c r="C143" s="33" t="s">
        <v>346</v>
      </c>
      <c r="D143" s="33" t="s">
        <v>36</v>
      </c>
      <c r="E143" s="33" t="s">
        <v>311</v>
      </c>
      <c r="F143" s="35">
        <v>7.4999999999999997E-2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f t="shared" si="5"/>
        <v>0</v>
      </c>
      <c r="N143" s="40">
        <f t="shared" si="6"/>
        <v>0</v>
      </c>
    </row>
    <row r="144" spans="1:14" x14ac:dyDescent="0.35">
      <c r="A144" s="33">
        <v>141</v>
      </c>
      <c r="B144" s="34" t="s">
        <v>453</v>
      </c>
      <c r="C144" s="33" t="s">
        <v>346</v>
      </c>
      <c r="D144" s="33" t="s">
        <v>36</v>
      </c>
      <c r="E144" s="33" t="s">
        <v>311</v>
      </c>
      <c r="F144" s="35">
        <v>0.1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  <c r="M144" s="40">
        <f t="shared" si="5"/>
        <v>0</v>
      </c>
      <c r="N144" s="40">
        <f t="shared" si="6"/>
        <v>0</v>
      </c>
    </row>
    <row r="145" spans="1:14" x14ac:dyDescent="0.35">
      <c r="A145" s="33">
        <v>142</v>
      </c>
      <c r="B145" s="34" t="s">
        <v>454</v>
      </c>
      <c r="C145" s="33" t="s">
        <v>346</v>
      </c>
      <c r="D145" s="33" t="s">
        <v>36</v>
      </c>
      <c r="E145" s="33" t="s">
        <v>311</v>
      </c>
      <c r="F145" s="35">
        <v>1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>
        <f t="shared" si="5"/>
        <v>0</v>
      </c>
      <c r="N145" s="40">
        <f t="shared" si="6"/>
        <v>0</v>
      </c>
    </row>
    <row r="146" spans="1:14" x14ac:dyDescent="0.35">
      <c r="A146" s="33">
        <v>143</v>
      </c>
      <c r="B146" s="34" t="s">
        <v>455</v>
      </c>
      <c r="C146" s="33" t="s">
        <v>346</v>
      </c>
      <c r="D146" s="33" t="s">
        <v>36</v>
      </c>
      <c r="E146" s="33" t="s">
        <v>311</v>
      </c>
      <c r="F146" s="35">
        <v>0.5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f t="shared" si="5"/>
        <v>0</v>
      </c>
      <c r="N146" s="40">
        <f t="shared" si="6"/>
        <v>0</v>
      </c>
    </row>
    <row r="147" spans="1:14" x14ac:dyDescent="0.35">
      <c r="A147" s="33">
        <v>144</v>
      </c>
      <c r="B147" s="34" t="s">
        <v>456</v>
      </c>
      <c r="C147" s="33" t="s">
        <v>346</v>
      </c>
      <c r="D147" s="33" t="s">
        <v>36</v>
      </c>
      <c r="E147" s="33" t="s">
        <v>311</v>
      </c>
      <c r="F147" s="35">
        <v>0.2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0">
        <v>0</v>
      </c>
      <c r="M147" s="40">
        <f t="shared" si="5"/>
        <v>0</v>
      </c>
      <c r="N147" s="40">
        <f t="shared" si="6"/>
        <v>0</v>
      </c>
    </row>
    <row r="148" spans="1:14" x14ac:dyDescent="0.35">
      <c r="A148" s="33">
        <v>145</v>
      </c>
      <c r="B148" s="34" t="s">
        <v>457</v>
      </c>
      <c r="C148" s="33" t="s">
        <v>346</v>
      </c>
      <c r="D148" s="33" t="s">
        <v>36</v>
      </c>
      <c r="E148" s="33" t="s">
        <v>311</v>
      </c>
      <c r="F148" s="35">
        <v>0.1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  <c r="M148" s="40">
        <f t="shared" si="5"/>
        <v>0</v>
      </c>
      <c r="N148" s="40">
        <f t="shared" si="6"/>
        <v>0</v>
      </c>
    </row>
    <row r="149" spans="1:14" x14ac:dyDescent="0.35">
      <c r="A149" s="33">
        <v>146</v>
      </c>
      <c r="B149" s="34" t="s">
        <v>458</v>
      </c>
      <c r="C149" s="33" t="s">
        <v>346</v>
      </c>
      <c r="D149" s="33" t="s">
        <v>36</v>
      </c>
      <c r="E149" s="33" t="s">
        <v>311</v>
      </c>
      <c r="F149" s="35">
        <v>1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40">
        <v>0</v>
      </c>
      <c r="M149" s="40">
        <f t="shared" si="5"/>
        <v>0</v>
      </c>
      <c r="N149" s="40">
        <f t="shared" si="6"/>
        <v>0</v>
      </c>
    </row>
    <row r="150" spans="1:14" x14ac:dyDescent="0.35">
      <c r="A150" s="33">
        <v>147</v>
      </c>
      <c r="B150" s="34" t="s">
        <v>332</v>
      </c>
      <c r="C150" s="33" t="s">
        <v>297</v>
      </c>
      <c r="D150" s="33" t="s">
        <v>36</v>
      </c>
      <c r="E150" s="33" t="s">
        <v>333</v>
      </c>
      <c r="F150" s="35">
        <v>1</v>
      </c>
      <c r="G150" s="40">
        <v>0</v>
      </c>
      <c r="H150" s="40">
        <v>0</v>
      </c>
      <c r="I150" s="40">
        <v>0</v>
      </c>
      <c r="J150" s="40">
        <v>0</v>
      </c>
      <c r="K150" s="40">
        <v>0</v>
      </c>
      <c r="L150" s="40">
        <v>0</v>
      </c>
      <c r="M150" s="40">
        <f t="shared" si="5"/>
        <v>0</v>
      </c>
      <c r="N150" s="40">
        <f t="shared" si="6"/>
        <v>0</v>
      </c>
    </row>
    <row r="151" spans="1:14" x14ac:dyDescent="0.35">
      <c r="A151" s="33">
        <v>148</v>
      </c>
      <c r="B151" s="34" t="s">
        <v>334</v>
      </c>
      <c r="C151" s="33" t="s">
        <v>297</v>
      </c>
      <c r="D151" s="33" t="s">
        <v>36</v>
      </c>
      <c r="E151" s="33" t="s">
        <v>333</v>
      </c>
      <c r="F151" s="35">
        <v>1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  <c r="M151" s="40">
        <f t="shared" si="5"/>
        <v>0</v>
      </c>
      <c r="N151" s="40">
        <f t="shared" si="6"/>
        <v>0</v>
      </c>
    </row>
    <row r="152" spans="1:14" x14ac:dyDescent="0.35">
      <c r="A152" s="33">
        <v>149</v>
      </c>
      <c r="B152" s="34" t="s">
        <v>335</v>
      </c>
      <c r="C152" s="33" t="s">
        <v>297</v>
      </c>
      <c r="D152" s="33" t="s">
        <v>36</v>
      </c>
      <c r="E152" s="33" t="s">
        <v>333</v>
      </c>
      <c r="F152" s="35">
        <v>1</v>
      </c>
      <c r="G152" s="40">
        <v>0</v>
      </c>
      <c r="H152" s="40">
        <v>0</v>
      </c>
      <c r="I152" s="40">
        <v>0</v>
      </c>
      <c r="J152" s="40">
        <v>0</v>
      </c>
      <c r="K152" s="40">
        <v>0</v>
      </c>
      <c r="L152" s="40">
        <v>0</v>
      </c>
      <c r="M152" s="40">
        <f t="shared" si="5"/>
        <v>0</v>
      </c>
      <c r="N152" s="40">
        <f t="shared" si="6"/>
        <v>0</v>
      </c>
    </row>
    <row r="153" spans="1:14" x14ac:dyDescent="0.35">
      <c r="A153" s="33">
        <v>150</v>
      </c>
      <c r="B153" s="34" t="s">
        <v>336</v>
      </c>
      <c r="C153" s="33" t="s">
        <v>297</v>
      </c>
      <c r="D153" s="33" t="s">
        <v>36</v>
      </c>
      <c r="E153" s="33" t="s">
        <v>333</v>
      </c>
      <c r="F153" s="35">
        <v>1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  <c r="M153" s="40">
        <f t="shared" si="5"/>
        <v>0</v>
      </c>
      <c r="N153" s="40">
        <f t="shared" si="6"/>
        <v>0</v>
      </c>
    </row>
    <row r="154" spans="1:14" x14ac:dyDescent="0.35">
      <c r="A154" s="33">
        <v>151</v>
      </c>
      <c r="B154" s="34" t="s">
        <v>337</v>
      </c>
      <c r="C154" s="33" t="s">
        <v>297</v>
      </c>
      <c r="D154" s="33" t="s">
        <v>36</v>
      </c>
      <c r="E154" s="33" t="s">
        <v>333</v>
      </c>
      <c r="F154" s="35">
        <v>1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>
        <f t="shared" si="5"/>
        <v>0</v>
      </c>
      <c r="N154" s="40">
        <f t="shared" si="6"/>
        <v>0</v>
      </c>
    </row>
    <row r="155" spans="1:14" x14ac:dyDescent="0.35">
      <c r="A155" s="33">
        <v>152</v>
      </c>
      <c r="B155" s="34" t="s">
        <v>338</v>
      </c>
      <c r="C155" s="33" t="s">
        <v>297</v>
      </c>
      <c r="D155" s="33" t="s">
        <v>36</v>
      </c>
      <c r="E155" s="33" t="s">
        <v>333</v>
      </c>
      <c r="F155" s="35">
        <v>1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  <c r="M155" s="40">
        <f t="shared" si="5"/>
        <v>0</v>
      </c>
      <c r="N155" s="40">
        <f t="shared" si="6"/>
        <v>0</v>
      </c>
    </row>
    <row r="156" spans="1:14" x14ac:dyDescent="0.35">
      <c r="A156" s="33">
        <v>153</v>
      </c>
      <c r="B156" s="34" t="s">
        <v>339</v>
      </c>
      <c r="C156" s="33" t="s">
        <v>297</v>
      </c>
      <c r="D156" s="33" t="s">
        <v>36</v>
      </c>
      <c r="E156" s="33" t="s">
        <v>333</v>
      </c>
      <c r="F156" s="35">
        <v>1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f t="shared" si="5"/>
        <v>0</v>
      </c>
      <c r="N156" s="40">
        <f t="shared" si="6"/>
        <v>0</v>
      </c>
    </row>
    <row r="157" spans="1:14" x14ac:dyDescent="0.35">
      <c r="A157" s="33">
        <v>154</v>
      </c>
      <c r="B157" s="34" t="s">
        <v>340</v>
      </c>
      <c r="C157" s="33" t="s">
        <v>297</v>
      </c>
      <c r="D157" s="33" t="s">
        <v>36</v>
      </c>
      <c r="E157" s="33" t="s">
        <v>333</v>
      </c>
      <c r="F157" s="35">
        <v>1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>
        <f t="shared" si="5"/>
        <v>0</v>
      </c>
      <c r="N157" s="40">
        <f t="shared" si="6"/>
        <v>0</v>
      </c>
    </row>
    <row r="158" spans="1:14" x14ac:dyDescent="0.35">
      <c r="A158" s="33">
        <v>155</v>
      </c>
      <c r="B158" s="34" t="s">
        <v>341</v>
      </c>
      <c r="C158" s="33" t="s">
        <v>297</v>
      </c>
      <c r="D158" s="33" t="s">
        <v>36</v>
      </c>
      <c r="E158" s="33" t="s">
        <v>333</v>
      </c>
      <c r="F158" s="35">
        <v>1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40">
        <f t="shared" si="5"/>
        <v>0</v>
      </c>
      <c r="N158" s="40">
        <f t="shared" si="6"/>
        <v>0</v>
      </c>
    </row>
    <row r="159" spans="1:14" x14ac:dyDescent="0.35">
      <c r="A159" s="33">
        <v>156</v>
      </c>
      <c r="B159" s="34" t="s">
        <v>342</v>
      </c>
      <c r="C159" s="33" t="s">
        <v>297</v>
      </c>
      <c r="D159" s="33" t="s">
        <v>36</v>
      </c>
      <c r="E159" s="33" t="s">
        <v>333</v>
      </c>
      <c r="F159" s="35">
        <v>1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>
        <f t="shared" si="5"/>
        <v>0</v>
      </c>
      <c r="N159" s="40">
        <f t="shared" si="6"/>
        <v>0</v>
      </c>
    </row>
    <row r="160" spans="1:14" x14ac:dyDescent="0.35">
      <c r="A160" s="33">
        <v>157</v>
      </c>
      <c r="B160" s="34" t="s">
        <v>459</v>
      </c>
      <c r="C160" s="33" t="s">
        <v>346</v>
      </c>
      <c r="D160" s="33" t="s">
        <v>36</v>
      </c>
      <c r="E160" s="33" t="s">
        <v>333</v>
      </c>
      <c r="F160" s="35">
        <v>0.5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f t="shared" si="5"/>
        <v>0</v>
      </c>
      <c r="N160" s="40">
        <f t="shared" si="6"/>
        <v>0</v>
      </c>
    </row>
    <row r="161" spans="1:14" x14ac:dyDescent="0.35">
      <c r="A161" s="33">
        <v>158</v>
      </c>
      <c r="B161" s="34" t="s">
        <v>460</v>
      </c>
      <c r="C161" s="33" t="s">
        <v>346</v>
      </c>
      <c r="D161" s="33" t="s">
        <v>36</v>
      </c>
      <c r="E161" s="33" t="s">
        <v>333</v>
      </c>
      <c r="F161" s="35">
        <v>0.2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>
        <f t="shared" si="5"/>
        <v>0</v>
      </c>
      <c r="N161" s="40">
        <f t="shared" si="6"/>
        <v>0</v>
      </c>
    </row>
    <row r="162" spans="1:14" x14ac:dyDescent="0.35">
      <c r="A162" s="33">
        <v>159</v>
      </c>
      <c r="B162" s="34" t="s">
        <v>461</v>
      </c>
      <c r="C162" s="33" t="s">
        <v>346</v>
      </c>
      <c r="D162" s="33" t="s">
        <v>36</v>
      </c>
      <c r="E162" s="33" t="s">
        <v>333</v>
      </c>
      <c r="F162" s="35">
        <v>0.25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f t="shared" si="5"/>
        <v>0</v>
      </c>
      <c r="N162" s="40">
        <f t="shared" si="6"/>
        <v>0</v>
      </c>
    </row>
    <row r="163" spans="1:14" x14ac:dyDescent="0.35">
      <c r="A163" s="33">
        <v>160</v>
      </c>
      <c r="B163" s="34" t="s">
        <v>462</v>
      </c>
      <c r="C163" s="33" t="s">
        <v>346</v>
      </c>
      <c r="D163" s="33" t="s">
        <v>36</v>
      </c>
      <c r="E163" s="33" t="s">
        <v>333</v>
      </c>
      <c r="F163" s="35">
        <v>0.6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f t="shared" si="5"/>
        <v>0</v>
      </c>
      <c r="N163" s="40">
        <f t="shared" si="6"/>
        <v>0</v>
      </c>
    </row>
    <row r="164" spans="1:14" x14ac:dyDescent="0.35">
      <c r="A164" s="33">
        <v>161</v>
      </c>
      <c r="B164" s="34" t="s">
        <v>463</v>
      </c>
      <c r="C164" s="33" t="s">
        <v>346</v>
      </c>
      <c r="D164" s="33" t="s">
        <v>36</v>
      </c>
      <c r="E164" s="33" t="s">
        <v>333</v>
      </c>
      <c r="F164" s="35">
        <v>1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>
        <f t="shared" si="5"/>
        <v>0</v>
      </c>
      <c r="N164" s="40">
        <f t="shared" si="6"/>
        <v>0</v>
      </c>
    </row>
    <row r="165" spans="1:14" x14ac:dyDescent="0.35">
      <c r="A165" s="33">
        <v>162</v>
      </c>
      <c r="B165" s="34" t="s">
        <v>464</v>
      </c>
      <c r="C165" s="33" t="s">
        <v>346</v>
      </c>
      <c r="D165" s="33" t="s">
        <v>36</v>
      </c>
      <c r="E165" s="33" t="s">
        <v>333</v>
      </c>
      <c r="F165" s="35">
        <v>0.1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f t="shared" si="5"/>
        <v>0</v>
      </c>
      <c r="N165" s="40">
        <f t="shared" si="6"/>
        <v>0</v>
      </c>
    </row>
    <row r="166" spans="1:14" x14ac:dyDescent="0.35">
      <c r="A166" s="33">
        <v>163</v>
      </c>
      <c r="B166" s="34" t="s">
        <v>465</v>
      </c>
      <c r="C166" s="33" t="s">
        <v>346</v>
      </c>
      <c r="D166" s="33" t="s">
        <v>36</v>
      </c>
      <c r="E166" s="33" t="s">
        <v>333</v>
      </c>
      <c r="F166" s="35">
        <v>1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f t="shared" si="5"/>
        <v>0</v>
      </c>
      <c r="N166" s="40">
        <f t="shared" si="6"/>
        <v>0</v>
      </c>
    </row>
    <row r="167" spans="1:14" x14ac:dyDescent="0.35">
      <c r="A167" s="33">
        <v>164</v>
      </c>
      <c r="B167" s="34" t="s">
        <v>2308</v>
      </c>
      <c r="C167" s="33" t="s">
        <v>346</v>
      </c>
      <c r="D167" s="33" t="s">
        <v>36</v>
      </c>
      <c r="E167" s="33" t="s">
        <v>333</v>
      </c>
      <c r="F167" s="35">
        <v>1</v>
      </c>
      <c r="G167" s="40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  <c r="M167" s="40">
        <f t="shared" si="5"/>
        <v>0</v>
      </c>
      <c r="N167" s="40">
        <f t="shared" si="6"/>
        <v>0</v>
      </c>
    </row>
    <row r="168" spans="1:14" x14ac:dyDescent="0.35">
      <c r="A168" s="33">
        <v>165</v>
      </c>
      <c r="B168" s="34" t="s">
        <v>467</v>
      </c>
      <c r="C168" s="33" t="s">
        <v>346</v>
      </c>
      <c r="D168" s="33" t="s">
        <v>36</v>
      </c>
      <c r="E168" s="33" t="s">
        <v>333</v>
      </c>
      <c r="F168" s="35">
        <v>1</v>
      </c>
      <c r="G168" s="40">
        <v>0</v>
      </c>
      <c r="H168" s="40">
        <v>0</v>
      </c>
      <c r="I168" s="40">
        <v>0</v>
      </c>
      <c r="J168" s="40">
        <v>0</v>
      </c>
      <c r="K168" s="40">
        <v>0</v>
      </c>
      <c r="L168" s="40">
        <v>0</v>
      </c>
      <c r="M168" s="40">
        <f t="shared" si="5"/>
        <v>0</v>
      </c>
      <c r="N168" s="40">
        <f t="shared" si="6"/>
        <v>0</v>
      </c>
    </row>
    <row r="169" spans="1:14" x14ac:dyDescent="0.35">
      <c r="A169" s="33">
        <v>166</v>
      </c>
      <c r="B169" s="34" t="s">
        <v>343</v>
      </c>
      <c r="C169" s="33" t="s">
        <v>297</v>
      </c>
      <c r="D169" s="33" t="s">
        <v>36</v>
      </c>
      <c r="E169" s="33" t="s">
        <v>343</v>
      </c>
      <c r="F169" s="35">
        <v>1</v>
      </c>
      <c r="G169" s="40">
        <v>0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  <c r="M169" s="40">
        <f t="shared" si="5"/>
        <v>0</v>
      </c>
      <c r="N169" s="40">
        <f t="shared" si="6"/>
        <v>0</v>
      </c>
    </row>
    <row r="170" spans="1:14" x14ac:dyDescent="0.35">
      <c r="A170" s="33">
        <v>167</v>
      </c>
      <c r="B170" s="34" t="s">
        <v>468</v>
      </c>
      <c r="C170" s="33" t="s">
        <v>297</v>
      </c>
      <c r="D170" s="33" t="s">
        <v>469</v>
      </c>
      <c r="E170" s="33" t="s">
        <v>470</v>
      </c>
      <c r="F170" s="35">
        <v>1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  <c r="M170" s="40">
        <f t="shared" si="5"/>
        <v>0</v>
      </c>
      <c r="N170" s="40">
        <f t="shared" si="6"/>
        <v>0</v>
      </c>
    </row>
    <row r="171" spans="1:14" x14ac:dyDescent="0.35">
      <c r="A171" s="33">
        <v>168</v>
      </c>
      <c r="B171" s="34" t="s">
        <v>471</v>
      </c>
      <c r="C171" s="33" t="s">
        <v>297</v>
      </c>
      <c r="D171" s="33" t="s">
        <v>469</v>
      </c>
      <c r="E171" s="33" t="s">
        <v>470</v>
      </c>
      <c r="F171" s="35">
        <v>1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  <c r="M171" s="40">
        <f t="shared" si="5"/>
        <v>0</v>
      </c>
      <c r="N171" s="40">
        <f t="shared" si="6"/>
        <v>0</v>
      </c>
    </row>
    <row r="172" spans="1:14" x14ac:dyDescent="0.35">
      <c r="A172" s="33">
        <v>169</v>
      </c>
      <c r="B172" s="34" t="s">
        <v>472</v>
      </c>
      <c r="C172" s="33" t="s">
        <v>297</v>
      </c>
      <c r="D172" s="33" t="s">
        <v>469</v>
      </c>
      <c r="E172" s="33" t="s">
        <v>470</v>
      </c>
      <c r="F172" s="35">
        <v>1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>
        <f t="shared" si="5"/>
        <v>0</v>
      </c>
      <c r="N172" s="40">
        <f t="shared" si="6"/>
        <v>0</v>
      </c>
    </row>
    <row r="173" spans="1:14" x14ac:dyDescent="0.35">
      <c r="A173" s="33">
        <v>170</v>
      </c>
      <c r="B173" s="34" t="s">
        <v>473</v>
      </c>
      <c r="C173" s="33" t="s">
        <v>297</v>
      </c>
      <c r="D173" s="33" t="s">
        <v>469</v>
      </c>
      <c r="E173" s="33" t="s">
        <v>470</v>
      </c>
      <c r="F173" s="35">
        <v>1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f t="shared" si="5"/>
        <v>0</v>
      </c>
      <c r="N173" s="40">
        <f t="shared" si="6"/>
        <v>0</v>
      </c>
    </row>
    <row r="174" spans="1:14" x14ac:dyDescent="0.35">
      <c r="A174" s="33">
        <v>171</v>
      </c>
      <c r="B174" s="34" t="s">
        <v>474</v>
      </c>
      <c r="C174" s="33" t="s">
        <v>297</v>
      </c>
      <c r="D174" s="33" t="s">
        <v>469</v>
      </c>
      <c r="E174" s="33" t="s">
        <v>470</v>
      </c>
      <c r="F174" s="35">
        <v>1</v>
      </c>
      <c r="G174" s="40">
        <v>0</v>
      </c>
      <c r="H174" s="40">
        <v>0</v>
      </c>
      <c r="I174" s="40">
        <v>0</v>
      </c>
      <c r="J174" s="40">
        <v>0</v>
      </c>
      <c r="K174" s="40">
        <v>0</v>
      </c>
      <c r="L174" s="40">
        <v>0</v>
      </c>
      <c r="M174" s="40">
        <f t="shared" si="5"/>
        <v>0</v>
      </c>
      <c r="N174" s="40">
        <f t="shared" si="6"/>
        <v>0</v>
      </c>
    </row>
    <row r="175" spans="1:14" x14ac:dyDescent="0.35">
      <c r="A175" s="33">
        <v>172</v>
      </c>
      <c r="B175" s="34" t="s">
        <v>476</v>
      </c>
      <c r="C175" s="33" t="s">
        <v>346</v>
      </c>
      <c r="D175" s="33" t="s">
        <v>469</v>
      </c>
      <c r="E175" s="33" t="s">
        <v>470</v>
      </c>
      <c r="F175" s="35">
        <v>7.4999999999999997E-2</v>
      </c>
      <c r="G175" s="40">
        <v>0</v>
      </c>
      <c r="H175" s="40">
        <v>0</v>
      </c>
      <c r="I175" s="40">
        <v>0</v>
      </c>
      <c r="J175" s="40">
        <v>0</v>
      </c>
      <c r="K175" s="40">
        <v>0</v>
      </c>
      <c r="L175" s="40">
        <v>0</v>
      </c>
      <c r="M175" s="40">
        <f t="shared" si="5"/>
        <v>0</v>
      </c>
      <c r="N175" s="40">
        <f t="shared" si="6"/>
        <v>0</v>
      </c>
    </row>
    <row r="176" spans="1:14" x14ac:dyDescent="0.35">
      <c r="A176" s="33">
        <v>173</v>
      </c>
      <c r="B176" s="34" t="s">
        <v>477</v>
      </c>
      <c r="C176" s="33" t="s">
        <v>346</v>
      </c>
      <c r="D176" s="33" t="s">
        <v>469</v>
      </c>
      <c r="E176" s="33" t="s">
        <v>470</v>
      </c>
      <c r="F176" s="35">
        <v>0.5</v>
      </c>
      <c r="G176" s="40">
        <v>0</v>
      </c>
      <c r="H176" s="40">
        <v>0</v>
      </c>
      <c r="I176" s="40">
        <v>0</v>
      </c>
      <c r="J176" s="40">
        <v>0</v>
      </c>
      <c r="K176" s="40">
        <v>0</v>
      </c>
      <c r="L176" s="40">
        <v>0</v>
      </c>
      <c r="M176" s="40">
        <f t="shared" si="5"/>
        <v>0</v>
      </c>
      <c r="N176" s="40">
        <f t="shared" si="6"/>
        <v>0</v>
      </c>
    </row>
    <row r="177" spans="1:14" x14ac:dyDescent="0.35">
      <c r="A177" s="33">
        <v>174</v>
      </c>
      <c r="B177" s="34" t="s">
        <v>478</v>
      </c>
      <c r="C177" s="33" t="s">
        <v>346</v>
      </c>
      <c r="D177" s="33" t="s">
        <v>469</v>
      </c>
      <c r="E177" s="33" t="s">
        <v>470</v>
      </c>
      <c r="F177" s="35">
        <v>0.4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0">
        <v>0</v>
      </c>
      <c r="M177" s="40">
        <f t="shared" si="5"/>
        <v>0</v>
      </c>
      <c r="N177" s="40">
        <f t="shared" si="6"/>
        <v>0</v>
      </c>
    </row>
    <row r="178" spans="1:14" x14ac:dyDescent="0.35">
      <c r="A178" s="33">
        <v>175</v>
      </c>
      <c r="B178" s="34" t="s">
        <v>479</v>
      </c>
      <c r="C178" s="33" t="s">
        <v>346</v>
      </c>
      <c r="D178" s="33" t="s">
        <v>469</v>
      </c>
      <c r="E178" s="33" t="s">
        <v>470</v>
      </c>
      <c r="F178" s="35">
        <v>0.25</v>
      </c>
      <c r="G178" s="40">
        <v>0</v>
      </c>
      <c r="H178" s="40">
        <v>0</v>
      </c>
      <c r="I178" s="40">
        <v>0</v>
      </c>
      <c r="J178" s="40">
        <v>0</v>
      </c>
      <c r="K178" s="40">
        <v>0</v>
      </c>
      <c r="L178" s="40">
        <v>0</v>
      </c>
      <c r="M178" s="40">
        <f t="shared" si="5"/>
        <v>0</v>
      </c>
      <c r="N178" s="40">
        <f t="shared" si="6"/>
        <v>0</v>
      </c>
    </row>
    <row r="179" spans="1:14" x14ac:dyDescent="0.35">
      <c r="A179" s="33">
        <v>176</v>
      </c>
      <c r="B179" s="34" t="s">
        <v>480</v>
      </c>
      <c r="C179" s="33" t="s">
        <v>346</v>
      </c>
      <c r="D179" s="33" t="s">
        <v>469</v>
      </c>
      <c r="E179" s="33" t="s">
        <v>470</v>
      </c>
      <c r="F179" s="35">
        <v>0.2</v>
      </c>
      <c r="G179" s="40">
        <v>0</v>
      </c>
      <c r="H179" s="40">
        <v>0</v>
      </c>
      <c r="I179" s="40">
        <v>0</v>
      </c>
      <c r="J179" s="40">
        <v>0</v>
      </c>
      <c r="K179" s="40">
        <v>0</v>
      </c>
      <c r="L179" s="40">
        <v>0</v>
      </c>
      <c r="M179" s="40">
        <f t="shared" si="5"/>
        <v>0</v>
      </c>
      <c r="N179" s="40">
        <f t="shared" si="6"/>
        <v>0</v>
      </c>
    </row>
    <row r="180" spans="1:14" x14ac:dyDescent="0.35">
      <c r="A180" s="33">
        <v>177</v>
      </c>
      <c r="B180" s="34" t="s">
        <v>481</v>
      </c>
      <c r="C180" s="33" t="s">
        <v>346</v>
      </c>
      <c r="D180" s="33" t="s">
        <v>469</v>
      </c>
      <c r="E180" s="33" t="s">
        <v>470</v>
      </c>
      <c r="F180" s="35">
        <v>0.25</v>
      </c>
      <c r="G180" s="40">
        <v>0</v>
      </c>
      <c r="H180" s="40">
        <v>0</v>
      </c>
      <c r="I180" s="40">
        <v>0</v>
      </c>
      <c r="J180" s="40">
        <v>0</v>
      </c>
      <c r="K180" s="40">
        <v>0</v>
      </c>
      <c r="L180" s="40">
        <v>0</v>
      </c>
      <c r="M180" s="40">
        <f t="shared" si="5"/>
        <v>0</v>
      </c>
      <c r="N180" s="40">
        <f t="shared" si="6"/>
        <v>0</v>
      </c>
    </row>
    <row r="181" spans="1:14" x14ac:dyDescent="0.35">
      <c r="A181" s="33">
        <v>178</v>
      </c>
      <c r="B181" s="34" t="s">
        <v>482</v>
      </c>
      <c r="C181" s="33" t="s">
        <v>346</v>
      </c>
      <c r="D181" s="33" t="s">
        <v>469</v>
      </c>
      <c r="E181" s="33" t="s">
        <v>470</v>
      </c>
      <c r="F181" s="35">
        <v>0.2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>
        <f t="shared" si="5"/>
        <v>0</v>
      </c>
      <c r="N181" s="40">
        <f t="shared" si="6"/>
        <v>0</v>
      </c>
    </row>
    <row r="182" spans="1:14" x14ac:dyDescent="0.35">
      <c r="A182" s="33">
        <v>179</v>
      </c>
      <c r="B182" s="34" t="s">
        <v>483</v>
      </c>
      <c r="C182" s="33" t="s">
        <v>346</v>
      </c>
      <c r="D182" s="33" t="s">
        <v>469</v>
      </c>
      <c r="E182" s="33" t="s">
        <v>470</v>
      </c>
      <c r="F182" s="35">
        <v>1</v>
      </c>
      <c r="G182" s="40">
        <v>0</v>
      </c>
      <c r="H182" s="40">
        <v>0</v>
      </c>
      <c r="I182" s="40">
        <v>0</v>
      </c>
      <c r="J182" s="40">
        <v>0</v>
      </c>
      <c r="K182" s="40">
        <v>0</v>
      </c>
      <c r="L182" s="40">
        <v>0</v>
      </c>
      <c r="M182" s="40">
        <f t="shared" si="5"/>
        <v>0</v>
      </c>
      <c r="N182" s="40">
        <f t="shared" si="6"/>
        <v>0</v>
      </c>
    </row>
    <row r="183" spans="1:14" x14ac:dyDescent="0.35">
      <c r="A183" s="33">
        <v>180</v>
      </c>
      <c r="B183" s="34" t="s">
        <v>484</v>
      </c>
      <c r="C183" s="33" t="s">
        <v>346</v>
      </c>
      <c r="D183" s="33" t="s">
        <v>469</v>
      </c>
      <c r="E183" s="33" t="s">
        <v>470</v>
      </c>
      <c r="F183" s="35">
        <v>1</v>
      </c>
      <c r="G183" s="40">
        <v>0</v>
      </c>
      <c r="H183" s="40">
        <v>0</v>
      </c>
      <c r="I183" s="40">
        <v>0</v>
      </c>
      <c r="J183" s="40">
        <v>0</v>
      </c>
      <c r="K183" s="40">
        <v>0</v>
      </c>
      <c r="L183" s="40">
        <v>0</v>
      </c>
      <c r="M183" s="40">
        <f t="shared" si="5"/>
        <v>0</v>
      </c>
      <c r="N183" s="40">
        <f t="shared" si="6"/>
        <v>0</v>
      </c>
    </row>
    <row r="184" spans="1:14" x14ac:dyDescent="0.35">
      <c r="A184" s="33">
        <v>181</v>
      </c>
      <c r="B184" s="34" t="s">
        <v>485</v>
      </c>
      <c r="C184" s="33" t="s">
        <v>346</v>
      </c>
      <c r="D184" s="33" t="s">
        <v>469</v>
      </c>
      <c r="E184" s="33" t="s">
        <v>470</v>
      </c>
      <c r="F184" s="35">
        <v>0.2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40">
        <v>0</v>
      </c>
      <c r="M184" s="40">
        <f t="shared" si="5"/>
        <v>0</v>
      </c>
      <c r="N184" s="40">
        <f t="shared" si="6"/>
        <v>0</v>
      </c>
    </row>
    <row r="185" spans="1:14" x14ac:dyDescent="0.35">
      <c r="A185" s="33">
        <v>182</v>
      </c>
      <c r="B185" s="34" t="s">
        <v>486</v>
      </c>
      <c r="C185" s="33" t="s">
        <v>346</v>
      </c>
      <c r="D185" s="33" t="s">
        <v>469</v>
      </c>
      <c r="E185" s="33" t="s">
        <v>470</v>
      </c>
      <c r="F185" s="35">
        <v>0.5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40">
        <f t="shared" si="5"/>
        <v>0</v>
      </c>
      <c r="N185" s="40">
        <f t="shared" si="6"/>
        <v>0</v>
      </c>
    </row>
    <row r="186" spans="1:14" x14ac:dyDescent="0.35">
      <c r="A186" s="33">
        <v>183</v>
      </c>
      <c r="B186" s="34" t="s">
        <v>487</v>
      </c>
      <c r="C186" s="33" t="s">
        <v>346</v>
      </c>
      <c r="D186" s="33" t="s">
        <v>469</v>
      </c>
      <c r="E186" s="33" t="s">
        <v>470</v>
      </c>
      <c r="F186" s="35">
        <v>0.25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</v>
      </c>
      <c r="M186" s="40">
        <f t="shared" si="5"/>
        <v>0</v>
      </c>
      <c r="N186" s="40">
        <f t="shared" si="6"/>
        <v>0</v>
      </c>
    </row>
    <row r="187" spans="1:14" x14ac:dyDescent="0.35">
      <c r="A187" s="33">
        <v>184</v>
      </c>
      <c r="B187" s="34" t="s">
        <v>488</v>
      </c>
      <c r="C187" s="33" t="s">
        <v>346</v>
      </c>
      <c r="D187" s="33" t="s">
        <v>469</v>
      </c>
      <c r="E187" s="33" t="s">
        <v>470</v>
      </c>
      <c r="F187" s="35">
        <v>0.5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0</v>
      </c>
      <c r="M187" s="40">
        <f t="shared" si="5"/>
        <v>0</v>
      </c>
      <c r="N187" s="40">
        <f t="shared" si="6"/>
        <v>0</v>
      </c>
    </row>
    <row r="188" spans="1:14" x14ac:dyDescent="0.35">
      <c r="A188" s="33">
        <v>185</v>
      </c>
      <c r="B188" s="34" t="s">
        <v>489</v>
      </c>
      <c r="C188" s="33" t="s">
        <v>346</v>
      </c>
      <c r="D188" s="33" t="s">
        <v>469</v>
      </c>
      <c r="E188" s="33" t="s">
        <v>470</v>
      </c>
      <c r="F188" s="35">
        <v>1</v>
      </c>
      <c r="G188" s="40">
        <v>0</v>
      </c>
      <c r="H188" s="40">
        <v>0</v>
      </c>
      <c r="I188" s="40">
        <v>0</v>
      </c>
      <c r="J188" s="40">
        <v>0</v>
      </c>
      <c r="K188" s="40">
        <v>0</v>
      </c>
      <c r="L188" s="40">
        <v>0</v>
      </c>
      <c r="M188" s="40">
        <f t="shared" si="5"/>
        <v>0</v>
      </c>
      <c r="N188" s="40">
        <f t="shared" si="6"/>
        <v>0</v>
      </c>
    </row>
    <row r="189" spans="1:14" x14ac:dyDescent="0.35">
      <c r="A189" s="33">
        <v>186</v>
      </c>
      <c r="B189" s="34" t="s">
        <v>490</v>
      </c>
      <c r="C189" s="33" t="s">
        <v>346</v>
      </c>
      <c r="D189" s="33" t="s">
        <v>469</v>
      </c>
      <c r="E189" s="33" t="s">
        <v>470</v>
      </c>
      <c r="F189" s="35">
        <v>1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>
        <f t="shared" si="5"/>
        <v>0</v>
      </c>
      <c r="N189" s="40">
        <f t="shared" si="6"/>
        <v>0</v>
      </c>
    </row>
    <row r="190" spans="1:14" x14ac:dyDescent="0.35">
      <c r="A190" s="33">
        <v>187</v>
      </c>
      <c r="B190" s="34" t="s">
        <v>491</v>
      </c>
      <c r="C190" s="33" t="s">
        <v>346</v>
      </c>
      <c r="D190" s="33" t="s">
        <v>469</v>
      </c>
      <c r="E190" s="33" t="s">
        <v>470</v>
      </c>
      <c r="F190" s="35">
        <v>1</v>
      </c>
      <c r="G190" s="40">
        <v>0</v>
      </c>
      <c r="H190" s="40">
        <v>0</v>
      </c>
      <c r="I190" s="40">
        <v>0</v>
      </c>
      <c r="J190" s="40">
        <v>0</v>
      </c>
      <c r="K190" s="40">
        <v>0</v>
      </c>
      <c r="L190" s="40">
        <v>0</v>
      </c>
      <c r="M190" s="40">
        <f t="shared" si="5"/>
        <v>0</v>
      </c>
      <c r="N190" s="40">
        <f t="shared" si="6"/>
        <v>0</v>
      </c>
    </row>
    <row r="191" spans="1:14" x14ac:dyDescent="0.35">
      <c r="A191" s="33">
        <v>188</v>
      </c>
      <c r="B191" s="34" t="s">
        <v>492</v>
      </c>
      <c r="C191" s="33" t="s">
        <v>346</v>
      </c>
      <c r="D191" s="33" t="s">
        <v>469</v>
      </c>
      <c r="E191" s="33" t="s">
        <v>470</v>
      </c>
      <c r="F191" s="35">
        <v>0.5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f t="shared" si="5"/>
        <v>0</v>
      </c>
      <c r="N191" s="40">
        <f t="shared" si="6"/>
        <v>0</v>
      </c>
    </row>
    <row r="192" spans="1:14" x14ac:dyDescent="0.35">
      <c r="A192" s="33">
        <v>189</v>
      </c>
      <c r="B192" s="34" t="s">
        <v>493</v>
      </c>
      <c r="C192" s="33" t="s">
        <v>346</v>
      </c>
      <c r="D192" s="33" t="s">
        <v>469</v>
      </c>
      <c r="E192" s="33" t="s">
        <v>470</v>
      </c>
      <c r="F192" s="35">
        <v>0.25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f t="shared" si="5"/>
        <v>0</v>
      </c>
      <c r="N192" s="40">
        <f t="shared" si="6"/>
        <v>0</v>
      </c>
    </row>
    <row r="193" spans="1:14" x14ac:dyDescent="0.35">
      <c r="A193" s="33">
        <v>190</v>
      </c>
      <c r="B193" s="34" t="s">
        <v>475</v>
      </c>
      <c r="C193" s="33" t="s">
        <v>297</v>
      </c>
      <c r="D193" s="33" t="s">
        <v>469</v>
      </c>
      <c r="E193" s="33" t="s">
        <v>475</v>
      </c>
      <c r="F193" s="35">
        <v>1</v>
      </c>
      <c r="G193" s="40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0</v>
      </c>
      <c r="M193" s="40">
        <f t="shared" si="5"/>
        <v>0</v>
      </c>
      <c r="N193" s="40">
        <f t="shared" si="6"/>
        <v>0</v>
      </c>
    </row>
    <row r="194" spans="1:14" x14ac:dyDescent="0.35">
      <c r="A194" s="33">
        <v>191</v>
      </c>
      <c r="B194" s="34" t="s">
        <v>494</v>
      </c>
      <c r="C194" s="33" t="s">
        <v>297</v>
      </c>
      <c r="D194" s="33" t="s">
        <v>79</v>
      </c>
      <c r="E194" s="33" t="s">
        <v>495</v>
      </c>
      <c r="F194" s="35">
        <v>1</v>
      </c>
      <c r="G194" s="40">
        <v>0</v>
      </c>
      <c r="H194" s="40">
        <v>0</v>
      </c>
      <c r="I194" s="40">
        <v>0</v>
      </c>
      <c r="J194" s="40">
        <v>0</v>
      </c>
      <c r="K194" s="40">
        <v>0</v>
      </c>
      <c r="L194" s="40">
        <v>0</v>
      </c>
      <c r="M194" s="40">
        <f t="shared" si="5"/>
        <v>0</v>
      </c>
      <c r="N194" s="40">
        <f t="shared" si="6"/>
        <v>0</v>
      </c>
    </row>
    <row r="195" spans="1:14" x14ac:dyDescent="0.35">
      <c r="A195" s="33">
        <v>192</v>
      </c>
      <c r="B195" s="34" t="s">
        <v>496</v>
      </c>
      <c r="C195" s="33" t="s">
        <v>297</v>
      </c>
      <c r="D195" s="33" t="s">
        <v>79</v>
      </c>
      <c r="E195" s="33" t="s">
        <v>495</v>
      </c>
      <c r="F195" s="35">
        <v>1</v>
      </c>
      <c r="G195" s="40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f t="shared" si="5"/>
        <v>0</v>
      </c>
      <c r="N195" s="40">
        <f t="shared" si="6"/>
        <v>0</v>
      </c>
    </row>
    <row r="196" spans="1:14" x14ac:dyDescent="0.35">
      <c r="A196" s="33">
        <v>193</v>
      </c>
      <c r="B196" s="34" t="s">
        <v>497</v>
      </c>
      <c r="C196" s="33" t="s">
        <v>297</v>
      </c>
      <c r="D196" s="33" t="s">
        <v>79</v>
      </c>
      <c r="E196" s="33" t="s">
        <v>495</v>
      </c>
      <c r="F196" s="35">
        <v>1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f t="shared" si="5"/>
        <v>0</v>
      </c>
      <c r="N196" s="40">
        <f t="shared" si="6"/>
        <v>0</v>
      </c>
    </row>
    <row r="197" spans="1:14" x14ac:dyDescent="0.35">
      <c r="A197" s="33">
        <v>194</v>
      </c>
      <c r="B197" s="34" t="s">
        <v>506</v>
      </c>
      <c r="C197" s="33" t="s">
        <v>346</v>
      </c>
      <c r="D197" s="33" t="s">
        <v>79</v>
      </c>
      <c r="E197" s="33" t="s">
        <v>495</v>
      </c>
      <c r="F197" s="35">
        <v>0.25</v>
      </c>
      <c r="G197" s="40">
        <v>0</v>
      </c>
      <c r="H197" s="40">
        <v>0</v>
      </c>
      <c r="I197" s="40">
        <v>0</v>
      </c>
      <c r="J197" s="40">
        <v>0</v>
      </c>
      <c r="K197" s="40">
        <v>0</v>
      </c>
      <c r="L197" s="40">
        <v>0</v>
      </c>
      <c r="M197" s="40">
        <f t="shared" ref="M197:M260" si="7">G197+I197+K197</f>
        <v>0</v>
      </c>
      <c r="N197" s="40">
        <f t="shared" ref="N197:N260" si="8">H197+J197+L197</f>
        <v>0</v>
      </c>
    </row>
    <row r="198" spans="1:14" x14ac:dyDescent="0.35">
      <c r="A198" s="33">
        <v>195</v>
      </c>
      <c r="B198" s="34" t="s">
        <v>507</v>
      </c>
      <c r="C198" s="33" t="s">
        <v>346</v>
      </c>
      <c r="D198" s="33" t="s">
        <v>79</v>
      </c>
      <c r="E198" s="33" t="s">
        <v>495</v>
      </c>
      <c r="F198" s="35">
        <v>0.55000000000000004</v>
      </c>
      <c r="G198" s="40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>
        <f t="shared" si="7"/>
        <v>0</v>
      </c>
      <c r="N198" s="40">
        <f t="shared" si="8"/>
        <v>0</v>
      </c>
    </row>
    <row r="199" spans="1:14" x14ac:dyDescent="0.35">
      <c r="A199" s="33">
        <v>196</v>
      </c>
      <c r="B199" s="34" t="s">
        <v>508</v>
      </c>
      <c r="C199" s="33" t="s">
        <v>346</v>
      </c>
      <c r="D199" s="33" t="s">
        <v>79</v>
      </c>
      <c r="E199" s="33" t="s">
        <v>495</v>
      </c>
      <c r="F199" s="35">
        <v>0.25</v>
      </c>
      <c r="G199" s="40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f t="shared" si="7"/>
        <v>0</v>
      </c>
      <c r="N199" s="40">
        <f t="shared" si="8"/>
        <v>0</v>
      </c>
    </row>
    <row r="200" spans="1:14" x14ac:dyDescent="0.35">
      <c r="A200" s="33">
        <v>197</v>
      </c>
      <c r="B200" s="34" t="s">
        <v>509</v>
      </c>
      <c r="C200" s="33" t="s">
        <v>346</v>
      </c>
      <c r="D200" s="33" t="s">
        <v>79</v>
      </c>
      <c r="E200" s="33" t="s">
        <v>495</v>
      </c>
      <c r="F200" s="35">
        <v>1</v>
      </c>
      <c r="G200" s="40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f t="shared" si="7"/>
        <v>0</v>
      </c>
      <c r="N200" s="40">
        <f t="shared" si="8"/>
        <v>0</v>
      </c>
    </row>
    <row r="201" spans="1:14" x14ac:dyDescent="0.35">
      <c r="A201" s="33">
        <v>198</v>
      </c>
      <c r="B201" s="34" t="s">
        <v>510</v>
      </c>
      <c r="C201" s="33" t="s">
        <v>346</v>
      </c>
      <c r="D201" s="33" t="s">
        <v>79</v>
      </c>
      <c r="E201" s="33" t="s">
        <v>495</v>
      </c>
      <c r="F201" s="35">
        <v>0.1</v>
      </c>
      <c r="G201" s="40">
        <v>0</v>
      </c>
      <c r="H201" s="40">
        <v>0</v>
      </c>
      <c r="I201" s="40">
        <v>0</v>
      </c>
      <c r="J201" s="40">
        <v>0</v>
      </c>
      <c r="K201" s="40">
        <v>0</v>
      </c>
      <c r="L201" s="40">
        <v>0</v>
      </c>
      <c r="M201" s="40">
        <f t="shared" si="7"/>
        <v>0</v>
      </c>
      <c r="N201" s="40">
        <f t="shared" si="8"/>
        <v>0</v>
      </c>
    </row>
    <row r="202" spans="1:14" x14ac:dyDescent="0.35">
      <c r="A202" s="33">
        <v>199</v>
      </c>
      <c r="B202" s="34" t="s">
        <v>511</v>
      </c>
      <c r="C202" s="33" t="s">
        <v>346</v>
      </c>
      <c r="D202" s="33" t="s">
        <v>79</v>
      </c>
      <c r="E202" s="33" t="s">
        <v>495</v>
      </c>
      <c r="F202" s="35">
        <v>0.2</v>
      </c>
      <c r="G202" s="40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f t="shared" si="7"/>
        <v>0</v>
      </c>
      <c r="N202" s="40">
        <f t="shared" si="8"/>
        <v>0</v>
      </c>
    </row>
    <row r="203" spans="1:14" x14ac:dyDescent="0.35">
      <c r="A203" s="33">
        <v>200</v>
      </c>
      <c r="B203" s="34" t="s">
        <v>512</v>
      </c>
      <c r="C203" s="33" t="s">
        <v>346</v>
      </c>
      <c r="D203" s="33" t="s">
        <v>79</v>
      </c>
      <c r="E203" s="33" t="s">
        <v>495</v>
      </c>
      <c r="F203" s="35">
        <v>0.2</v>
      </c>
      <c r="G203" s="40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f t="shared" si="7"/>
        <v>0</v>
      </c>
      <c r="N203" s="40">
        <f t="shared" si="8"/>
        <v>0</v>
      </c>
    </row>
    <row r="204" spans="1:14" x14ac:dyDescent="0.35">
      <c r="A204" s="33">
        <v>201</v>
      </c>
      <c r="B204" s="34" t="s">
        <v>513</v>
      </c>
      <c r="C204" s="33" t="s">
        <v>346</v>
      </c>
      <c r="D204" s="33" t="s">
        <v>79</v>
      </c>
      <c r="E204" s="33" t="s">
        <v>495</v>
      </c>
      <c r="F204" s="35">
        <v>1</v>
      </c>
      <c r="G204" s="40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f t="shared" si="7"/>
        <v>0</v>
      </c>
      <c r="N204" s="40">
        <f t="shared" si="8"/>
        <v>0</v>
      </c>
    </row>
    <row r="205" spans="1:14" x14ac:dyDescent="0.35">
      <c r="A205" s="33">
        <v>202</v>
      </c>
      <c r="B205" s="34" t="s">
        <v>514</v>
      </c>
      <c r="C205" s="33" t="s">
        <v>346</v>
      </c>
      <c r="D205" s="33" t="s">
        <v>79</v>
      </c>
      <c r="E205" s="33" t="s">
        <v>495</v>
      </c>
      <c r="F205" s="35">
        <v>0.2</v>
      </c>
      <c r="G205" s="40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f t="shared" si="7"/>
        <v>0</v>
      </c>
      <c r="N205" s="40">
        <f t="shared" si="8"/>
        <v>0</v>
      </c>
    </row>
    <row r="206" spans="1:14" x14ac:dyDescent="0.35">
      <c r="A206" s="33">
        <v>203</v>
      </c>
      <c r="B206" s="34" t="s">
        <v>515</v>
      </c>
      <c r="C206" s="33" t="s">
        <v>346</v>
      </c>
      <c r="D206" s="33" t="s">
        <v>79</v>
      </c>
      <c r="E206" s="33" t="s">
        <v>495</v>
      </c>
      <c r="F206" s="35">
        <v>0.5</v>
      </c>
      <c r="G206" s="40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f t="shared" si="7"/>
        <v>0</v>
      </c>
      <c r="N206" s="40">
        <f t="shared" si="8"/>
        <v>0</v>
      </c>
    </row>
    <row r="207" spans="1:14" x14ac:dyDescent="0.35">
      <c r="A207" s="33">
        <v>204</v>
      </c>
      <c r="B207" s="34" t="s">
        <v>498</v>
      </c>
      <c r="C207" s="33" t="s">
        <v>297</v>
      </c>
      <c r="D207" s="33" t="s">
        <v>79</v>
      </c>
      <c r="E207" s="33" t="s">
        <v>499</v>
      </c>
      <c r="F207" s="35">
        <v>1</v>
      </c>
      <c r="G207" s="40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f t="shared" si="7"/>
        <v>0</v>
      </c>
      <c r="N207" s="40">
        <f t="shared" si="8"/>
        <v>0</v>
      </c>
    </row>
    <row r="208" spans="1:14" x14ac:dyDescent="0.35">
      <c r="A208" s="33">
        <v>205</v>
      </c>
      <c r="B208" s="34" t="s">
        <v>500</v>
      </c>
      <c r="C208" s="33" t="s">
        <v>297</v>
      </c>
      <c r="D208" s="33" t="s">
        <v>79</v>
      </c>
      <c r="E208" s="33" t="s">
        <v>501</v>
      </c>
      <c r="F208" s="35">
        <v>1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f t="shared" si="7"/>
        <v>0</v>
      </c>
      <c r="N208" s="40">
        <f t="shared" si="8"/>
        <v>0</v>
      </c>
    </row>
    <row r="209" spans="1:14" x14ac:dyDescent="0.35">
      <c r="A209" s="33">
        <v>206</v>
      </c>
      <c r="B209" s="34" t="s">
        <v>502</v>
      </c>
      <c r="C209" s="33" t="s">
        <v>297</v>
      </c>
      <c r="D209" s="33" t="s">
        <v>79</v>
      </c>
      <c r="E209" s="33" t="s">
        <v>501</v>
      </c>
      <c r="F209" s="35">
        <v>1</v>
      </c>
      <c r="G209" s="40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f t="shared" si="7"/>
        <v>0</v>
      </c>
      <c r="N209" s="40">
        <f t="shared" si="8"/>
        <v>0</v>
      </c>
    </row>
    <row r="210" spans="1:14" x14ac:dyDescent="0.35">
      <c r="A210" s="33">
        <v>207</v>
      </c>
      <c r="B210" s="34" t="s">
        <v>503</v>
      </c>
      <c r="C210" s="33" t="s">
        <v>297</v>
      </c>
      <c r="D210" s="33" t="s">
        <v>79</v>
      </c>
      <c r="E210" s="33" t="s">
        <v>501</v>
      </c>
      <c r="F210" s="35">
        <v>1</v>
      </c>
      <c r="G210" s="40">
        <v>0</v>
      </c>
      <c r="H210" s="40">
        <v>250</v>
      </c>
      <c r="I210" s="40">
        <v>0</v>
      </c>
      <c r="J210" s="40">
        <v>13</v>
      </c>
      <c r="K210" s="40">
        <v>0</v>
      </c>
      <c r="L210" s="40">
        <v>0</v>
      </c>
      <c r="M210" s="40">
        <f t="shared" si="7"/>
        <v>0</v>
      </c>
      <c r="N210" s="40">
        <f t="shared" si="8"/>
        <v>263</v>
      </c>
    </row>
    <row r="211" spans="1:14" x14ac:dyDescent="0.35">
      <c r="A211" s="33">
        <v>208</v>
      </c>
      <c r="B211" s="34" t="s">
        <v>504</v>
      </c>
      <c r="C211" s="33" t="s">
        <v>297</v>
      </c>
      <c r="D211" s="33" t="s">
        <v>79</v>
      </c>
      <c r="E211" s="33" t="s">
        <v>501</v>
      </c>
      <c r="F211" s="35">
        <v>1</v>
      </c>
      <c r="G211" s="40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f t="shared" si="7"/>
        <v>0</v>
      </c>
      <c r="N211" s="40">
        <f t="shared" si="8"/>
        <v>0</v>
      </c>
    </row>
    <row r="212" spans="1:14" x14ac:dyDescent="0.35">
      <c r="A212" s="33">
        <v>209</v>
      </c>
      <c r="B212" s="34" t="s">
        <v>516</v>
      </c>
      <c r="C212" s="33" t="s">
        <v>346</v>
      </c>
      <c r="D212" s="33" t="s">
        <v>79</v>
      </c>
      <c r="E212" s="33" t="s">
        <v>501</v>
      </c>
      <c r="F212" s="35">
        <v>0.3</v>
      </c>
      <c r="G212" s="40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f t="shared" si="7"/>
        <v>0</v>
      </c>
      <c r="N212" s="40">
        <f t="shared" si="8"/>
        <v>0</v>
      </c>
    </row>
    <row r="213" spans="1:14" x14ac:dyDescent="0.35">
      <c r="A213" s="33">
        <v>210</v>
      </c>
      <c r="B213" s="34" t="s">
        <v>517</v>
      </c>
      <c r="C213" s="33" t="s">
        <v>346</v>
      </c>
      <c r="D213" s="33" t="s">
        <v>79</v>
      </c>
      <c r="E213" s="33" t="s">
        <v>501</v>
      </c>
      <c r="F213" s="35">
        <v>1</v>
      </c>
      <c r="G213" s="40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f t="shared" si="7"/>
        <v>0</v>
      </c>
      <c r="N213" s="40">
        <f t="shared" si="8"/>
        <v>0</v>
      </c>
    </row>
    <row r="214" spans="1:14" x14ac:dyDescent="0.35">
      <c r="A214" s="33">
        <v>211</v>
      </c>
      <c r="B214" s="34" t="s">
        <v>518</v>
      </c>
      <c r="C214" s="33" t="s">
        <v>346</v>
      </c>
      <c r="D214" s="33" t="s">
        <v>79</v>
      </c>
      <c r="E214" s="33" t="s">
        <v>501</v>
      </c>
      <c r="F214" s="35">
        <v>0.3</v>
      </c>
      <c r="G214" s="40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f t="shared" si="7"/>
        <v>0</v>
      </c>
      <c r="N214" s="40">
        <f t="shared" si="8"/>
        <v>0</v>
      </c>
    </row>
    <row r="215" spans="1:14" x14ac:dyDescent="0.35">
      <c r="A215" s="33">
        <v>212</v>
      </c>
      <c r="B215" s="34" t="s">
        <v>519</v>
      </c>
      <c r="C215" s="33" t="s">
        <v>346</v>
      </c>
      <c r="D215" s="33" t="s">
        <v>79</v>
      </c>
      <c r="E215" s="33" t="s">
        <v>501</v>
      </c>
      <c r="F215" s="35">
        <v>1</v>
      </c>
      <c r="G215" s="40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f t="shared" si="7"/>
        <v>0</v>
      </c>
      <c r="N215" s="40">
        <f t="shared" si="8"/>
        <v>0</v>
      </c>
    </row>
    <row r="216" spans="1:14" x14ac:dyDescent="0.35">
      <c r="A216" s="33">
        <v>213</v>
      </c>
      <c r="B216" s="34" t="s">
        <v>520</v>
      </c>
      <c r="C216" s="33" t="s">
        <v>346</v>
      </c>
      <c r="D216" s="33" t="s">
        <v>79</v>
      </c>
      <c r="E216" s="33" t="s">
        <v>501</v>
      </c>
      <c r="F216" s="35">
        <v>0.2</v>
      </c>
      <c r="G216" s="40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f t="shared" si="7"/>
        <v>0</v>
      </c>
      <c r="N216" s="40">
        <f t="shared" si="8"/>
        <v>0</v>
      </c>
    </row>
    <row r="217" spans="1:14" x14ac:dyDescent="0.35">
      <c r="A217" s="33">
        <v>214</v>
      </c>
      <c r="B217" s="34" t="s">
        <v>521</v>
      </c>
      <c r="C217" s="33" t="s">
        <v>346</v>
      </c>
      <c r="D217" s="33" t="s">
        <v>79</v>
      </c>
      <c r="E217" s="33" t="s">
        <v>501</v>
      </c>
      <c r="F217" s="35">
        <v>1</v>
      </c>
      <c r="G217" s="40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f t="shared" si="7"/>
        <v>0</v>
      </c>
      <c r="N217" s="40">
        <f t="shared" si="8"/>
        <v>0</v>
      </c>
    </row>
    <row r="218" spans="1:14" x14ac:dyDescent="0.35">
      <c r="A218" s="33">
        <v>215</v>
      </c>
      <c r="B218" s="34" t="s">
        <v>505</v>
      </c>
      <c r="C218" s="33" t="s">
        <v>297</v>
      </c>
      <c r="D218" s="33" t="s">
        <v>79</v>
      </c>
      <c r="E218" s="33" t="s">
        <v>505</v>
      </c>
      <c r="F218" s="35">
        <v>1</v>
      </c>
      <c r="G218" s="40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f t="shared" si="7"/>
        <v>0</v>
      </c>
      <c r="N218" s="40">
        <f t="shared" si="8"/>
        <v>0</v>
      </c>
    </row>
    <row r="219" spans="1:14" x14ac:dyDescent="0.35">
      <c r="A219" s="33">
        <v>216</v>
      </c>
      <c r="B219" s="34" t="s">
        <v>522</v>
      </c>
      <c r="C219" s="33" t="s">
        <v>346</v>
      </c>
      <c r="D219" s="33" t="s">
        <v>523</v>
      </c>
      <c r="E219" s="33" t="s">
        <v>524</v>
      </c>
      <c r="F219" s="35">
        <v>0.06</v>
      </c>
      <c r="G219" s="40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f t="shared" si="7"/>
        <v>0</v>
      </c>
      <c r="N219" s="40">
        <f t="shared" si="8"/>
        <v>0</v>
      </c>
    </row>
    <row r="220" spans="1:14" x14ac:dyDescent="0.35">
      <c r="A220" s="33">
        <v>217</v>
      </c>
      <c r="B220" s="34" t="s">
        <v>525</v>
      </c>
      <c r="C220" s="33" t="s">
        <v>346</v>
      </c>
      <c r="D220" s="33" t="s">
        <v>523</v>
      </c>
      <c r="E220" s="33" t="s">
        <v>524</v>
      </c>
      <c r="F220" s="35">
        <v>0.1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f t="shared" si="7"/>
        <v>0</v>
      </c>
      <c r="N220" s="40">
        <f t="shared" si="8"/>
        <v>0</v>
      </c>
    </row>
    <row r="221" spans="1:14" x14ac:dyDescent="0.35">
      <c r="A221" s="33">
        <v>218</v>
      </c>
      <c r="B221" s="34" t="s">
        <v>526</v>
      </c>
      <c r="C221" s="33" t="s">
        <v>346</v>
      </c>
      <c r="D221" s="33" t="s">
        <v>523</v>
      </c>
      <c r="E221" s="33" t="s">
        <v>524</v>
      </c>
      <c r="F221" s="35">
        <v>0.1</v>
      </c>
      <c r="G221" s="40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f t="shared" si="7"/>
        <v>0</v>
      </c>
      <c r="N221" s="40">
        <f t="shared" si="8"/>
        <v>0</v>
      </c>
    </row>
    <row r="222" spans="1:14" x14ac:dyDescent="0.35">
      <c r="A222" s="33">
        <v>219</v>
      </c>
      <c r="B222" s="34" t="s">
        <v>527</v>
      </c>
      <c r="C222" s="33" t="s">
        <v>346</v>
      </c>
      <c r="D222" s="33" t="s">
        <v>523</v>
      </c>
      <c r="E222" s="33" t="s">
        <v>524</v>
      </c>
      <c r="F222" s="35">
        <v>0.1</v>
      </c>
      <c r="G222" s="40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f t="shared" si="7"/>
        <v>0</v>
      </c>
      <c r="N222" s="40">
        <f t="shared" si="8"/>
        <v>0</v>
      </c>
    </row>
    <row r="223" spans="1:14" x14ac:dyDescent="0.35">
      <c r="A223" s="33">
        <v>220</v>
      </c>
      <c r="B223" s="34" t="s">
        <v>528</v>
      </c>
      <c r="C223" s="33" t="s">
        <v>346</v>
      </c>
      <c r="D223" s="33" t="s">
        <v>523</v>
      </c>
      <c r="E223" s="33" t="s">
        <v>524</v>
      </c>
      <c r="F223" s="35">
        <v>0.35699999999999998</v>
      </c>
      <c r="G223" s="40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f t="shared" si="7"/>
        <v>0</v>
      </c>
      <c r="N223" s="40">
        <f t="shared" si="8"/>
        <v>0</v>
      </c>
    </row>
    <row r="224" spans="1:14" x14ac:dyDescent="0.35">
      <c r="A224" s="33">
        <v>221</v>
      </c>
      <c r="B224" s="34" t="s">
        <v>529</v>
      </c>
      <c r="C224" s="33" t="s">
        <v>346</v>
      </c>
      <c r="D224" s="33" t="s">
        <v>523</v>
      </c>
      <c r="E224" s="33" t="s">
        <v>524</v>
      </c>
      <c r="F224" s="35">
        <v>1.7999999999999999E-2</v>
      </c>
      <c r="G224" s="40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f t="shared" si="7"/>
        <v>0</v>
      </c>
      <c r="N224" s="40">
        <f t="shared" si="8"/>
        <v>0</v>
      </c>
    </row>
    <row r="225" spans="1:14" x14ac:dyDescent="0.35">
      <c r="A225" s="33">
        <v>222</v>
      </c>
      <c r="B225" s="34" t="s">
        <v>530</v>
      </c>
      <c r="C225" s="33" t="s">
        <v>346</v>
      </c>
      <c r="D225" s="33" t="s">
        <v>523</v>
      </c>
      <c r="E225" s="33" t="s">
        <v>524</v>
      </c>
      <c r="F225" s="35">
        <v>1</v>
      </c>
      <c r="G225" s="40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f t="shared" si="7"/>
        <v>0</v>
      </c>
      <c r="N225" s="40">
        <f t="shared" si="8"/>
        <v>0</v>
      </c>
    </row>
    <row r="226" spans="1:14" x14ac:dyDescent="0.35">
      <c r="A226" s="33">
        <v>223</v>
      </c>
      <c r="B226" s="34" t="s">
        <v>531</v>
      </c>
      <c r="C226" s="33" t="s">
        <v>346</v>
      </c>
      <c r="D226" s="33" t="s">
        <v>523</v>
      </c>
      <c r="E226" s="33" t="s">
        <v>524</v>
      </c>
      <c r="F226" s="35">
        <v>1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f t="shared" si="7"/>
        <v>0</v>
      </c>
      <c r="N226" s="40">
        <f t="shared" si="8"/>
        <v>0</v>
      </c>
    </row>
    <row r="227" spans="1:14" x14ac:dyDescent="0.35">
      <c r="A227" s="33">
        <v>224</v>
      </c>
      <c r="B227" s="34" t="s">
        <v>532</v>
      </c>
      <c r="C227" s="33" t="s">
        <v>346</v>
      </c>
      <c r="D227" s="33" t="s">
        <v>523</v>
      </c>
      <c r="E227" s="33" t="s">
        <v>524</v>
      </c>
      <c r="F227" s="35">
        <v>1.7999999999999999E-2</v>
      </c>
      <c r="G227" s="40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f t="shared" si="7"/>
        <v>0</v>
      </c>
      <c r="N227" s="40">
        <f t="shared" si="8"/>
        <v>0</v>
      </c>
    </row>
    <row r="228" spans="1:14" x14ac:dyDescent="0.35">
      <c r="A228" s="33">
        <v>225</v>
      </c>
      <c r="B228" s="34" t="s">
        <v>533</v>
      </c>
      <c r="C228" s="33" t="s">
        <v>346</v>
      </c>
      <c r="D228" s="33" t="s">
        <v>523</v>
      </c>
      <c r="E228" s="33" t="s">
        <v>524</v>
      </c>
      <c r="F228" s="35">
        <v>1</v>
      </c>
      <c r="G228" s="40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f t="shared" si="7"/>
        <v>0</v>
      </c>
      <c r="N228" s="40">
        <f t="shared" si="8"/>
        <v>0</v>
      </c>
    </row>
    <row r="229" spans="1:14" x14ac:dyDescent="0.35">
      <c r="A229" s="33">
        <v>226</v>
      </c>
      <c r="B229" s="34" t="s">
        <v>534</v>
      </c>
      <c r="C229" s="33" t="s">
        <v>346</v>
      </c>
      <c r="D229" s="33" t="s">
        <v>523</v>
      </c>
      <c r="E229" s="33" t="s">
        <v>524</v>
      </c>
      <c r="F229" s="35">
        <v>0.42</v>
      </c>
      <c r="G229" s="40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f t="shared" si="7"/>
        <v>0</v>
      </c>
      <c r="N229" s="40">
        <f t="shared" si="8"/>
        <v>0</v>
      </c>
    </row>
    <row r="230" spans="1:14" x14ac:dyDescent="0.35">
      <c r="A230" s="33">
        <v>227</v>
      </c>
      <c r="B230" s="34" t="s">
        <v>535</v>
      </c>
      <c r="C230" s="33" t="s">
        <v>346</v>
      </c>
      <c r="D230" s="33" t="s">
        <v>523</v>
      </c>
      <c r="E230" s="33" t="s">
        <v>524</v>
      </c>
      <c r="F230" s="35">
        <v>0.21</v>
      </c>
      <c r="G230" s="40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f t="shared" si="7"/>
        <v>0</v>
      </c>
      <c r="N230" s="40">
        <f t="shared" si="8"/>
        <v>0</v>
      </c>
    </row>
    <row r="231" spans="1:14" x14ac:dyDescent="0.35">
      <c r="A231" s="33">
        <v>228</v>
      </c>
      <c r="B231" s="34" t="s">
        <v>536</v>
      </c>
      <c r="C231" s="33" t="s">
        <v>346</v>
      </c>
      <c r="D231" s="33" t="s">
        <v>523</v>
      </c>
      <c r="E231" s="33" t="s">
        <v>524</v>
      </c>
      <c r="F231" s="35">
        <v>0.21</v>
      </c>
      <c r="G231" s="40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f t="shared" si="7"/>
        <v>0</v>
      </c>
      <c r="N231" s="40">
        <f t="shared" si="8"/>
        <v>0</v>
      </c>
    </row>
    <row r="232" spans="1:14" x14ac:dyDescent="0.35">
      <c r="A232" s="33">
        <v>229</v>
      </c>
      <c r="B232" s="34" t="s">
        <v>537</v>
      </c>
      <c r="C232" s="33" t="s">
        <v>346</v>
      </c>
      <c r="D232" s="33" t="s">
        <v>523</v>
      </c>
      <c r="E232" s="33" t="s">
        <v>524</v>
      </c>
      <c r="F232" s="35">
        <v>1</v>
      </c>
      <c r="G232" s="40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f t="shared" si="7"/>
        <v>0</v>
      </c>
      <c r="N232" s="40">
        <f t="shared" si="8"/>
        <v>0</v>
      </c>
    </row>
    <row r="233" spans="1:14" x14ac:dyDescent="0.35">
      <c r="A233" s="33">
        <v>230</v>
      </c>
      <c r="B233" s="34" t="s">
        <v>538</v>
      </c>
      <c r="C233" s="33" t="s">
        <v>346</v>
      </c>
      <c r="D233" s="33" t="s">
        <v>523</v>
      </c>
      <c r="E233" s="33" t="s">
        <v>524</v>
      </c>
      <c r="F233" s="35">
        <v>0.21</v>
      </c>
      <c r="G233" s="40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f t="shared" si="7"/>
        <v>0</v>
      </c>
      <c r="N233" s="40">
        <f t="shared" si="8"/>
        <v>0</v>
      </c>
    </row>
    <row r="234" spans="1:14" x14ac:dyDescent="0.35">
      <c r="A234" s="33">
        <v>231</v>
      </c>
      <c r="B234" s="34" t="s">
        <v>539</v>
      </c>
      <c r="C234" s="33" t="s">
        <v>346</v>
      </c>
      <c r="D234" s="33" t="s">
        <v>523</v>
      </c>
      <c r="E234" s="33" t="s">
        <v>524</v>
      </c>
      <c r="F234" s="35">
        <v>0.36</v>
      </c>
      <c r="G234" s="40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f t="shared" si="7"/>
        <v>0</v>
      </c>
      <c r="N234" s="40">
        <f t="shared" si="8"/>
        <v>0</v>
      </c>
    </row>
    <row r="235" spans="1:14" x14ac:dyDescent="0.35">
      <c r="A235" s="33">
        <v>232</v>
      </c>
      <c r="B235" s="34" t="s">
        <v>540</v>
      </c>
      <c r="C235" s="33" t="s">
        <v>346</v>
      </c>
      <c r="D235" s="33" t="s">
        <v>523</v>
      </c>
      <c r="E235" s="33" t="s">
        <v>524</v>
      </c>
      <c r="F235" s="35">
        <v>1</v>
      </c>
      <c r="G235" s="40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f t="shared" si="7"/>
        <v>0</v>
      </c>
      <c r="N235" s="40">
        <f t="shared" si="8"/>
        <v>0</v>
      </c>
    </row>
    <row r="236" spans="1:14" x14ac:dyDescent="0.35">
      <c r="A236" s="33">
        <v>233</v>
      </c>
      <c r="B236" s="34" t="s">
        <v>541</v>
      </c>
      <c r="C236" s="33" t="s">
        <v>346</v>
      </c>
      <c r="D236" s="33" t="s">
        <v>523</v>
      </c>
      <c r="E236" s="33" t="s">
        <v>524</v>
      </c>
      <c r="F236" s="35">
        <v>1</v>
      </c>
      <c r="G236" s="40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f t="shared" si="7"/>
        <v>0</v>
      </c>
      <c r="N236" s="40">
        <f t="shared" si="8"/>
        <v>0</v>
      </c>
    </row>
    <row r="237" spans="1:14" x14ac:dyDescent="0.35">
      <c r="A237" s="33">
        <v>234</v>
      </c>
      <c r="B237" s="34" t="s">
        <v>542</v>
      </c>
      <c r="C237" s="33" t="s">
        <v>346</v>
      </c>
      <c r="D237" s="33" t="s">
        <v>523</v>
      </c>
      <c r="E237" s="33" t="s">
        <v>524</v>
      </c>
      <c r="F237" s="35">
        <v>1</v>
      </c>
      <c r="G237" s="40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f t="shared" si="7"/>
        <v>0</v>
      </c>
      <c r="N237" s="40">
        <f t="shared" si="8"/>
        <v>0</v>
      </c>
    </row>
    <row r="238" spans="1:14" x14ac:dyDescent="0.35">
      <c r="A238" s="33">
        <v>235</v>
      </c>
      <c r="B238" s="34" t="s">
        <v>543</v>
      </c>
      <c r="C238" s="33" t="s">
        <v>346</v>
      </c>
      <c r="D238" s="33" t="s">
        <v>523</v>
      </c>
      <c r="E238" s="33" t="s">
        <v>524</v>
      </c>
      <c r="F238" s="35">
        <v>8.9999999999999993E-3</v>
      </c>
      <c r="G238" s="40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f t="shared" si="7"/>
        <v>0</v>
      </c>
      <c r="N238" s="40">
        <f t="shared" si="8"/>
        <v>0</v>
      </c>
    </row>
    <row r="239" spans="1:14" x14ac:dyDescent="0.35">
      <c r="A239" s="33">
        <v>236</v>
      </c>
      <c r="B239" s="34" t="s">
        <v>544</v>
      </c>
      <c r="C239" s="33" t="s">
        <v>346</v>
      </c>
      <c r="D239" s="33" t="s">
        <v>523</v>
      </c>
      <c r="E239" s="33" t="s">
        <v>524</v>
      </c>
      <c r="F239" s="35">
        <v>1</v>
      </c>
      <c r="G239" s="40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f t="shared" si="7"/>
        <v>0</v>
      </c>
      <c r="N239" s="40">
        <f t="shared" si="8"/>
        <v>0</v>
      </c>
    </row>
    <row r="240" spans="1:14" x14ac:dyDescent="0.35">
      <c r="A240" s="33">
        <v>237</v>
      </c>
      <c r="B240" s="34" t="s">
        <v>545</v>
      </c>
      <c r="C240" s="33" t="s">
        <v>346</v>
      </c>
      <c r="D240" s="33" t="s">
        <v>523</v>
      </c>
      <c r="E240" s="33" t="s">
        <v>524</v>
      </c>
      <c r="F240" s="35">
        <v>1</v>
      </c>
      <c r="G240" s="40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f t="shared" si="7"/>
        <v>0</v>
      </c>
      <c r="N240" s="40">
        <f t="shared" si="8"/>
        <v>0</v>
      </c>
    </row>
    <row r="241" spans="1:14" x14ac:dyDescent="0.35">
      <c r="A241" s="33">
        <v>238</v>
      </c>
      <c r="B241" s="34" t="s">
        <v>546</v>
      </c>
      <c r="C241" s="33" t="s">
        <v>346</v>
      </c>
      <c r="D241" s="33" t="s">
        <v>523</v>
      </c>
      <c r="E241" s="33" t="s">
        <v>524</v>
      </c>
      <c r="F241" s="35">
        <v>1</v>
      </c>
      <c r="G241" s="40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f t="shared" si="7"/>
        <v>0</v>
      </c>
      <c r="N241" s="40">
        <f t="shared" si="8"/>
        <v>0</v>
      </c>
    </row>
    <row r="242" spans="1:14" x14ac:dyDescent="0.35">
      <c r="A242" s="33">
        <v>239</v>
      </c>
      <c r="B242" s="34" t="s">
        <v>547</v>
      </c>
      <c r="C242" s="33" t="s">
        <v>346</v>
      </c>
      <c r="D242" s="33" t="s">
        <v>523</v>
      </c>
      <c r="E242" s="33" t="s">
        <v>524</v>
      </c>
      <c r="F242" s="35">
        <v>1.0500000000000001E-2</v>
      </c>
      <c r="G242" s="40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f t="shared" si="7"/>
        <v>0</v>
      </c>
      <c r="N242" s="40">
        <f t="shared" si="8"/>
        <v>0</v>
      </c>
    </row>
    <row r="243" spans="1:14" x14ac:dyDescent="0.35">
      <c r="A243" s="33">
        <v>240</v>
      </c>
      <c r="B243" s="34" t="s">
        <v>548</v>
      </c>
      <c r="C243" s="33" t="s">
        <v>346</v>
      </c>
      <c r="D243" s="33" t="s">
        <v>523</v>
      </c>
      <c r="E243" s="33" t="s">
        <v>524</v>
      </c>
      <c r="F243" s="35">
        <v>0.09</v>
      </c>
      <c r="G243" s="40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f t="shared" si="7"/>
        <v>0</v>
      </c>
      <c r="N243" s="40">
        <f t="shared" si="8"/>
        <v>0</v>
      </c>
    </row>
    <row r="244" spans="1:14" x14ac:dyDescent="0.35">
      <c r="A244" s="33">
        <v>241</v>
      </c>
      <c r="B244" s="34" t="s">
        <v>549</v>
      </c>
      <c r="C244" s="33" t="s">
        <v>346</v>
      </c>
      <c r="D244" s="33" t="s">
        <v>523</v>
      </c>
      <c r="E244" s="33" t="s">
        <v>524</v>
      </c>
      <c r="F244" s="35">
        <v>1</v>
      </c>
      <c r="G244" s="40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f t="shared" si="7"/>
        <v>0</v>
      </c>
      <c r="N244" s="40">
        <f t="shared" si="8"/>
        <v>0</v>
      </c>
    </row>
    <row r="245" spans="1:14" x14ac:dyDescent="0.35">
      <c r="A245" s="33">
        <v>242</v>
      </c>
      <c r="B245" s="34" t="s">
        <v>550</v>
      </c>
      <c r="C245" s="33" t="s">
        <v>346</v>
      </c>
      <c r="D245" s="33" t="s">
        <v>523</v>
      </c>
      <c r="E245" s="33" t="s">
        <v>524</v>
      </c>
      <c r="F245" s="35">
        <v>0.09</v>
      </c>
      <c r="G245" s="40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f t="shared" si="7"/>
        <v>0</v>
      </c>
      <c r="N245" s="40">
        <f t="shared" si="8"/>
        <v>0</v>
      </c>
    </row>
    <row r="246" spans="1:14" x14ac:dyDescent="0.35">
      <c r="A246" s="33">
        <v>243</v>
      </c>
      <c r="B246" s="34" t="s">
        <v>551</v>
      </c>
      <c r="C246" s="33" t="s">
        <v>346</v>
      </c>
      <c r="D246" s="33" t="s">
        <v>523</v>
      </c>
      <c r="E246" s="33" t="s">
        <v>524</v>
      </c>
      <c r="F246" s="35">
        <v>1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f t="shared" si="7"/>
        <v>0</v>
      </c>
      <c r="N246" s="40">
        <f t="shared" si="8"/>
        <v>0</v>
      </c>
    </row>
    <row r="247" spans="1:14" x14ac:dyDescent="0.35">
      <c r="A247" s="33">
        <v>244</v>
      </c>
      <c r="B247" s="34" t="s">
        <v>552</v>
      </c>
      <c r="C247" s="33" t="s">
        <v>346</v>
      </c>
      <c r="D247" s="33" t="s">
        <v>523</v>
      </c>
      <c r="E247" s="33" t="s">
        <v>524</v>
      </c>
      <c r="F247" s="35">
        <v>0.01</v>
      </c>
      <c r="G247" s="40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f t="shared" si="7"/>
        <v>0</v>
      </c>
      <c r="N247" s="40">
        <f t="shared" si="8"/>
        <v>0</v>
      </c>
    </row>
    <row r="248" spans="1:14" x14ac:dyDescent="0.35">
      <c r="A248" s="33">
        <v>245</v>
      </c>
      <c r="B248" s="34" t="s">
        <v>553</v>
      </c>
      <c r="C248" s="33" t="s">
        <v>346</v>
      </c>
      <c r="D248" s="33" t="s">
        <v>523</v>
      </c>
      <c r="E248" s="33" t="s">
        <v>524</v>
      </c>
      <c r="F248" s="35">
        <v>0.15</v>
      </c>
      <c r="G248" s="40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f t="shared" si="7"/>
        <v>0</v>
      </c>
      <c r="N248" s="40">
        <f t="shared" si="8"/>
        <v>0</v>
      </c>
    </row>
    <row r="249" spans="1:14" x14ac:dyDescent="0.35">
      <c r="A249" s="33">
        <v>246</v>
      </c>
      <c r="B249" s="34" t="s">
        <v>554</v>
      </c>
      <c r="C249" s="33" t="s">
        <v>346</v>
      </c>
      <c r="D249" s="33" t="s">
        <v>523</v>
      </c>
      <c r="E249" s="33" t="s">
        <v>524</v>
      </c>
      <c r="F249" s="35">
        <v>0.06</v>
      </c>
      <c r="G249" s="40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f t="shared" si="7"/>
        <v>0</v>
      </c>
      <c r="N249" s="40">
        <f t="shared" si="8"/>
        <v>0</v>
      </c>
    </row>
    <row r="250" spans="1:14" x14ac:dyDescent="0.35">
      <c r="A250" s="33">
        <v>247</v>
      </c>
      <c r="B250" s="34" t="s">
        <v>555</v>
      </c>
      <c r="C250" s="33" t="s">
        <v>346</v>
      </c>
      <c r="D250" s="33" t="s">
        <v>523</v>
      </c>
      <c r="E250" s="33" t="s">
        <v>556</v>
      </c>
      <c r="F250" s="35">
        <v>3.5000000000000003E-2</v>
      </c>
      <c r="G250" s="40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f t="shared" si="7"/>
        <v>0</v>
      </c>
      <c r="N250" s="40">
        <f t="shared" si="8"/>
        <v>0</v>
      </c>
    </row>
    <row r="251" spans="1:14" x14ac:dyDescent="0.35">
      <c r="A251" s="33">
        <v>248</v>
      </c>
      <c r="B251" s="34" t="s">
        <v>557</v>
      </c>
      <c r="C251" s="33" t="s">
        <v>346</v>
      </c>
      <c r="D251" s="33" t="s">
        <v>523</v>
      </c>
      <c r="E251" s="33" t="s">
        <v>556</v>
      </c>
      <c r="F251" s="35">
        <v>0.05</v>
      </c>
      <c r="G251" s="40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f t="shared" si="7"/>
        <v>0</v>
      </c>
      <c r="N251" s="40">
        <f t="shared" si="8"/>
        <v>0</v>
      </c>
    </row>
    <row r="252" spans="1:14" x14ac:dyDescent="0.35">
      <c r="A252" s="33">
        <v>249</v>
      </c>
      <c r="B252" s="34" t="s">
        <v>558</v>
      </c>
      <c r="C252" s="33" t="s">
        <v>346</v>
      </c>
      <c r="D252" s="33" t="s">
        <v>523</v>
      </c>
      <c r="E252" s="33" t="s">
        <v>556</v>
      </c>
      <c r="F252" s="35">
        <v>0.3</v>
      </c>
      <c r="G252" s="40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f t="shared" si="7"/>
        <v>0</v>
      </c>
      <c r="N252" s="40">
        <f t="shared" si="8"/>
        <v>0</v>
      </c>
    </row>
    <row r="253" spans="1:14" x14ac:dyDescent="0.35">
      <c r="A253" s="33">
        <v>250</v>
      </c>
      <c r="B253" s="34" t="s">
        <v>559</v>
      </c>
      <c r="C253" s="33" t="s">
        <v>346</v>
      </c>
      <c r="D253" s="33" t="s">
        <v>523</v>
      </c>
      <c r="E253" s="33" t="s">
        <v>556</v>
      </c>
      <c r="F253" s="35">
        <v>0.21</v>
      </c>
      <c r="G253" s="40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f t="shared" si="7"/>
        <v>0</v>
      </c>
      <c r="N253" s="40">
        <f t="shared" si="8"/>
        <v>0</v>
      </c>
    </row>
    <row r="254" spans="1:14" x14ac:dyDescent="0.35">
      <c r="A254" s="33">
        <v>251</v>
      </c>
      <c r="B254" s="34" t="s">
        <v>560</v>
      </c>
      <c r="C254" s="33" t="s">
        <v>346</v>
      </c>
      <c r="D254" s="33" t="s">
        <v>523</v>
      </c>
      <c r="E254" s="33" t="s">
        <v>561</v>
      </c>
      <c r="F254" s="35">
        <v>0.11</v>
      </c>
      <c r="G254" s="40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f t="shared" si="7"/>
        <v>0</v>
      </c>
      <c r="N254" s="40">
        <f t="shared" si="8"/>
        <v>0</v>
      </c>
    </row>
    <row r="255" spans="1:14" x14ac:dyDescent="0.35">
      <c r="A255" s="33">
        <v>252</v>
      </c>
      <c r="B255" s="34" t="s">
        <v>562</v>
      </c>
      <c r="C255" s="33" t="s">
        <v>346</v>
      </c>
      <c r="D255" s="33" t="s">
        <v>523</v>
      </c>
      <c r="E255" s="33" t="s">
        <v>563</v>
      </c>
      <c r="F255" s="35">
        <v>0.03</v>
      </c>
      <c r="G255" s="40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f t="shared" si="7"/>
        <v>0</v>
      </c>
      <c r="N255" s="40">
        <f t="shared" si="8"/>
        <v>0</v>
      </c>
    </row>
    <row r="256" spans="1:14" x14ac:dyDescent="0.35">
      <c r="A256" s="33">
        <v>253</v>
      </c>
      <c r="B256" s="34" t="s">
        <v>564</v>
      </c>
      <c r="C256" s="33" t="s">
        <v>346</v>
      </c>
      <c r="D256" s="33" t="s">
        <v>523</v>
      </c>
      <c r="E256" s="33" t="s">
        <v>563</v>
      </c>
      <c r="F256" s="35">
        <v>1</v>
      </c>
      <c r="G256" s="40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f t="shared" si="7"/>
        <v>0</v>
      </c>
      <c r="N256" s="40">
        <f t="shared" si="8"/>
        <v>0</v>
      </c>
    </row>
    <row r="257" spans="1:14" x14ac:dyDescent="0.35">
      <c r="A257" s="33">
        <v>254</v>
      </c>
      <c r="B257" s="34" t="s">
        <v>565</v>
      </c>
      <c r="C257" s="33" t="s">
        <v>346</v>
      </c>
      <c r="D257" s="33" t="s">
        <v>523</v>
      </c>
      <c r="E257" s="33" t="s">
        <v>563</v>
      </c>
      <c r="F257" s="35">
        <v>3.7999999999999999E-2</v>
      </c>
      <c r="G257" s="40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f t="shared" si="7"/>
        <v>0</v>
      </c>
      <c r="N257" s="40">
        <f t="shared" si="8"/>
        <v>0</v>
      </c>
    </row>
    <row r="258" spans="1:14" x14ac:dyDescent="0.35">
      <c r="A258" s="33">
        <v>255</v>
      </c>
      <c r="B258" s="34" t="s">
        <v>566</v>
      </c>
      <c r="C258" s="33" t="s">
        <v>346</v>
      </c>
      <c r="D258" s="33" t="s">
        <v>523</v>
      </c>
      <c r="E258" s="33" t="s">
        <v>563</v>
      </c>
      <c r="F258" s="35">
        <v>0.05</v>
      </c>
      <c r="G258" s="40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f t="shared" si="7"/>
        <v>0</v>
      </c>
      <c r="N258" s="40">
        <f t="shared" si="8"/>
        <v>0</v>
      </c>
    </row>
    <row r="259" spans="1:14" x14ac:dyDescent="0.35">
      <c r="A259" s="33">
        <v>256</v>
      </c>
      <c r="B259" s="34" t="s">
        <v>567</v>
      </c>
      <c r="C259" s="33" t="s">
        <v>346</v>
      </c>
      <c r="D259" s="33" t="s">
        <v>523</v>
      </c>
      <c r="E259" s="33" t="s">
        <v>563</v>
      </c>
      <c r="F259" s="35">
        <v>0.05</v>
      </c>
      <c r="G259" s="40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f t="shared" si="7"/>
        <v>0</v>
      </c>
      <c r="N259" s="40">
        <f t="shared" si="8"/>
        <v>0</v>
      </c>
    </row>
    <row r="260" spans="1:14" x14ac:dyDescent="0.35">
      <c r="A260" s="33">
        <v>257</v>
      </c>
      <c r="B260" s="34" t="s">
        <v>568</v>
      </c>
      <c r="C260" s="33" t="s">
        <v>346</v>
      </c>
      <c r="D260" s="33" t="s">
        <v>523</v>
      </c>
      <c r="E260" s="33" t="s">
        <v>563</v>
      </c>
      <c r="F260" s="35">
        <v>0.05</v>
      </c>
      <c r="G260" s="40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f t="shared" si="7"/>
        <v>0</v>
      </c>
      <c r="N260" s="40">
        <f t="shared" si="8"/>
        <v>0</v>
      </c>
    </row>
    <row r="261" spans="1:14" x14ac:dyDescent="0.35">
      <c r="A261" s="33">
        <v>258</v>
      </c>
      <c r="B261" s="34" t="s">
        <v>569</v>
      </c>
      <c r="C261" s="33" t="s">
        <v>346</v>
      </c>
      <c r="D261" s="33" t="s">
        <v>523</v>
      </c>
      <c r="E261" s="33" t="s">
        <v>563</v>
      </c>
      <c r="F261" s="35">
        <v>8.9999999999999993E-3</v>
      </c>
      <c r="G261" s="40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f t="shared" ref="M261:M324" si="9">G261+I261+K261</f>
        <v>0</v>
      </c>
      <c r="N261" s="40">
        <f t="shared" ref="N261:N324" si="10">H261+J261+L261</f>
        <v>0</v>
      </c>
    </row>
    <row r="262" spans="1:14" x14ac:dyDescent="0.35">
      <c r="A262" s="33">
        <v>259</v>
      </c>
      <c r="B262" s="34" t="s">
        <v>570</v>
      </c>
      <c r="C262" s="33" t="s">
        <v>346</v>
      </c>
      <c r="D262" s="33" t="s">
        <v>523</v>
      </c>
      <c r="E262" s="33" t="s">
        <v>563</v>
      </c>
      <c r="F262" s="35">
        <v>1</v>
      </c>
      <c r="G262" s="40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f t="shared" si="9"/>
        <v>0</v>
      </c>
      <c r="N262" s="40">
        <f t="shared" si="10"/>
        <v>0</v>
      </c>
    </row>
    <row r="263" spans="1:14" x14ac:dyDescent="0.35">
      <c r="A263" s="33">
        <v>260</v>
      </c>
      <c r="B263" s="34" t="s">
        <v>571</v>
      </c>
      <c r="C263" s="33" t="s">
        <v>346</v>
      </c>
      <c r="D263" s="33" t="s">
        <v>523</v>
      </c>
      <c r="E263" s="33" t="s">
        <v>563</v>
      </c>
      <c r="F263" s="35">
        <v>3.5000000000000003E-2</v>
      </c>
      <c r="G263" s="40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f t="shared" si="9"/>
        <v>0</v>
      </c>
      <c r="N263" s="40">
        <f t="shared" si="10"/>
        <v>0</v>
      </c>
    </row>
    <row r="264" spans="1:14" x14ac:dyDescent="0.35">
      <c r="A264" s="33">
        <v>261</v>
      </c>
      <c r="B264" s="34" t="s">
        <v>572</v>
      </c>
      <c r="C264" s="33" t="s">
        <v>346</v>
      </c>
      <c r="D264" s="33" t="s">
        <v>523</v>
      </c>
      <c r="E264" s="33" t="s">
        <v>563</v>
      </c>
      <c r="F264" s="35">
        <v>3.5000000000000003E-2</v>
      </c>
      <c r="G264" s="40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f t="shared" si="9"/>
        <v>0</v>
      </c>
      <c r="N264" s="40">
        <f t="shared" si="10"/>
        <v>0</v>
      </c>
    </row>
    <row r="265" spans="1:14" x14ac:dyDescent="0.35">
      <c r="A265" s="33">
        <v>262</v>
      </c>
      <c r="B265" s="34" t="s">
        <v>573</v>
      </c>
      <c r="C265" s="33" t="s">
        <v>346</v>
      </c>
      <c r="D265" s="33" t="s">
        <v>523</v>
      </c>
      <c r="E265" s="33" t="s">
        <v>563</v>
      </c>
      <c r="F265" s="35">
        <v>1</v>
      </c>
      <c r="G265" s="40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f t="shared" si="9"/>
        <v>0</v>
      </c>
      <c r="N265" s="40">
        <f t="shared" si="10"/>
        <v>0</v>
      </c>
    </row>
    <row r="266" spans="1:14" x14ac:dyDescent="0.35">
      <c r="A266" s="33">
        <v>263</v>
      </c>
      <c r="B266" s="34" t="s">
        <v>574</v>
      </c>
      <c r="C266" s="33" t="s">
        <v>346</v>
      </c>
      <c r="D266" s="33" t="s">
        <v>523</v>
      </c>
      <c r="E266" s="33" t="s">
        <v>563</v>
      </c>
      <c r="F266" s="35">
        <v>9.4499999999999993</v>
      </c>
      <c r="G266" s="40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f t="shared" si="9"/>
        <v>0</v>
      </c>
      <c r="N266" s="40">
        <f t="shared" si="10"/>
        <v>0</v>
      </c>
    </row>
    <row r="267" spans="1:14" x14ac:dyDescent="0.35">
      <c r="A267" s="33">
        <v>264</v>
      </c>
      <c r="B267" s="34" t="s">
        <v>575</v>
      </c>
      <c r="C267" s="33" t="s">
        <v>346</v>
      </c>
      <c r="D267" s="33" t="s">
        <v>523</v>
      </c>
      <c r="E267" s="33" t="s">
        <v>563</v>
      </c>
      <c r="F267" s="35">
        <v>5.0999999999999996</v>
      </c>
      <c r="G267" s="40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f t="shared" si="9"/>
        <v>0</v>
      </c>
      <c r="N267" s="40">
        <f t="shared" si="10"/>
        <v>0</v>
      </c>
    </row>
    <row r="268" spans="1:14" x14ac:dyDescent="0.35">
      <c r="A268" s="33">
        <v>265</v>
      </c>
      <c r="B268" s="34" t="s">
        <v>576</v>
      </c>
      <c r="C268" s="33" t="s">
        <v>346</v>
      </c>
      <c r="D268" s="33" t="s">
        <v>523</v>
      </c>
      <c r="E268" s="33" t="s">
        <v>563</v>
      </c>
      <c r="F268" s="35">
        <v>0.17499999999999999</v>
      </c>
      <c r="G268" s="40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f t="shared" si="9"/>
        <v>0</v>
      </c>
      <c r="N268" s="40">
        <f t="shared" si="10"/>
        <v>0</v>
      </c>
    </row>
    <row r="269" spans="1:14" x14ac:dyDescent="0.35">
      <c r="A269" s="33">
        <v>266</v>
      </c>
      <c r="B269" s="34" t="s">
        <v>577</v>
      </c>
      <c r="C269" s="33" t="s">
        <v>346</v>
      </c>
      <c r="D269" s="33" t="s">
        <v>523</v>
      </c>
      <c r="E269" s="33" t="s">
        <v>563</v>
      </c>
      <c r="F269" s="35">
        <v>1</v>
      </c>
      <c r="G269" s="40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f t="shared" si="9"/>
        <v>0</v>
      </c>
      <c r="N269" s="40">
        <f t="shared" si="10"/>
        <v>0</v>
      </c>
    </row>
    <row r="270" spans="1:14" x14ac:dyDescent="0.35">
      <c r="A270" s="33">
        <v>267</v>
      </c>
      <c r="B270" s="34" t="s">
        <v>578</v>
      </c>
      <c r="C270" s="33" t="s">
        <v>346</v>
      </c>
      <c r="D270" s="33" t="s">
        <v>523</v>
      </c>
      <c r="E270" s="33" t="s">
        <v>563</v>
      </c>
      <c r="F270" s="35">
        <v>0.03</v>
      </c>
      <c r="G270" s="40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f t="shared" si="9"/>
        <v>0</v>
      </c>
      <c r="N270" s="40">
        <f t="shared" si="10"/>
        <v>0</v>
      </c>
    </row>
    <row r="271" spans="1:14" x14ac:dyDescent="0.35">
      <c r="A271" s="33">
        <v>268</v>
      </c>
      <c r="B271" s="34" t="s">
        <v>579</v>
      </c>
      <c r="C271" s="33" t="s">
        <v>346</v>
      </c>
      <c r="D271" s="33" t="s">
        <v>523</v>
      </c>
      <c r="E271" s="33" t="s">
        <v>563</v>
      </c>
      <c r="F271" s="35">
        <v>0.03</v>
      </c>
      <c r="G271" s="40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f t="shared" si="9"/>
        <v>0</v>
      </c>
      <c r="N271" s="40">
        <f t="shared" si="10"/>
        <v>0</v>
      </c>
    </row>
    <row r="272" spans="1:14" x14ac:dyDescent="0.35">
      <c r="A272" s="33">
        <v>269</v>
      </c>
      <c r="B272" s="34" t="s">
        <v>580</v>
      </c>
      <c r="C272" s="33" t="s">
        <v>346</v>
      </c>
      <c r="D272" s="33" t="s">
        <v>523</v>
      </c>
      <c r="E272" s="33" t="s">
        <v>563</v>
      </c>
      <c r="F272" s="35">
        <v>0.03</v>
      </c>
      <c r="G272" s="40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f t="shared" si="9"/>
        <v>0</v>
      </c>
      <c r="N272" s="40">
        <f t="shared" si="10"/>
        <v>0</v>
      </c>
    </row>
    <row r="273" spans="1:14" x14ac:dyDescent="0.35">
      <c r="A273" s="33">
        <v>270</v>
      </c>
      <c r="B273" s="34" t="s">
        <v>581</v>
      </c>
      <c r="C273" s="33" t="s">
        <v>346</v>
      </c>
      <c r="D273" s="33" t="s">
        <v>523</v>
      </c>
      <c r="E273" s="33" t="s">
        <v>563</v>
      </c>
      <c r="F273" s="35">
        <v>0.03</v>
      </c>
      <c r="G273" s="40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f t="shared" si="9"/>
        <v>0</v>
      </c>
      <c r="N273" s="40">
        <f t="shared" si="10"/>
        <v>0</v>
      </c>
    </row>
    <row r="274" spans="1:14" x14ac:dyDescent="0.35">
      <c r="A274" s="33">
        <v>271</v>
      </c>
      <c r="B274" s="34" t="s">
        <v>582</v>
      </c>
      <c r="C274" s="33" t="s">
        <v>346</v>
      </c>
      <c r="D274" s="33" t="s">
        <v>523</v>
      </c>
      <c r="E274" s="33" t="s">
        <v>563</v>
      </c>
      <c r="F274" s="35">
        <v>1</v>
      </c>
      <c r="G274" s="40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f t="shared" si="9"/>
        <v>0</v>
      </c>
      <c r="N274" s="40">
        <f t="shared" si="10"/>
        <v>0</v>
      </c>
    </row>
    <row r="275" spans="1:14" x14ac:dyDescent="0.35">
      <c r="A275" s="33">
        <v>272</v>
      </c>
      <c r="B275" s="34" t="s">
        <v>583</v>
      </c>
      <c r="C275" s="33" t="s">
        <v>346</v>
      </c>
      <c r="D275" s="33" t="s">
        <v>523</v>
      </c>
      <c r="E275" s="33" t="s">
        <v>563</v>
      </c>
      <c r="F275" s="35">
        <v>1</v>
      </c>
      <c r="G275" s="40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f t="shared" si="9"/>
        <v>0</v>
      </c>
      <c r="N275" s="40">
        <f t="shared" si="10"/>
        <v>0</v>
      </c>
    </row>
    <row r="276" spans="1:14" x14ac:dyDescent="0.35">
      <c r="A276" s="33">
        <v>273</v>
      </c>
      <c r="B276" s="34" t="s">
        <v>584</v>
      </c>
      <c r="C276" s="33" t="s">
        <v>346</v>
      </c>
      <c r="D276" s="33" t="s">
        <v>523</v>
      </c>
      <c r="E276" s="33" t="s">
        <v>563</v>
      </c>
      <c r="F276" s="35">
        <v>1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f t="shared" si="9"/>
        <v>0</v>
      </c>
      <c r="N276" s="40">
        <f t="shared" si="10"/>
        <v>0</v>
      </c>
    </row>
    <row r="277" spans="1:14" x14ac:dyDescent="0.35">
      <c r="A277" s="33">
        <v>274</v>
      </c>
      <c r="B277" s="34" t="s">
        <v>2309</v>
      </c>
      <c r="C277" s="33" t="s">
        <v>346</v>
      </c>
      <c r="D277" s="33" t="s">
        <v>523</v>
      </c>
      <c r="E277" s="33" t="s">
        <v>563</v>
      </c>
      <c r="F277" s="35">
        <v>0.03</v>
      </c>
      <c r="G277" s="40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f t="shared" si="9"/>
        <v>0</v>
      </c>
      <c r="N277" s="40">
        <f t="shared" si="10"/>
        <v>0</v>
      </c>
    </row>
    <row r="278" spans="1:14" x14ac:dyDescent="0.35">
      <c r="A278" s="33">
        <v>275</v>
      </c>
      <c r="B278" s="34" t="s">
        <v>585</v>
      </c>
      <c r="C278" s="33" t="s">
        <v>346</v>
      </c>
      <c r="D278" s="33" t="s">
        <v>523</v>
      </c>
      <c r="E278" s="33" t="s">
        <v>563</v>
      </c>
      <c r="F278" s="35">
        <v>0.21</v>
      </c>
      <c r="G278" s="40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f t="shared" si="9"/>
        <v>0</v>
      </c>
      <c r="N278" s="40">
        <f t="shared" si="10"/>
        <v>0</v>
      </c>
    </row>
    <row r="279" spans="1:14" x14ac:dyDescent="0.35">
      <c r="A279" s="33">
        <v>276</v>
      </c>
      <c r="B279" s="34" t="s">
        <v>586</v>
      </c>
      <c r="C279" s="33" t="s">
        <v>346</v>
      </c>
      <c r="D279" s="33" t="s">
        <v>523</v>
      </c>
      <c r="E279" s="33" t="s">
        <v>563</v>
      </c>
      <c r="F279" s="35">
        <v>0.05</v>
      </c>
      <c r="G279" s="40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f t="shared" si="9"/>
        <v>0</v>
      </c>
      <c r="N279" s="40">
        <f t="shared" si="10"/>
        <v>0</v>
      </c>
    </row>
    <row r="280" spans="1:14" x14ac:dyDescent="0.35">
      <c r="A280" s="33">
        <v>277</v>
      </c>
      <c r="B280" s="34" t="s">
        <v>587</v>
      </c>
      <c r="C280" s="33" t="s">
        <v>346</v>
      </c>
      <c r="D280" s="33" t="s">
        <v>523</v>
      </c>
      <c r="E280" s="33" t="s">
        <v>563</v>
      </c>
      <c r="F280" s="35">
        <v>3.5000000000000003E-2</v>
      </c>
      <c r="G280" s="40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f t="shared" si="9"/>
        <v>0</v>
      </c>
      <c r="N280" s="40">
        <f t="shared" si="10"/>
        <v>0</v>
      </c>
    </row>
    <row r="281" spans="1:14" x14ac:dyDescent="0.35">
      <c r="A281" s="33">
        <v>278</v>
      </c>
      <c r="B281" s="34" t="s">
        <v>588</v>
      </c>
      <c r="C281" s="33" t="s">
        <v>346</v>
      </c>
      <c r="D281" s="33" t="s">
        <v>523</v>
      </c>
      <c r="E281" s="33" t="s">
        <v>563</v>
      </c>
      <c r="F281" s="35">
        <v>0.21</v>
      </c>
      <c r="G281" s="40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f t="shared" si="9"/>
        <v>0</v>
      </c>
      <c r="N281" s="40">
        <f t="shared" si="10"/>
        <v>0</v>
      </c>
    </row>
    <row r="282" spans="1:14" x14ac:dyDescent="0.35">
      <c r="A282" s="33">
        <v>279</v>
      </c>
      <c r="B282" s="34" t="s">
        <v>589</v>
      </c>
      <c r="C282" s="33" t="s">
        <v>346</v>
      </c>
      <c r="D282" s="33" t="s">
        <v>523</v>
      </c>
      <c r="E282" s="33" t="s">
        <v>563</v>
      </c>
      <c r="F282" s="35">
        <v>3.5000000000000003E-2</v>
      </c>
      <c r="G282" s="40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f t="shared" si="9"/>
        <v>0</v>
      </c>
      <c r="N282" s="40">
        <f t="shared" si="10"/>
        <v>0</v>
      </c>
    </row>
    <row r="283" spans="1:14" x14ac:dyDescent="0.35">
      <c r="A283" s="33">
        <v>280</v>
      </c>
      <c r="B283" s="34" t="s">
        <v>590</v>
      </c>
      <c r="C283" s="33" t="s">
        <v>346</v>
      </c>
      <c r="D283" s="33" t="s">
        <v>523</v>
      </c>
      <c r="E283" s="33" t="s">
        <v>563</v>
      </c>
      <c r="F283" s="35">
        <v>0.21</v>
      </c>
      <c r="G283" s="40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f t="shared" si="9"/>
        <v>0</v>
      </c>
      <c r="N283" s="40">
        <f t="shared" si="10"/>
        <v>0</v>
      </c>
    </row>
    <row r="284" spans="1:14" x14ac:dyDescent="0.35">
      <c r="A284" s="33">
        <v>281</v>
      </c>
      <c r="B284" s="34" t="s">
        <v>591</v>
      </c>
      <c r="C284" s="33" t="s">
        <v>346</v>
      </c>
      <c r="D284" s="33" t="s">
        <v>523</v>
      </c>
      <c r="E284" s="33" t="s">
        <v>563</v>
      </c>
      <c r="F284" s="35">
        <v>0.01</v>
      </c>
      <c r="G284" s="40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f t="shared" si="9"/>
        <v>0</v>
      </c>
      <c r="N284" s="40">
        <f t="shared" si="10"/>
        <v>0</v>
      </c>
    </row>
    <row r="285" spans="1:14" x14ac:dyDescent="0.35">
      <c r="A285" s="33">
        <v>282</v>
      </c>
      <c r="B285" s="34" t="s">
        <v>592</v>
      </c>
      <c r="C285" s="33" t="s">
        <v>346</v>
      </c>
      <c r="D285" s="33" t="s">
        <v>523</v>
      </c>
      <c r="E285" s="33" t="s">
        <v>563</v>
      </c>
      <c r="F285" s="35">
        <v>4.4999999999999998E-2</v>
      </c>
      <c r="G285" s="40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f t="shared" si="9"/>
        <v>0</v>
      </c>
      <c r="N285" s="40">
        <f t="shared" si="10"/>
        <v>0</v>
      </c>
    </row>
    <row r="286" spans="1:14" x14ac:dyDescent="0.35">
      <c r="A286" s="33">
        <v>283</v>
      </c>
      <c r="B286" s="34" t="s">
        <v>593</v>
      </c>
      <c r="C286" s="33" t="s">
        <v>346</v>
      </c>
      <c r="D286" s="33" t="s">
        <v>523</v>
      </c>
      <c r="E286" s="33" t="s">
        <v>563</v>
      </c>
      <c r="F286" s="35">
        <v>0.01</v>
      </c>
      <c r="G286" s="40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f t="shared" si="9"/>
        <v>0</v>
      </c>
      <c r="N286" s="40">
        <f t="shared" si="10"/>
        <v>0</v>
      </c>
    </row>
    <row r="287" spans="1:14" x14ac:dyDescent="0.35">
      <c r="A287" s="33">
        <v>284</v>
      </c>
      <c r="B287" s="34" t="s">
        <v>594</v>
      </c>
      <c r="C287" s="33" t="s">
        <v>346</v>
      </c>
      <c r="D287" s="33" t="s">
        <v>523</v>
      </c>
      <c r="E287" s="33" t="s">
        <v>563</v>
      </c>
      <c r="F287" s="35">
        <v>4.4999999999999998E-2</v>
      </c>
      <c r="G287" s="40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>
        <f t="shared" si="9"/>
        <v>0</v>
      </c>
      <c r="N287" s="40">
        <f t="shared" si="10"/>
        <v>0</v>
      </c>
    </row>
    <row r="288" spans="1:14" x14ac:dyDescent="0.35">
      <c r="A288" s="33">
        <v>285</v>
      </c>
      <c r="B288" s="34" t="s">
        <v>595</v>
      </c>
      <c r="C288" s="33" t="s">
        <v>346</v>
      </c>
      <c r="D288" s="33" t="s">
        <v>523</v>
      </c>
      <c r="E288" s="33" t="s">
        <v>563</v>
      </c>
      <c r="F288" s="35">
        <v>4.4999999999999998E-2</v>
      </c>
      <c r="G288" s="40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f t="shared" si="9"/>
        <v>0</v>
      </c>
      <c r="N288" s="40">
        <f t="shared" si="10"/>
        <v>0</v>
      </c>
    </row>
    <row r="289" spans="1:14" x14ac:dyDescent="0.35">
      <c r="A289" s="33">
        <v>286</v>
      </c>
      <c r="B289" s="34" t="s">
        <v>596</v>
      </c>
      <c r="C289" s="33" t="s">
        <v>346</v>
      </c>
      <c r="D289" s="33" t="s">
        <v>523</v>
      </c>
      <c r="E289" s="33" t="s">
        <v>563</v>
      </c>
      <c r="F289" s="35">
        <v>0.01</v>
      </c>
      <c r="G289" s="40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f t="shared" si="9"/>
        <v>0</v>
      </c>
      <c r="N289" s="40">
        <f t="shared" si="10"/>
        <v>0</v>
      </c>
    </row>
    <row r="290" spans="1:14" x14ac:dyDescent="0.35">
      <c r="A290" s="33">
        <v>287</v>
      </c>
      <c r="B290" s="34" t="s">
        <v>597</v>
      </c>
      <c r="C290" s="33" t="s">
        <v>346</v>
      </c>
      <c r="D290" s="33" t="s">
        <v>523</v>
      </c>
      <c r="E290" s="33" t="s">
        <v>563</v>
      </c>
      <c r="F290" s="35">
        <v>4.4999999999999998E-2</v>
      </c>
      <c r="G290" s="40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>
        <f t="shared" si="9"/>
        <v>0</v>
      </c>
      <c r="N290" s="40">
        <f t="shared" si="10"/>
        <v>0</v>
      </c>
    </row>
    <row r="291" spans="1:14" x14ac:dyDescent="0.35">
      <c r="A291" s="33">
        <v>288</v>
      </c>
      <c r="B291" s="34" t="s">
        <v>598</v>
      </c>
      <c r="C291" s="33" t="s">
        <v>346</v>
      </c>
      <c r="D291" s="33" t="s">
        <v>523</v>
      </c>
      <c r="E291" s="33" t="s">
        <v>563</v>
      </c>
      <c r="F291" s="35">
        <v>0.01</v>
      </c>
      <c r="G291" s="40">
        <v>0</v>
      </c>
      <c r="H291" s="40">
        <v>0</v>
      </c>
      <c r="I291" s="40">
        <v>0</v>
      </c>
      <c r="J291" s="40">
        <v>0</v>
      </c>
      <c r="K291" s="40">
        <v>0</v>
      </c>
      <c r="L291" s="40">
        <v>0</v>
      </c>
      <c r="M291" s="40">
        <f t="shared" si="9"/>
        <v>0</v>
      </c>
      <c r="N291" s="40">
        <f t="shared" si="10"/>
        <v>0</v>
      </c>
    </row>
    <row r="292" spans="1:14" x14ac:dyDescent="0.35">
      <c r="A292" s="33">
        <v>289</v>
      </c>
      <c r="B292" s="34" t="s">
        <v>599</v>
      </c>
      <c r="C292" s="33" t="s">
        <v>346</v>
      </c>
      <c r="D292" s="33" t="s">
        <v>523</v>
      </c>
      <c r="E292" s="33" t="s">
        <v>563</v>
      </c>
      <c r="F292" s="35">
        <v>4.4999999999999998E-2</v>
      </c>
      <c r="G292" s="40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f t="shared" si="9"/>
        <v>0</v>
      </c>
      <c r="N292" s="40">
        <f t="shared" si="10"/>
        <v>0</v>
      </c>
    </row>
    <row r="293" spans="1:14" x14ac:dyDescent="0.35">
      <c r="A293" s="33">
        <v>290</v>
      </c>
      <c r="B293" s="34" t="s">
        <v>600</v>
      </c>
      <c r="C293" s="33" t="s">
        <v>346</v>
      </c>
      <c r="D293" s="33" t="s">
        <v>523</v>
      </c>
      <c r="E293" s="33" t="s">
        <v>563</v>
      </c>
      <c r="F293" s="35">
        <v>0.36</v>
      </c>
      <c r="G293" s="40">
        <v>0</v>
      </c>
      <c r="H293" s="40">
        <v>0</v>
      </c>
      <c r="I293" s="40">
        <v>0</v>
      </c>
      <c r="J293" s="40">
        <v>0</v>
      </c>
      <c r="K293" s="40">
        <v>0</v>
      </c>
      <c r="L293" s="40">
        <v>0</v>
      </c>
      <c r="M293" s="40">
        <f t="shared" si="9"/>
        <v>0</v>
      </c>
      <c r="N293" s="40">
        <f t="shared" si="10"/>
        <v>0</v>
      </c>
    </row>
    <row r="294" spans="1:14" x14ac:dyDescent="0.35">
      <c r="A294" s="33">
        <v>291</v>
      </c>
      <c r="B294" s="34" t="s">
        <v>601</v>
      </c>
      <c r="C294" s="33" t="s">
        <v>346</v>
      </c>
      <c r="D294" s="33" t="s">
        <v>523</v>
      </c>
      <c r="E294" s="33" t="s">
        <v>563</v>
      </c>
      <c r="F294" s="35">
        <v>0.18</v>
      </c>
      <c r="G294" s="40">
        <v>0</v>
      </c>
      <c r="H294" s="40">
        <v>0</v>
      </c>
      <c r="I294" s="40">
        <v>0</v>
      </c>
      <c r="J294" s="40">
        <v>0</v>
      </c>
      <c r="K294" s="40">
        <v>0</v>
      </c>
      <c r="L294" s="40">
        <v>0</v>
      </c>
      <c r="M294" s="40">
        <f t="shared" si="9"/>
        <v>0</v>
      </c>
      <c r="N294" s="40">
        <f t="shared" si="10"/>
        <v>0</v>
      </c>
    </row>
    <row r="295" spans="1:14" x14ac:dyDescent="0.35">
      <c r="A295" s="33">
        <v>292</v>
      </c>
      <c r="B295" s="34" t="s">
        <v>602</v>
      </c>
      <c r="C295" s="33" t="s">
        <v>346</v>
      </c>
      <c r="D295" s="33" t="s">
        <v>523</v>
      </c>
      <c r="E295" s="33" t="s">
        <v>563</v>
      </c>
      <c r="F295" s="35">
        <v>0.18</v>
      </c>
      <c r="G295" s="40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>
        <f t="shared" si="9"/>
        <v>0</v>
      </c>
      <c r="N295" s="40">
        <f t="shared" si="10"/>
        <v>0</v>
      </c>
    </row>
    <row r="296" spans="1:14" x14ac:dyDescent="0.35">
      <c r="A296" s="33">
        <v>293</v>
      </c>
      <c r="B296" s="34" t="s">
        <v>603</v>
      </c>
      <c r="C296" s="33" t="s">
        <v>346</v>
      </c>
      <c r="D296" s="33" t="s">
        <v>523</v>
      </c>
      <c r="E296" s="33" t="s">
        <v>563</v>
      </c>
      <c r="F296" s="35">
        <v>0.03</v>
      </c>
      <c r="G296" s="40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f t="shared" si="9"/>
        <v>0</v>
      </c>
      <c r="N296" s="40">
        <f t="shared" si="10"/>
        <v>0</v>
      </c>
    </row>
    <row r="297" spans="1:14" x14ac:dyDescent="0.35">
      <c r="A297" s="33">
        <v>294</v>
      </c>
      <c r="B297" s="34" t="s">
        <v>604</v>
      </c>
      <c r="C297" s="33" t="s">
        <v>346</v>
      </c>
      <c r="D297" s="33" t="s">
        <v>523</v>
      </c>
      <c r="E297" s="33" t="s">
        <v>563</v>
      </c>
      <c r="F297" s="35">
        <v>0.18</v>
      </c>
      <c r="G297" s="40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0</v>
      </c>
      <c r="M297" s="40">
        <f t="shared" si="9"/>
        <v>0</v>
      </c>
      <c r="N297" s="40">
        <f t="shared" si="10"/>
        <v>0</v>
      </c>
    </row>
    <row r="298" spans="1:14" x14ac:dyDescent="0.35">
      <c r="A298" s="33">
        <v>295</v>
      </c>
      <c r="B298" s="34" t="s">
        <v>605</v>
      </c>
      <c r="C298" s="33" t="s">
        <v>346</v>
      </c>
      <c r="D298" s="33" t="s">
        <v>523</v>
      </c>
      <c r="E298" s="33" t="s">
        <v>563</v>
      </c>
      <c r="F298" s="35">
        <v>0.03</v>
      </c>
      <c r="G298" s="40">
        <v>0</v>
      </c>
      <c r="H298" s="40">
        <v>0</v>
      </c>
      <c r="I298" s="40">
        <v>0</v>
      </c>
      <c r="J298" s="40">
        <v>0</v>
      </c>
      <c r="K298" s="40">
        <v>0</v>
      </c>
      <c r="L298" s="40">
        <v>0</v>
      </c>
      <c r="M298" s="40">
        <f t="shared" si="9"/>
        <v>0</v>
      </c>
      <c r="N298" s="40">
        <f t="shared" si="10"/>
        <v>0</v>
      </c>
    </row>
    <row r="299" spans="1:14" x14ac:dyDescent="0.35">
      <c r="A299" s="33">
        <v>296</v>
      </c>
      <c r="B299" s="34" t="s">
        <v>606</v>
      </c>
      <c r="C299" s="33" t="s">
        <v>346</v>
      </c>
      <c r="D299" s="33" t="s">
        <v>523</v>
      </c>
      <c r="E299" s="33" t="s">
        <v>563</v>
      </c>
      <c r="F299" s="35">
        <v>0.03</v>
      </c>
      <c r="G299" s="40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>
        <f t="shared" si="9"/>
        <v>0</v>
      </c>
      <c r="N299" s="40">
        <f t="shared" si="10"/>
        <v>0</v>
      </c>
    </row>
    <row r="300" spans="1:14" x14ac:dyDescent="0.35">
      <c r="A300" s="33">
        <v>297</v>
      </c>
      <c r="B300" s="34" t="s">
        <v>607</v>
      </c>
      <c r="C300" s="33" t="s">
        <v>346</v>
      </c>
      <c r="D300" s="33" t="s">
        <v>523</v>
      </c>
      <c r="E300" s="33" t="s">
        <v>563</v>
      </c>
      <c r="F300" s="35">
        <v>0.03</v>
      </c>
      <c r="G300" s="40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40">
        <f t="shared" si="9"/>
        <v>0</v>
      </c>
      <c r="N300" s="40">
        <f t="shared" si="10"/>
        <v>0</v>
      </c>
    </row>
    <row r="301" spans="1:14" x14ac:dyDescent="0.35">
      <c r="A301" s="33">
        <v>298</v>
      </c>
      <c r="B301" s="34" t="s">
        <v>608</v>
      </c>
      <c r="C301" s="33" t="s">
        <v>346</v>
      </c>
      <c r="D301" s="33" t="s">
        <v>523</v>
      </c>
      <c r="E301" s="33" t="s">
        <v>563</v>
      </c>
      <c r="F301" s="35">
        <v>0.18</v>
      </c>
      <c r="G301" s="40">
        <v>0</v>
      </c>
      <c r="H301" s="40">
        <v>0</v>
      </c>
      <c r="I301" s="40">
        <v>0</v>
      </c>
      <c r="J301" s="40">
        <v>0</v>
      </c>
      <c r="K301" s="40">
        <v>0</v>
      </c>
      <c r="L301" s="40">
        <v>0</v>
      </c>
      <c r="M301" s="40">
        <f t="shared" si="9"/>
        <v>0</v>
      </c>
      <c r="N301" s="40">
        <f t="shared" si="10"/>
        <v>0</v>
      </c>
    </row>
    <row r="302" spans="1:14" x14ac:dyDescent="0.35">
      <c r="A302" s="33">
        <v>299</v>
      </c>
      <c r="B302" s="34" t="s">
        <v>609</v>
      </c>
      <c r="C302" s="33" t="s">
        <v>346</v>
      </c>
      <c r="D302" s="33" t="s">
        <v>523</v>
      </c>
      <c r="E302" s="33" t="s">
        <v>563</v>
      </c>
      <c r="F302" s="35">
        <v>0.05</v>
      </c>
      <c r="G302" s="40">
        <v>0</v>
      </c>
      <c r="H302" s="40">
        <v>0</v>
      </c>
      <c r="I302" s="40">
        <v>0</v>
      </c>
      <c r="J302" s="40">
        <v>0</v>
      </c>
      <c r="K302" s="40">
        <v>0</v>
      </c>
      <c r="L302" s="40">
        <v>0</v>
      </c>
      <c r="M302" s="40">
        <f t="shared" si="9"/>
        <v>0</v>
      </c>
      <c r="N302" s="40">
        <f t="shared" si="10"/>
        <v>0</v>
      </c>
    </row>
    <row r="303" spans="1:14" x14ac:dyDescent="0.35">
      <c r="A303" s="33">
        <v>300</v>
      </c>
      <c r="B303" s="34" t="s">
        <v>610</v>
      </c>
      <c r="C303" s="33" t="s">
        <v>346</v>
      </c>
      <c r="D303" s="33" t="s">
        <v>523</v>
      </c>
      <c r="E303" s="33" t="s">
        <v>563</v>
      </c>
      <c r="F303" s="35">
        <v>0.05</v>
      </c>
      <c r="G303" s="40">
        <v>0</v>
      </c>
      <c r="H303" s="40">
        <v>0</v>
      </c>
      <c r="I303" s="40">
        <v>0</v>
      </c>
      <c r="J303" s="40">
        <v>0</v>
      </c>
      <c r="K303" s="40">
        <v>0</v>
      </c>
      <c r="L303" s="40">
        <v>0</v>
      </c>
      <c r="M303" s="40">
        <f t="shared" si="9"/>
        <v>0</v>
      </c>
      <c r="N303" s="40">
        <f t="shared" si="10"/>
        <v>0</v>
      </c>
    </row>
    <row r="304" spans="1:14" x14ac:dyDescent="0.35">
      <c r="A304" s="33">
        <v>301</v>
      </c>
      <c r="B304" s="34" t="s">
        <v>611</v>
      </c>
      <c r="C304" s="33" t="s">
        <v>346</v>
      </c>
      <c r="D304" s="33" t="s">
        <v>523</v>
      </c>
      <c r="E304" s="33" t="s">
        <v>563</v>
      </c>
      <c r="F304" s="35">
        <v>0.05</v>
      </c>
      <c r="G304" s="40">
        <v>0</v>
      </c>
      <c r="H304" s="40">
        <v>0</v>
      </c>
      <c r="I304" s="40">
        <v>0</v>
      </c>
      <c r="J304" s="40">
        <v>0</v>
      </c>
      <c r="K304" s="40">
        <v>0</v>
      </c>
      <c r="L304" s="40">
        <v>0</v>
      </c>
      <c r="M304" s="40">
        <f t="shared" si="9"/>
        <v>0</v>
      </c>
      <c r="N304" s="40">
        <f t="shared" si="10"/>
        <v>0</v>
      </c>
    </row>
    <row r="305" spans="1:14" x14ac:dyDescent="0.35">
      <c r="A305" s="33">
        <v>302</v>
      </c>
      <c r="B305" s="34" t="s">
        <v>612</v>
      </c>
      <c r="C305" s="33" t="s">
        <v>346</v>
      </c>
      <c r="D305" s="33" t="s">
        <v>523</v>
      </c>
      <c r="E305" s="33" t="s">
        <v>563</v>
      </c>
      <c r="F305" s="35">
        <v>0.05</v>
      </c>
      <c r="G305" s="40">
        <v>0</v>
      </c>
      <c r="H305" s="40">
        <v>0</v>
      </c>
      <c r="I305" s="40">
        <v>0</v>
      </c>
      <c r="J305" s="40">
        <v>0</v>
      </c>
      <c r="K305" s="40">
        <v>0</v>
      </c>
      <c r="L305" s="40">
        <v>0</v>
      </c>
      <c r="M305" s="40">
        <f t="shared" si="9"/>
        <v>0</v>
      </c>
      <c r="N305" s="40">
        <f t="shared" si="10"/>
        <v>0</v>
      </c>
    </row>
    <row r="306" spans="1:14" x14ac:dyDescent="0.35">
      <c r="A306" s="33">
        <v>303</v>
      </c>
      <c r="B306" s="34" t="s">
        <v>613</v>
      </c>
      <c r="C306" s="33" t="s">
        <v>346</v>
      </c>
      <c r="D306" s="33" t="s">
        <v>523</v>
      </c>
      <c r="E306" s="33" t="s">
        <v>563</v>
      </c>
      <c r="F306" s="35">
        <v>0.05</v>
      </c>
      <c r="G306" s="40">
        <v>0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40">
        <f t="shared" si="9"/>
        <v>0</v>
      </c>
      <c r="N306" s="40">
        <f t="shared" si="10"/>
        <v>0</v>
      </c>
    </row>
    <row r="307" spans="1:14" x14ac:dyDescent="0.35">
      <c r="A307" s="33">
        <v>304</v>
      </c>
      <c r="B307" s="34" t="s">
        <v>614</v>
      </c>
      <c r="C307" s="33" t="s">
        <v>346</v>
      </c>
      <c r="D307" s="33" t="s">
        <v>523</v>
      </c>
      <c r="E307" s="33" t="s">
        <v>563</v>
      </c>
      <c r="F307" s="35">
        <v>0.05</v>
      </c>
      <c r="G307" s="40">
        <v>0</v>
      </c>
      <c r="H307" s="40">
        <v>0</v>
      </c>
      <c r="I307" s="40">
        <v>0</v>
      </c>
      <c r="J307" s="40">
        <v>0</v>
      </c>
      <c r="K307" s="40">
        <v>0</v>
      </c>
      <c r="L307" s="40">
        <v>0</v>
      </c>
      <c r="M307" s="40">
        <f t="shared" si="9"/>
        <v>0</v>
      </c>
      <c r="N307" s="40">
        <f t="shared" si="10"/>
        <v>0</v>
      </c>
    </row>
    <row r="308" spans="1:14" x14ac:dyDescent="0.35">
      <c r="A308" s="33">
        <v>305</v>
      </c>
      <c r="B308" s="34" t="s">
        <v>615</v>
      </c>
      <c r="C308" s="33" t="s">
        <v>346</v>
      </c>
      <c r="D308" s="33" t="s">
        <v>523</v>
      </c>
      <c r="E308" s="33" t="s">
        <v>563</v>
      </c>
      <c r="F308" s="35">
        <v>4.4999999999999998E-2</v>
      </c>
      <c r="G308" s="40">
        <v>0</v>
      </c>
      <c r="H308" s="40">
        <v>0</v>
      </c>
      <c r="I308" s="40">
        <v>0</v>
      </c>
      <c r="J308" s="40">
        <v>0</v>
      </c>
      <c r="K308" s="40">
        <v>0</v>
      </c>
      <c r="L308" s="40">
        <v>0</v>
      </c>
      <c r="M308" s="40">
        <f t="shared" si="9"/>
        <v>0</v>
      </c>
      <c r="N308" s="40">
        <f t="shared" si="10"/>
        <v>0</v>
      </c>
    </row>
    <row r="309" spans="1:14" x14ac:dyDescent="0.35">
      <c r="A309" s="33">
        <v>306</v>
      </c>
      <c r="B309" s="34" t="s">
        <v>616</v>
      </c>
      <c r="C309" s="33" t="s">
        <v>346</v>
      </c>
      <c r="D309" s="33" t="s">
        <v>523</v>
      </c>
      <c r="E309" s="33" t="s">
        <v>563</v>
      </c>
      <c r="F309" s="35">
        <v>4.4999999999999998E-2</v>
      </c>
      <c r="G309" s="40">
        <v>0</v>
      </c>
      <c r="H309" s="40">
        <v>0</v>
      </c>
      <c r="I309" s="40">
        <v>0</v>
      </c>
      <c r="J309" s="40">
        <v>0</v>
      </c>
      <c r="K309" s="40">
        <v>0</v>
      </c>
      <c r="L309" s="40">
        <v>0</v>
      </c>
      <c r="M309" s="40">
        <f t="shared" si="9"/>
        <v>0</v>
      </c>
      <c r="N309" s="40">
        <f t="shared" si="10"/>
        <v>0</v>
      </c>
    </row>
    <row r="310" spans="1:14" x14ac:dyDescent="0.35">
      <c r="A310" s="33">
        <v>307</v>
      </c>
      <c r="B310" s="34" t="s">
        <v>617</v>
      </c>
      <c r="C310" s="33" t="s">
        <v>346</v>
      </c>
      <c r="D310" s="33" t="s">
        <v>523</v>
      </c>
      <c r="E310" s="33" t="s">
        <v>563</v>
      </c>
      <c r="F310" s="35">
        <v>4.4999999999999998E-2</v>
      </c>
      <c r="G310" s="40">
        <v>0</v>
      </c>
      <c r="H310" s="40">
        <v>0</v>
      </c>
      <c r="I310" s="40">
        <v>0</v>
      </c>
      <c r="J310" s="40">
        <v>0</v>
      </c>
      <c r="K310" s="40">
        <v>0</v>
      </c>
      <c r="L310" s="40">
        <v>0</v>
      </c>
      <c r="M310" s="40">
        <f t="shared" si="9"/>
        <v>0</v>
      </c>
      <c r="N310" s="40">
        <f t="shared" si="10"/>
        <v>0</v>
      </c>
    </row>
    <row r="311" spans="1:14" x14ac:dyDescent="0.35">
      <c r="A311" s="33">
        <v>308</v>
      </c>
      <c r="B311" s="34" t="s">
        <v>618</v>
      </c>
      <c r="C311" s="33" t="s">
        <v>346</v>
      </c>
      <c r="D311" s="33" t="s">
        <v>523</v>
      </c>
      <c r="E311" s="33" t="s">
        <v>563</v>
      </c>
      <c r="F311" s="35">
        <v>4.4999999999999998E-2</v>
      </c>
      <c r="G311" s="40">
        <v>0</v>
      </c>
      <c r="H311" s="40">
        <v>0</v>
      </c>
      <c r="I311" s="40">
        <v>0</v>
      </c>
      <c r="J311" s="40">
        <v>0</v>
      </c>
      <c r="K311" s="40">
        <v>0</v>
      </c>
      <c r="L311" s="40">
        <v>0</v>
      </c>
      <c r="M311" s="40">
        <f t="shared" si="9"/>
        <v>0</v>
      </c>
      <c r="N311" s="40">
        <f t="shared" si="10"/>
        <v>0</v>
      </c>
    </row>
    <row r="312" spans="1:14" x14ac:dyDescent="0.35">
      <c r="A312" s="33">
        <v>309</v>
      </c>
      <c r="B312" s="34" t="s">
        <v>619</v>
      </c>
      <c r="C312" s="33" t="s">
        <v>346</v>
      </c>
      <c r="D312" s="33" t="s">
        <v>523</v>
      </c>
      <c r="E312" s="33" t="s">
        <v>563</v>
      </c>
      <c r="F312" s="35">
        <v>1</v>
      </c>
      <c r="G312" s="40">
        <v>0</v>
      </c>
      <c r="H312" s="40">
        <v>0</v>
      </c>
      <c r="I312" s="40">
        <v>0</v>
      </c>
      <c r="J312" s="40">
        <v>0</v>
      </c>
      <c r="K312" s="40">
        <v>0</v>
      </c>
      <c r="L312" s="40">
        <v>0</v>
      </c>
      <c r="M312" s="40">
        <f t="shared" si="9"/>
        <v>0</v>
      </c>
      <c r="N312" s="40">
        <f t="shared" si="10"/>
        <v>0</v>
      </c>
    </row>
    <row r="313" spans="1:14" x14ac:dyDescent="0.35">
      <c r="A313" s="33">
        <v>310</v>
      </c>
      <c r="B313" s="34" t="s">
        <v>620</v>
      </c>
      <c r="C313" s="33" t="s">
        <v>346</v>
      </c>
      <c r="D313" s="33" t="s">
        <v>523</v>
      </c>
      <c r="E313" s="33" t="s">
        <v>563</v>
      </c>
      <c r="F313" s="35">
        <v>3.5000000000000003E-2</v>
      </c>
      <c r="G313" s="40">
        <v>0</v>
      </c>
      <c r="H313" s="40">
        <v>0</v>
      </c>
      <c r="I313" s="40">
        <v>0</v>
      </c>
      <c r="J313" s="40">
        <v>0</v>
      </c>
      <c r="K313" s="40">
        <v>0</v>
      </c>
      <c r="L313" s="40">
        <v>0</v>
      </c>
      <c r="M313" s="40">
        <f t="shared" si="9"/>
        <v>0</v>
      </c>
      <c r="N313" s="40">
        <f t="shared" si="10"/>
        <v>0</v>
      </c>
    </row>
    <row r="314" spans="1:14" x14ac:dyDescent="0.35">
      <c r="A314" s="33">
        <v>311</v>
      </c>
      <c r="B314" s="34" t="s">
        <v>621</v>
      </c>
      <c r="C314" s="33" t="s">
        <v>346</v>
      </c>
      <c r="D314" s="33" t="s">
        <v>523</v>
      </c>
      <c r="E314" s="33" t="s">
        <v>563</v>
      </c>
      <c r="F314" s="35">
        <v>0.21</v>
      </c>
      <c r="G314" s="40">
        <v>0</v>
      </c>
      <c r="H314" s="40">
        <v>0</v>
      </c>
      <c r="I314" s="40">
        <v>0</v>
      </c>
      <c r="J314" s="40">
        <v>0</v>
      </c>
      <c r="K314" s="40">
        <v>0</v>
      </c>
      <c r="L314" s="40">
        <v>0</v>
      </c>
      <c r="M314" s="40">
        <f t="shared" si="9"/>
        <v>0</v>
      </c>
      <c r="N314" s="40">
        <f t="shared" si="10"/>
        <v>0</v>
      </c>
    </row>
    <row r="315" spans="1:14" x14ac:dyDescent="0.35">
      <c r="A315" s="33">
        <v>312</v>
      </c>
      <c r="B315" s="34" t="s">
        <v>622</v>
      </c>
      <c r="C315" s="33" t="s">
        <v>346</v>
      </c>
      <c r="D315" s="33" t="s">
        <v>523</v>
      </c>
      <c r="E315" s="33" t="s">
        <v>623</v>
      </c>
      <c r="F315" s="35">
        <v>0.05</v>
      </c>
      <c r="G315" s="40">
        <v>0</v>
      </c>
      <c r="H315" s="40">
        <v>0</v>
      </c>
      <c r="I315" s="40">
        <v>0</v>
      </c>
      <c r="J315" s="40">
        <v>0</v>
      </c>
      <c r="K315" s="40">
        <v>0</v>
      </c>
      <c r="L315" s="40">
        <v>0</v>
      </c>
      <c r="M315" s="40">
        <f t="shared" si="9"/>
        <v>0</v>
      </c>
      <c r="N315" s="40">
        <f t="shared" si="10"/>
        <v>0</v>
      </c>
    </row>
    <row r="316" spans="1:14" x14ac:dyDescent="0.35">
      <c r="A316" s="33">
        <v>313</v>
      </c>
      <c r="B316" s="34" t="s">
        <v>624</v>
      </c>
      <c r="C316" s="33" t="s">
        <v>297</v>
      </c>
      <c r="D316" s="33" t="s">
        <v>625</v>
      </c>
      <c r="E316" s="33" t="s">
        <v>624</v>
      </c>
      <c r="F316" s="35">
        <v>1</v>
      </c>
      <c r="G316" s="40">
        <v>0</v>
      </c>
      <c r="H316" s="40">
        <v>0</v>
      </c>
      <c r="I316" s="40">
        <v>0</v>
      </c>
      <c r="J316" s="40">
        <v>0</v>
      </c>
      <c r="K316" s="40">
        <v>0</v>
      </c>
      <c r="L316" s="40">
        <v>0</v>
      </c>
      <c r="M316" s="40">
        <f t="shared" si="9"/>
        <v>0</v>
      </c>
      <c r="N316" s="40">
        <f t="shared" si="10"/>
        <v>0</v>
      </c>
    </row>
    <row r="317" spans="1:14" x14ac:dyDescent="0.35">
      <c r="A317" s="33">
        <v>314</v>
      </c>
      <c r="B317" s="34" t="s">
        <v>626</v>
      </c>
      <c r="C317" s="33" t="s">
        <v>346</v>
      </c>
      <c r="D317" s="33" t="s">
        <v>625</v>
      </c>
      <c r="E317" s="33" t="s">
        <v>624</v>
      </c>
      <c r="F317" s="35">
        <v>1</v>
      </c>
      <c r="G317" s="40">
        <v>0</v>
      </c>
      <c r="H317" s="40">
        <v>0</v>
      </c>
      <c r="I317" s="40">
        <v>0</v>
      </c>
      <c r="J317" s="40">
        <v>0</v>
      </c>
      <c r="K317" s="40">
        <v>0</v>
      </c>
      <c r="L317" s="40">
        <v>0</v>
      </c>
      <c r="M317" s="40">
        <f t="shared" si="9"/>
        <v>0</v>
      </c>
      <c r="N317" s="40">
        <f t="shared" si="10"/>
        <v>0</v>
      </c>
    </row>
    <row r="318" spans="1:14" x14ac:dyDescent="0.35">
      <c r="A318" s="33">
        <v>315</v>
      </c>
      <c r="B318" s="34" t="s">
        <v>627</v>
      </c>
      <c r="C318" s="33" t="s">
        <v>297</v>
      </c>
      <c r="D318" s="33" t="s">
        <v>179</v>
      </c>
      <c r="E318" s="33" t="s">
        <v>628</v>
      </c>
      <c r="F318" s="35">
        <v>1</v>
      </c>
      <c r="G318" s="40">
        <v>0</v>
      </c>
      <c r="H318" s="40">
        <v>0</v>
      </c>
      <c r="I318" s="40">
        <v>0</v>
      </c>
      <c r="J318" s="40">
        <v>0</v>
      </c>
      <c r="K318" s="40">
        <v>0</v>
      </c>
      <c r="L318" s="40">
        <v>0</v>
      </c>
      <c r="M318" s="40">
        <f t="shared" si="9"/>
        <v>0</v>
      </c>
      <c r="N318" s="40">
        <f t="shared" si="10"/>
        <v>0</v>
      </c>
    </row>
    <row r="319" spans="1:14" x14ac:dyDescent="0.35">
      <c r="A319" s="33">
        <v>316</v>
      </c>
      <c r="B319" s="34" t="s">
        <v>629</v>
      </c>
      <c r="C319" s="33" t="s">
        <v>297</v>
      </c>
      <c r="D319" s="33" t="s">
        <v>179</v>
      </c>
      <c r="E319" s="33" t="s">
        <v>628</v>
      </c>
      <c r="F319" s="35">
        <v>1</v>
      </c>
      <c r="G319" s="40">
        <v>0</v>
      </c>
      <c r="H319" s="40">
        <v>0</v>
      </c>
      <c r="I319" s="40">
        <v>0</v>
      </c>
      <c r="J319" s="40">
        <v>0</v>
      </c>
      <c r="K319" s="40">
        <v>0</v>
      </c>
      <c r="L319" s="40">
        <v>0</v>
      </c>
      <c r="M319" s="40">
        <f t="shared" si="9"/>
        <v>0</v>
      </c>
      <c r="N319" s="40">
        <f t="shared" si="10"/>
        <v>0</v>
      </c>
    </row>
    <row r="320" spans="1:14" x14ac:dyDescent="0.35">
      <c r="A320" s="33">
        <v>317</v>
      </c>
      <c r="B320" s="34" t="s">
        <v>630</v>
      </c>
      <c r="C320" s="33" t="s">
        <v>346</v>
      </c>
      <c r="D320" s="33" t="s">
        <v>179</v>
      </c>
      <c r="E320" s="33" t="s">
        <v>628</v>
      </c>
      <c r="F320" s="35">
        <v>0.25</v>
      </c>
      <c r="G320" s="40">
        <v>0</v>
      </c>
      <c r="H320" s="40">
        <v>0</v>
      </c>
      <c r="I320" s="40">
        <v>0</v>
      </c>
      <c r="J320" s="40">
        <v>0</v>
      </c>
      <c r="K320" s="40">
        <v>0</v>
      </c>
      <c r="L320" s="40">
        <v>0</v>
      </c>
      <c r="M320" s="40">
        <f t="shared" si="9"/>
        <v>0</v>
      </c>
      <c r="N320" s="40">
        <f t="shared" si="10"/>
        <v>0</v>
      </c>
    </row>
    <row r="321" spans="1:14" x14ac:dyDescent="0.35">
      <c r="A321" s="33">
        <v>318</v>
      </c>
      <c r="B321" s="34" t="s">
        <v>631</v>
      </c>
      <c r="C321" s="33" t="s">
        <v>346</v>
      </c>
      <c r="D321" s="33" t="s">
        <v>179</v>
      </c>
      <c r="E321" s="33" t="s">
        <v>628</v>
      </c>
      <c r="F321" s="35">
        <v>0.1</v>
      </c>
      <c r="G321" s="40">
        <v>0</v>
      </c>
      <c r="H321" s="40">
        <v>0</v>
      </c>
      <c r="I321" s="40">
        <v>0</v>
      </c>
      <c r="J321" s="40">
        <v>0</v>
      </c>
      <c r="K321" s="40">
        <v>0</v>
      </c>
      <c r="L321" s="40">
        <v>0</v>
      </c>
      <c r="M321" s="40">
        <f t="shared" si="9"/>
        <v>0</v>
      </c>
      <c r="N321" s="40">
        <f t="shared" si="10"/>
        <v>0</v>
      </c>
    </row>
    <row r="322" spans="1:14" x14ac:dyDescent="0.35">
      <c r="A322" s="33">
        <v>319</v>
      </c>
      <c r="B322" s="34" t="s">
        <v>632</v>
      </c>
      <c r="C322" s="33" t="s">
        <v>346</v>
      </c>
      <c r="D322" s="33" t="s">
        <v>179</v>
      </c>
      <c r="E322" s="33" t="s">
        <v>628</v>
      </c>
      <c r="F322" s="35">
        <v>0.25</v>
      </c>
      <c r="G322" s="40">
        <v>0</v>
      </c>
      <c r="H322" s="40">
        <v>0</v>
      </c>
      <c r="I322" s="40">
        <v>0</v>
      </c>
      <c r="J322" s="40">
        <v>0</v>
      </c>
      <c r="K322" s="40">
        <v>0</v>
      </c>
      <c r="L322" s="40">
        <v>0</v>
      </c>
      <c r="M322" s="40">
        <f t="shared" si="9"/>
        <v>0</v>
      </c>
      <c r="N322" s="40">
        <f t="shared" si="10"/>
        <v>0</v>
      </c>
    </row>
    <row r="323" spans="1:14" x14ac:dyDescent="0.35">
      <c r="A323" s="33">
        <v>320</v>
      </c>
      <c r="B323" s="34" t="s">
        <v>633</v>
      </c>
      <c r="C323" s="33" t="s">
        <v>346</v>
      </c>
      <c r="D323" s="33" t="s">
        <v>179</v>
      </c>
      <c r="E323" s="33" t="s">
        <v>628</v>
      </c>
      <c r="F323" s="35">
        <v>1</v>
      </c>
      <c r="G323" s="40">
        <v>0</v>
      </c>
      <c r="H323" s="40">
        <v>0</v>
      </c>
      <c r="I323" s="40">
        <v>0</v>
      </c>
      <c r="J323" s="40">
        <v>0</v>
      </c>
      <c r="K323" s="40">
        <v>0</v>
      </c>
      <c r="L323" s="40">
        <v>0</v>
      </c>
      <c r="M323" s="40">
        <f t="shared" si="9"/>
        <v>0</v>
      </c>
      <c r="N323" s="40">
        <f t="shared" si="10"/>
        <v>0</v>
      </c>
    </row>
    <row r="324" spans="1:14" x14ac:dyDescent="0.35">
      <c r="A324" s="33">
        <v>321</v>
      </c>
      <c r="B324" s="34" t="s">
        <v>634</v>
      </c>
      <c r="C324" s="33" t="s">
        <v>346</v>
      </c>
      <c r="D324" s="33" t="s">
        <v>179</v>
      </c>
      <c r="E324" s="33" t="s">
        <v>628</v>
      </c>
      <c r="F324" s="35">
        <v>0.1</v>
      </c>
      <c r="G324" s="40">
        <v>0</v>
      </c>
      <c r="H324" s="40">
        <v>0</v>
      </c>
      <c r="I324" s="40">
        <v>0</v>
      </c>
      <c r="J324" s="40">
        <v>0</v>
      </c>
      <c r="K324" s="40">
        <v>0</v>
      </c>
      <c r="L324" s="40">
        <v>0</v>
      </c>
      <c r="M324" s="40">
        <f t="shared" si="9"/>
        <v>0</v>
      </c>
      <c r="N324" s="40">
        <f t="shared" si="10"/>
        <v>0</v>
      </c>
    </row>
    <row r="325" spans="1:14" x14ac:dyDescent="0.35">
      <c r="A325" s="33">
        <v>322</v>
      </c>
      <c r="B325" s="34" t="s">
        <v>635</v>
      </c>
      <c r="C325" s="33" t="s">
        <v>297</v>
      </c>
      <c r="D325" s="33" t="s">
        <v>107</v>
      </c>
      <c r="E325" s="33" t="s">
        <v>636</v>
      </c>
      <c r="F325" s="35">
        <v>1</v>
      </c>
      <c r="G325" s="40">
        <v>0</v>
      </c>
      <c r="H325" s="40">
        <v>0</v>
      </c>
      <c r="I325" s="40">
        <v>0</v>
      </c>
      <c r="J325" s="40">
        <v>0</v>
      </c>
      <c r="K325" s="40">
        <v>0</v>
      </c>
      <c r="L325" s="40">
        <v>0</v>
      </c>
      <c r="M325" s="40">
        <f t="shared" ref="M325:M388" si="11">G325+I325+K325</f>
        <v>0</v>
      </c>
      <c r="N325" s="40">
        <f t="shared" ref="N325:N388" si="12">H325+J325+L325</f>
        <v>0</v>
      </c>
    </row>
    <row r="326" spans="1:14" x14ac:dyDescent="0.35">
      <c r="A326" s="33">
        <v>323</v>
      </c>
      <c r="B326" s="34" t="s">
        <v>637</v>
      </c>
      <c r="C326" s="33" t="s">
        <v>297</v>
      </c>
      <c r="D326" s="33" t="s">
        <v>107</v>
      </c>
      <c r="E326" s="33" t="s">
        <v>638</v>
      </c>
      <c r="F326" s="35">
        <v>1</v>
      </c>
      <c r="G326" s="40">
        <v>0</v>
      </c>
      <c r="H326" s="40">
        <v>0</v>
      </c>
      <c r="I326" s="40">
        <v>0</v>
      </c>
      <c r="J326" s="40">
        <v>12.08</v>
      </c>
      <c r="K326" s="40">
        <v>0</v>
      </c>
      <c r="L326" s="40">
        <v>28.9</v>
      </c>
      <c r="M326" s="40">
        <f t="shared" si="11"/>
        <v>0</v>
      </c>
      <c r="N326" s="40">
        <f t="shared" si="12"/>
        <v>40.98</v>
      </c>
    </row>
    <row r="327" spans="1:14" x14ac:dyDescent="0.35">
      <c r="A327" s="33">
        <v>324</v>
      </c>
      <c r="B327" s="34" t="s">
        <v>639</v>
      </c>
      <c r="C327" s="33" t="s">
        <v>346</v>
      </c>
      <c r="D327" s="33" t="s">
        <v>107</v>
      </c>
      <c r="E327" s="33" t="s">
        <v>638</v>
      </c>
      <c r="F327" s="35">
        <v>0.1</v>
      </c>
      <c r="G327" s="40">
        <v>0</v>
      </c>
      <c r="H327" s="40">
        <v>0</v>
      </c>
      <c r="I327" s="40">
        <v>0</v>
      </c>
      <c r="J327" s="40">
        <v>0</v>
      </c>
      <c r="K327" s="40">
        <v>0</v>
      </c>
      <c r="L327" s="40">
        <v>0</v>
      </c>
      <c r="M327" s="40">
        <f t="shared" si="11"/>
        <v>0</v>
      </c>
      <c r="N327" s="40">
        <f t="shared" si="12"/>
        <v>0</v>
      </c>
    </row>
    <row r="328" spans="1:14" x14ac:dyDescent="0.35">
      <c r="A328" s="33">
        <v>325</v>
      </c>
      <c r="B328" s="34" t="s">
        <v>640</v>
      </c>
      <c r="C328" s="33" t="s">
        <v>346</v>
      </c>
      <c r="D328" s="33" t="s">
        <v>107</v>
      </c>
      <c r="E328" s="33" t="s">
        <v>638</v>
      </c>
      <c r="F328" s="35">
        <v>0.25</v>
      </c>
      <c r="G328" s="40">
        <v>0</v>
      </c>
      <c r="H328" s="40">
        <v>0</v>
      </c>
      <c r="I328" s="40">
        <v>0</v>
      </c>
      <c r="J328" s="40">
        <v>0</v>
      </c>
      <c r="K328" s="40">
        <v>0</v>
      </c>
      <c r="L328" s="40">
        <v>0</v>
      </c>
      <c r="M328" s="40">
        <f t="shared" si="11"/>
        <v>0</v>
      </c>
      <c r="N328" s="40">
        <f t="shared" si="12"/>
        <v>0</v>
      </c>
    </row>
    <row r="329" spans="1:14" x14ac:dyDescent="0.35">
      <c r="A329" s="33">
        <v>326</v>
      </c>
      <c r="B329" s="34" t="s">
        <v>641</v>
      </c>
      <c r="C329" s="33" t="s">
        <v>346</v>
      </c>
      <c r="D329" s="33" t="s">
        <v>107</v>
      </c>
      <c r="E329" s="33" t="s">
        <v>638</v>
      </c>
      <c r="F329" s="35">
        <v>0.23</v>
      </c>
      <c r="G329" s="40">
        <v>0</v>
      </c>
      <c r="H329" s="40">
        <v>0</v>
      </c>
      <c r="I329" s="40">
        <v>0</v>
      </c>
      <c r="J329" s="40">
        <v>0</v>
      </c>
      <c r="K329" s="40">
        <v>0</v>
      </c>
      <c r="L329" s="40">
        <v>0</v>
      </c>
      <c r="M329" s="40">
        <f t="shared" si="11"/>
        <v>0</v>
      </c>
      <c r="N329" s="40">
        <f t="shared" si="12"/>
        <v>0</v>
      </c>
    </row>
    <row r="330" spans="1:14" x14ac:dyDescent="0.35">
      <c r="A330" s="33">
        <v>327</v>
      </c>
      <c r="B330" s="34" t="s">
        <v>642</v>
      </c>
      <c r="C330" s="33" t="s">
        <v>346</v>
      </c>
      <c r="D330" s="33" t="s">
        <v>107</v>
      </c>
      <c r="E330" s="33" t="s">
        <v>638</v>
      </c>
      <c r="F330" s="35">
        <v>7.4999999999999997E-2</v>
      </c>
      <c r="G330" s="40">
        <v>0</v>
      </c>
      <c r="H330" s="40">
        <v>0</v>
      </c>
      <c r="I330" s="40">
        <v>0</v>
      </c>
      <c r="J330" s="40">
        <v>0</v>
      </c>
      <c r="K330" s="40">
        <v>0</v>
      </c>
      <c r="L330" s="40">
        <v>0</v>
      </c>
      <c r="M330" s="40">
        <f t="shared" si="11"/>
        <v>0</v>
      </c>
      <c r="N330" s="40">
        <f t="shared" si="12"/>
        <v>0</v>
      </c>
    </row>
    <row r="331" spans="1:14" x14ac:dyDescent="0.35">
      <c r="A331" s="33">
        <v>328</v>
      </c>
      <c r="B331" s="34" t="s">
        <v>643</v>
      </c>
      <c r="C331" s="33" t="s">
        <v>346</v>
      </c>
      <c r="D331" s="33" t="s">
        <v>107</v>
      </c>
      <c r="E331" s="33" t="s">
        <v>638</v>
      </c>
      <c r="F331" s="35">
        <v>0.25</v>
      </c>
      <c r="G331" s="40">
        <v>0</v>
      </c>
      <c r="H331" s="40">
        <v>0</v>
      </c>
      <c r="I331" s="40">
        <v>0</v>
      </c>
      <c r="J331" s="40">
        <v>0</v>
      </c>
      <c r="K331" s="40">
        <v>0</v>
      </c>
      <c r="L331" s="40">
        <v>0</v>
      </c>
      <c r="M331" s="40">
        <f t="shared" si="11"/>
        <v>0</v>
      </c>
      <c r="N331" s="40">
        <f t="shared" si="12"/>
        <v>0</v>
      </c>
    </row>
    <row r="332" spans="1:14" x14ac:dyDescent="0.35">
      <c r="A332" s="33">
        <v>329</v>
      </c>
      <c r="B332" s="34" t="s">
        <v>644</v>
      </c>
      <c r="C332" s="33" t="s">
        <v>346</v>
      </c>
      <c r="D332" s="33" t="s">
        <v>107</v>
      </c>
      <c r="E332" s="33" t="s">
        <v>638</v>
      </c>
      <c r="F332" s="35">
        <v>0.25</v>
      </c>
      <c r="G332" s="40">
        <v>0</v>
      </c>
      <c r="H332" s="40">
        <v>0</v>
      </c>
      <c r="I332" s="40">
        <v>0</v>
      </c>
      <c r="J332" s="40">
        <v>0</v>
      </c>
      <c r="K332" s="40">
        <v>0</v>
      </c>
      <c r="L332" s="40">
        <v>0</v>
      </c>
      <c r="M332" s="40">
        <f t="shared" si="11"/>
        <v>0</v>
      </c>
      <c r="N332" s="40">
        <f t="shared" si="12"/>
        <v>0</v>
      </c>
    </row>
    <row r="333" spans="1:14" x14ac:dyDescent="0.35">
      <c r="A333" s="33">
        <v>330</v>
      </c>
      <c r="B333" s="34" t="s">
        <v>645</v>
      </c>
      <c r="C333" s="33" t="s">
        <v>346</v>
      </c>
      <c r="D333" s="33" t="s">
        <v>107</v>
      </c>
      <c r="E333" s="33" t="s">
        <v>638</v>
      </c>
      <c r="F333" s="35">
        <v>0.1</v>
      </c>
      <c r="G333" s="40">
        <v>0</v>
      </c>
      <c r="H333" s="40">
        <v>0</v>
      </c>
      <c r="I333" s="40">
        <v>0</v>
      </c>
      <c r="J333" s="40">
        <v>0</v>
      </c>
      <c r="K333" s="40">
        <v>0</v>
      </c>
      <c r="L333" s="40">
        <v>0</v>
      </c>
      <c r="M333" s="40">
        <f t="shared" si="11"/>
        <v>0</v>
      </c>
      <c r="N333" s="40">
        <f t="shared" si="12"/>
        <v>0</v>
      </c>
    </row>
    <row r="334" spans="1:14" x14ac:dyDescent="0.35">
      <c r="A334" s="33">
        <v>331</v>
      </c>
      <c r="B334" s="34" t="s">
        <v>646</v>
      </c>
      <c r="C334" s="33" t="s">
        <v>346</v>
      </c>
      <c r="D334" s="33" t="s">
        <v>107</v>
      </c>
      <c r="E334" s="33" t="s">
        <v>638</v>
      </c>
      <c r="F334" s="35">
        <v>0.25</v>
      </c>
      <c r="G334" s="40">
        <v>0</v>
      </c>
      <c r="H334" s="40">
        <v>0</v>
      </c>
      <c r="I334" s="40">
        <v>0</v>
      </c>
      <c r="J334" s="40">
        <v>0</v>
      </c>
      <c r="K334" s="40">
        <v>0</v>
      </c>
      <c r="L334" s="40">
        <v>0</v>
      </c>
      <c r="M334" s="40">
        <f t="shared" si="11"/>
        <v>0</v>
      </c>
      <c r="N334" s="40">
        <f t="shared" si="12"/>
        <v>0</v>
      </c>
    </row>
    <row r="335" spans="1:14" x14ac:dyDescent="0.35">
      <c r="A335" s="33">
        <v>332</v>
      </c>
      <c r="B335" s="34" t="s">
        <v>647</v>
      </c>
      <c r="C335" s="33" t="s">
        <v>346</v>
      </c>
      <c r="D335" s="33" t="s">
        <v>107</v>
      </c>
      <c r="E335" s="33" t="s">
        <v>638</v>
      </c>
      <c r="F335" s="35">
        <v>0.25</v>
      </c>
      <c r="G335" s="40">
        <v>0</v>
      </c>
      <c r="H335" s="40">
        <v>0</v>
      </c>
      <c r="I335" s="40">
        <v>0</v>
      </c>
      <c r="J335" s="40">
        <v>0</v>
      </c>
      <c r="K335" s="40">
        <v>0</v>
      </c>
      <c r="L335" s="40">
        <v>0</v>
      </c>
      <c r="M335" s="40">
        <f t="shared" si="11"/>
        <v>0</v>
      </c>
      <c r="N335" s="40">
        <f t="shared" si="12"/>
        <v>0</v>
      </c>
    </row>
    <row r="336" spans="1:14" x14ac:dyDescent="0.35">
      <c r="A336" s="33">
        <v>333</v>
      </c>
      <c r="B336" s="34" t="s">
        <v>648</v>
      </c>
      <c r="C336" s="33" t="s">
        <v>346</v>
      </c>
      <c r="D336" s="33" t="s">
        <v>107</v>
      </c>
      <c r="E336" s="33" t="s">
        <v>638</v>
      </c>
      <c r="F336" s="35">
        <v>0.2</v>
      </c>
      <c r="G336" s="40">
        <v>0</v>
      </c>
      <c r="H336" s="40">
        <v>0</v>
      </c>
      <c r="I336" s="40">
        <v>0</v>
      </c>
      <c r="J336" s="40">
        <v>0</v>
      </c>
      <c r="K336" s="40">
        <v>0</v>
      </c>
      <c r="L336" s="40">
        <v>0</v>
      </c>
      <c r="M336" s="40">
        <f t="shared" si="11"/>
        <v>0</v>
      </c>
      <c r="N336" s="40">
        <f t="shared" si="12"/>
        <v>0</v>
      </c>
    </row>
    <row r="337" spans="1:14" x14ac:dyDescent="0.35">
      <c r="A337" s="33">
        <v>334</v>
      </c>
      <c r="B337" s="34" t="s">
        <v>649</v>
      </c>
      <c r="C337" s="33" t="s">
        <v>346</v>
      </c>
      <c r="D337" s="33" t="s">
        <v>107</v>
      </c>
      <c r="E337" s="33" t="s">
        <v>638</v>
      </c>
      <c r="F337" s="35">
        <v>0.3</v>
      </c>
      <c r="G337" s="40">
        <v>0</v>
      </c>
      <c r="H337" s="40">
        <v>0</v>
      </c>
      <c r="I337" s="40">
        <v>0</v>
      </c>
      <c r="J337" s="40">
        <v>0</v>
      </c>
      <c r="K337" s="40">
        <v>0</v>
      </c>
      <c r="L337" s="40">
        <v>0</v>
      </c>
      <c r="M337" s="40">
        <f t="shared" si="11"/>
        <v>0</v>
      </c>
      <c r="N337" s="40">
        <f t="shared" si="12"/>
        <v>0</v>
      </c>
    </row>
    <row r="338" spans="1:14" x14ac:dyDescent="0.35">
      <c r="A338" s="33">
        <v>335</v>
      </c>
      <c r="B338" s="34" t="s">
        <v>650</v>
      </c>
      <c r="C338" s="33" t="s">
        <v>346</v>
      </c>
      <c r="D338" s="33" t="s">
        <v>107</v>
      </c>
      <c r="E338" s="33" t="s">
        <v>638</v>
      </c>
      <c r="F338" s="35">
        <v>0.1</v>
      </c>
      <c r="G338" s="40">
        <v>0</v>
      </c>
      <c r="H338" s="40">
        <v>0</v>
      </c>
      <c r="I338" s="40">
        <v>0</v>
      </c>
      <c r="J338" s="40">
        <v>0</v>
      </c>
      <c r="K338" s="40">
        <v>192</v>
      </c>
      <c r="L338" s="40">
        <v>19.2</v>
      </c>
      <c r="M338" s="40">
        <f t="shared" si="11"/>
        <v>192</v>
      </c>
      <c r="N338" s="40">
        <f t="shared" si="12"/>
        <v>19.2</v>
      </c>
    </row>
    <row r="339" spans="1:14" x14ac:dyDescent="0.35">
      <c r="A339" s="33">
        <v>336</v>
      </c>
      <c r="B339" s="34" t="s">
        <v>651</v>
      </c>
      <c r="C339" s="33" t="s">
        <v>346</v>
      </c>
      <c r="D339" s="33" t="s">
        <v>107</v>
      </c>
      <c r="E339" s="33" t="s">
        <v>638</v>
      </c>
      <c r="F339" s="35">
        <v>1</v>
      </c>
      <c r="G339" s="40">
        <v>0</v>
      </c>
      <c r="H339" s="40">
        <v>0</v>
      </c>
      <c r="I339" s="40">
        <v>0</v>
      </c>
      <c r="J339" s="40">
        <v>0</v>
      </c>
      <c r="K339" s="40">
        <v>0</v>
      </c>
      <c r="L339" s="40">
        <v>0</v>
      </c>
      <c r="M339" s="40">
        <f t="shared" si="11"/>
        <v>0</v>
      </c>
      <c r="N339" s="40">
        <f t="shared" si="12"/>
        <v>0</v>
      </c>
    </row>
    <row r="340" spans="1:14" x14ac:dyDescent="0.35">
      <c r="A340" s="33">
        <v>337</v>
      </c>
      <c r="B340" s="34" t="s">
        <v>652</v>
      </c>
      <c r="C340" s="33" t="s">
        <v>346</v>
      </c>
      <c r="D340" s="33" t="s">
        <v>107</v>
      </c>
      <c r="E340" s="33" t="s">
        <v>638</v>
      </c>
      <c r="F340" s="35">
        <v>1</v>
      </c>
      <c r="G340" s="40">
        <v>0</v>
      </c>
      <c r="H340" s="40">
        <v>0</v>
      </c>
      <c r="I340" s="40">
        <v>0</v>
      </c>
      <c r="J340" s="40">
        <v>0</v>
      </c>
      <c r="K340" s="40">
        <v>0</v>
      </c>
      <c r="L340" s="40">
        <v>0</v>
      </c>
      <c r="M340" s="40">
        <f t="shared" si="11"/>
        <v>0</v>
      </c>
      <c r="N340" s="40">
        <f t="shared" si="12"/>
        <v>0</v>
      </c>
    </row>
    <row r="341" spans="1:14" x14ac:dyDescent="0.35">
      <c r="A341" s="33">
        <v>338</v>
      </c>
      <c r="B341" s="34" t="s">
        <v>653</v>
      </c>
      <c r="C341" s="33" t="s">
        <v>346</v>
      </c>
      <c r="D341" s="33" t="s">
        <v>107</v>
      </c>
      <c r="E341" s="33" t="s">
        <v>638</v>
      </c>
      <c r="F341" s="35">
        <v>0.1</v>
      </c>
      <c r="G341" s="40">
        <v>0</v>
      </c>
      <c r="H341" s="40">
        <v>0</v>
      </c>
      <c r="I341" s="40">
        <v>0</v>
      </c>
      <c r="J341" s="40">
        <v>0</v>
      </c>
      <c r="K341" s="40">
        <v>0</v>
      </c>
      <c r="L341" s="40">
        <v>0</v>
      </c>
      <c r="M341" s="40">
        <f t="shared" si="11"/>
        <v>0</v>
      </c>
      <c r="N341" s="40">
        <f t="shared" si="12"/>
        <v>0</v>
      </c>
    </row>
    <row r="342" spans="1:14" x14ac:dyDescent="0.35">
      <c r="A342" s="33">
        <v>339</v>
      </c>
      <c r="B342" s="34" t="s">
        <v>654</v>
      </c>
      <c r="C342" s="33" t="s">
        <v>346</v>
      </c>
      <c r="D342" s="33" t="s">
        <v>107</v>
      </c>
      <c r="E342" s="33" t="s">
        <v>638</v>
      </c>
      <c r="F342" s="35">
        <v>0.1</v>
      </c>
      <c r="G342" s="40">
        <v>0</v>
      </c>
      <c r="H342" s="40">
        <v>0</v>
      </c>
      <c r="I342" s="40">
        <v>0</v>
      </c>
      <c r="J342" s="40">
        <v>0</v>
      </c>
      <c r="K342" s="40">
        <v>0</v>
      </c>
      <c r="L342" s="40">
        <v>0</v>
      </c>
      <c r="M342" s="40">
        <f t="shared" si="11"/>
        <v>0</v>
      </c>
      <c r="N342" s="40">
        <f t="shared" si="12"/>
        <v>0</v>
      </c>
    </row>
    <row r="343" spans="1:14" x14ac:dyDescent="0.35">
      <c r="A343" s="33">
        <v>340</v>
      </c>
      <c r="B343" s="34" t="s">
        <v>655</v>
      </c>
      <c r="C343" s="33" t="s">
        <v>346</v>
      </c>
      <c r="D343" s="33" t="s">
        <v>107</v>
      </c>
      <c r="E343" s="33" t="s">
        <v>638</v>
      </c>
      <c r="F343" s="35">
        <v>0.23</v>
      </c>
      <c r="G343" s="40">
        <v>0</v>
      </c>
      <c r="H343" s="40">
        <v>0</v>
      </c>
      <c r="I343" s="40">
        <v>0</v>
      </c>
      <c r="J343" s="40">
        <v>0</v>
      </c>
      <c r="K343" s="40">
        <v>0</v>
      </c>
      <c r="L343" s="40">
        <v>0</v>
      </c>
      <c r="M343" s="40">
        <f t="shared" si="11"/>
        <v>0</v>
      </c>
      <c r="N343" s="40">
        <f t="shared" si="12"/>
        <v>0</v>
      </c>
    </row>
    <row r="344" spans="1:14" x14ac:dyDescent="0.35">
      <c r="A344" s="33">
        <v>341</v>
      </c>
      <c r="B344" s="34" t="s">
        <v>656</v>
      </c>
      <c r="C344" s="33" t="s">
        <v>346</v>
      </c>
      <c r="D344" s="33" t="s">
        <v>107</v>
      </c>
      <c r="E344" s="33" t="s">
        <v>638</v>
      </c>
      <c r="F344" s="35">
        <v>0.1</v>
      </c>
      <c r="G344" s="40">
        <v>0</v>
      </c>
      <c r="H344" s="40">
        <v>0</v>
      </c>
      <c r="I344" s="40">
        <v>0</v>
      </c>
      <c r="J344" s="40">
        <v>0</v>
      </c>
      <c r="K344" s="40">
        <v>0</v>
      </c>
      <c r="L344" s="40">
        <v>0</v>
      </c>
      <c r="M344" s="40">
        <f t="shared" si="11"/>
        <v>0</v>
      </c>
      <c r="N344" s="40">
        <f t="shared" si="12"/>
        <v>0</v>
      </c>
    </row>
    <row r="345" spans="1:14" x14ac:dyDescent="0.35">
      <c r="A345" s="33">
        <v>342</v>
      </c>
      <c r="B345" s="34" t="s">
        <v>657</v>
      </c>
      <c r="C345" s="33" t="s">
        <v>346</v>
      </c>
      <c r="D345" s="33" t="s">
        <v>107</v>
      </c>
      <c r="E345" s="33" t="s">
        <v>638</v>
      </c>
      <c r="F345" s="35">
        <v>1</v>
      </c>
      <c r="G345" s="40">
        <v>0</v>
      </c>
      <c r="H345" s="40">
        <v>0</v>
      </c>
      <c r="I345" s="40">
        <v>0</v>
      </c>
      <c r="J345" s="40">
        <v>0</v>
      </c>
      <c r="K345" s="40">
        <v>0</v>
      </c>
      <c r="L345" s="40">
        <v>0</v>
      </c>
      <c r="M345" s="40">
        <f t="shared" si="11"/>
        <v>0</v>
      </c>
      <c r="N345" s="40">
        <f t="shared" si="12"/>
        <v>0</v>
      </c>
    </row>
    <row r="346" spans="1:14" x14ac:dyDescent="0.35">
      <c r="A346" s="33">
        <v>343</v>
      </c>
      <c r="B346" s="34" t="s">
        <v>658</v>
      </c>
      <c r="C346" s="33" t="s">
        <v>346</v>
      </c>
      <c r="D346" s="33" t="s">
        <v>107</v>
      </c>
      <c r="E346" s="33" t="s">
        <v>638</v>
      </c>
      <c r="F346" s="35">
        <v>0.2</v>
      </c>
      <c r="G346" s="40">
        <v>0</v>
      </c>
      <c r="H346" s="40">
        <v>0</v>
      </c>
      <c r="I346" s="40">
        <v>0</v>
      </c>
      <c r="J346" s="40">
        <v>0</v>
      </c>
      <c r="K346" s="40">
        <v>0</v>
      </c>
      <c r="L346" s="40">
        <v>0</v>
      </c>
      <c r="M346" s="40">
        <f t="shared" si="11"/>
        <v>0</v>
      </c>
      <c r="N346" s="40">
        <f t="shared" si="12"/>
        <v>0</v>
      </c>
    </row>
    <row r="347" spans="1:14" x14ac:dyDescent="0.35">
      <c r="A347" s="33">
        <v>344</v>
      </c>
      <c r="B347" s="34" t="s">
        <v>659</v>
      </c>
      <c r="C347" s="33" t="s">
        <v>346</v>
      </c>
      <c r="D347" s="33" t="s">
        <v>107</v>
      </c>
      <c r="E347" s="33" t="s">
        <v>638</v>
      </c>
      <c r="F347" s="35">
        <v>0.5</v>
      </c>
      <c r="G347" s="40">
        <v>0</v>
      </c>
      <c r="H347" s="40">
        <v>0</v>
      </c>
      <c r="I347" s="40">
        <v>0</v>
      </c>
      <c r="J347" s="40">
        <v>0</v>
      </c>
      <c r="K347" s="40">
        <v>0</v>
      </c>
      <c r="L347" s="40">
        <v>0</v>
      </c>
      <c r="M347" s="40">
        <f t="shared" si="11"/>
        <v>0</v>
      </c>
      <c r="N347" s="40">
        <f t="shared" si="12"/>
        <v>0</v>
      </c>
    </row>
    <row r="348" spans="1:14" x14ac:dyDescent="0.35">
      <c r="A348" s="33">
        <v>345</v>
      </c>
      <c r="B348" s="34" t="s">
        <v>660</v>
      </c>
      <c r="C348" s="33" t="s">
        <v>297</v>
      </c>
      <c r="D348" s="33" t="s">
        <v>17</v>
      </c>
      <c r="E348" s="33" t="s">
        <v>661</v>
      </c>
      <c r="F348" s="35">
        <v>1</v>
      </c>
      <c r="G348" s="40">
        <v>0</v>
      </c>
      <c r="H348" s="40">
        <v>0</v>
      </c>
      <c r="I348" s="40">
        <v>0</v>
      </c>
      <c r="J348" s="40">
        <v>0</v>
      </c>
      <c r="K348" s="40">
        <v>0</v>
      </c>
      <c r="L348" s="40">
        <v>0</v>
      </c>
      <c r="M348" s="40">
        <f t="shared" si="11"/>
        <v>0</v>
      </c>
      <c r="N348" s="40">
        <f t="shared" si="12"/>
        <v>0</v>
      </c>
    </row>
    <row r="349" spans="1:14" x14ac:dyDescent="0.35">
      <c r="A349" s="33">
        <v>346</v>
      </c>
      <c r="B349" s="34" t="s">
        <v>662</v>
      </c>
      <c r="C349" s="33" t="s">
        <v>297</v>
      </c>
      <c r="D349" s="33" t="s">
        <v>17</v>
      </c>
      <c r="E349" s="33" t="s">
        <v>661</v>
      </c>
      <c r="F349" s="35">
        <v>1</v>
      </c>
      <c r="G349" s="40">
        <v>0</v>
      </c>
      <c r="H349" s="40">
        <v>0</v>
      </c>
      <c r="I349" s="40">
        <v>0</v>
      </c>
      <c r="J349" s="40">
        <v>0</v>
      </c>
      <c r="K349" s="40">
        <v>0</v>
      </c>
      <c r="L349" s="40">
        <v>0</v>
      </c>
      <c r="M349" s="40">
        <f t="shared" si="11"/>
        <v>0</v>
      </c>
      <c r="N349" s="40">
        <f t="shared" si="12"/>
        <v>0</v>
      </c>
    </row>
    <row r="350" spans="1:14" x14ac:dyDescent="0.35">
      <c r="A350" s="33">
        <v>347</v>
      </c>
      <c r="B350" s="34" t="s">
        <v>663</v>
      </c>
      <c r="C350" s="33" t="s">
        <v>297</v>
      </c>
      <c r="D350" s="33" t="s">
        <v>17</v>
      </c>
      <c r="E350" s="33" t="s">
        <v>661</v>
      </c>
      <c r="F350" s="35">
        <v>1</v>
      </c>
      <c r="G350" s="40">
        <v>0</v>
      </c>
      <c r="H350" s="40">
        <v>0</v>
      </c>
      <c r="I350" s="40">
        <v>0</v>
      </c>
      <c r="J350" s="40">
        <v>0</v>
      </c>
      <c r="K350" s="40">
        <v>0</v>
      </c>
      <c r="L350" s="40">
        <v>0</v>
      </c>
      <c r="M350" s="40">
        <f t="shared" si="11"/>
        <v>0</v>
      </c>
      <c r="N350" s="40">
        <f t="shared" si="12"/>
        <v>0</v>
      </c>
    </row>
    <row r="351" spans="1:14" x14ac:dyDescent="0.35">
      <c r="A351" s="33">
        <v>348</v>
      </c>
      <c r="B351" s="34" t="s">
        <v>664</v>
      </c>
      <c r="C351" s="33" t="s">
        <v>297</v>
      </c>
      <c r="D351" s="33" t="s">
        <v>17</v>
      </c>
      <c r="E351" s="33" t="s">
        <v>661</v>
      </c>
      <c r="F351" s="35">
        <v>1</v>
      </c>
      <c r="G351" s="40">
        <v>0</v>
      </c>
      <c r="H351" s="40">
        <v>30</v>
      </c>
      <c r="I351" s="40">
        <v>0</v>
      </c>
      <c r="J351" s="40">
        <v>2.4</v>
      </c>
      <c r="K351" s="40">
        <v>0</v>
      </c>
      <c r="L351" s="40">
        <v>0</v>
      </c>
      <c r="M351" s="40">
        <f t="shared" si="11"/>
        <v>0</v>
      </c>
      <c r="N351" s="40">
        <f t="shared" si="12"/>
        <v>32.4</v>
      </c>
    </row>
    <row r="352" spans="1:14" x14ac:dyDescent="0.35">
      <c r="A352" s="33">
        <v>349</v>
      </c>
      <c r="B352" s="34" t="s">
        <v>678</v>
      </c>
      <c r="C352" s="33" t="s">
        <v>346</v>
      </c>
      <c r="D352" s="33" t="s">
        <v>17</v>
      </c>
      <c r="E352" s="33" t="s">
        <v>661</v>
      </c>
      <c r="F352" s="35">
        <v>1</v>
      </c>
      <c r="G352" s="40">
        <v>0</v>
      </c>
      <c r="H352" s="40">
        <v>0</v>
      </c>
      <c r="I352" s="40">
        <v>0</v>
      </c>
      <c r="J352" s="40">
        <v>0</v>
      </c>
      <c r="K352" s="40">
        <v>0</v>
      </c>
      <c r="L352" s="40">
        <v>0</v>
      </c>
      <c r="M352" s="40">
        <f t="shared" si="11"/>
        <v>0</v>
      </c>
      <c r="N352" s="40">
        <f t="shared" si="12"/>
        <v>0</v>
      </c>
    </row>
    <row r="353" spans="1:14" x14ac:dyDescent="0.35">
      <c r="A353" s="33">
        <v>350</v>
      </c>
      <c r="B353" s="34" t="s">
        <v>679</v>
      </c>
      <c r="C353" s="33" t="s">
        <v>346</v>
      </c>
      <c r="D353" s="33" t="s">
        <v>17</v>
      </c>
      <c r="E353" s="33" t="s">
        <v>661</v>
      </c>
      <c r="F353" s="35">
        <v>0.2</v>
      </c>
      <c r="G353" s="40">
        <v>0</v>
      </c>
      <c r="H353" s="40">
        <v>0</v>
      </c>
      <c r="I353" s="40">
        <v>0</v>
      </c>
      <c r="J353" s="40">
        <v>0</v>
      </c>
      <c r="K353" s="40">
        <v>0</v>
      </c>
      <c r="L353" s="40">
        <v>0</v>
      </c>
      <c r="M353" s="40">
        <f t="shared" si="11"/>
        <v>0</v>
      </c>
      <c r="N353" s="40">
        <f t="shared" si="12"/>
        <v>0</v>
      </c>
    </row>
    <row r="354" spans="1:14" x14ac:dyDescent="0.35">
      <c r="A354" s="33">
        <v>351</v>
      </c>
      <c r="B354" s="34" t="s">
        <v>680</v>
      </c>
      <c r="C354" s="33" t="s">
        <v>346</v>
      </c>
      <c r="D354" s="33" t="s">
        <v>17</v>
      </c>
      <c r="E354" s="33" t="s">
        <v>661</v>
      </c>
      <c r="F354" s="35">
        <v>0.2</v>
      </c>
      <c r="G354" s="40">
        <v>0</v>
      </c>
      <c r="H354" s="40">
        <v>0</v>
      </c>
      <c r="I354" s="40">
        <v>0</v>
      </c>
      <c r="J354" s="40">
        <v>0</v>
      </c>
      <c r="K354" s="40">
        <v>0</v>
      </c>
      <c r="L354" s="40">
        <v>0</v>
      </c>
      <c r="M354" s="40">
        <f t="shared" si="11"/>
        <v>0</v>
      </c>
      <c r="N354" s="40">
        <f t="shared" si="12"/>
        <v>0</v>
      </c>
    </row>
    <row r="355" spans="1:14" x14ac:dyDescent="0.35">
      <c r="A355" s="33">
        <v>352</v>
      </c>
      <c r="B355" s="34" t="s">
        <v>681</v>
      </c>
      <c r="C355" s="33" t="s">
        <v>346</v>
      </c>
      <c r="D355" s="33" t="s">
        <v>17</v>
      </c>
      <c r="E355" s="33" t="s">
        <v>661</v>
      </c>
      <c r="F355" s="35">
        <v>1</v>
      </c>
      <c r="G355" s="40">
        <v>0</v>
      </c>
      <c r="H355" s="40">
        <v>0</v>
      </c>
      <c r="I355" s="40">
        <v>0</v>
      </c>
      <c r="J355" s="40">
        <v>0</v>
      </c>
      <c r="K355" s="40">
        <v>0</v>
      </c>
      <c r="L355" s="40">
        <v>0</v>
      </c>
      <c r="M355" s="40">
        <f t="shared" si="11"/>
        <v>0</v>
      </c>
      <c r="N355" s="40">
        <f t="shared" si="12"/>
        <v>0</v>
      </c>
    </row>
    <row r="356" spans="1:14" x14ac:dyDescent="0.35">
      <c r="A356" s="33">
        <v>353</v>
      </c>
      <c r="B356" s="34" t="s">
        <v>665</v>
      </c>
      <c r="C356" s="33" t="s">
        <v>297</v>
      </c>
      <c r="D356" s="33" t="s">
        <v>17</v>
      </c>
      <c r="E356" s="33" t="s">
        <v>666</v>
      </c>
      <c r="F356" s="35">
        <v>1</v>
      </c>
      <c r="G356" s="40">
        <v>0</v>
      </c>
      <c r="H356" s="40">
        <v>0</v>
      </c>
      <c r="I356" s="40">
        <v>0</v>
      </c>
      <c r="J356" s="40">
        <v>0</v>
      </c>
      <c r="K356" s="40">
        <v>0</v>
      </c>
      <c r="L356" s="40">
        <v>0</v>
      </c>
      <c r="M356" s="40">
        <f t="shared" si="11"/>
        <v>0</v>
      </c>
      <c r="N356" s="40">
        <f t="shared" si="12"/>
        <v>0</v>
      </c>
    </row>
    <row r="357" spans="1:14" x14ac:dyDescent="0.35">
      <c r="A357" s="33">
        <v>354</v>
      </c>
      <c r="B357" s="34" t="s">
        <v>667</v>
      </c>
      <c r="C357" s="33" t="s">
        <v>297</v>
      </c>
      <c r="D357" s="33" t="s">
        <v>17</v>
      </c>
      <c r="E357" s="33" t="s">
        <v>666</v>
      </c>
      <c r="F357" s="35">
        <v>1</v>
      </c>
      <c r="G357" s="40">
        <v>0</v>
      </c>
      <c r="H357" s="40">
        <v>0</v>
      </c>
      <c r="I357" s="40">
        <v>0</v>
      </c>
      <c r="J357" s="40">
        <v>0</v>
      </c>
      <c r="K357" s="40">
        <v>0</v>
      </c>
      <c r="L357" s="40">
        <v>0</v>
      </c>
      <c r="M357" s="40">
        <f t="shared" si="11"/>
        <v>0</v>
      </c>
      <c r="N357" s="40">
        <f t="shared" si="12"/>
        <v>0</v>
      </c>
    </row>
    <row r="358" spans="1:14" x14ac:dyDescent="0.35">
      <c r="A358" s="33">
        <v>355</v>
      </c>
      <c r="B358" s="34" t="s">
        <v>668</v>
      </c>
      <c r="C358" s="33" t="s">
        <v>297</v>
      </c>
      <c r="D358" s="33" t="s">
        <v>17</v>
      </c>
      <c r="E358" s="33" t="s">
        <v>666</v>
      </c>
      <c r="F358" s="35">
        <v>1</v>
      </c>
      <c r="G358" s="40">
        <v>0</v>
      </c>
      <c r="H358" s="40">
        <v>0</v>
      </c>
      <c r="I358" s="40">
        <v>0</v>
      </c>
      <c r="J358" s="40">
        <v>0</v>
      </c>
      <c r="K358" s="40">
        <v>0</v>
      </c>
      <c r="L358" s="40">
        <v>0</v>
      </c>
      <c r="M358" s="40">
        <f t="shared" si="11"/>
        <v>0</v>
      </c>
      <c r="N358" s="40">
        <f t="shared" si="12"/>
        <v>0</v>
      </c>
    </row>
    <row r="359" spans="1:14" x14ac:dyDescent="0.35">
      <c r="A359" s="33">
        <v>356</v>
      </c>
      <c r="B359" s="34" t="s">
        <v>669</v>
      </c>
      <c r="C359" s="33" t="s">
        <v>297</v>
      </c>
      <c r="D359" s="33" t="s">
        <v>17</v>
      </c>
      <c r="E359" s="33" t="s">
        <v>666</v>
      </c>
      <c r="F359" s="35">
        <v>1</v>
      </c>
      <c r="G359" s="40">
        <v>0</v>
      </c>
      <c r="H359" s="40">
        <v>10</v>
      </c>
      <c r="I359" s="40">
        <v>0</v>
      </c>
      <c r="J359" s="40">
        <v>20</v>
      </c>
      <c r="K359" s="40">
        <v>0</v>
      </c>
      <c r="L359" s="40">
        <v>0</v>
      </c>
      <c r="M359" s="40">
        <f t="shared" si="11"/>
        <v>0</v>
      </c>
      <c r="N359" s="40">
        <f t="shared" si="12"/>
        <v>30</v>
      </c>
    </row>
    <row r="360" spans="1:14" x14ac:dyDescent="0.35">
      <c r="A360" s="33">
        <v>357</v>
      </c>
      <c r="B360" s="34" t="s">
        <v>670</v>
      </c>
      <c r="C360" s="33" t="s">
        <v>297</v>
      </c>
      <c r="D360" s="33" t="s">
        <v>17</v>
      </c>
      <c r="E360" s="33" t="s">
        <v>666</v>
      </c>
      <c r="F360" s="35">
        <v>1</v>
      </c>
      <c r="G360" s="40">
        <v>0</v>
      </c>
      <c r="H360" s="40">
        <v>0</v>
      </c>
      <c r="I360" s="40">
        <v>0</v>
      </c>
      <c r="J360" s="40">
        <v>0</v>
      </c>
      <c r="K360" s="40">
        <v>0</v>
      </c>
      <c r="L360" s="40">
        <v>0</v>
      </c>
      <c r="M360" s="40">
        <f t="shared" si="11"/>
        <v>0</v>
      </c>
      <c r="N360" s="40">
        <f t="shared" si="12"/>
        <v>0</v>
      </c>
    </row>
    <row r="361" spans="1:14" x14ac:dyDescent="0.35">
      <c r="A361" s="33">
        <v>358</v>
      </c>
      <c r="B361" s="34" t="s">
        <v>671</v>
      </c>
      <c r="C361" s="33" t="s">
        <v>297</v>
      </c>
      <c r="D361" s="33" t="s">
        <v>17</v>
      </c>
      <c r="E361" s="33" t="s">
        <v>666</v>
      </c>
      <c r="F361" s="35">
        <v>1</v>
      </c>
      <c r="G361" s="40">
        <v>0</v>
      </c>
      <c r="H361" s="40">
        <v>0</v>
      </c>
      <c r="I361" s="40">
        <v>0</v>
      </c>
      <c r="J361" s="40">
        <v>0</v>
      </c>
      <c r="K361" s="40">
        <v>0</v>
      </c>
      <c r="L361" s="40">
        <v>0</v>
      </c>
      <c r="M361" s="40">
        <f t="shared" si="11"/>
        <v>0</v>
      </c>
      <c r="N361" s="40">
        <f t="shared" si="12"/>
        <v>0</v>
      </c>
    </row>
    <row r="362" spans="1:14" x14ac:dyDescent="0.35">
      <c r="A362" s="33">
        <v>359</v>
      </c>
      <c r="B362" s="34" t="s">
        <v>672</v>
      </c>
      <c r="C362" s="33" t="s">
        <v>297</v>
      </c>
      <c r="D362" s="33" t="s">
        <v>17</v>
      </c>
      <c r="E362" s="33" t="s">
        <v>666</v>
      </c>
      <c r="F362" s="35">
        <v>1</v>
      </c>
      <c r="G362" s="40">
        <v>0</v>
      </c>
      <c r="H362" s="40">
        <v>716.5</v>
      </c>
      <c r="I362" s="40">
        <v>0</v>
      </c>
      <c r="J362" s="40">
        <v>240</v>
      </c>
      <c r="K362" s="40">
        <v>0</v>
      </c>
      <c r="L362" s="40">
        <v>0</v>
      </c>
      <c r="M362" s="40">
        <f t="shared" si="11"/>
        <v>0</v>
      </c>
      <c r="N362" s="40">
        <f t="shared" si="12"/>
        <v>956.5</v>
      </c>
    </row>
    <row r="363" spans="1:14" x14ac:dyDescent="0.35">
      <c r="A363" s="33">
        <v>360</v>
      </c>
      <c r="B363" s="34" t="s">
        <v>673</v>
      </c>
      <c r="C363" s="33" t="s">
        <v>297</v>
      </c>
      <c r="D363" s="33" t="s">
        <v>17</v>
      </c>
      <c r="E363" s="33" t="s">
        <v>666</v>
      </c>
      <c r="F363" s="35">
        <v>1</v>
      </c>
      <c r="G363" s="40">
        <v>0</v>
      </c>
      <c r="H363" s="40">
        <v>40</v>
      </c>
      <c r="I363" s="40">
        <v>0</v>
      </c>
      <c r="J363" s="40">
        <v>0</v>
      </c>
      <c r="K363" s="40">
        <v>0</v>
      </c>
      <c r="L363" s="40">
        <v>0</v>
      </c>
      <c r="M363" s="40">
        <f t="shared" si="11"/>
        <v>0</v>
      </c>
      <c r="N363" s="40">
        <f t="shared" si="12"/>
        <v>40</v>
      </c>
    </row>
    <row r="364" spans="1:14" x14ac:dyDescent="0.35">
      <c r="A364" s="33">
        <v>361</v>
      </c>
      <c r="B364" s="34" t="s">
        <v>674</v>
      </c>
      <c r="C364" s="33" t="s">
        <v>297</v>
      </c>
      <c r="D364" s="33" t="s">
        <v>17</v>
      </c>
      <c r="E364" s="33" t="s">
        <v>666</v>
      </c>
      <c r="F364" s="35">
        <v>1</v>
      </c>
      <c r="G364" s="40">
        <v>0</v>
      </c>
      <c r="H364" s="40">
        <v>0</v>
      </c>
      <c r="I364" s="40">
        <v>0</v>
      </c>
      <c r="J364" s="40">
        <v>0</v>
      </c>
      <c r="K364" s="40">
        <v>0</v>
      </c>
      <c r="L364" s="40">
        <v>0</v>
      </c>
      <c r="M364" s="40">
        <f t="shared" si="11"/>
        <v>0</v>
      </c>
      <c r="N364" s="40">
        <f t="shared" si="12"/>
        <v>0</v>
      </c>
    </row>
    <row r="365" spans="1:14" x14ac:dyDescent="0.35">
      <c r="A365" s="33">
        <v>362</v>
      </c>
      <c r="B365" s="34" t="s">
        <v>675</v>
      </c>
      <c r="C365" s="33" t="s">
        <v>297</v>
      </c>
      <c r="D365" s="33" t="s">
        <v>17</v>
      </c>
      <c r="E365" s="33" t="s">
        <v>666</v>
      </c>
      <c r="F365" s="35">
        <v>1</v>
      </c>
      <c r="G365" s="40">
        <v>0</v>
      </c>
      <c r="H365" s="40">
        <v>0</v>
      </c>
      <c r="I365" s="40">
        <v>0</v>
      </c>
      <c r="J365" s="40">
        <v>0</v>
      </c>
      <c r="K365" s="40">
        <v>0</v>
      </c>
      <c r="L365" s="40">
        <v>0</v>
      </c>
      <c r="M365" s="40">
        <f t="shared" si="11"/>
        <v>0</v>
      </c>
      <c r="N365" s="40">
        <f t="shared" si="12"/>
        <v>0</v>
      </c>
    </row>
    <row r="366" spans="1:14" x14ac:dyDescent="0.35">
      <c r="A366" s="33">
        <v>363</v>
      </c>
      <c r="B366" s="34" t="s">
        <v>676</v>
      </c>
      <c r="C366" s="33" t="s">
        <v>297</v>
      </c>
      <c r="D366" s="33" t="s">
        <v>17</v>
      </c>
      <c r="E366" s="33" t="s">
        <v>666</v>
      </c>
      <c r="F366" s="35">
        <v>1</v>
      </c>
      <c r="G366" s="40">
        <v>0</v>
      </c>
      <c r="H366" s="40">
        <v>0</v>
      </c>
      <c r="I366" s="40">
        <v>0</v>
      </c>
      <c r="J366" s="40">
        <v>0</v>
      </c>
      <c r="K366" s="40">
        <v>0</v>
      </c>
      <c r="L366" s="40">
        <v>0</v>
      </c>
      <c r="M366" s="40">
        <f t="shared" si="11"/>
        <v>0</v>
      </c>
      <c r="N366" s="40">
        <f t="shared" si="12"/>
        <v>0</v>
      </c>
    </row>
    <row r="367" spans="1:14" x14ac:dyDescent="0.35">
      <c r="A367" s="33">
        <v>364</v>
      </c>
      <c r="B367" s="34" t="s">
        <v>682</v>
      </c>
      <c r="C367" s="33" t="s">
        <v>346</v>
      </c>
      <c r="D367" s="33" t="s">
        <v>17</v>
      </c>
      <c r="E367" s="33" t="s">
        <v>666</v>
      </c>
      <c r="F367" s="35">
        <v>1</v>
      </c>
      <c r="G367" s="40">
        <v>0</v>
      </c>
      <c r="H367" s="40">
        <v>0</v>
      </c>
      <c r="I367" s="40">
        <v>0</v>
      </c>
      <c r="J367" s="40">
        <v>0</v>
      </c>
      <c r="K367" s="40">
        <v>0</v>
      </c>
      <c r="L367" s="40">
        <v>0</v>
      </c>
      <c r="M367" s="40">
        <f t="shared" si="11"/>
        <v>0</v>
      </c>
      <c r="N367" s="40">
        <f t="shared" si="12"/>
        <v>0</v>
      </c>
    </row>
    <row r="368" spans="1:14" x14ac:dyDescent="0.35">
      <c r="A368" s="33">
        <v>365</v>
      </c>
      <c r="B368" s="34" t="s">
        <v>683</v>
      </c>
      <c r="C368" s="33" t="s">
        <v>346</v>
      </c>
      <c r="D368" s="33" t="s">
        <v>17</v>
      </c>
      <c r="E368" s="33" t="s">
        <v>666</v>
      </c>
      <c r="F368" s="35">
        <v>1</v>
      </c>
      <c r="G368" s="40">
        <v>0</v>
      </c>
      <c r="H368" s="40">
        <v>0</v>
      </c>
      <c r="I368" s="40">
        <v>0</v>
      </c>
      <c r="J368" s="40">
        <v>0</v>
      </c>
      <c r="K368" s="40">
        <v>0</v>
      </c>
      <c r="L368" s="40">
        <v>0</v>
      </c>
      <c r="M368" s="40">
        <f t="shared" si="11"/>
        <v>0</v>
      </c>
      <c r="N368" s="40">
        <f t="shared" si="12"/>
        <v>0</v>
      </c>
    </row>
    <row r="369" spans="1:14" x14ac:dyDescent="0.35">
      <c r="A369" s="33">
        <v>366</v>
      </c>
      <c r="B369" s="34" t="s">
        <v>216</v>
      </c>
      <c r="C369" s="33" t="s">
        <v>346</v>
      </c>
      <c r="D369" s="33" t="s">
        <v>17</v>
      </c>
      <c r="E369" s="33" t="s">
        <v>666</v>
      </c>
      <c r="F369" s="35">
        <v>1</v>
      </c>
      <c r="G369" s="40">
        <v>0</v>
      </c>
      <c r="H369" s="40">
        <v>0</v>
      </c>
      <c r="I369" s="40">
        <v>0</v>
      </c>
      <c r="J369" s="40">
        <v>581</v>
      </c>
      <c r="K369" s="40">
        <v>0</v>
      </c>
      <c r="L369" s="40">
        <v>12.29</v>
      </c>
      <c r="M369" s="40">
        <f t="shared" si="11"/>
        <v>0</v>
      </c>
      <c r="N369" s="40">
        <f t="shared" si="12"/>
        <v>593.29</v>
      </c>
    </row>
    <row r="370" spans="1:14" x14ac:dyDescent="0.35">
      <c r="A370" s="33">
        <v>367</v>
      </c>
      <c r="B370" s="34" t="s">
        <v>684</v>
      </c>
      <c r="C370" s="33" t="s">
        <v>346</v>
      </c>
      <c r="D370" s="33" t="s">
        <v>17</v>
      </c>
      <c r="E370" s="33" t="s">
        <v>666</v>
      </c>
      <c r="F370" s="35">
        <v>1</v>
      </c>
      <c r="G370" s="40">
        <v>0</v>
      </c>
      <c r="H370" s="40">
        <v>0</v>
      </c>
      <c r="I370" s="40">
        <v>0</v>
      </c>
      <c r="J370" s="40">
        <v>0</v>
      </c>
      <c r="K370" s="40">
        <v>0</v>
      </c>
      <c r="L370" s="40">
        <v>0</v>
      </c>
      <c r="M370" s="40">
        <f t="shared" si="11"/>
        <v>0</v>
      </c>
      <c r="N370" s="40">
        <f t="shared" si="12"/>
        <v>0</v>
      </c>
    </row>
    <row r="371" spans="1:14" x14ac:dyDescent="0.35">
      <c r="A371" s="33">
        <v>368</v>
      </c>
      <c r="B371" s="34" t="s">
        <v>685</v>
      </c>
      <c r="C371" s="33" t="s">
        <v>346</v>
      </c>
      <c r="D371" s="33" t="s">
        <v>17</v>
      </c>
      <c r="E371" s="33" t="s">
        <v>666</v>
      </c>
      <c r="F371" s="35">
        <v>0.23</v>
      </c>
      <c r="G371" s="40">
        <v>0</v>
      </c>
      <c r="H371" s="40">
        <v>0</v>
      </c>
      <c r="I371" s="40">
        <v>0</v>
      </c>
      <c r="J371" s="40">
        <v>0</v>
      </c>
      <c r="K371" s="40">
        <v>0</v>
      </c>
      <c r="L371" s="40">
        <v>0</v>
      </c>
      <c r="M371" s="40">
        <f t="shared" si="11"/>
        <v>0</v>
      </c>
      <c r="N371" s="40">
        <f t="shared" si="12"/>
        <v>0</v>
      </c>
    </row>
    <row r="372" spans="1:14" x14ac:dyDescent="0.35">
      <c r="A372" s="33">
        <v>369</v>
      </c>
      <c r="B372" s="34" t="s">
        <v>686</v>
      </c>
      <c r="C372" s="33" t="s">
        <v>346</v>
      </c>
      <c r="D372" s="33" t="s">
        <v>17</v>
      </c>
      <c r="E372" s="33" t="s">
        <v>666</v>
      </c>
      <c r="F372" s="35">
        <v>0.25</v>
      </c>
      <c r="G372" s="40">
        <v>0</v>
      </c>
      <c r="H372" s="40">
        <v>0</v>
      </c>
      <c r="I372" s="40">
        <v>0</v>
      </c>
      <c r="J372" s="40">
        <v>0</v>
      </c>
      <c r="K372" s="40">
        <v>0</v>
      </c>
      <c r="L372" s="40">
        <v>0</v>
      </c>
      <c r="M372" s="40">
        <f t="shared" si="11"/>
        <v>0</v>
      </c>
      <c r="N372" s="40">
        <f t="shared" si="12"/>
        <v>0</v>
      </c>
    </row>
    <row r="373" spans="1:14" x14ac:dyDescent="0.35">
      <c r="A373" s="33">
        <v>370</v>
      </c>
      <c r="B373" s="34" t="s">
        <v>687</v>
      </c>
      <c r="C373" s="33" t="s">
        <v>346</v>
      </c>
      <c r="D373" s="33" t="s">
        <v>17</v>
      </c>
      <c r="E373" s="33" t="s">
        <v>666</v>
      </c>
      <c r="F373" s="35">
        <v>0.25</v>
      </c>
      <c r="G373" s="40">
        <v>0</v>
      </c>
      <c r="H373" s="40">
        <v>0</v>
      </c>
      <c r="I373" s="40">
        <v>0</v>
      </c>
      <c r="J373" s="40">
        <v>0</v>
      </c>
      <c r="K373" s="40">
        <v>0</v>
      </c>
      <c r="L373" s="40">
        <v>0</v>
      </c>
      <c r="M373" s="40">
        <f t="shared" si="11"/>
        <v>0</v>
      </c>
      <c r="N373" s="40">
        <f t="shared" si="12"/>
        <v>0</v>
      </c>
    </row>
    <row r="374" spans="1:14" x14ac:dyDescent="0.35">
      <c r="A374" s="33">
        <v>371</v>
      </c>
      <c r="B374" s="34" t="s">
        <v>688</v>
      </c>
      <c r="C374" s="33" t="s">
        <v>346</v>
      </c>
      <c r="D374" s="33" t="s">
        <v>17</v>
      </c>
      <c r="E374" s="33" t="s">
        <v>666</v>
      </c>
      <c r="F374" s="35">
        <v>0.5</v>
      </c>
      <c r="G374" s="40">
        <v>0</v>
      </c>
      <c r="H374" s="40">
        <v>0</v>
      </c>
      <c r="I374" s="40">
        <v>0</v>
      </c>
      <c r="J374" s="40">
        <v>0</v>
      </c>
      <c r="K374" s="40">
        <v>0</v>
      </c>
      <c r="L374" s="40">
        <v>0</v>
      </c>
      <c r="M374" s="40">
        <f t="shared" si="11"/>
        <v>0</v>
      </c>
      <c r="N374" s="40">
        <f t="shared" si="12"/>
        <v>0</v>
      </c>
    </row>
    <row r="375" spans="1:14" x14ac:dyDescent="0.35">
      <c r="A375" s="33">
        <v>372</v>
      </c>
      <c r="B375" s="34" t="s">
        <v>689</v>
      </c>
      <c r="C375" s="33" t="s">
        <v>346</v>
      </c>
      <c r="D375" s="33" t="s">
        <v>17</v>
      </c>
      <c r="E375" s="33" t="s">
        <v>666</v>
      </c>
      <c r="F375" s="35">
        <v>0.25</v>
      </c>
      <c r="G375" s="40">
        <v>0</v>
      </c>
      <c r="H375" s="40">
        <v>0</v>
      </c>
      <c r="I375" s="40">
        <v>0</v>
      </c>
      <c r="J375" s="40">
        <v>0</v>
      </c>
      <c r="K375" s="40">
        <v>0</v>
      </c>
      <c r="L375" s="40">
        <v>0</v>
      </c>
      <c r="M375" s="40">
        <f t="shared" si="11"/>
        <v>0</v>
      </c>
      <c r="N375" s="40">
        <f t="shared" si="12"/>
        <v>0</v>
      </c>
    </row>
    <row r="376" spans="1:14" x14ac:dyDescent="0.35">
      <c r="A376" s="33">
        <v>373</v>
      </c>
      <c r="B376" s="34" t="s">
        <v>690</v>
      </c>
      <c r="C376" s="33" t="s">
        <v>346</v>
      </c>
      <c r="D376" s="33" t="s">
        <v>17</v>
      </c>
      <c r="E376" s="33" t="s">
        <v>666</v>
      </c>
      <c r="F376" s="35">
        <v>0.5</v>
      </c>
      <c r="G376" s="40">
        <v>0</v>
      </c>
      <c r="H376" s="40">
        <v>0</v>
      </c>
      <c r="I376" s="40">
        <v>0</v>
      </c>
      <c r="J376" s="40">
        <v>0</v>
      </c>
      <c r="K376" s="40">
        <v>0</v>
      </c>
      <c r="L376" s="40">
        <v>0</v>
      </c>
      <c r="M376" s="40">
        <f t="shared" si="11"/>
        <v>0</v>
      </c>
      <c r="N376" s="40">
        <f t="shared" si="12"/>
        <v>0</v>
      </c>
    </row>
    <row r="377" spans="1:14" x14ac:dyDescent="0.35">
      <c r="A377" s="33">
        <v>374</v>
      </c>
      <c r="B377" s="34" t="s">
        <v>691</v>
      </c>
      <c r="C377" s="33" t="s">
        <v>346</v>
      </c>
      <c r="D377" s="33" t="s">
        <v>17</v>
      </c>
      <c r="E377" s="33" t="s">
        <v>666</v>
      </c>
      <c r="F377" s="35">
        <v>0.25</v>
      </c>
      <c r="G377" s="40">
        <v>0</v>
      </c>
      <c r="H377" s="40">
        <v>0</v>
      </c>
      <c r="I377" s="40">
        <v>0</v>
      </c>
      <c r="J377" s="40">
        <v>0</v>
      </c>
      <c r="K377" s="40">
        <v>0</v>
      </c>
      <c r="L377" s="40">
        <v>0</v>
      </c>
      <c r="M377" s="40">
        <f t="shared" si="11"/>
        <v>0</v>
      </c>
      <c r="N377" s="40">
        <f t="shared" si="12"/>
        <v>0</v>
      </c>
    </row>
    <row r="378" spans="1:14" x14ac:dyDescent="0.35">
      <c r="A378" s="33">
        <v>375</v>
      </c>
      <c r="B378" s="34" t="s">
        <v>692</v>
      </c>
      <c r="C378" s="33" t="s">
        <v>346</v>
      </c>
      <c r="D378" s="33" t="s">
        <v>17</v>
      </c>
      <c r="E378" s="33" t="s">
        <v>666</v>
      </c>
      <c r="F378" s="35">
        <v>0.5</v>
      </c>
      <c r="G378" s="40">
        <v>0</v>
      </c>
      <c r="H378" s="40">
        <v>0</v>
      </c>
      <c r="I378" s="40">
        <v>0</v>
      </c>
      <c r="J378" s="40">
        <v>0</v>
      </c>
      <c r="K378" s="40">
        <v>0</v>
      </c>
      <c r="L378" s="40">
        <v>0</v>
      </c>
      <c r="M378" s="40">
        <f t="shared" si="11"/>
        <v>0</v>
      </c>
      <c r="N378" s="40">
        <f t="shared" si="12"/>
        <v>0</v>
      </c>
    </row>
    <row r="379" spans="1:14" x14ac:dyDescent="0.35">
      <c r="A379" s="33">
        <v>376</v>
      </c>
      <c r="B379" s="34" t="s">
        <v>693</v>
      </c>
      <c r="C379" s="33" t="s">
        <v>346</v>
      </c>
      <c r="D379" s="33" t="s">
        <v>17</v>
      </c>
      <c r="E379" s="33" t="s">
        <v>666</v>
      </c>
      <c r="F379" s="35">
        <v>0.25</v>
      </c>
      <c r="G379" s="40">
        <v>0</v>
      </c>
      <c r="H379" s="40">
        <v>0</v>
      </c>
      <c r="I379" s="40">
        <v>0</v>
      </c>
      <c r="J379" s="40">
        <v>0</v>
      </c>
      <c r="K379" s="40">
        <v>0</v>
      </c>
      <c r="L379" s="40">
        <v>0</v>
      </c>
      <c r="M379" s="40">
        <f t="shared" si="11"/>
        <v>0</v>
      </c>
      <c r="N379" s="40">
        <f t="shared" si="12"/>
        <v>0</v>
      </c>
    </row>
    <row r="380" spans="1:14" x14ac:dyDescent="0.35">
      <c r="A380" s="33">
        <v>377</v>
      </c>
      <c r="B380" s="34" t="s">
        <v>694</v>
      </c>
      <c r="C380" s="33" t="s">
        <v>346</v>
      </c>
      <c r="D380" s="33" t="s">
        <v>17</v>
      </c>
      <c r="E380" s="33" t="s">
        <v>666</v>
      </c>
      <c r="F380" s="35">
        <v>0.25</v>
      </c>
      <c r="G380" s="40">
        <v>0</v>
      </c>
      <c r="H380" s="40">
        <v>0</v>
      </c>
      <c r="I380" s="40">
        <v>0</v>
      </c>
      <c r="J380" s="40">
        <v>0</v>
      </c>
      <c r="K380" s="40">
        <v>0</v>
      </c>
      <c r="L380" s="40">
        <v>0</v>
      </c>
      <c r="M380" s="40">
        <f t="shared" si="11"/>
        <v>0</v>
      </c>
      <c r="N380" s="40">
        <f t="shared" si="12"/>
        <v>0</v>
      </c>
    </row>
    <row r="381" spans="1:14" x14ac:dyDescent="0.35">
      <c r="A381" s="33">
        <v>378</v>
      </c>
      <c r="B381" s="34" t="s">
        <v>695</v>
      </c>
      <c r="C381" s="33" t="s">
        <v>346</v>
      </c>
      <c r="D381" s="33" t="s">
        <v>17</v>
      </c>
      <c r="E381" s="33" t="s">
        <v>666</v>
      </c>
      <c r="F381" s="35">
        <v>0.25</v>
      </c>
      <c r="G381" s="40">
        <v>0</v>
      </c>
      <c r="H381" s="40">
        <v>0</v>
      </c>
      <c r="I381" s="40">
        <v>0</v>
      </c>
      <c r="J381" s="40">
        <v>0</v>
      </c>
      <c r="K381" s="40">
        <v>0</v>
      </c>
      <c r="L381" s="40">
        <v>0</v>
      </c>
      <c r="M381" s="40">
        <f t="shared" si="11"/>
        <v>0</v>
      </c>
      <c r="N381" s="40">
        <f t="shared" si="12"/>
        <v>0</v>
      </c>
    </row>
    <row r="382" spans="1:14" x14ac:dyDescent="0.35">
      <c r="A382" s="33">
        <v>379</v>
      </c>
      <c r="B382" s="34" t="s">
        <v>696</v>
      </c>
      <c r="C382" s="33" t="s">
        <v>346</v>
      </c>
      <c r="D382" s="33" t="s">
        <v>17</v>
      </c>
      <c r="E382" s="33" t="s">
        <v>666</v>
      </c>
      <c r="F382" s="35">
        <v>0.25</v>
      </c>
      <c r="G382" s="40">
        <v>0</v>
      </c>
      <c r="H382" s="40">
        <v>0</v>
      </c>
      <c r="I382" s="40">
        <v>0</v>
      </c>
      <c r="J382" s="40">
        <v>0</v>
      </c>
      <c r="K382" s="40">
        <v>0</v>
      </c>
      <c r="L382" s="40">
        <v>0</v>
      </c>
      <c r="M382" s="40">
        <f t="shared" si="11"/>
        <v>0</v>
      </c>
      <c r="N382" s="40">
        <f t="shared" si="12"/>
        <v>0</v>
      </c>
    </row>
    <row r="383" spans="1:14" x14ac:dyDescent="0.35">
      <c r="A383" s="33">
        <v>380</v>
      </c>
      <c r="B383" s="34" t="s">
        <v>697</v>
      </c>
      <c r="C383" s="33" t="s">
        <v>346</v>
      </c>
      <c r="D383" s="33" t="s">
        <v>17</v>
      </c>
      <c r="E383" s="33" t="s">
        <v>666</v>
      </c>
      <c r="F383" s="35">
        <v>0.1</v>
      </c>
      <c r="G383" s="40">
        <v>0</v>
      </c>
      <c r="H383" s="40">
        <v>0</v>
      </c>
      <c r="I383" s="40">
        <v>0</v>
      </c>
      <c r="J383" s="40">
        <v>0</v>
      </c>
      <c r="K383" s="40">
        <v>0</v>
      </c>
      <c r="L383" s="40">
        <v>0</v>
      </c>
      <c r="M383" s="40">
        <f t="shared" si="11"/>
        <v>0</v>
      </c>
      <c r="N383" s="40">
        <f t="shared" si="12"/>
        <v>0</v>
      </c>
    </row>
    <row r="384" spans="1:14" x14ac:dyDescent="0.35">
      <c r="A384" s="33">
        <v>381</v>
      </c>
      <c r="B384" s="34" t="s">
        <v>698</v>
      </c>
      <c r="C384" s="33" t="s">
        <v>346</v>
      </c>
      <c r="D384" s="33" t="s">
        <v>17</v>
      </c>
      <c r="E384" s="33" t="s">
        <v>666</v>
      </c>
      <c r="F384" s="35">
        <v>0.2</v>
      </c>
      <c r="G384" s="40">
        <v>0</v>
      </c>
      <c r="H384" s="40">
        <v>0</v>
      </c>
      <c r="I384" s="40">
        <v>0</v>
      </c>
      <c r="J384" s="40">
        <v>0</v>
      </c>
      <c r="K384" s="40">
        <v>0</v>
      </c>
      <c r="L384" s="40">
        <v>0</v>
      </c>
      <c r="M384" s="40">
        <f t="shared" si="11"/>
        <v>0</v>
      </c>
      <c r="N384" s="40">
        <f t="shared" si="12"/>
        <v>0</v>
      </c>
    </row>
    <row r="385" spans="1:14" x14ac:dyDescent="0.35">
      <c r="A385" s="33">
        <v>382</v>
      </c>
      <c r="B385" s="34" t="s">
        <v>699</v>
      </c>
      <c r="C385" s="33" t="s">
        <v>346</v>
      </c>
      <c r="D385" s="33" t="s">
        <v>17</v>
      </c>
      <c r="E385" s="33" t="s">
        <v>666</v>
      </c>
      <c r="F385" s="35">
        <v>0.2</v>
      </c>
      <c r="G385" s="40">
        <v>0</v>
      </c>
      <c r="H385" s="40">
        <v>0</v>
      </c>
      <c r="I385" s="40">
        <v>0</v>
      </c>
      <c r="J385" s="40">
        <v>0</v>
      </c>
      <c r="K385" s="40">
        <v>0</v>
      </c>
      <c r="L385" s="40">
        <v>0</v>
      </c>
      <c r="M385" s="40">
        <f t="shared" si="11"/>
        <v>0</v>
      </c>
      <c r="N385" s="40">
        <f t="shared" si="12"/>
        <v>0</v>
      </c>
    </row>
    <row r="386" spans="1:14" x14ac:dyDescent="0.35">
      <c r="A386" s="33">
        <v>383</v>
      </c>
      <c r="B386" s="34" t="s">
        <v>700</v>
      </c>
      <c r="C386" s="33" t="s">
        <v>346</v>
      </c>
      <c r="D386" s="33" t="s">
        <v>17</v>
      </c>
      <c r="E386" s="33" t="s">
        <v>666</v>
      </c>
      <c r="F386" s="35">
        <v>0.25</v>
      </c>
      <c r="G386" s="40">
        <v>0</v>
      </c>
      <c r="H386" s="40">
        <v>0</v>
      </c>
      <c r="I386" s="40">
        <v>0</v>
      </c>
      <c r="J386" s="40">
        <v>0</v>
      </c>
      <c r="K386" s="40">
        <v>0</v>
      </c>
      <c r="L386" s="40">
        <v>0</v>
      </c>
      <c r="M386" s="40">
        <f t="shared" si="11"/>
        <v>0</v>
      </c>
      <c r="N386" s="40">
        <f t="shared" si="12"/>
        <v>0</v>
      </c>
    </row>
    <row r="387" spans="1:14" x14ac:dyDescent="0.35">
      <c r="A387" s="33">
        <v>384</v>
      </c>
      <c r="B387" s="34" t="s">
        <v>701</v>
      </c>
      <c r="C387" s="33" t="s">
        <v>346</v>
      </c>
      <c r="D387" s="33" t="s">
        <v>17</v>
      </c>
      <c r="E387" s="33" t="s">
        <v>666</v>
      </c>
      <c r="F387" s="35">
        <v>0.25</v>
      </c>
      <c r="G387" s="40">
        <v>0</v>
      </c>
      <c r="H387" s="40">
        <v>0</v>
      </c>
      <c r="I387" s="40">
        <v>0</v>
      </c>
      <c r="J387" s="40">
        <v>0</v>
      </c>
      <c r="K387" s="40">
        <v>0</v>
      </c>
      <c r="L387" s="40">
        <v>0</v>
      </c>
      <c r="M387" s="40">
        <f t="shared" si="11"/>
        <v>0</v>
      </c>
      <c r="N387" s="40">
        <f t="shared" si="12"/>
        <v>0</v>
      </c>
    </row>
    <row r="388" spans="1:14" x14ac:dyDescent="0.35">
      <c r="A388" s="33">
        <v>385</v>
      </c>
      <c r="B388" s="34" t="s">
        <v>702</v>
      </c>
      <c r="C388" s="33" t="s">
        <v>346</v>
      </c>
      <c r="D388" s="33" t="s">
        <v>17</v>
      </c>
      <c r="E388" s="33" t="s">
        <v>666</v>
      </c>
      <c r="F388" s="35">
        <v>0.1</v>
      </c>
      <c r="G388" s="40">
        <v>0</v>
      </c>
      <c r="H388" s="40">
        <v>0</v>
      </c>
      <c r="I388" s="40">
        <v>0</v>
      </c>
      <c r="J388" s="40">
        <v>0</v>
      </c>
      <c r="K388" s="40">
        <v>0</v>
      </c>
      <c r="L388" s="40">
        <v>0</v>
      </c>
      <c r="M388" s="40">
        <f t="shared" si="11"/>
        <v>0</v>
      </c>
      <c r="N388" s="40">
        <f t="shared" si="12"/>
        <v>0</v>
      </c>
    </row>
    <row r="389" spans="1:14" x14ac:dyDescent="0.35">
      <c r="A389" s="33">
        <v>386</v>
      </c>
      <c r="B389" s="34" t="s">
        <v>703</v>
      </c>
      <c r="C389" s="33" t="s">
        <v>346</v>
      </c>
      <c r="D389" s="33" t="s">
        <v>17</v>
      </c>
      <c r="E389" s="33" t="s">
        <v>666</v>
      </c>
      <c r="F389" s="35">
        <v>0.23</v>
      </c>
      <c r="G389" s="40">
        <v>0</v>
      </c>
      <c r="H389" s="40">
        <v>0</v>
      </c>
      <c r="I389" s="40">
        <v>0</v>
      </c>
      <c r="J389" s="40">
        <v>0</v>
      </c>
      <c r="K389" s="40">
        <v>0</v>
      </c>
      <c r="L389" s="40">
        <v>0</v>
      </c>
      <c r="M389" s="40">
        <f t="shared" ref="M389:M452" si="13">G389+I389+K389</f>
        <v>0</v>
      </c>
      <c r="N389" s="40">
        <f t="shared" ref="N389:N452" si="14">H389+J389+L389</f>
        <v>0</v>
      </c>
    </row>
    <row r="390" spans="1:14" x14ac:dyDescent="0.35">
      <c r="A390" s="33">
        <v>387</v>
      </c>
      <c r="B390" s="34" t="s">
        <v>704</v>
      </c>
      <c r="C390" s="33" t="s">
        <v>346</v>
      </c>
      <c r="D390" s="33" t="s">
        <v>17</v>
      </c>
      <c r="E390" s="33" t="s">
        <v>666</v>
      </c>
      <c r="F390" s="35">
        <v>0.2</v>
      </c>
      <c r="G390" s="40">
        <v>0</v>
      </c>
      <c r="H390" s="40">
        <v>0</v>
      </c>
      <c r="I390" s="40">
        <v>0</v>
      </c>
      <c r="J390" s="40">
        <v>0</v>
      </c>
      <c r="K390" s="40">
        <v>0</v>
      </c>
      <c r="L390" s="40">
        <v>0</v>
      </c>
      <c r="M390" s="40">
        <f t="shared" si="13"/>
        <v>0</v>
      </c>
      <c r="N390" s="40">
        <f t="shared" si="14"/>
        <v>0</v>
      </c>
    </row>
    <row r="391" spans="1:14" x14ac:dyDescent="0.35">
      <c r="A391" s="33">
        <v>388</v>
      </c>
      <c r="B391" s="34" t="s">
        <v>705</v>
      </c>
      <c r="C391" s="33" t="s">
        <v>346</v>
      </c>
      <c r="D391" s="33" t="s">
        <v>17</v>
      </c>
      <c r="E391" s="33" t="s">
        <v>666</v>
      </c>
      <c r="F391" s="35">
        <v>0.25</v>
      </c>
      <c r="G391" s="40">
        <v>0</v>
      </c>
      <c r="H391" s="40">
        <v>0</v>
      </c>
      <c r="I391" s="40">
        <v>0</v>
      </c>
      <c r="J391" s="40">
        <v>0</v>
      </c>
      <c r="K391" s="40">
        <v>0</v>
      </c>
      <c r="L391" s="40">
        <v>0</v>
      </c>
      <c r="M391" s="40">
        <f t="shared" si="13"/>
        <v>0</v>
      </c>
      <c r="N391" s="40">
        <f t="shared" si="14"/>
        <v>0</v>
      </c>
    </row>
    <row r="392" spans="1:14" x14ac:dyDescent="0.35">
      <c r="A392" s="33">
        <v>389</v>
      </c>
      <c r="B392" s="34" t="s">
        <v>706</v>
      </c>
      <c r="C392" s="33" t="s">
        <v>346</v>
      </c>
      <c r="D392" s="33" t="s">
        <v>17</v>
      </c>
      <c r="E392" s="33" t="s">
        <v>666</v>
      </c>
      <c r="F392" s="35">
        <v>1</v>
      </c>
      <c r="G392" s="40">
        <v>0</v>
      </c>
      <c r="H392" s="40">
        <v>0</v>
      </c>
      <c r="I392" s="40">
        <v>0</v>
      </c>
      <c r="J392" s="40">
        <v>0</v>
      </c>
      <c r="K392" s="40">
        <v>0</v>
      </c>
      <c r="L392" s="40">
        <v>0</v>
      </c>
      <c r="M392" s="40">
        <f t="shared" si="13"/>
        <v>0</v>
      </c>
      <c r="N392" s="40">
        <f t="shared" si="14"/>
        <v>0</v>
      </c>
    </row>
    <row r="393" spans="1:14" x14ac:dyDescent="0.35">
      <c r="A393" s="33">
        <v>390</v>
      </c>
      <c r="B393" s="34" t="s">
        <v>707</v>
      </c>
      <c r="C393" s="33" t="s">
        <v>346</v>
      </c>
      <c r="D393" s="33" t="s">
        <v>17</v>
      </c>
      <c r="E393" s="33" t="s">
        <v>666</v>
      </c>
      <c r="F393" s="35">
        <v>0.1</v>
      </c>
      <c r="G393" s="40">
        <v>0</v>
      </c>
      <c r="H393" s="40">
        <v>0</v>
      </c>
      <c r="I393" s="40">
        <v>0</v>
      </c>
      <c r="J393" s="40">
        <v>0</v>
      </c>
      <c r="K393" s="40">
        <v>0</v>
      </c>
      <c r="L393" s="40">
        <v>0</v>
      </c>
      <c r="M393" s="40">
        <f t="shared" si="13"/>
        <v>0</v>
      </c>
      <c r="N393" s="40">
        <f t="shared" si="14"/>
        <v>0</v>
      </c>
    </row>
    <row r="394" spans="1:14" x14ac:dyDescent="0.35">
      <c r="A394" s="33">
        <v>391</v>
      </c>
      <c r="B394" s="34" t="s">
        <v>708</v>
      </c>
      <c r="C394" s="33" t="s">
        <v>346</v>
      </c>
      <c r="D394" s="33" t="s">
        <v>17</v>
      </c>
      <c r="E394" s="33" t="s">
        <v>666</v>
      </c>
      <c r="F394" s="35">
        <v>0.125</v>
      </c>
      <c r="G394" s="40">
        <v>0</v>
      </c>
      <c r="H394" s="40">
        <v>0</v>
      </c>
      <c r="I394" s="40">
        <v>0</v>
      </c>
      <c r="J394" s="40">
        <v>0</v>
      </c>
      <c r="K394" s="40">
        <v>0</v>
      </c>
      <c r="L394" s="40">
        <v>0</v>
      </c>
      <c r="M394" s="40">
        <f t="shared" si="13"/>
        <v>0</v>
      </c>
      <c r="N394" s="40">
        <f t="shared" si="14"/>
        <v>0</v>
      </c>
    </row>
    <row r="395" spans="1:14" x14ac:dyDescent="0.35">
      <c r="A395" s="33">
        <v>392</v>
      </c>
      <c r="B395" s="34" t="s">
        <v>709</v>
      </c>
      <c r="C395" s="33" t="s">
        <v>346</v>
      </c>
      <c r="D395" s="33" t="s">
        <v>17</v>
      </c>
      <c r="E395" s="33" t="s">
        <v>666</v>
      </c>
      <c r="F395" s="35">
        <v>0.15</v>
      </c>
      <c r="G395" s="40">
        <v>0</v>
      </c>
      <c r="H395" s="40">
        <v>0</v>
      </c>
      <c r="I395" s="40">
        <v>0</v>
      </c>
      <c r="J395" s="40">
        <v>0</v>
      </c>
      <c r="K395" s="40">
        <v>0</v>
      </c>
      <c r="L395" s="40">
        <v>0</v>
      </c>
      <c r="M395" s="40">
        <f t="shared" si="13"/>
        <v>0</v>
      </c>
      <c r="N395" s="40">
        <f t="shared" si="14"/>
        <v>0</v>
      </c>
    </row>
    <row r="396" spans="1:14" x14ac:dyDescent="0.35">
      <c r="A396" s="33">
        <v>393</v>
      </c>
      <c r="B396" s="34" t="s">
        <v>710</v>
      </c>
      <c r="C396" s="33" t="s">
        <v>346</v>
      </c>
      <c r="D396" s="33" t="s">
        <v>17</v>
      </c>
      <c r="E396" s="33" t="s">
        <v>666</v>
      </c>
      <c r="F396" s="35">
        <v>0.2</v>
      </c>
      <c r="G396" s="40">
        <v>0</v>
      </c>
      <c r="H396" s="40">
        <v>0</v>
      </c>
      <c r="I396" s="40">
        <v>0</v>
      </c>
      <c r="J396" s="40">
        <v>0</v>
      </c>
      <c r="K396" s="40">
        <v>0</v>
      </c>
      <c r="L396" s="40">
        <v>0</v>
      </c>
      <c r="M396" s="40">
        <f t="shared" si="13"/>
        <v>0</v>
      </c>
      <c r="N396" s="40">
        <f t="shared" si="14"/>
        <v>0</v>
      </c>
    </row>
    <row r="397" spans="1:14" x14ac:dyDescent="0.35">
      <c r="A397" s="33">
        <v>394</v>
      </c>
      <c r="B397" s="34" t="s">
        <v>711</v>
      </c>
      <c r="C397" s="33" t="s">
        <v>346</v>
      </c>
      <c r="D397" s="33" t="s">
        <v>17</v>
      </c>
      <c r="E397" s="33" t="s">
        <v>666</v>
      </c>
      <c r="F397" s="35">
        <v>0.08</v>
      </c>
      <c r="G397" s="40">
        <v>0</v>
      </c>
      <c r="H397" s="40">
        <v>0</v>
      </c>
      <c r="I397" s="40">
        <v>0</v>
      </c>
      <c r="J397" s="40">
        <v>0</v>
      </c>
      <c r="K397" s="40">
        <v>0</v>
      </c>
      <c r="L397" s="40">
        <v>0</v>
      </c>
      <c r="M397" s="40">
        <f t="shared" si="13"/>
        <v>0</v>
      </c>
      <c r="N397" s="40">
        <f t="shared" si="14"/>
        <v>0</v>
      </c>
    </row>
    <row r="398" spans="1:14" x14ac:dyDescent="0.35">
      <c r="A398" s="33">
        <v>395</v>
      </c>
      <c r="B398" s="34" t="s">
        <v>712</v>
      </c>
      <c r="C398" s="33" t="s">
        <v>346</v>
      </c>
      <c r="D398" s="33" t="s">
        <v>17</v>
      </c>
      <c r="E398" s="33" t="s">
        <v>666</v>
      </c>
      <c r="F398" s="35">
        <v>0.1</v>
      </c>
      <c r="G398" s="40">
        <v>0</v>
      </c>
      <c r="H398" s="40">
        <v>0</v>
      </c>
      <c r="I398" s="40">
        <v>0</v>
      </c>
      <c r="J398" s="40">
        <v>0</v>
      </c>
      <c r="K398" s="40">
        <v>0</v>
      </c>
      <c r="L398" s="40">
        <v>0</v>
      </c>
      <c r="M398" s="40">
        <f t="shared" si="13"/>
        <v>0</v>
      </c>
      <c r="N398" s="40">
        <f t="shared" si="14"/>
        <v>0</v>
      </c>
    </row>
    <row r="399" spans="1:14" x14ac:dyDescent="0.35">
      <c r="A399" s="33">
        <v>396</v>
      </c>
      <c r="B399" s="34" t="s">
        <v>713</v>
      </c>
      <c r="C399" s="33" t="s">
        <v>346</v>
      </c>
      <c r="D399" s="33" t="s">
        <v>17</v>
      </c>
      <c r="E399" s="33" t="s">
        <v>666</v>
      </c>
      <c r="F399" s="35">
        <v>0.08</v>
      </c>
      <c r="G399" s="40">
        <v>0</v>
      </c>
      <c r="H399" s="40">
        <v>0</v>
      </c>
      <c r="I399" s="40">
        <v>0</v>
      </c>
      <c r="J399" s="40">
        <v>0</v>
      </c>
      <c r="K399" s="40">
        <v>0</v>
      </c>
      <c r="L399" s="40">
        <v>0</v>
      </c>
      <c r="M399" s="40">
        <f t="shared" si="13"/>
        <v>0</v>
      </c>
      <c r="N399" s="40">
        <f t="shared" si="14"/>
        <v>0</v>
      </c>
    </row>
    <row r="400" spans="1:14" x14ac:dyDescent="0.35">
      <c r="A400" s="33">
        <v>397</v>
      </c>
      <c r="B400" s="34" t="s">
        <v>714</v>
      </c>
      <c r="C400" s="33" t="s">
        <v>346</v>
      </c>
      <c r="D400" s="33" t="s">
        <v>17</v>
      </c>
      <c r="E400" s="33" t="s">
        <v>666</v>
      </c>
      <c r="F400" s="35">
        <v>0.15</v>
      </c>
      <c r="G400" s="40">
        <v>0</v>
      </c>
      <c r="H400" s="40">
        <v>0</v>
      </c>
      <c r="I400" s="40">
        <v>0</v>
      </c>
      <c r="J400" s="40">
        <v>0</v>
      </c>
      <c r="K400" s="40">
        <v>0</v>
      </c>
      <c r="L400" s="40">
        <v>0</v>
      </c>
      <c r="M400" s="40">
        <f t="shared" si="13"/>
        <v>0</v>
      </c>
      <c r="N400" s="40">
        <f t="shared" si="14"/>
        <v>0</v>
      </c>
    </row>
    <row r="401" spans="1:14" x14ac:dyDescent="0.35">
      <c r="A401" s="33">
        <v>398</v>
      </c>
      <c r="B401" s="34" t="s">
        <v>715</v>
      </c>
      <c r="C401" s="33" t="s">
        <v>346</v>
      </c>
      <c r="D401" s="33" t="s">
        <v>17</v>
      </c>
      <c r="E401" s="33" t="s">
        <v>666</v>
      </c>
      <c r="F401" s="35">
        <v>0.23</v>
      </c>
      <c r="G401" s="40">
        <v>0</v>
      </c>
      <c r="H401" s="40">
        <v>0</v>
      </c>
      <c r="I401" s="40">
        <v>0</v>
      </c>
      <c r="J401" s="40">
        <v>0</v>
      </c>
      <c r="K401" s="40">
        <v>0</v>
      </c>
      <c r="L401" s="40">
        <v>0</v>
      </c>
      <c r="M401" s="40">
        <f t="shared" si="13"/>
        <v>0</v>
      </c>
      <c r="N401" s="40">
        <f t="shared" si="14"/>
        <v>0</v>
      </c>
    </row>
    <row r="402" spans="1:14" x14ac:dyDescent="0.35">
      <c r="A402" s="33">
        <v>399</v>
      </c>
      <c r="B402" s="34" t="s">
        <v>716</v>
      </c>
      <c r="C402" s="33" t="s">
        <v>346</v>
      </c>
      <c r="D402" s="33" t="s">
        <v>17</v>
      </c>
      <c r="E402" s="33" t="s">
        <v>666</v>
      </c>
      <c r="F402" s="35">
        <v>0.1</v>
      </c>
      <c r="G402" s="40">
        <v>0</v>
      </c>
      <c r="H402" s="40">
        <v>0</v>
      </c>
      <c r="I402" s="40">
        <v>0</v>
      </c>
      <c r="J402" s="40">
        <v>0</v>
      </c>
      <c r="K402" s="40">
        <v>0</v>
      </c>
      <c r="L402" s="40">
        <v>0</v>
      </c>
      <c r="M402" s="40">
        <f t="shared" si="13"/>
        <v>0</v>
      </c>
      <c r="N402" s="40">
        <f t="shared" si="14"/>
        <v>0</v>
      </c>
    </row>
    <row r="403" spans="1:14" x14ac:dyDescent="0.35">
      <c r="A403" s="33">
        <v>400</v>
      </c>
      <c r="B403" s="34" t="s">
        <v>717</v>
      </c>
      <c r="C403" s="33" t="s">
        <v>346</v>
      </c>
      <c r="D403" s="33" t="s">
        <v>17</v>
      </c>
      <c r="E403" s="33" t="s">
        <v>666</v>
      </c>
      <c r="F403" s="35">
        <v>0.1</v>
      </c>
      <c r="G403" s="40">
        <v>0</v>
      </c>
      <c r="H403" s="40">
        <v>0</v>
      </c>
      <c r="I403" s="40">
        <v>0</v>
      </c>
      <c r="J403" s="40">
        <v>0</v>
      </c>
      <c r="K403" s="40">
        <v>0</v>
      </c>
      <c r="L403" s="40">
        <v>0</v>
      </c>
      <c r="M403" s="40">
        <f t="shared" si="13"/>
        <v>0</v>
      </c>
      <c r="N403" s="40">
        <f t="shared" si="14"/>
        <v>0</v>
      </c>
    </row>
    <row r="404" spans="1:14" x14ac:dyDescent="0.35">
      <c r="A404" s="33">
        <v>401</v>
      </c>
      <c r="B404" s="34" t="s">
        <v>718</v>
      </c>
      <c r="C404" s="33" t="s">
        <v>346</v>
      </c>
      <c r="D404" s="33" t="s">
        <v>17</v>
      </c>
      <c r="E404" s="33" t="s">
        <v>666</v>
      </c>
      <c r="F404" s="35">
        <v>0.23</v>
      </c>
      <c r="G404" s="40">
        <v>0</v>
      </c>
      <c r="H404" s="40">
        <v>0</v>
      </c>
      <c r="I404" s="40">
        <v>0</v>
      </c>
      <c r="J404" s="40">
        <v>0</v>
      </c>
      <c r="K404" s="40">
        <v>0</v>
      </c>
      <c r="L404" s="40">
        <v>0</v>
      </c>
      <c r="M404" s="40">
        <f t="shared" si="13"/>
        <v>0</v>
      </c>
      <c r="N404" s="40">
        <f t="shared" si="14"/>
        <v>0</v>
      </c>
    </row>
    <row r="405" spans="1:14" x14ac:dyDescent="0.35">
      <c r="A405" s="33">
        <v>402</v>
      </c>
      <c r="B405" s="34" t="s">
        <v>719</v>
      </c>
      <c r="C405" s="33" t="s">
        <v>346</v>
      </c>
      <c r="D405" s="33" t="s">
        <v>17</v>
      </c>
      <c r="E405" s="33" t="s">
        <v>666</v>
      </c>
      <c r="F405" s="35">
        <v>0.2</v>
      </c>
      <c r="G405" s="40">
        <v>0</v>
      </c>
      <c r="H405" s="40">
        <v>0</v>
      </c>
      <c r="I405" s="40">
        <v>0</v>
      </c>
      <c r="J405" s="40">
        <v>0</v>
      </c>
      <c r="K405" s="40">
        <v>0</v>
      </c>
      <c r="L405" s="40">
        <v>0</v>
      </c>
      <c r="M405" s="40">
        <f t="shared" si="13"/>
        <v>0</v>
      </c>
      <c r="N405" s="40">
        <f t="shared" si="14"/>
        <v>0</v>
      </c>
    </row>
    <row r="406" spans="1:14" x14ac:dyDescent="0.35">
      <c r="A406" s="33">
        <v>403</v>
      </c>
      <c r="B406" s="34" t="s">
        <v>720</v>
      </c>
      <c r="C406" s="33" t="s">
        <v>346</v>
      </c>
      <c r="D406" s="33" t="s">
        <v>17</v>
      </c>
      <c r="E406" s="33" t="s">
        <v>666</v>
      </c>
      <c r="F406" s="35">
        <v>0.1</v>
      </c>
      <c r="G406" s="40">
        <v>0</v>
      </c>
      <c r="H406" s="40">
        <v>0</v>
      </c>
      <c r="I406" s="40">
        <v>0</v>
      </c>
      <c r="J406" s="40">
        <v>0</v>
      </c>
      <c r="K406" s="40">
        <v>0</v>
      </c>
      <c r="L406" s="40">
        <v>0</v>
      </c>
      <c r="M406" s="40">
        <f t="shared" si="13"/>
        <v>0</v>
      </c>
      <c r="N406" s="40">
        <f t="shared" si="14"/>
        <v>0</v>
      </c>
    </row>
    <row r="407" spans="1:14" x14ac:dyDescent="0.35">
      <c r="A407" s="33">
        <v>404</v>
      </c>
      <c r="B407" s="34" t="s">
        <v>721</v>
      </c>
      <c r="C407" s="33" t="s">
        <v>346</v>
      </c>
      <c r="D407" s="33" t="s">
        <v>17</v>
      </c>
      <c r="E407" s="33" t="s">
        <v>666</v>
      </c>
      <c r="F407" s="35">
        <v>0.125</v>
      </c>
      <c r="G407" s="40">
        <v>0</v>
      </c>
      <c r="H407" s="40">
        <v>0</v>
      </c>
      <c r="I407" s="40">
        <v>0</v>
      </c>
      <c r="J407" s="40">
        <v>0</v>
      </c>
      <c r="K407" s="40">
        <v>0</v>
      </c>
      <c r="L407" s="40">
        <v>0</v>
      </c>
      <c r="M407" s="40">
        <f t="shared" si="13"/>
        <v>0</v>
      </c>
      <c r="N407" s="40">
        <f t="shared" si="14"/>
        <v>0</v>
      </c>
    </row>
    <row r="408" spans="1:14" x14ac:dyDescent="0.35">
      <c r="A408" s="33">
        <v>405</v>
      </c>
      <c r="B408" s="34" t="s">
        <v>722</v>
      </c>
      <c r="C408" s="33" t="s">
        <v>346</v>
      </c>
      <c r="D408" s="33" t="s">
        <v>17</v>
      </c>
      <c r="E408" s="33" t="s">
        <v>666</v>
      </c>
      <c r="F408" s="35">
        <v>0.2</v>
      </c>
      <c r="G408" s="40">
        <v>0</v>
      </c>
      <c r="H408" s="40">
        <v>0</v>
      </c>
      <c r="I408" s="40">
        <v>0</v>
      </c>
      <c r="J408" s="40">
        <v>0</v>
      </c>
      <c r="K408" s="40">
        <v>0</v>
      </c>
      <c r="L408" s="40">
        <v>0</v>
      </c>
      <c r="M408" s="40">
        <f t="shared" si="13"/>
        <v>0</v>
      </c>
      <c r="N408" s="40">
        <f t="shared" si="14"/>
        <v>0</v>
      </c>
    </row>
    <row r="409" spans="1:14" x14ac:dyDescent="0.35">
      <c r="A409" s="33">
        <v>406</v>
      </c>
      <c r="B409" s="34" t="s">
        <v>723</v>
      </c>
      <c r="C409" s="33" t="s">
        <v>346</v>
      </c>
      <c r="D409" s="33" t="s">
        <v>17</v>
      </c>
      <c r="E409" s="33" t="s">
        <v>666</v>
      </c>
      <c r="F409" s="35">
        <v>0.1</v>
      </c>
      <c r="G409" s="40">
        <v>0</v>
      </c>
      <c r="H409" s="40">
        <v>0</v>
      </c>
      <c r="I409" s="40">
        <v>0</v>
      </c>
      <c r="J409" s="40">
        <v>0</v>
      </c>
      <c r="K409" s="40">
        <v>0</v>
      </c>
      <c r="L409" s="40">
        <v>0</v>
      </c>
      <c r="M409" s="40">
        <f t="shared" si="13"/>
        <v>0</v>
      </c>
      <c r="N409" s="40">
        <f t="shared" si="14"/>
        <v>0</v>
      </c>
    </row>
    <row r="410" spans="1:14" x14ac:dyDescent="0.35">
      <c r="A410" s="33">
        <v>407</v>
      </c>
      <c r="B410" s="34" t="s">
        <v>724</v>
      </c>
      <c r="C410" s="33" t="s">
        <v>346</v>
      </c>
      <c r="D410" s="33" t="s">
        <v>17</v>
      </c>
      <c r="E410" s="33" t="s">
        <v>666</v>
      </c>
      <c r="F410" s="35">
        <v>0.15</v>
      </c>
      <c r="G410" s="40">
        <v>0</v>
      </c>
      <c r="H410" s="40">
        <v>0</v>
      </c>
      <c r="I410" s="40">
        <v>0</v>
      </c>
      <c r="J410" s="40">
        <v>0</v>
      </c>
      <c r="K410" s="40">
        <v>0</v>
      </c>
      <c r="L410" s="40">
        <v>0</v>
      </c>
      <c r="M410" s="40">
        <f t="shared" si="13"/>
        <v>0</v>
      </c>
      <c r="N410" s="40">
        <f t="shared" si="14"/>
        <v>0</v>
      </c>
    </row>
    <row r="411" spans="1:14" x14ac:dyDescent="0.35">
      <c r="A411" s="33">
        <v>408</v>
      </c>
      <c r="B411" s="34" t="s">
        <v>725</v>
      </c>
      <c r="C411" s="33" t="s">
        <v>346</v>
      </c>
      <c r="D411" s="33" t="s">
        <v>17</v>
      </c>
      <c r="E411" s="33" t="s">
        <v>666</v>
      </c>
      <c r="F411" s="35">
        <v>0.2</v>
      </c>
      <c r="G411" s="40">
        <v>0</v>
      </c>
      <c r="H411" s="40">
        <v>0</v>
      </c>
      <c r="I411" s="40">
        <v>0</v>
      </c>
      <c r="J411" s="40">
        <v>0</v>
      </c>
      <c r="K411" s="40">
        <v>0</v>
      </c>
      <c r="L411" s="40">
        <v>0</v>
      </c>
      <c r="M411" s="40">
        <f t="shared" si="13"/>
        <v>0</v>
      </c>
      <c r="N411" s="40">
        <f t="shared" si="14"/>
        <v>0</v>
      </c>
    </row>
    <row r="412" spans="1:14" x14ac:dyDescent="0.35">
      <c r="A412" s="33">
        <v>409</v>
      </c>
      <c r="B412" s="34" t="s">
        <v>726</v>
      </c>
      <c r="C412" s="33" t="s">
        <v>346</v>
      </c>
      <c r="D412" s="33" t="s">
        <v>17</v>
      </c>
      <c r="E412" s="33" t="s">
        <v>666</v>
      </c>
      <c r="F412" s="35">
        <v>0.1</v>
      </c>
      <c r="G412" s="40">
        <v>0</v>
      </c>
      <c r="H412" s="40">
        <v>0</v>
      </c>
      <c r="I412" s="40">
        <v>0</v>
      </c>
      <c r="J412" s="40">
        <v>0</v>
      </c>
      <c r="K412" s="40">
        <v>0</v>
      </c>
      <c r="L412" s="40">
        <v>0</v>
      </c>
      <c r="M412" s="40">
        <f t="shared" si="13"/>
        <v>0</v>
      </c>
      <c r="N412" s="40">
        <f t="shared" si="14"/>
        <v>0</v>
      </c>
    </row>
    <row r="413" spans="1:14" x14ac:dyDescent="0.35">
      <c r="A413" s="33">
        <v>410</v>
      </c>
      <c r="B413" s="34" t="s">
        <v>727</v>
      </c>
      <c r="C413" s="33" t="s">
        <v>346</v>
      </c>
      <c r="D413" s="33" t="s">
        <v>17</v>
      </c>
      <c r="E413" s="33" t="s">
        <v>666</v>
      </c>
      <c r="F413" s="35">
        <v>0.23</v>
      </c>
      <c r="G413" s="40">
        <v>0</v>
      </c>
      <c r="H413" s="40">
        <v>0</v>
      </c>
      <c r="I413" s="40">
        <v>0</v>
      </c>
      <c r="J413" s="40">
        <v>0</v>
      </c>
      <c r="K413" s="40">
        <v>0</v>
      </c>
      <c r="L413" s="40">
        <v>0</v>
      </c>
      <c r="M413" s="40">
        <f t="shared" si="13"/>
        <v>0</v>
      </c>
      <c r="N413" s="40">
        <f t="shared" si="14"/>
        <v>0</v>
      </c>
    </row>
    <row r="414" spans="1:14" x14ac:dyDescent="0.35">
      <c r="A414" s="33">
        <v>411</v>
      </c>
      <c r="B414" s="34" t="s">
        <v>728</v>
      </c>
      <c r="C414" s="33" t="s">
        <v>346</v>
      </c>
      <c r="D414" s="33" t="s">
        <v>17</v>
      </c>
      <c r="E414" s="33" t="s">
        <v>666</v>
      </c>
      <c r="F414" s="35">
        <v>0.1</v>
      </c>
      <c r="G414" s="40">
        <v>0</v>
      </c>
      <c r="H414" s="40">
        <v>0</v>
      </c>
      <c r="I414" s="40">
        <v>0</v>
      </c>
      <c r="J414" s="40">
        <v>0</v>
      </c>
      <c r="K414" s="40">
        <v>0</v>
      </c>
      <c r="L414" s="40">
        <v>0</v>
      </c>
      <c r="M414" s="40">
        <f t="shared" si="13"/>
        <v>0</v>
      </c>
      <c r="N414" s="40">
        <f t="shared" si="14"/>
        <v>0</v>
      </c>
    </row>
    <row r="415" spans="1:14" x14ac:dyDescent="0.35">
      <c r="A415" s="33">
        <v>412</v>
      </c>
      <c r="B415" s="34" t="s">
        <v>729</v>
      </c>
      <c r="C415" s="33" t="s">
        <v>346</v>
      </c>
      <c r="D415" s="33" t="s">
        <v>17</v>
      </c>
      <c r="E415" s="33" t="s">
        <v>666</v>
      </c>
      <c r="F415" s="35">
        <v>0.1</v>
      </c>
      <c r="G415" s="40">
        <v>0</v>
      </c>
      <c r="H415" s="40">
        <v>0</v>
      </c>
      <c r="I415" s="40">
        <v>0</v>
      </c>
      <c r="J415" s="40">
        <v>0</v>
      </c>
      <c r="K415" s="40">
        <v>0</v>
      </c>
      <c r="L415" s="40">
        <v>0</v>
      </c>
      <c r="M415" s="40">
        <f t="shared" si="13"/>
        <v>0</v>
      </c>
      <c r="N415" s="40">
        <f t="shared" si="14"/>
        <v>0</v>
      </c>
    </row>
    <row r="416" spans="1:14" x14ac:dyDescent="0.35">
      <c r="A416" s="33">
        <v>413</v>
      </c>
      <c r="B416" s="34" t="s">
        <v>730</v>
      </c>
      <c r="C416" s="33" t="s">
        <v>346</v>
      </c>
      <c r="D416" s="33" t="s">
        <v>17</v>
      </c>
      <c r="E416" s="33" t="s">
        <v>666</v>
      </c>
      <c r="F416" s="35">
        <v>0.23</v>
      </c>
      <c r="G416" s="40">
        <v>0</v>
      </c>
      <c r="H416" s="40">
        <v>0</v>
      </c>
      <c r="I416" s="40">
        <v>0</v>
      </c>
      <c r="J416" s="40">
        <v>0</v>
      </c>
      <c r="K416" s="40">
        <v>0</v>
      </c>
      <c r="L416" s="40">
        <v>0</v>
      </c>
      <c r="M416" s="40">
        <f t="shared" si="13"/>
        <v>0</v>
      </c>
      <c r="N416" s="40">
        <f t="shared" si="14"/>
        <v>0</v>
      </c>
    </row>
    <row r="417" spans="1:14" x14ac:dyDescent="0.35">
      <c r="A417" s="33">
        <v>414</v>
      </c>
      <c r="B417" s="34" t="s">
        <v>731</v>
      </c>
      <c r="C417" s="33" t="s">
        <v>346</v>
      </c>
      <c r="D417" s="33" t="s">
        <v>17</v>
      </c>
      <c r="E417" s="33" t="s">
        <v>666</v>
      </c>
      <c r="F417" s="35">
        <v>0.23</v>
      </c>
      <c r="G417" s="40">
        <v>0</v>
      </c>
      <c r="H417" s="40">
        <v>0</v>
      </c>
      <c r="I417" s="40">
        <v>0</v>
      </c>
      <c r="J417" s="40">
        <v>0</v>
      </c>
      <c r="K417" s="40">
        <v>0</v>
      </c>
      <c r="L417" s="40">
        <v>0</v>
      </c>
      <c r="M417" s="40">
        <f t="shared" si="13"/>
        <v>0</v>
      </c>
      <c r="N417" s="40">
        <f t="shared" si="14"/>
        <v>0</v>
      </c>
    </row>
    <row r="418" spans="1:14" x14ac:dyDescent="0.35">
      <c r="A418" s="33">
        <v>415</v>
      </c>
      <c r="B418" s="34" t="s">
        <v>732</v>
      </c>
      <c r="C418" s="33" t="s">
        <v>346</v>
      </c>
      <c r="D418" s="33" t="s">
        <v>17</v>
      </c>
      <c r="E418" s="33" t="s">
        <v>666</v>
      </c>
      <c r="F418" s="35">
        <v>0.5</v>
      </c>
      <c r="G418" s="40">
        <v>0</v>
      </c>
      <c r="H418" s="40">
        <v>0</v>
      </c>
      <c r="I418" s="40">
        <v>0</v>
      </c>
      <c r="J418" s="40">
        <v>0</v>
      </c>
      <c r="K418" s="40">
        <v>0</v>
      </c>
      <c r="L418" s="40">
        <v>0</v>
      </c>
      <c r="M418" s="40">
        <f t="shared" si="13"/>
        <v>0</v>
      </c>
      <c r="N418" s="40">
        <f t="shared" si="14"/>
        <v>0</v>
      </c>
    </row>
    <row r="419" spans="1:14" x14ac:dyDescent="0.35">
      <c r="A419" s="33">
        <v>416</v>
      </c>
      <c r="B419" s="34" t="s">
        <v>733</v>
      </c>
      <c r="C419" s="33" t="s">
        <v>346</v>
      </c>
      <c r="D419" s="33" t="s">
        <v>17</v>
      </c>
      <c r="E419" s="33" t="s">
        <v>666</v>
      </c>
      <c r="F419" s="35">
        <v>1</v>
      </c>
      <c r="G419" s="40">
        <v>0</v>
      </c>
      <c r="H419" s="40">
        <v>0</v>
      </c>
      <c r="I419" s="40">
        <v>0</v>
      </c>
      <c r="J419" s="40">
        <v>0</v>
      </c>
      <c r="K419" s="40">
        <v>0</v>
      </c>
      <c r="L419" s="40">
        <v>0</v>
      </c>
      <c r="M419" s="40">
        <f t="shared" si="13"/>
        <v>0</v>
      </c>
      <c r="N419" s="40">
        <f t="shared" si="14"/>
        <v>0</v>
      </c>
    </row>
    <row r="420" spans="1:14" x14ac:dyDescent="0.35">
      <c r="A420" s="33">
        <v>417</v>
      </c>
      <c r="B420" s="34" t="s">
        <v>734</v>
      </c>
      <c r="C420" s="33" t="s">
        <v>346</v>
      </c>
      <c r="D420" s="33" t="s">
        <v>17</v>
      </c>
      <c r="E420" s="33" t="s">
        <v>666</v>
      </c>
      <c r="F420" s="35">
        <v>1</v>
      </c>
      <c r="G420" s="40">
        <v>0</v>
      </c>
      <c r="H420" s="40">
        <v>0</v>
      </c>
      <c r="I420" s="40">
        <v>0</v>
      </c>
      <c r="J420" s="40">
        <v>0</v>
      </c>
      <c r="K420" s="40">
        <v>0</v>
      </c>
      <c r="L420" s="40">
        <v>0</v>
      </c>
      <c r="M420" s="40">
        <f t="shared" si="13"/>
        <v>0</v>
      </c>
      <c r="N420" s="40">
        <f t="shared" si="14"/>
        <v>0</v>
      </c>
    </row>
    <row r="421" spans="1:14" x14ac:dyDescent="0.35">
      <c r="A421" s="33">
        <v>418</v>
      </c>
      <c r="B421" s="34" t="s">
        <v>735</v>
      </c>
      <c r="C421" s="33" t="s">
        <v>346</v>
      </c>
      <c r="D421" s="33" t="s">
        <v>17</v>
      </c>
      <c r="E421" s="33" t="s">
        <v>666</v>
      </c>
      <c r="F421" s="35">
        <v>1</v>
      </c>
      <c r="G421" s="40">
        <v>0</v>
      </c>
      <c r="H421" s="40">
        <v>0</v>
      </c>
      <c r="I421" s="40">
        <v>0</v>
      </c>
      <c r="J421" s="40">
        <v>0</v>
      </c>
      <c r="K421" s="40">
        <v>0</v>
      </c>
      <c r="L421" s="40">
        <v>0</v>
      </c>
      <c r="M421" s="40">
        <f t="shared" si="13"/>
        <v>0</v>
      </c>
      <c r="N421" s="40">
        <f t="shared" si="14"/>
        <v>0</v>
      </c>
    </row>
    <row r="422" spans="1:14" x14ac:dyDescent="0.35">
      <c r="A422" s="33">
        <v>419</v>
      </c>
      <c r="B422" s="34" t="s">
        <v>736</v>
      </c>
      <c r="C422" s="33" t="s">
        <v>346</v>
      </c>
      <c r="D422" s="33" t="s">
        <v>17</v>
      </c>
      <c r="E422" s="33" t="s">
        <v>666</v>
      </c>
      <c r="F422" s="35">
        <v>1</v>
      </c>
      <c r="G422" s="40">
        <v>0</v>
      </c>
      <c r="H422" s="40">
        <v>0</v>
      </c>
      <c r="I422" s="40">
        <v>0</v>
      </c>
      <c r="J422" s="40">
        <v>0</v>
      </c>
      <c r="K422" s="40">
        <v>0</v>
      </c>
      <c r="L422" s="40">
        <v>0</v>
      </c>
      <c r="M422" s="40">
        <f t="shared" si="13"/>
        <v>0</v>
      </c>
      <c r="N422" s="40">
        <f t="shared" si="14"/>
        <v>0</v>
      </c>
    </row>
    <row r="423" spans="1:14" x14ac:dyDescent="0.35">
      <c r="A423" s="33">
        <v>420</v>
      </c>
      <c r="B423" s="34" t="s">
        <v>737</v>
      </c>
      <c r="C423" s="33" t="s">
        <v>346</v>
      </c>
      <c r="D423" s="33" t="s">
        <v>17</v>
      </c>
      <c r="E423" s="33" t="s">
        <v>666</v>
      </c>
      <c r="F423" s="35">
        <v>1</v>
      </c>
      <c r="G423" s="40">
        <v>0</v>
      </c>
      <c r="H423" s="40">
        <v>0</v>
      </c>
      <c r="I423" s="40">
        <v>0</v>
      </c>
      <c r="J423" s="40">
        <v>0</v>
      </c>
      <c r="K423" s="40">
        <v>0</v>
      </c>
      <c r="L423" s="40">
        <v>0</v>
      </c>
      <c r="M423" s="40">
        <f t="shared" si="13"/>
        <v>0</v>
      </c>
      <c r="N423" s="40">
        <f t="shared" si="14"/>
        <v>0</v>
      </c>
    </row>
    <row r="424" spans="1:14" x14ac:dyDescent="0.35">
      <c r="A424" s="33">
        <v>421</v>
      </c>
      <c r="B424" s="34" t="s">
        <v>738</v>
      </c>
      <c r="C424" s="33" t="s">
        <v>346</v>
      </c>
      <c r="D424" s="33" t="s">
        <v>17</v>
      </c>
      <c r="E424" s="33" t="s">
        <v>666</v>
      </c>
      <c r="F424" s="35">
        <v>0.25</v>
      </c>
      <c r="G424" s="40">
        <v>0</v>
      </c>
      <c r="H424" s="40">
        <v>0</v>
      </c>
      <c r="I424" s="40">
        <v>0</v>
      </c>
      <c r="J424" s="40">
        <v>0</v>
      </c>
      <c r="K424" s="40">
        <v>0</v>
      </c>
      <c r="L424" s="40">
        <v>0</v>
      </c>
      <c r="M424" s="40">
        <f t="shared" si="13"/>
        <v>0</v>
      </c>
      <c r="N424" s="40">
        <f t="shared" si="14"/>
        <v>0</v>
      </c>
    </row>
    <row r="425" spans="1:14" x14ac:dyDescent="0.35">
      <c r="A425" s="33">
        <v>422</v>
      </c>
      <c r="B425" s="34" t="s">
        <v>739</v>
      </c>
      <c r="C425" s="33" t="s">
        <v>346</v>
      </c>
      <c r="D425" s="33" t="s">
        <v>17</v>
      </c>
      <c r="E425" s="33" t="s">
        <v>666</v>
      </c>
      <c r="F425" s="35">
        <v>1</v>
      </c>
      <c r="G425" s="40">
        <v>0</v>
      </c>
      <c r="H425" s="40">
        <v>0</v>
      </c>
      <c r="I425" s="40">
        <v>0</v>
      </c>
      <c r="J425" s="40">
        <v>0</v>
      </c>
      <c r="K425" s="40">
        <v>0</v>
      </c>
      <c r="L425" s="40">
        <v>0</v>
      </c>
      <c r="M425" s="40">
        <f t="shared" si="13"/>
        <v>0</v>
      </c>
      <c r="N425" s="40">
        <f t="shared" si="14"/>
        <v>0</v>
      </c>
    </row>
    <row r="426" spans="1:14" x14ac:dyDescent="0.35">
      <c r="A426" s="33">
        <v>423</v>
      </c>
      <c r="B426" s="34" t="s">
        <v>740</v>
      </c>
      <c r="C426" s="33" t="s">
        <v>346</v>
      </c>
      <c r="D426" s="33" t="s">
        <v>17</v>
      </c>
      <c r="E426" s="33" t="s">
        <v>666</v>
      </c>
      <c r="F426" s="35">
        <v>1</v>
      </c>
      <c r="G426" s="40">
        <v>0</v>
      </c>
      <c r="H426" s="40">
        <v>0</v>
      </c>
      <c r="I426" s="40">
        <v>0</v>
      </c>
      <c r="J426" s="40">
        <v>0</v>
      </c>
      <c r="K426" s="40">
        <v>0</v>
      </c>
      <c r="L426" s="40">
        <v>0</v>
      </c>
      <c r="M426" s="40">
        <f t="shared" si="13"/>
        <v>0</v>
      </c>
      <c r="N426" s="40">
        <f t="shared" si="14"/>
        <v>0</v>
      </c>
    </row>
    <row r="427" spans="1:14" x14ac:dyDescent="0.35">
      <c r="A427" s="33">
        <v>424</v>
      </c>
      <c r="B427" s="34" t="s">
        <v>741</v>
      </c>
      <c r="C427" s="33" t="s">
        <v>346</v>
      </c>
      <c r="D427" s="33" t="s">
        <v>17</v>
      </c>
      <c r="E427" s="33" t="s">
        <v>666</v>
      </c>
      <c r="F427" s="35">
        <v>1</v>
      </c>
      <c r="G427" s="40">
        <v>0</v>
      </c>
      <c r="H427" s="40">
        <v>0</v>
      </c>
      <c r="I427" s="40">
        <v>0</v>
      </c>
      <c r="J427" s="40">
        <v>0</v>
      </c>
      <c r="K427" s="40">
        <v>0</v>
      </c>
      <c r="L427" s="40">
        <v>0</v>
      </c>
      <c r="M427" s="40">
        <f t="shared" si="13"/>
        <v>0</v>
      </c>
      <c r="N427" s="40">
        <f t="shared" si="14"/>
        <v>0</v>
      </c>
    </row>
    <row r="428" spans="1:14" x14ac:dyDescent="0.35">
      <c r="A428" s="33">
        <v>425</v>
      </c>
      <c r="B428" s="34" t="s">
        <v>742</v>
      </c>
      <c r="C428" s="33" t="s">
        <v>346</v>
      </c>
      <c r="D428" s="33" t="s">
        <v>17</v>
      </c>
      <c r="E428" s="33" t="s">
        <v>666</v>
      </c>
      <c r="F428" s="35">
        <v>0.55000000000000004</v>
      </c>
      <c r="G428" s="40">
        <v>0</v>
      </c>
      <c r="H428" s="40">
        <v>0</v>
      </c>
      <c r="I428" s="40">
        <v>0</v>
      </c>
      <c r="J428" s="40">
        <v>0</v>
      </c>
      <c r="K428" s="40">
        <v>0</v>
      </c>
      <c r="L428" s="40">
        <v>0</v>
      </c>
      <c r="M428" s="40">
        <f t="shared" si="13"/>
        <v>0</v>
      </c>
      <c r="N428" s="40">
        <f t="shared" si="14"/>
        <v>0</v>
      </c>
    </row>
    <row r="429" spans="1:14" x14ac:dyDescent="0.35">
      <c r="A429" s="33">
        <v>426</v>
      </c>
      <c r="B429" s="34" t="s">
        <v>743</v>
      </c>
      <c r="C429" s="33" t="s">
        <v>346</v>
      </c>
      <c r="D429" s="33" t="s">
        <v>17</v>
      </c>
      <c r="E429" s="33" t="s">
        <v>666</v>
      </c>
      <c r="F429" s="35">
        <v>0.2</v>
      </c>
      <c r="G429" s="40">
        <v>0</v>
      </c>
      <c r="H429" s="40">
        <v>0</v>
      </c>
      <c r="I429" s="40">
        <v>0</v>
      </c>
      <c r="J429" s="40">
        <v>0</v>
      </c>
      <c r="K429" s="40">
        <v>0</v>
      </c>
      <c r="L429" s="40">
        <v>0</v>
      </c>
      <c r="M429" s="40">
        <f t="shared" si="13"/>
        <v>0</v>
      </c>
      <c r="N429" s="40">
        <f t="shared" si="14"/>
        <v>0</v>
      </c>
    </row>
    <row r="430" spans="1:14" x14ac:dyDescent="0.35">
      <c r="A430" s="33">
        <v>427</v>
      </c>
      <c r="B430" s="34" t="s">
        <v>744</v>
      </c>
      <c r="C430" s="33" t="s">
        <v>346</v>
      </c>
      <c r="D430" s="33" t="s">
        <v>17</v>
      </c>
      <c r="E430" s="33" t="s">
        <v>666</v>
      </c>
      <c r="F430" s="35">
        <v>0.25</v>
      </c>
      <c r="G430" s="40">
        <v>0</v>
      </c>
      <c r="H430" s="40">
        <v>0</v>
      </c>
      <c r="I430" s="40">
        <v>0</v>
      </c>
      <c r="J430" s="40">
        <v>0</v>
      </c>
      <c r="K430" s="40">
        <v>0</v>
      </c>
      <c r="L430" s="40">
        <v>0</v>
      </c>
      <c r="M430" s="40">
        <f t="shared" si="13"/>
        <v>0</v>
      </c>
      <c r="N430" s="40">
        <f t="shared" si="14"/>
        <v>0</v>
      </c>
    </row>
    <row r="431" spans="1:14" x14ac:dyDescent="0.35">
      <c r="A431" s="33">
        <v>428</v>
      </c>
      <c r="B431" s="34" t="s">
        <v>745</v>
      </c>
      <c r="C431" s="33" t="s">
        <v>346</v>
      </c>
      <c r="D431" s="33" t="s">
        <v>17</v>
      </c>
      <c r="E431" s="33" t="s">
        <v>666</v>
      </c>
      <c r="F431" s="35">
        <v>0.5</v>
      </c>
      <c r="G431" s="40">
        <v>0</v>
      </c>
      <c r="H431" s="40">
        <v>0</v>
      </c>
      <c r="I431" s="40">
        <v>0</v>
      </c>
      <c r="J431" s="40">
        <v>0</v>
      </c>
      <c r="K431" s="40">
        <v>0</v>
      </c>
      <c r="L431" s="40">
        <v>0</v>
      </c>
      <c r="M431" s="40">
        <f t="shared" si="13"/>
        <v>0</v>
      </c>
      <c r="N431" s="40">
        <f t="shared" si="14"/>
        <v>0</v>
      </c>
    </row>
    <row r="432" spans="1:14" x14ac:dyDescent="0.35">
      <c r="A432" s="33">
        <v>429</v>
      </c>
      <c r="B432" s="34" t="s">
        <v>746</v>
      </c>
      <c r="C432" s="33" t="s">
        <v>346</v>
      </c>
      <c r="D432" s="33" t="s">
        <v>17</v>
      </c>
      <c r="E432" s="33" t="s">
        <v>666</v>
      </c>
      <c r="F432" s="35">
        <v>1</v>
      </c>
      <c r="G432" s="40">
        <v>0</v>
      </c>
      <c r="H432" s="40">
        <v>0</v>
      </c>
      <c r="I432" s="40">
        <v>0</v>
      </c>
      <c r="J432" s="40">
        <v>0</v>
      </c>
      <c r="K432" s="40">
        <v>0</v>
      </c>
      <c r="L432" s="40">
        <v>0</v>
      </c>
      <c r="M432" s="40">
        <f t="shared" si="13"/>
        <v>0</v>
      </c>
      <c r="N432" s="40">
        <f t="shared" si="14"/>
        <v>0</v>
      </c>
    </row>
    <row r="433" spans="1:14" x14ac:dyDescent="0.35">
      <c r="A433" s="33">
        <v>430</v>
      </c>
      <c r="B433" s="34" t="s">
        <v>747</v>
      </c>
      <c r="C433" s="33" t="s">
        <v>346</v>
      </c>
      <c r="D433" s="33" t="s">
        <v>17</v>
      </c>
      <c r="E433" s="33" t="s">
        <v>666</v>
      </c>
      <c r="F433" s="35">
        <v>1</v>
      </c>
      <c r="G433" s="40">
        <v>0</v>
      </c>
      <c r="H433" s="40">
        <v>0</v>
      </c>
      <c r="I433" s="40">
        <v>0</v>
      </c>
      <c r="J433" s="40">
        <v>0</v>
      </c>
      <c r="K433" s="40">
        <v>0</v>
      </c>
      <c r="L433" s="40">
        <v>0</v>
      </c>
      <c r="M433" s="40">
        <f t="shared" si="13"/>
        <v>0</v>
      </c>
      <c r="N433" s="40">
        <f t="shared" si="14"/>
        <v>0</v>
      </c>
    </row>
    <row r="434" spans="1:14" x14ac:dyDescent="0.35">
      <c r="A434" s="33">
        <v>431</v>
      </c>
      <c r="B434" s="34" t="s">
        <v>748</v>
      </c>
      <c r="C434" s="33" t="s">
        <v>346</v>
      </c>
      <c r="D434" s="33" t="s">
        <v>17</v>
      </c>
      <c r="E434" s="33" t="s">
        <v>666</v>
      </c>
      <c r="F434" s="35">
        <v>1</v>
      </c>
      <c r="G434" s="40">
        <v>0</v>
      </c>
      <c r="H434" s="40">
        <v>0</v>
      </c>
      <c r="I434" s="40">
        <v>0</v>
      </c>
      <c r="J434" s="40">
        <v>0</v>
      </c>
      <c r="K434" s="40">
        <v>0</v>
      </c>
      <c r="L434" s="40">
        <v>0</v>
      </c>
      <c r="M434" s="40">
        <f t="shared" si="13"/>
        <v>0</v>
      </c>
      <c r="N434" s="40">
        <f t="shared" si="14"/>
        <v>0</v>
      </c>
    </row>
    <row r="435" spans="1:14" x14ac:dyDescent="0.35">
      <c r="A435" s="33">
        <v>432</v>
      </c>
      <c r="B435" s="34" t="s">
        <v>749</v>
      </c>
      <c r="C435" s="33" t="s">
        <v>346</v>
      </c>
      <c r="D435" s="33" t="s">
        <v>17</v>
      </c>
      <c r="E435" s="33" t="s">
        <v>666</v>
      </c>
      <c r="F435" s="35">
        <v>1</v>
      </c>
      <c r="G435" s="40">
        <v>0</v>
      </c>
      <c r="H435" s="40">
        <v>0</v>
      </c>
      <c r="I435" s="40">
        <v>0</v>
      </c>
      <c r="J435" s="40">
        <v>0</v>
      </c>
      <c r="K435" s="40">
        <v>0</v>
      </c>
      <c r="L435" s="40">
        <v>0</v>
      </c>
      <c r="M435" s="40">
        <f t="shared" si="13"/>
        <v>0</v>
      </c>
      <c r="N435" s="40">
        <f t="shared" si="14"/>
        <v>0</v>
      </c>
    </row>
    <row r="436" spans="1:14" x14ac:dyDescent="0.35">
      <c r="A436" s="33">
        <v>433</v>
      </c>
      <c r="B436" s="34" t="s">
        <v>750</v>
      </c>
      <c r="C436" s="33" t="s">
        <v>346</v>
      </c>
      <c r="D436" s="33" t="s">
        <v>17</v>
      </c>
      <c r="E436" s="33" t="s">
        <v>666</v>
      </c>
      <c r="F436" s="35">
        <v>0.1</v>
      </c>
      <c r="G436" s="40">
        <v>0</v>
      </c>
      <c r="H436" s="40">
        <v>0</v>
      </c>
      <c r="I436" s="40">
        <v>0</v>
      </c>
      <c r="J436" s="40">
        <v>0</v>
      </c>
      <c r="K436" s="40">
        <v>0</v>
      </c>
      <c r="L436" s="40">
        <v>0</v>
      </c>
      <c r="M436" s="40">
        <f t="shared" si="13"/>
        <v>0</v>
      </c>
      <c r="N436" s="40">
        <f t="shared" si="14"/>
        <v>0</v>
      </c>
    </row>
    <row r="437" spans="1:14" x14ac:dyDescent="0.35">
      <c r="A437" s="33">
        <v>434</v>
      </c>
      <c r="B437" s="34" t="s">
        <v>751</v>
      </c>
      <c r="C437" s="33" t="s">
        <v>346</v>
      </c>
      <c r="D437" s="33" t="s">
        <v>17</v>
      </c>
      <c r="E437" s="33" t="s">
        <v>666</v>
      </c>
      <c r="F437" s="35">
        <v>0.2</v>
      </c>
      <c r="G437" s="40">
        <v>0</v>
      </c>
      <c r="H437" s="40">
        <v>0</v>
      </c>
      <c r="I437" s="40">
        <v>0</v>
      </c>
      <c r="J437" s="40">
        <v>0</v>
      </c>
      <c r="K437" s="40">
        <v>0</v>
      </c>
      <c r="L437" s="40">
        <v>0</v>
      </c>
      <c r="M437" s="40">
        <f t="shared" si="13"/>
        <v>0</v>
      </c>
      <c r="N437" s="40">
        <f t="shared" si="14"/>
        <v>0</v>
      </c>
    </row>
    <row r="438" spans="1:14" x14ac:dyDescent="0.35">
      <c r="A438" s="33">
        <v>435</v>
      </c>
      <c r="B438" s="34" t="s">
        <v>752</v>
      </c>
      <c r="C438" s="33" t="s">
        <v>346</v>
      </c>
      <c r="D438" s="33" t="s">
        <v>17</v>
      </c>
      <c r="E438" s="33" t="s">
        <v>666</v>
      </c>
      <c r="F438" s="35">
        <v>0.2</v>
      </c>
      <c r="G438" s="40">
        <v>0</v>
      </c>
      <c r="H438" s="40">
        <v>0</v>
      </c>
      <c r="I438" s="40">
        <v>0</v>
      </c>
      <c r="J438" s="40">
        <v>0</v>
      </c>
      <c r="K438" s="40">
        <v>0</v>
      </c>
      <c r="L438" s="40">
        <v>0</v>
      </c>
      <c r="M438" s="40">
        <f t="shared" si="13"/>
        <v>0</v>
      </c>
      <c r="N438" s="40">
        <f t="shared" si="14"/>
        <v>0</v>
      </c>
    </row>
    <row r="439" spans="1:14" x14ac:dyDescent="0.35">
      <c r="A439" s="33">
        <v>436</v>
      </c>
      <c r="B439" s="34" t="s">
        <v>753</v>
      </c>
      <c r="C439" s="33" t="s">
        <v>346</v>
      </c>
      <c r="D439" s="33" t="s">
        <v>17</v>
      </c>
      <c r="E439" s="33" t="s">
        <v>666</v>
      </c>
      <c r="F439" s="35">
        <v>0.05</v>
      </c>
      <c r="G439" s="40">
        <v>0</v>
      </c>
      <c r="H439" s="40">
        <v>0</v>
      </c>
      <c r="I439" s="40">
        <v>0</v>
      </c>
      <c r="J439" s="40">
        <v>0</v>
      </c>
      <c r="K439" s="40">
        <v>0</v>
      </c>
      <c r="L439" s="40">
        <v>0</v>
      </c>
      <c r="M439" s="40">
        <f t="shared" si="13"/>
        <v>0</v>
      </c>
      <c r="N439" s="40">
        <f t="shared" si="14"/>
        <v>0</v>
      </c>
    </row>
    <row r="440" spans="1:14" x14ac:dyDescent="0.35">
      <c r="A440" s="33">
        <v>437</v>
      </c>
      <c r="B440" s="34" t="s">
        <v>754</v>
      </c>
      <c r="C440" s="33" t="s">
        <v>346</v>
      </c>
      <c r="D440" s="33" t="s">
        <v>17</v>
      </c>
      <c r="E440" s="33" t="s">
        <v>666</v>
      </c>
      <c r="F440" s="35">
        <v>0.05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  <c r="L440" s="40">
        <v>0</v>
      </c>
      <c r="M440" s="40">
        <f t="shared" si="13"/>
        <v>0</v>
      </c>
      <c r="N440" s="40">
        <f t="shared" si="14"/>
        <v>0</v>
      </c>
    </row>
    <row r="441" spans="1:14" x14ac:dyDescent="0.35">
      <c r="A441" s="33">
        <v>438</v>
      </c>
      <c r="B441" s="34" t="s">
        <v>755</v>
      </c>
      <c r="C441" s="33" t="s">
        <v>346</v>
      </c>
      <c r="D441" s="33" t="s">
        <v>17</v>
      </c>
      <c r="E441" s="33" t="s">
        <v>666</v>
      </c>
      <c r="F441" s="35">
        <v>1</v>
      </c>
      <c r="G441" s="40">
        <v>0</v>
      </c>
      <c r="H441" s="40">
        <v>0</v>
      </c>
      <c r="I441" s="40">
        <v>0</v>
      </c>
      <c r="J441" s="40">
        <v>0</v>
      </c>
      <c r="K441" s="40">
        <v>0</v>
      </c>
      <c r="L441" s="40">
        <v>0</v>
      </c>
      <c r="M441" s="40">
        <f t="shared" si="13"/>
        <v>0</v>
      </c>
      <c r="N441" s="40">
        <f t="shared" si="14"/>
        <v>0</v>
      </c>
    </row>
    <row r="442" spans="1:14" x14ac:dyDescent="0.35">
      <c r="A442" s="33">
        <v>439</v>
      </c>
      <c r="B442" s="34" t="s">
        <v>756</v>
      </c>
      <c r="C442" s="33" t="s">
        <v>346</v>
      </c>
      <c r="D442" s="33" t="s">
        <v>17</v>
      </c>
      <c r="E442" s="33" t="s">
        <v>666</v>
      </c>
      <c r="F442" s="35">
        <v>1</v>
      </c>
      <c r="G442" s="40">
        <v>0</v>
      </c>
      <c r="H442" s="40">
        <v>0</v>
      </c>
      <c r="I442" s="40">
        <v>0</v>
      </c>
      <c r="J442" s="40">
        <v>0</v>
      </c>
      <c r="K442" s="40">
        <v>0</v>
      </c>
      <c r="L442" s="40">
        <v>0</v>
      </c>
      <c r="M442" s="40">
        <f t="shared" si="13"/>
        <v>0</v>
      </c>
      <c r="N442" s="40">
        <f t="shared" si="14"/>
        <v>0</v>
      </c>
    </row>
    <row r="443" spans="1:14" x14ac:dyDescent="0.35">
      <c r="A443" s="33">
        <v>440</v>
      </c>
      <c r="B443" s="34" t="s">
        <v>757</v>
      </c>
      <c r="C443" s="33" t="s">
        <v>346</v>
      </c>
      <c r="D443" s="33" t="s">
        <v>17</v>
      </c>
      <c r="E443" s="33" t="s">
        <v>666</v>
      </c>
      <c r="F443" s="35">
        <v>1</v>
      </c>
      <c r="G443" s="40">
        <v>0</v>
      </c>
      <c r="H443" s="40">
        <v>0</v>
      </c>
      <c r="I443" s="40">
        <v>0</v>
      </c>
      <c r="J443" s="40">
        <v>0</v>
      </c>
      <c r="K443" s="40">
        <v>0</v>
      </c>
      <c r="L443" s="40">
        <v>0</v>
      </c>
      <c r="M443" s="40">
        <f t="shared" si="13"/>
        <v>0</v>
      </c>
      <c r="N443" s="40">
        <f t="shared" si="14"/>
        <v>0</v>
      </c>
    </row>
    <row r="444" spans="1:14" x14ac:dyDescent="0.35">
      <c r="A444" s="33">
        <v>441</v>
      </c>
      <c r="B444" s="34" t="s">
        <v>758</v>
      </c>
      <c r="C444" s="33" t="s">
        <v>346</v>
      </c>
      <c r="D444" s="33" t="s">
        <v>17</v>
      </c>
      <c r="E444" s="33" t="s">
        <v>666</v>
      </c>
      <c r="F444" s="35">
        <v>1</v>
      </c>
      <c r="G444" s="40">
        <v>0</v>
      </c>
      <c r="H444" s="40">
        <v>0</v>
      </c>
      <c r="I444" s="40">
        <v>0</v>
      </c>
      <c r="J444" s="40">
        <v>0</v>
      </c>
      <c r="K444" s="40">
        <v>0</v>
      </c>
      <c r="L444" s="40">
        <v>0</v>
      </c>
      <c r="M444" s="40">
        <f t="shared" si="13"/>
        <v>0</v>
      </c>
      <c r="N444" s="40">
        <f t="shared" si="14"/>
        <v>0</v>
      </c>
    </row>
    <row r="445" spans="1:14" x14ac:dyDescent="0.35">
      <c r="A445" s="33">
        <v>442</v>
      </c>
      <c r="B445" s="34" t="s">
        <v>759</v>
      </c>
      <c r="C445" s="33" t="s">
        <v>346</v>
      </c>
      <c r="D445" s="33" t="s">
        <v>17</v>
      </c>
      <c r="E445" s="33" t="s">
        <v>666</v>
      </c>
      <c r="F445" s="35">
        <v>1</v>
      </c>
      <c r="G445" s="40">
        <v>0</v>
      </c>
      <c r="H445" s="40">
        <v>0</v>
      </c>
      <c r="I445" s="40">
        <v>0</v>
      </c>
      <c r="J445" s="40">
        <v>0</v>
      </c>
      <c r="K445" s="40">
        <v>0</v>
      </c>
      <c r="L445" s="40">
        <v>0</v>
      </c>
      <c r="M445" s="40">
        <f t="shared" si="13"/>
        <v>0</v>
      </c>
      <c r="N445" s="40">
        <f t="shared" si="14"/>
        <v>0</v>
      </c>
    </row>
    <row r="446" spans="1:14" x14ac:dyDescent="0.35">
      <c r="A446" s="33">
        <v>443</v>
      </c>
      <c r="B446" s="34" t="s">
        <v>760</v>
      </c>
      <c r="C446" s="33" t="s">
        <v>346</v>
      </c>
      <c r="D446" s="33" t="s">
        <v>17</v>
      </c>
      <c r="E446" s="33" t="s">
        <v>666</v>
      </c>
      <c r="F446" s="35">
        <v>1</v>
      </c>
      <c r="G446" s="40">
        <v>0</v>
      </c>
      <c r="H446" s="40">
        <v>0</v>
      </c>
      <c r="I446" s="40">
        <v>0</v>
      </c>
      <c r="J446" s="40">
        <v>0</v>
      </c>
      <c r="K446" s="40">
        <v>0</v>
      </c>
      <c r="L446" s="40">
        <v>0</v>
      </c>
      <c r="M446" s="40">
        <f t="shared" si="13"/>
        <v>0</v>
      </c>
      <c r="N446" s="40">
        <f t="shared" si="14"/>
        <v>0</v>
      </c>
    </row>
    <row r="447" spans="1:14" x14ac:dyDescent="0.35">
      <c r="A447" s="33">
        <v>444</v>
      </c>
      <c r="B447" s="34" t="s">
        <v>761</v>
      </c>
      <c r="C447" s="33" t="s">
        <v>346</v>
      </c>
      <c r="D447" s="33" t="s">
        <v>17</v>
      </c>
      <c r="E447" s="33" t="s">
        <v>666</v>
      </c>
      <c r="F447" s="35">
        <v>1</v>
      </c>
      <c r="G447" s="40">
        <v>0</v>
      </c>
      <c r="H447" s="40">
        <v>0</v>
      </c>
      <c r="I447" s="40">
        <v>0</v>
      </c>
      <c r="J447" s="40">
        <v>0</v>
      </c>
      <c r="K447" s="40">
        <v>0</v>
      </c>
      <c r="L447" s="40">
        <v>0</v>
      </c>
      <c r="M447" s="40">
        <f t="shared" si="13"/>
        <v>0</v>
      </c>
      <c r="N447" s="40">
        <f t="shared" si="14"/>
        <v>0</v>
      </c>
    </row>
    <row r="448" spans="1:14" x14ac:dyDescent="0.35">
      <c r="A448" s="33">
        <v>445</v>
      </c>
      <c r="B448" s="34" t="s">
        <v>762</v>
      </c>
      <c r="C448" s="33" t="s">
        <v>346</v>
      </c>
      <c r="D448" s="33" t="s">
        <v>17</v>
      </c>
      <c r="E448" s="33" t="s">
        <v>666</v>
      </c>
      <c r="F448" s="35">
        <v>0.2</v>
      </c>
      <c r="G448" s="40">
        <v>0</v>
      </c>
      <c r="H448" s="40">
        <v>0</v>
      </c>
      <c r="I448" s="40">
        <v>0</v>
      </c>
      <c r="J448" s="40">
        <v>0</v>
      </c>
      <c r="K448" s="40">
        <v>0</v>
      </c>
      <c r="L448" s="40">
        <v>0</v>
      </c>
      <c r="M448" s="40">
        <f t="shared" si="13"/>
        <v>0</v>
      </c>
      <c r="N448" s="40">
        <f t="shared" si="14"/>
        <v>0</v>
      </c>
    </row>
    <row r="449" spans="1:14" x14ac:dyDescent="0.35">
      <c r="A449" s="33">
        <v>446</v>
      </c>
      <c r="B449" s="34" t="s">
        <v>763</v>
      </c>
      <c r="C449" s="33" t="s">
        <v>346</v>
      </c>
      <c r="D449" s="33" t="s">
        <v>17</v>
      </c>
      <c r="E449" s="33" t="s">
        <v>666</v>
      </c>
      <c r="F449" s="35">
        <v>0.5</v>
      </c>
      <c r="G449" s="40">
        <v>0</v>
      </c>
      <c r="H449" s="40">
        <v>0</v>
      </c>
      <c r="I449" s="40">
        <v>0</v>
      </c>
      <c r="J449" s="40">
        <v>0</v>
      </c>
      <c r="K449" s="40">
        <v>0</v>
      </c>
      <c r="L449" s="40">
        <v>0</v>
      </c>
      <c r="M449" s="40">
        <f t="shared" si="13"/>
        <v>0</v>
      </c>
      <c r="N449" s="40">
        <f t="shared" si="14"/>
        <v>0</v>
      </c>
    </row>
    <row r="450" spans="1:14" x14ac:dyDescent="0.35">
      <c r="A450" s="33">
        <v>447</v>
      </c>
      <c r="B450" s="34" t="s">
        <v>764</v>
      </c>
      <c r="C450" s="33" t="s">
        <v>346</v>
      </c>
      <c r="D450" s="33" t="s">
        <v>17</v>
      </c>
      <c r="E450" s="33" t="s">
        <v>666</v>
      </c>
      <c r="F450" s="35">
        <v>0.1</v>
      </c>
      <c r="G450" s="40">
        <v>0</v>
      </c>
      <c r="H450" s="40">
        <v>0</v>
      </c>
      <c r="I450" s="40">
        <v>0</v>
      </c>
      <c r="J450" s="40">
        <v>0</v>
      </c>
      <c r="K450" s="40">
        <v>0</v>
      </c>
      <c r="L450" s="40">
        <v>0</v>
      </c>
      <c r="M450" s="40">
        <f t="shared" si="13"/>
        <v>0</v>
      </c>
      <c r="N450" s="40">
        <f t="shared" si="14"/>
        <v>0</v>
      </c>
    </row>
    <row r="451" spans="1:14" x14ac:dyDescent="0.35">
      <c r="A451" s="33">
        <v>448</v>
      </c>
      <c r="B451" s="34" t="s">
        <v>765</v>
      </c>
      <c r="C451" s="33" t="s">
        <v>346</v>
      </c>
      <c r="D451" s="33" t="s">
        <v>17</v>
      </c>
      <c r="E451" s="33" t="s">
        <v>666</v>
      </c>
      <c r="F451" s="35">
        <v>0.25</v>
      </c>
      <c r="G451" s="40">
        <v>0</v>
      </c>
      <c r="H451" s="40">
        <v>0</v>
      </c>
      <c r="I451" s="40">
        <v>0</v>
      </c>
      <c r="J451" s="40">
        <v>0</v>
      </c>
      <c r="K451" s="40">
        <v>0</v>
      </c>
      <c r="L451" s="40">
        <v>0</v>
      </c>
      <c r="M451" s="40">
        <f t="shared" si="13"/>
        <v>0</v>
      </c>
      <c r="N451" s="40">
        <f t="shared" si="14"/>
        <v>0</v>
      </c>
    </row>
    <row r="452" spans="1:14" x14ac:dyDescent="0.35">
      <c r="A452" s="33">
        <v>449</v>
      </c>
      <c r="B452" s="34" t="s">
        <v>766</v>
      </c>
      <c r="C452" s="33" t="s">
        <v>346</v>
      </c>
      <c r="D452" s="33" t="s">
        <v>17</v>
      </c>
      <c r="E452" s="33" t="s">
        <v>666</v>
      </c>
      <c r="F452" s="35">
        <v>1</v>
      </c>
      <c r="G452" s="40">
        <v>0</v>
      </c>
      <c r="H452" s="40">
        <v>0</v>
      </c>
      <c r="I452" s="40">
        <v>0</v>
      </c>
      <c r="J452" s="40">
        <v>0</v>
      </c>
      <c r="K452" s="40">
        <v>0</v>
      </c>
      <c r="L452" s="40">
        <v>0</v>
      </c>
      <c r="M452" s="40">
        <f t="shared" si="13"/>
        <v>0</v>
      </c>
      <c r="N452" s="40">
        <f t="shared" si="14"/>
        <v>0</v>
      </c>
    </row>
    <row r="453" spans="1:14" x14ac:dyDescent="0.35">
      <c r="A453" s="33">
        <v>450</v>
      </c>
      <c r="B453" s="34" t="s">
        <v>767</v>
      </c>
      <c r="C453" s="33" t="s">
        <v>346</v>
      </c>
      <c r="D453" s="33" t="s">
        <v>17</v>
      </c>
      <c r="E453" s="33" t="s">
        <v>666</v>
      </c>
      <c r="F453" s="35">
        <v>1</v>
      </c>
      <c r="G453" s="40">
        <v>0</v>
      </c>
      <c r="H453" s="40">
        <v>0</v>
      </c>
      <c r="I453" s="40">
        <v>0</v>
      </c>
      <c r="J453" s="40">
        <v>0</v>
      </c>
      <c r="K453" s="40">
        <v>0</v>
      </c>
      <c r="L453" s="40">
        <v>0</v>
      </c>
      <c r="M453" s="40">
        <f t="shared" ref="M453:M516" si="15">G453+I453+K453</f>
        <v>0</v>
      </c>
      <c r="N453" s="40">
        <f t="shared" ref="N453:N516" si="16">H453+J453+L453</f>
        <v>0</v>
      </c>
    </row>
    <row r="454" spans="1:14" x14ac:dyDescent="0.35">
      <c r="A454" s="33">
        <v>451</v>
      </c>
      <c r="B454" s="34" t="s">
        <v>768</v>
      </c>
      <c r="C454" s="33" t="s">
        <v>346</v>
      </c>
      <c r="D454" s="33" t="s">
        <v>17</v>
      </c>
      <c r="E454" s="33" t="s">
        <v>666</v>
      </c>
      <c r="F454" s="35">
        <v>1</v>
      </c>
      <c r="G454" s="40">
        <v>0</v>
      </c>
      <c r="H454" s="40">
        <v>0</v>
      </c>
      <c r="I454" s="40">
        <v>0</v>
      </c>
      <c r="J454" s="40">
        <v>0</v>
      </c>
      <c r="K454" s="40">
        <v>0</v>
      </c>
      <c r="L454" s="40">
        <v>0</v>
      </c>
      <c r="M454" s="40">
        <f t="shared" si="15"/>
        <v>0</v>
      </c>
      <c r="N454" s="40">
        <f t="shared" si="16"/>
        <v>0</v>
      </c>
    </row>
    <row r="455" spans="1:14" x14ac:dyDescent="0.35">
      <c r="A455" s="33">
        <v>452</v>
      </c>
      <c r="B455" s="34" t="s">
        <v>769</v>
      </c>
      <c r="C455" s="33" t="s">
        <v>346</v>
      </c>
      <c r="D455" s="33" t="s">
        <v>17</v>
      </c>
      <c r="E455" s="33" t="s">
        <v>666</v>
      </c>
      <c r="F455" s="35">
        <v>1</v>
      </c>
      <c r="G455" s="40">
        <v>0</v>
      </c>
      <c r="H455" s="40">
        <v>0</v>
      </c>
      <c r="I455" s="40">
        <v>0</v>
      </c>
      <c r="J455" s="40">
        <v>0</v>
      </c>
      <c r="K455" s="40">
        <v>0</v>
      </c>
      <c r="L455" s="40">
        <v>0</v>
      </c>
      <c r="M455" s="40">
        <f t="shared" si="15"/>
        <v>0</v>
      </c>
      <c r="N455" s="40">
        <f t="shared" si="16"/>
        <v>0</v>
      </c>
    </row>
    <row r="456" spans="1:14" x14ac:dyDescent="0.35">
      <c r="A456" s="33">
        <v>453</v>
      </c>
      <c r="B456" s="34" t="s">
        <v>770</v>
      </c>
      <c r="C456" s="33" t="s">
        <v>346</v>
      </c>
      <c r="D456" s="33" t="s">
        <v>17</v>
      </c>
      <c r="E456" s="33" t="s">
        <v>666</v>
      </c>
      <c r="F456" s="35">
        <v>1</v>
      </c>
      <c r="G456" s="40">
        <v>0</v>
      </c>
      <c r="H456" s="40">
        <v>0</v>
      </c>
      <c r="I456" s="40">
        <v>0</v>
      </c>
      <c r="J456" s="40">
        <v>0</v>
      </c>
      <c r="K456" s="40">
        <v>0</v>
      </c>
      <c r="L456" s="40">
        <v>0</v>
      </c>
      <c r="M456" s="40">
        <f t="shared" si="15"/>
        <v>0</v>
      </c>
      <c r="N456" s="40">
        <f t="shared" si="16"/>
        <v>0</v>
      </c>
    </row>
    <row r="457" spans="1:14" x14ac:dyDescent="0.35">
      <c r="A457" s="33">
        <v>454</v>
      </c>
      <c r="B457" s="34" t="s">
        <v>771</v>
      </c>
      <c r="C457" s="33" t="s">
        <v>346</v>
      </c>
      <c r="D457" s="33" t="s">
        <v>17</v>
      </c>
      <c r="E457" s="33" t="s">
        <v>666</v>
      </c>
      <c r="F457" s="35">
        <v>1</v>
      </c>
      <c r="G457" s="40">
        <v>0</v>
      </c>
      <c r="H457" s="40">
        <v>0</v>
      </c>
      <c r="I457" s="40">
        <v>0</v>
      </c>
      <c r="J457" s="40">
        <v>0</v>
      </c>
      <c r="K457" s="40">
        <v>0</v>
      </c>
      <c r="L457" s="40">
        <v>0</v>
      </c>
      <c r="M457" s="40">
        <f t="shared" si="15"/>
        <v>0</v>
      </c>
      <c r="N457" s="40">
        <f t="shared" si="16"/>
        <v>0</v>
      </c>
    </row>
    <row r="458" spans="1:14" x14ac:dyDescent="0.35">
      <c r="A458" s="33">
        <v>455</v>
      </c>
      <c r="B458" s="34" t="s">
        <v>772</v>
      </c>
      <c r="C458" s="33" t="s">
        <v>346</v>
      </c>
      <c r="D458" s="33" t="s">
        <v>17</v>
      </c>
      <c r="E458" s="33" t="s">
        <v>666</v>
      </c>
      <c r="F458" s="35">
        <v>1</v>
      </c>
      <c r="G458" s="40">
        <v>0</v>
      </c>
      <c r="H458" s="40">
        <v>0</v>
      </c>
      <c r="I458" s="40">
        <v>0</v>
      </c>
      <c r="J458" s="40">
        <v>0</v>
      </c>
      <c r="K458" s="40">
        <v>0</v>
      </c>
      <c r="L458" s="40">
        <v>0</v>
      </c>
      <c r="M458" s="40">
        <f t="shared" si="15"/>
        <v>0</v>
      </c>
      <c r="N458" s="40">
        <f t="shared" si="16"/>
        <v>0</v>
      </c>
    </row>
    <row r="459" spans="1:14" x14ac:dyDescent="0.35">
      <c r="A459" s="33">
        <v>456</v>
      </c>
      <c r="B459" s="34" t="s">
        <v>773</v>
      </c>
      <c r="C459" s="33" t="s">
        <v>346</v>
      </c>
      <c r="D459" s="33" t="s">
        <v>17</v>
      </c>
      <c r="E459" s="33" t="s">
        <v>666</v>
      </c>
      <c r="F459" s="35">
        <v>1</v>
      </c>
      <c r="G459" s="40">
        <v>0</v>
      </c>
      <c r="H459" s="40">
        <v>0</v>
      </c>
      <c r="I459" s="40">
        <v>0</v>
      </c>
      <c r="J459" s="40">
        <v>0</v>
      </c>
      <c r="K459" s="40">
        <v>0</v>
      </c>
      <c r="L459" s="40">
        <v>0</v>
      </c>
      <c r="M459" s="40">
        <f t="shared" si="15"/>
        <v>0</v>
      </c>
      <c r="N459" s="40">
        <f t="shared" si="16"/>
        <v>0</v>
      </c>
    </row>
    <row r="460" spans="1:14" x14ac:dyDescent="0.35">
      <c r="A460" s="33">
        <v>457</v>
      </c>
      <c r="B460" s="34" t="s">
        <v>774</v>
      </c>
      <c r="C460" s="33" t="s">
        <v>346</v>
      </c>
      <c r="D460" s="33" t="s">
        <v>17</v>
      </c>
      <c r="E460" s="33" t="s">
        <v>666</v>
      </c>
      <c r="F460" s="35">
        <v>1</v>
      </c>
      <c r="G460" s="40">
        <v>0</v>
      </c>
      <c r="H460" s="40">
        <v>0</v>
      </c>
      <c r="I460" s="40">
        <v>0</v>
      </c>
      <c r="J460" s="40">
        <v>0</v>
      </c>
      <c r="K460" s="40">
        <v>0</v>
      </c>
      <c r="L460" s="40">
        <v>0</v>
      </c>
      <c r="M460" s="40">
        <f t="shared" si="15"/>
        <v>0</v>
      </c>
      <c r="N460" s="40">
        <f t="shared" si="16"/>
        <v>0</v>
      </c>
    </row>
    <row r="461" spans="1:14" x14ac:dyDescent="0.35">
      <c r="A461" s="33">
        <v>458</v>
      </c>
      <c r="B461" s="34" t="s">
        <v>775</v>
      </c>
      <c r="C461" s="33" t="s">
        <v>346</v>
      </c>
      <c r="D461" s="33" t="s">
        <v>17</v>
      </c>
      <c r="E461" s="33" t="s">
        <v>666</v>
      </c>
      <c r="F461" s="35">
        <v>1</v>
      </c>
      <c r="G461" s="40">
        <v>0</v>
      </c>
      <c r="H461" s="40">
        <v>0</v>
      </c>
      <c r="I461" s="40">
        <v>0</v>
      </c>
      <c r="J461" s="40">
        <v>0</v>
      </c>
      <c r="K461" s="40">
        <v>0</v>
      </c>
      <c r="L461" s="40">
        <v>0</v>
      </c>
      <c r="M461" s="40">
        <f t="shared" si="15"/>
        <v>0</v>
      </c>
      <c r="N461" s="40">
        <f t="shared" si="16"/>
        <v>0</v>
      </c>
    </row>
    <row r="462" spans="1:14" x14ac:dyDescent="0.35">
      <c r="A462" s="33">
        <v>459</v>
      </c>
      <c r="B462" s="34" t="s">
        <v>776</v>
      </c>
      <c r="C462" s="33" t="s">
        <v>346</v>
      </c>
      <c r="D462" s="33" t="s">
        <v>17</v>
      </c>
      <c r="E462" s="33" t="s">
        <v>666</v>
      </c>
      <c r="F462" s="35">
        <v>1</v>
      </c>
      <c r="G462" s="40">
        <v>0</v>
      </c>
      <c r="H462" s="40">
        <v>0</v>
      </c>
      <c r="I462" s="40">
        <v>0</v>
      </c>
      <c r="J462" s="40">
        <v>0</v>
      </c>
      <c r="K462" s="40">
        <v>0</v>
      </c>
      <c r="L462" s="40">
        <v>0</v>
      </c>
      <c r="M462" s="40">
        <f t="shared" si="15"/>
        <v>0</v>
      </c>
      <c r="N462" s="40">
        <f t="shared" si="16"/>
        <v>0</v>
      </c>
    </row>
    <row r="463" spans="1:14" x14ac:dyDescent="0.35">
      <c r="A463" s="33">
        <v>460</v>
      </c>
      <c r="B463" s="34" t="s">
        <v>777</v>
      </c>
      <c r="C463" s="33" t="s">
        <v>346</v>
      </c>
      <c r="D463" s="33" t="s">
        <v>17</v>
      </c>
      <c r="E463" s="33" t="s">
        <v>666</v>
      </c>
      <c r="F463" s="35">
        <v>1</v>
      </c>
      <c r="G463" s="40">
        <v>0</v>
      </c>
      <c r="H463" s="40">
        <v>0</v>
      </c>
      <c r="I463" s="40">
        <v>0</v>
      </c>
      <c r="J463" s="40">
        <v>0</v>
      </c>
      <c r="K463" s="40">
        <v>0</v>
      </c>
      <c r="L463" s="40">
        <v>0</v>
      </c>
      <c r="M463" s="40">
        <f t="shared" si="15"/>
        <v>0</v>
      </c>
      <c r="N463" s="40">
        <f t="shared" si="16"/>
        <v>0</v>
      </c>
    </row>
    <row r="464" spans="1:14" x14ac:dyDescent="0.35">
      <c r="A464" s="33">
        <v>461</v>
      </c>
      <c r="B464" s="34" t="s">
        <v>778</v>
      </c>
      <c r="C464" s="33" t="s">
        <v>346</v>
      </c>
      <c r="D464" s="33" t="s">
        <v>17</v>
      </c>
      <c r="E464" s="33" t="s">
        <v>666</v>
      </c>
      <c r="F464" s="35">
        <v>1</v>
      </c>
      <c r="G464" s="40">
        <v>0</v>
      </c>
      <c r="H464" s="40">
        <v>0</v>
      </c>
      <c r="I464" s="40">
        <v>0</v>
      </c>
      <c r="J464" s="40">
        <v>0</v>
      </c>
      <c r="K464" s="40">
        <v>0</v>
      </c>
      <c r="L464" s="40">
        <v>0</v>
      </c>
      <c r="M464" s="40">
        <f t="shared" si="15"/>
        <v>0</v>
      </c>
      <c r="N464" s="40">
        <f t="shared" si="16"/>
        <v>0</v>
      </c>
    </row>
    <row r="465" spans="1:14" x14ac:dyDescent="0.35">
      <c r="A465" s="33">
        <v>462</v>
      </c>
      <c r="B465" s="34" t="s">
        <v>779</v>
      </c>
      <c r="C465" s="33" t="s">
        <v>346</v>
      </c>
      <c r="D465" s="33" t="s">
        <v>17</v>
      </c>
      <c r="E465" s="33" t="s">
        <v>666</v>
      </c>
      <c r="F465" s="35">
        <v>1</v>
      </c>
      <c r="G465" s="40">
        <v>0</v>
      </c>
      <c r="H465" s="40">
        <v>0</v>
      </c>
      <c r="I465" s="40">
        <v>0</v>
      </c>
      <c r="J465" s="40">
        <v>0</v>
      </c>
      <c r="K465" s="40">
        <v>0</v>
      </c>
      <c r="L465" s="40">
        <v>0</v>
      </c>
      <c r="M465" s="40">
        <f t="shared" si="15"/>
        <v>0</v>
      </c>
      <c r="N465" s="40">
        <f t="shared" si="16"/>
        <v>0</v>
      </c>
    </row>
    <row r="466" spans="1:14" x14ac:dyDescent="0.35">
      <c r="A466" s="33">
        <v>463</v>
      </c>
      <c r="B466" s="34" t="s">
        <v>780</v>
      </c>
      <c r="C466" s="33" t="s">
        <v>346</v>
      </c>
      <c r="D466" s="33" t="s">
        <v>17</v>
      </c>
      <c r="E466" s="33" t="s">
        <v>666</v>
      </c>
      <c r="F466" s="35">
        <v>1</v>
      </c>
      <c r="G466" s="40">
        <v>0</v>
      </c>
      <c r="H466" s="40">
        <v>0</v>
      </c>
      <c r="I466" s="40">
        <v>0</v>
      </c>
      <c r="J466" s="40">
        <v>0</v>
      </c>
      <c r="K466" s="40">
        <v>0</v>
      </c>
      <c r="L466" s="40">
        <v>0</v>
      </c>
      <c r="M466" s="40">
        <f t="shared" si="15"/>
        <v>0</v>
      </c>
      <c r="N466" s="40">
        <f t="shared" si="16"/>
        <v>0</v>
      </c>
    </row>
    <row r="467" spans="1:14" x14ac:dyDescent="0.35">
      <c r="A467" s="33">
        <v>464</v>
      </c>
      <c r="B467" s="34" t="s">
        <v>781</v>
      </c>
      <c r="C467" s="33" t="s">
        <v>346</v>
      </c>
      <c r="D467" s="33" t="s">
        <v>17</v>
      </c>
      <c r="E467" s="33" t="s">
        <v>666</v>
      </c>
      <c r="F467" s="35">
        <v>1</v>
      </c>
      <c r="G467" s="40">
        <v>0</v>
      </c>
      <c r="H467" s="40">
        <v>0</v>
      </c>
      <c r="I467" s="40">
        <v>0</v>
      </c>
      <c r="J467" s="40">
        <v>0</v>
      </c>
      <c r="K467" s="40">
        <v>0</v>
      </c>
      <c r="L467" s="40">
        <v>0</v>
      </c>
      <c r="M467" s="40">
        <f t="shared" si="15"/>
        <v>0</v>
      </c>
      <c r="N467" s="40">
        <f t="shared" si="16"/>
        <v>0</v>
      </c>
    </row>
    <row r="468" spans="1:14" x14ac:dyDescent="0.35">
      <c r="A468" s="33">
        <v>465</v>
      </c>
      <c r="B468" s="34" t="s">
        <v>782</v>
      </c>
      <c r="C468" s="33" t="s">
        <v>346</v>
      </c>
      <c r="D468" s="33" t="s">
        <v>17</v>
      </c>
      <c r="E468" s="33" t="s">
        <v>666</v>
      </c>
      <c r="F468" s="35">
        <v>1</v>
      </c>
      <c r="G468" s="40">
        <v>0</v>
      </c>
      <c r="H468" s="40">
        <v>0</v>
      </c>
      <c r="I468" s="40">
        <v>0</v>
      </c>
      <c r="J468" s="40">
        <v>0</v>
      </c>
      <c r="K468" s="40">
        <v>0</v>
      </c>
      <c r="L468" s="40">
        <v>0</v>
      </c>
      <c r="M468" s="40">
        <f t="shared" si="15"/>
        <v>0</v>
      </c>
      <c r="N468" s="40">
        <f t="shared" si="16"/>
        <v>0</v>
      </c>
    </row>
    <row r="469" spans="1:14" x14ac:dyDescent="0.35">
      <c r="A469" s="33">
        <v>466</v>
      </c>
      <c r="B469" s="34" t="s">
        <v>783</v>
      </c>
      <c r="C469" s="33" t="s">
        <v>346</v>
      </c>
      <c r="D469" s="33" t="s">
        <v>17</v>
      </c>
      <c r="E469" s="33" t="s">
        <v>666</v>
      </c>
      <c r="F469" s="35">
        <v>1</v>
      </c>
      <c r="G469" s="40">
        <v>0</v>
      </c>
      <c r="H469" s="40">
        <v>0</v>
      </c>
      <c r="I469" s="40">
        <v>0</v>
      </c>
      <c r="J469" s="40">
        <v>0</v>
      </c>
      <c r="K469" s="40">
        <v>0</v>
      </c>
      <c r="L469" s="40">
        <v>0</v>
      </c>
      <c r="M469" s="40">
        <f t="shared" si="15"/>
        <v>0</v>
      </c>
      <c r="N469" s="40">
        <f t="shared" si="16"/>
        <v>0</v>
      </c>
    </row>
    <row r="470" spans="1:14" x14ac:dyDescent="0.35">
      <c r="A470" s="33">
        <v>467</v>
      </c>
      <c r="B470" s="34" t="s">
        <v>784</v>
      </c>
      <c r="C470" s="33" t="s">
        <v>346</v>
      </c>
      <c r="D470" s="33" t="s">
        <v>17</v>
      </c>
      <c r="E470" s="33" t="s">
        <v>666</v>
      </c>
      <c r="F470" s="35">
        <v>0.1</v>
      </c>
      <c r="G470" s="40">
        <v>0</v>
      </c>
      <c r="H470" s="40">
        <v>0</v>
      </c>
      <c r="I470" s="40">
        <v>0</v>
      </c>
      <c r="J470" s="40">
        <v>0</v>
      </c>
      <c r="K470" s="40">
        <v>4067</v>
      </c>
      <c r="L470" s="40">
        <v>406.7</v>
      </c>
      <c r="M470" s="40">
        <f t="shared" si="15"/>
        <v>4067</v>
      </c>
      <c r="N470" s="40">
        <f t="shared" si="16"/>
        <v>406.7</v>
      </c>
    </row>
    <row r="471" spans="1:14" x14ac:dyDescent="0.35">
      <c r="A471" s="33">
        <v>468</v>
      </c>
      <c r="B471" s="34" t="s">
        <v>785</v>
      </c>
      <c r="C471" s="33" t="s">
        <v>346</v>
      </c>
      <c r="D471" s="33" t="s">
        <v>17</v>
      </c>
      <c r="E471" s="33" t="s">
        <v>666</v>
      </c>
      <c r="F471" s="35">
        <v>0.1</v>
      </c>
      <c r="G471" s="40">
        <v>0</v>
      </c>
      <c r="H471" s="40">
        <v>0</v>
      </c>
      <c r="I471" s="40">
        <v>0</v>
      </c>
      <c r="J471" s="40">
        <v>0</v>
      </c>
      <c r="K471" s="40">
        <v>3321</v>
      </c>
      <c r="L471" s="40">
        <v>332.1</v>
      </c>
      <c r="M471" s="40">
        <f t="shared" si="15"/>
        <v>3321</v>
      </c>
      <c r="N471" s="40">
        <f t="shared" si="16"/>
        <v>332.1</v>
      </c>
    </row>
    <row r="472" spans="1:14" x14ac:dyDescent="0.35">
      <c r="A472" s="33">
        <v>469</v>
      </c>
      <c r="B472" s="34" t="s">
        <v>786</v>
      </c>
      <c r="C472" s="33" t="s">
        <v>346</v>
      </c>
      <c r="D472" s="33" t="s">
        <v>17</v>
      </c>
      <c r="E472" s="33" t="s">
        <v>666</v>
      </c>
      <c r="F472" s="35">
        <v>1</v>
      </c>
      <c r="G472" s="40">
        <v>0</v>
      </c>
      <c r="H472" s="40">
        <v>0</v>
      </c>
      <c r="I472" s="40">
        <v>0</v>
      </c>
      <c r="J472" s="40">
        <v>0</v>
      </c>
      <c r="K472" s="40">
        <v>0</v>
      </c>
      <c r="L472" s="40">
        <v>0</v>
      </c>
      <c r="M472" s="40">
        <f t="shared" si="15"/>
        <v>0</v>
      </c>
      <c r="N472" s="40">
        <f t="shared" si="16"/>
        <v>0</v>
      </c>
    </row>
    <row r="473" spans="1:14" x14ac:dyDescent="0.35">
      <c r="A473" s="33">
        <v>470</v>
      </c>
      <c r="B473" s="34" t="s">
        <v>787</v>
      </c>
      <c r="C473" s="33" t="s">
        <v>346</v>
      </c>
      <c r="D473" s="33" t="s">
        <v>17</v>
      </c>
      <c r="E473" s="33" t="s">
        <v>666</v>
      </c>
      <c r="F473" s="35">
        <v>1</v>
      </c>
      <c r="G473" s="40">
        <v>0</v>
      </c>
      <c r="H473" s="40">
        <v>0</v>
      </c>
      <c r="I473" s="40">
        <v>0</v>
      </c>
      <c r="J473" s="40">
        <v>200</v>
      </c>
      <c r="K473" s="40">
        <v>0</v>
      </c>
      <c r="L473" s="40">
        <v>94.669999999999987</v>
      </c>
      <c r="M473" s="40">
        <f t="shared" si="15"/>
        <v>0</v>
      </c>
      <c r="N473" s="40">
        <f t="shared" si="16"/>
        <v>294.66999999999996</v>
      </c>
    </row>
    <row r="474" spans="1:14" x14ac:dyDescent="0.35">
      <c r="A474" s="33">
        <v>471</v>
      </c>
      <c r="B474" s="34" t="s">
        <v>788</v>
      </c>
      <c r="C474" s="33" t="s">
        <v>346</v>
      </c>
      <c r="D474" s="33" t="s">
        <v>17</v>
      </c>
      <c r="E474" s="33" t="s">
        <v>666</v>
      </c>
      <c r="F474" s="35">
        <v>0.14000000000000001</v>
      </c>
      <c r="G474" s="40">
        <v>0</v>
      </c>
      <c r="H474" s="40">
        <v>0</v>
      </c>
      <c r="I474" s="40">
        <v>0</v>
      </c>
      <c r="J474" s="40">
        <v>0</v>
      </c>
      <c r="K474" s="40">
        <v>0</v>
      </c>
      <c r="L474" s="40">
        <v>0</v>
      </c>
      <c r="M474" s="40">
        <f t="shared" si="15"/>
        <v>0</v>
      </c>
      <c r="N474" s="40">
        <f t="shared" si="16"/>
        <v>0</v>
      </c>
    </row>
    <row r="475" spans="1:14" x14ac:dyDescent="0.35">
      <c r="A475" s="33">
        <v>472</v>
      </c>
      <c r="B475" s="34" t="s">
        <v>789</v>
      </c>
      <c r="C475" s="33" t="s">
        <v>346</v>
      </c>
      <c r="D475" s="33" t="s">
        <v>17</v>
      </c>
      <c r="E475" s="33" t="s">
        <v>666</v>
      </c>
      <c r="F475" s="35">
        <v>7.4999999999999997E-2</v>
      </c>
      <c r="G475" s="40">
        <v>0</v>
      </c>
      <c r="H475" s="40">
        <v>0</v>
      </c>
      <c r="I475" s="40">
        <v>0</v>
      </c>
      <c r="J475" s="40">
        <v>0</v>
      </c>
      <c r="K475" s="40">
        <v>0</v>
      </c>
      <c r="L475" s="40">
        <v>0</v>
      </c>
      <c r="M475" s="40">
        <f t="shared" si="15"/>
        <v>0</v>
      </c>
      <c r="N475" s="40">
        <f t="shared" si="16"/>
        <v>0</v>
      </c>
    </row>
    <row r="476" spans="1:14" x14ac:dyDescent="0.35">
      <c r="A476" s="33">
        <v>473</v>
      </c>
      <c r="B476" s="34" t="s">
        <v>790</v>
      </c>
      <c r="C476" s="33" t="s">
        <v>346</v>
      </c>
      <c r="D476" s="33" t="s">
        <v>17</v>
      </c>
      <c r="E476" s="33" t="s">
        <v>666</v>
      </c>
      <c r="F476" s="35">
        <v>0.09</v>
      </c>
      <c r="G476" s="40">
        <v>0</v>
      </c>
      <c r="H476" s="40">
        <v>0</v>
      </c>
      <c r="I476" s="40">
        <v>0</v>
      </c>
      <c r="J476" s="40">
        <v>0</v>
      </c>
      <c r="K476" s="40">
        <v>0</v>
      </c>
      <c r="L476" s="40">
        <v>0</v>
      </c>
      <c r="M476" s="40">
        <f t="shared" si="15"/>
        <v>0</v>
      </c>
      <c r="N476" s="40">
        <f t="shared" si="16"/>
        <v>0</v>
      </c>
    </row>
    <row r="477" spans="1:14" x14ac:dyDescent="0.35">
      <c r="A477" s="33">
        <v>474</v>
      </c>
      <c r="B477" s="34" t="s">
        <v>791</v>
      </c>
      <c r="C477" s="33" t="s">
        <v>346</v>
      </c>
      <c r="D477" s="33" t="s">
        <v>17</v>
      </c>
      <c r="E477" s="33" t="s">
        <v>666</v>
      </c>
      <c r="F477" s="35">
        <v>1</v>
      </c>
      <c r="G477" s="40">
        <v>0</v>
      </c>
      <c r="H477" s="40">
        <v>0</v>
      </c>
      <c r="I477" s="40">
        <v>0</v>
      </c>
      <c r="J477" s="40">
        <v>0</v>
      </c>
      <c r="K477" s="40">
        <v>0</v>
      </c>
      <c r="L477" s="40">
        <v>0</v>
      </c>
      <c r="M477" s="40">
        <f t="shared" si="15"/>
        <v>0</v>
      </c>
      <c r="N477" s="40">
        <f t="shared" si="16"/>
        <v>0</v>
      </c>
    </row>
    <row r="478" spans="1:14" x14ac:dyDescent="0.35">
      <c r="A478" s="33">
        <v>475</v>
      </c>
      <c r="B478" s="34" t="s">
        <v>792</v>
      </c>
      <c r="C478" s="33" t="s">
        <v>346</v>
      </c>
      <c r="D478" s="33" t="s">
        <v>17</v>
      </c>
      <c r="E478" s="33" t="s">
        <v>666</v>
      </c>
      <c r="F478" s="35">
        <v>1</v>
      </c>
      <c r="G478" s="40">
        <v>0</v>
      </c>
      <c r="H478" s="40">
        <v>0</v>
      </c>
      <c r="I478" s="40">
        <v>0</v>
      </c>
      <c r="J478" s="40">
        <v>0</v>
      </c>
      <c r="K478" s="40">
        <v>0</v>
      </c>
      <c r="L478" s="40">
        <v>0</v>
      </c>
      <c r="M478" s="40">
        <f t="shared" si="15"/>
        <v>0</v>
      </c>
      <c r="N478" s="40">
        <f t="shared" si="16"/>
        <v>0</v>
      </c>
    </row>
    <row r="479" spans="1:14" x14ac:dyDescent="0.35">
      <c r="A479" s="33">
        <v>476</v>
      </c>
      <c r="B479" s="34" t="s">
        <v>793</v>
      </c>
      <c r="C479" s="33" t="s">
        <v>346</v>
      </c>
      <c r="D479" s="33" t="s">
        <v>17</v>
      </c>
      <c r="E479" s="33" t="s">
        <v>666</v>
      </c>
      <c r="F479" s="35">
        <v>0.1</v>
      </c>
      <c r="G479" s="40">
        <v>0</v>
      </c>
      <c r="H479" s="40">
        <v>0</v>
      </c>
      <c r="I479" s="40">
        <v>0</v>
      </c>
      <c r="J479" s="40">
        <v>0</v>
      </c>
      <c r="K479" s="40">
        <v>0</v>
      </c>
      <c r="L479" s="40">
        <v>0</v>
      </c>
      <c r="M479" s="40">
        <f t="shared" si="15"/>
        <v>0</v>
      </c>
      <c r="N479" s="40">
        <f t="shared" si="16"/>
        <v>0</v>
      </c>
    </row>
    <row r="480" spans="1:14" x14ac:dyDescent="0.35">
      <c r="A480" s="33">
        <v>477</v>
      </c>
      <c r="B480" s="34" t="s">
        <v>794</v>
      </c>
      <c r="C480" s="33" t="s">
        <v>346</v>
      </c>
      <c r="D480" s="33" t="s">
        <v>17</v>
      </c>
      <c r="E480" s="33" t="s">
        <v>666</v>
      </c>
      <c r="F480" s="35">
        <v>0.1</v>
      </c>
      <c r="G480" s="40">
        <v>0</v>
      </c>
      <c r="H480" s="40">
        <v>0</v>
      </c>
      <c r="I480" s="40">
        <v>0</v>
      </c>
      <c r="J480" s="40">
        <v>0</v>
      </c>
      <c r="K480" s="40">
        <v>0</v>
      </c>
      <c r="L480" s="40">
        <v>0</v>
      </c>
      <c r="M480" s="40">
        <f t="shared" si="15"/>
        <v>0</v>
      </c>
      <c r="N480" s="40">
        <f t="shared" si="16"/>
        <v>0</v>
      </c>
    </row>
    <row r="481" spans="1:14" x14ac:dyDescent="0.35">
      <c r="A481" s="33">
        <v>478</v>
      </c>
      <c r="B481" s="34" t="s">
        <v>795</v>
      </c>
      <c r="C481" s="33" t="s">
        <v>346</v>
      </c>
      <c r="D481" s="33" t="s">
        <v>17</v>
      </c>
      <c r="E481" s="33" t="s">
        <v>666</v>
      </c>
      <c r="F481" s="35">
        <v>0.1</v>
      </c>
      <c r="G481" s="40">
        <v>0</v>
      </c>
      <c r="H481" s="40">
        <v>0</v>
      </c>
      <c r="I481" s="40">
        <v>0</v>
      </c>
      <c r="J481" s="40">
        <v>0</v>
      </c>
      <c r="K481" s="40">
        <v>0</v>
      </c>
      <c r="L481" s="40">
        <v>0</v>
      </c>
      <c r="M481" s="40">
        <f t="shared" si="15"/>
        <v>0</v>
      </c>
      <c r="N481" s="40">
        <f t="shared" si="16"/>
        <v>0</v>
      </c>
    </row>
    <row r="482" spans="1:14" x14ac:dyDescent="0.35">
      <c r="A482" s="33">
        <v>479</v>
      </c>
      <c r="B482" s="34" t="s">
        <v>796</v>
      </c>
      <c r="C482" s="33" t="s">
        <v>346</v>
      </c>
      <c r="D482" s="33" t="s">
        <v>17</v>
      </c>
      <c r="E482" s="33" t="s">
        <v>666</v>
      </c>
      <c r="F482" s="35">
        <v>1</v>
      </c>
      <c r="G482" s="40">
        <v>0</v>
      </c>
      <c r="H482" s="40">
        <v>0</v>
      </c>
      <c r="I482" s="40">
        <v>0</v>
      </c>
      <c r="J482" s="40">
        <v>0</v>
      </c>
      <c r="K482" s="40">
        <v>0</v>
      </c>
      <c r="L482" s="40">
        <v>0</v>
      </c>
      <c r="M482" s="40">
        <f t="shared" si="15"/>
        <v>0</v>
      </c>
      <c r="N482" s="40">
        <f t="shared" si="16"/>
        <v>0</v>
      </c>
    </row>
    <row r="483" spans="1:14" x14ac:dyDescent="0.35">
      <c r="A483" s="33">
        <v>480</v>
      </c>
      <c r="B483" s="34" t="s">
        <v>797</v>
      </c>
      <c r="C483" s="33" t="s">
        <v>346</v>
      </c>
      <c r="D483" s="33" t="s">
        <v>17</v>
      </c>
      <c r="E483" s="33" t="s">
        <v>666</v>
      </c>
      <c r="F483" s="35">
        <v>1</v>
      </c>
      <c r="G483" s="40">
        <v>0</v>
      </c>
      <c r="H483" s="40">
        <v>0</v>
      </c>
      <c r="I483" s="40">
        <v>0</v>
      </c>
      <c r="J483" s="40">
        <v>0</v>
      </c>
      <c r="K483" s="40">
        <v>0</v>
      </c>
      <c r="L483" s="40">
        <v>0</v>
      </c>
      <c r="M483" s="40">
        <f t="shared" si="15"/>
        <v>0</v>
      </c>
      <c r="N483" s="40">
        <f t="shared" si="16"/>
        <v>0</v>
      </c>
    </row>
    <row r="484" spans="1:14" x14ac:dyDescent="0.35">
      <c r="A484" s="33">
        <v>481</v>
      </c>
      <c r="B484" s="34" t="s">
        <v>798</v>
      </c>
      <c r="C484" s="33" t="s">
        <v>346</v>
      </c>
      <c r="D484" s="33" t="s">
        <v>17</v>
      </c>
      <c r="E484" s="33" t="s">
        <v>666</v>
      </c>
      <c r="F484" s="35">
        <v>0.17</v>
      </c>
      <c r="G484" s="40">
        <v>0</v>
      </c>
      <c r="H484" s="40">
        <v>0</v>
      </c>
      <c r="I484" s="40">
        <v>0</v>
      </c>
      <c r="J484" s="40">
        <v>0</v>
      </c>
      <c r="K484" s="40">
        <v>0</v>
      </c>
      <c r="L484" s="40">
        <v>0</v>
      </c>
      <c r="M484" s="40">
        <f t="shared" si="15"/>
        <v>0</v>
      </c>
      <c r="N484" s="40">
        <f t="shared" si="16"/>
        <v>0</v>
      </c>
    </row>
    <row r="485" spans="1:14" x14ac:dyDescent="0.35">
      <c r="A485" s="33">
        <v>482</v>
      </c>
      <c r="B485" s="34" t="s">
        <v>799</v>
      </c>
      <c r="C485" s="33" t="s">
        <v>346</v>
      </c>
      <c r="D485" s="33" t="s">
        <v>17</v>
      </c>
      <c r="E485" s="33" t="s">
        <v>666</v>
      </c>
      <c r="F485" s="35">
        <v>0.17</v>
      </c>
      <c r="G485" s="40">
        <v>0</v>
      </c>
      <c r="H485" s="40">
        <v>0</v>
      </c>
      <c r="I485" s="40">
        <v>0</v>
      </c>
      <c r="J485" s="40">
        <v>0</v>
      </c>
      <c r="K485" s="40">
        <v>0</v>
      </c>
      <c r="L485" s="40">
        <v>0</v>
      </c>
      <c r="M485" s="40">
        <f t="shared" si="15"/>
        <v>0</v>
      </c>
      <c r="N485" s="40">
        <f t="shared" si="16"/>
        <v>0</v>
      </c>
    </row>
    <row r="486" spans="1:14" x14ac:dyDescent="0.35">
      <c r="A486" s="33">
        <v>483</v>
      </c>
      <c r="B486" s="34" t="s">
        <v>800</v>
      </c>
      <c r="C486" s="33" t="s">
        <v>346</v>
      </c>
      <c r="D486" s="33" t="s">
        <v>17</v>
      </c>
      <c r="E486" s="33" t="s">
        <v>666</v>
      </c>
      <c r="F486" s="35">
        <v>0.48</v>
      </c>
      <c r="G486" s="40">
        <v>0</v>
      </c>
      <c r="H486" s="40">
        <v>0</v>
      </c>
      <c r="I486" s="40">
        <v>0</v>
      </c>
      <c r="J486" s="40">
        <v>0</v>
      </c>
      <c r="K486" s="40">
        <v>0</v>
      </c>
      <c r="L486" s="40">
        <v>0</v>
      </c>
      <c r="M486" s="40">
        <f t="shared" si="15"/>
        <v>0</v>
      </c>
      <c r="N486" s="40">
        <f t="shared" si="16"/>
        <v>0</v>
      </c>
    </row>
    <row r="487" spans="1:14" x14ac:dyDescent="0.35">
      <c r="A487" s="33">
        <v>484</v>
      </c>
      <c r="B487" s="34" t="s">
        <v>801</v>
      </c>
      <c r="C487" s="33" t="s">
        <v>346</v>
      </c>
      <c r="D487" s="33" t="s">
        <v>17</v>
      </c>
      <c r="E487" s="33" t="s">
        <v>666</v>
      </c>
      <c r="F487" s="35">
        <v>0.23</v>
      </c>
      <c r="G487" s="40">
        <v>0</v>
      </c>
      <c r="H487" s="40">
        <v>0</v>
      </c>
      <c r="I487" s="40">
        <v>0</v>
      </c>
      <c r="J487" s="40">
        <v>0</v>
      </c>
      <c r="K487" s="40">
        <v>0</v>
      </c>
      <c r="L487" s="40">
        <v>0</v>
      </c>
      <c r="M487" s="40">
        <f t="shared" si="15"/>
        <v>0</v>
      </c>
      <c r="N487" s="40">
        <f t="shared" si="16"/>
        <v>0</v>
      </c>
    </row>
    <row r="488" spans="1:14" x14ac:dyDescent="0.35">
      <c r="A488" s="33">
        <v>485</v>
      </c>
      <c r="B488" s="34" t="s">
        <v>802</v>
      </c>
      <c r="C488" s="33" t="s">
        <v>346</v>
      </c>
      <c r="D488" s="33" t="s">
        <v>17</v>
      </c>
      <c r="E488" s="33" t="s">
        <v>666</v>
      </c>
      <c r="F488" s="35">
        <v>0.25</v>
      </c>
      <c r="G488" s="40">
        <v>0</v>
      </c>
      <c r="H488" s="40">
        <v>0</v>
      </c>
      <c r="I488" s="40">
        <v>0</v>
      </c>
      <c r="J488" s="40">
        <v>0</v>
      </c>
      <c r="K488" s="40">
        <v>0</v>
      </c>
      <c r="L488" s="40">
        <v>0</v>
      </c>
      <c r="M488" s="40">
        <f t="shared" si="15"/>
        <v>0</v>
      </c>
      <c r="N488" s="40">
        <f t="shared" si="16"/>
        <v>0</v>
      </c>
    </row>
    <row r="489" spans="1:14" x14ac:dyDescent="0.35">
      <c r="A489" s="33">
        <v>486</v>
      </c>
      <c r="B489" s="34" t="s">
        <v>803</v>
      </c>
      <c r="C489" s="33" t="s">
        <v>346</v>
      </c>
      <c r="D489" s="33" t="s">
        <v>17</v>
      </c>
      <c r="E489" s="33" t="s">
        <v>666</v>
      </c>
      <c r="F489" s="35">
        <v>0.25</v>
      </c>
      <c r="G489" s="40">
        <v>0</v>
      </c>
      <c r="H489" s="40">
        <v>0</v>
      </c>
      <c r="I489" s="40">
        <v>0</v>
      </c>
      <c r="J489" s="40">
        <v>0</v>
      </c>
      <c r="K489" s="40">
        <v>0</v>
      </c>
      <c r="L489" s="40">
        <v>0</v>
      </c>
      <c r="M489" s="40">
        <f t="shared" si="15"/>
        <v>0</v>
      </c>
      <c r="N489" s="40">
        <f t="shared" si="16"/>
        <v>0</v>
      </c>
    </row>
    <row r="490" spans="1:14" x14ac:dyDescent="0.35">
      <c r="A490" s="33">
        <v>487</v>
      </c>
      <c r="B490" s="34" t="s">
        <v>804</v>
      </c>
      <c r="C490" s="33" t="s">
        <v>346</v>
      </c>
      <c r="D490" s="33" t="s">
        <v>17</v>
      </c>
      <c r="E490" s="33" t="s">
        <v>666</v>
      </c>
      <c r="F490" s="35">
        <v>0.5</v>
      </c>
      <c r="G490" s="40">
        <v>0</v>
      </c>
      <c r="H490" s="40">
        <v>0</v>
      </c>
      <c r="I490" s="40">
        <v>0</v>
      </c>
      <c r="J490" s="40">
        <v>0</v>
      </c>
      <c r="K490" s="40">
        <v>0</v>
      </c>
      <c r="L490" s="40">
        <v>0</v>
      </c>
      <c r="M490" s="40">
        <f t="shared" si="15"/>
        <v>0</v>
      </c>
      <c r="N490" s="40">
        <f t="shared" si="16"/>
        <v>0</v>
      </c>
    </row>
    <row r="491" spans="1:14" x14ac:dyDescent="0.35">
      <c r="A491" s="33">
        <v>488</v>
      </c>
      <c r="B491" s="34" t="s">
        <v>805</v>
      </c>
      <c r="C491" s="33" t="s">
        <v>346</v>
      </c>
      <c r="D491" s="33" t="s">
        <v>17</v>
      </c>
      <c r="E491" s="33" t="s">
        <v>666</v>
      </c>
      <c r="F491" s="35">
        <v>1</v>
      </c>
      <c r="G491" s="40">
        <v>0</v>
      </c>
      <c r="H491" s="40">
        <v>0</v>
      </c>
      <c r="I491" s="40">
        <v>0</v>
      </c>
      <c r="J491" s="40">
        <v>0</v>
      </c>
      <c r="K491" s="40">
        <v>0</v>
      </c>
      <c r="L491" s="40">
        <v>0</v>
      </c>
      <c r="M491" s="40">
        <f t="shared" si="15"/>
        <v>0</v>
      </c>
      <c r="N491" s="40">
        <f t="shared" si="16"/>
        <v>0</v>
      </c>
    </row>
    <row r="492" spans="1:14" x14ac:dyDescent="0.35">
      <c r="A492" s="33">
        <v>489</v>
      </c>
      <c r="B492" s="34" t="s">
        <v>806</v>
      </c>
      <c r="C492" s="33" t="s">
        <v>346</v>
      </c>
      <c r="D492" s="33" t="s">
        <v>17</v>
      </c>
      <c r="E492" s="33" t="s">
        <v>666</v>
      </c>
      <c r="F492" s="35">
        <v>7.4999999999999997E-2</v>
      </c>
      <c r="G492" s="40">
        <v>0</v>
      </c>
      <c r="H492" s="40">
        <v>0</v>
      </c>
      <c r="I492" s="40">
        <v>0</v>
      </c>
      <c r="J492" s="40">
        <v>0</v>
      </c>
      <c r="K492" s="40">
        <v>0</v>
      </c>
      <c r="L492" s="40">
        <v>0</v>
      </c>
      <c r="M492" s="40">
        <f t="shared" si="15"/>
        <v>0</v>
      </c>
      <c r="N492" s="40">
        <f t="shared" si="16"/>
        <v>0</v>
      </c>
    </row>
    <row r="493" spans="1:14" x14ac:dyDescent="0.35">
      <c r="A493" s="33">
        <v>490</v>
      </c>
      <c r="B493" s="34" t="s">
        <v>807</v>
      </c>
      <c r="C493" s="33" t="s">
        <v>346</v>
      </c>
      <c r="D493" s="33" t="s">
        <v>17</v>
      </c>
      <c r="E493" s="33" t="s">
        <v>666</v>
      </c>
      <c r="F493" s="35">
        <v>7.4999999999999997E-2</v>
      </c>
      <c r="G493" s="40">
        <v>0</v>
      </c>
      <c r="H493" s="40">
        <v>0</v>
      </c>
      <c r="I493" s="40">
        <v>0</v>
      </c>
      <c r="J493" s="40">
        <v>0</v>
      </c>
      <c r="K493" s="40">
        <v>0</v>
      </c>
      <c r="L493" s="40">
        <v>0</v>
      </c>
      <c r="M493" s="40">
        <f t="shared" si="15"/>
        <v>0</v>
      </c>
      <c r="N493" s="40">
        <f t="shared" si="16"/>
        <v>0</v>
      </c>
    </row>
    <row r="494" spans="1:14" x14ac:dyDescent="0.35">
      <c r="A494" s="33">
        <v>491</v>
      </c>
      <c r="B494" s="34" t="s">
        <v>808</v>
      </c>
      <c r="C494" s="33" t="s">
        <v>346</v>
      </c>
      <c r="D494" s="33" t="s">
        <v>17</v>
      </c>
      <c r="E494" s="33" t="s">
        <v>666</v>
      </c>
      <c r="F494" s="35">
        <v>7.4999999999999997E-2</v>
      </c>
      <c r="G494" s="40">
        <v>0</v>
      </c>
      <c r="H494" s="40">
        <v>0</v>
      </c>
      <c r="I494" s="40">
        <v>0</v>
      </c>
      <c r="J494" s="40">
        <v>0</v>
      </c>
      <c r="K494" s="40">
        <v>0</v>
      </c>
      <c r="L494" s="40">
        <v>0</v>
      </c>
      <c r="M494" s="40">
        <f t="shared" si="15"/>
        <v>0</v>
      </c>
      <c r="N494" s="40">
        <f t="shared" si="16"/>
        <v>0</v>
      </c>
    </row>
    <row r="495" spans="1:14" x14ac:dyDescent="0.35">
      <c r="A495" s="33">
        <v>492</v>
      </c>
      <c r="B495" s="34" t="s">
        <v>809</v>
      </c>
      <c r="C495" s="33" t="s">
        <v>346</v>
      </c>
      <c r="D495" s="33" t="s">
        <v>17</v>
      </c>
      <c r="E495" s="33" t="s">
        <v>666</v>
      </c>
      <c r="F495" s="35">
        <v>0.2</v>
      </c>
      <c r="G495" s="40">
        <v>0</v>
      </c>
      <c r="H495" s="40">
        <v>0</v>
      </c>
      <c r="I495" s="40">
        <v>0</v>
      </c>
      <c r="J495" s="40">
        <v>0</v>
      </c>
      <c r="K495" s="40">
        <v>0</v>
      </c>
      <c r="L495" s="40">
        <v>0</v>
      </c>
      <c r="M495" s="40">
        <f t="shared" si="15"/>
        <v>0</v>
      </c>
      <c r="N495" s="40">
        <f t="shared" si="16"/>
        <v>0</v>
      </c>
    </row>
    <row r="496" spans="1:14" x14ac:dyDescent="0.35">
      <c r="A496" s="33">
        <v>493</v>
      </c>
      <c r="B496" s="34" t="s">
        <v>810</v>
      </c>
      <c r="C496" s="33" t="s">
        <v>346</v>
      </c>
      <c r="D496" s="33" t="s">
        <v>17</v>
      </c>
      <c r="E496" s="33" t="s">
        <v>666</v>
      </c>
      <c r="F496" s="35">
        <v>0.2</v>
      </c>
      <c r="G496" s="40">
        <v>0</v>
      </c>
      <c r="H496" s="40">
        <v>0</v>
      </c>
      <c r="I496" s="40">
        <v>0</v>
      </c>
      <c r="J496" s="40">
        <v>0</v>
      </c>
      <c r="K496" s="40">
        <v>0</v>
      </c>
      <c r="L496" s="40">
        <v>0</v>
      </c>
      <c r="M496" s="40">
        <f t="shared" si="15"/>
        <v>0</v>
      </c>
      <c r="N496" s="40">
        <f t="shared" si="16"/>
        <v>0</v>
      </c>
    </row>
    <row r="497" spans="1:14" x14ac:dyDescent="0.35">
      <c r="A497" s="33">
        <v>494</v>
      </c>
      <c r="B497" s="34" t="s">
        <v>811</v>
      </c>
      <c r="C497" s="33" t="s">
        <v>346</v>
      </c>
      <c r="D497" s="33" t="s">
        <v>17</v>
      </c>
      <c r="E497" s="33" t="s">
        <v>666</v>
      </c>
      <c r="F497" s="35">
        <v>0.5</v>
      </c>
      <c r="G497" s="40">
        <v>0</v>
      </c>
      <c r="H497" s="40">
        <v>0</v>
      </c>
      <c r="I497" s="40">
        <v>0</v>
      </c>
      <c r="J497" s="40">
        <v>0</v>
      </c>
      <c r="K497" s="40">
        <v>0</v>
      </c>
      <c r="L497" s="40">
        <v>0</v>
      </c>
      <c r="M497" s="40">
        <f t="shared" si="15"/>
        <v>0</v>
      </c>
      <c r="N497" s="40">
        <f t="shared" si="16"/>
        <v>0</v>
      </c>
    </row>
    <row r="498" spans="1:14" x14ac:dyDescent="0.35">
      <c r="A498" s="33">
        <v>495</v>
      </c>
      <c r="B498" s="34" t="s">
        <v>812</v>
      </c>
      <c r="C498" s="33" t="s">
        <v>346</v>
      </c>
      <c r="D498" s="33" t="s">
        <v>17</v>
      </c>
      <c r="E498" s="33" t="s">
        <v>666</v>
      </c>
      <c r="F498" s="35">
        <v>0.2</v>
      </c>
      <c r="G498" s="40">
        <v>0</v>
      </c>
      <c r="H498" s="40">
        <v>0</v>
      </c>
      <c r="I498" s="40">
        <v>0</v>
      </c>
      <c r="J498" s="40">
        <v>0</v>
      </c>
      <c r="K498" s="40">
        <v>0</v>
      </c>
      <c r="L498" s="40">
        <v>0</v>
      </c>
      <c r="M498" s="40">
        <f t="shared" si="15"/>
        <v>0</v>
      </c>
      <c r="N498" s="40">
        <f t="shared" si="16"/>
        <v>0</v>
      </c>
    </row>
    <row r="499" spans="1:14" x14ac:dyDescent="0.35">
      <c r="A499" s="33">
        <v>496</v>
      </c>
      <c r="B499" s="34" t="s">
        <v>813</v>
      </c>
      <c r="C499" s="33" t="s">
        <v>346</v>
      </c>
      <c r="D499" s="33" t="s">
        <v>17</v>
      </c>
      <c r="E499" s="33" t="s">
        <v>666</v>
      </c>
      <c r="F499" s="35">
        <v>0.1</v>
      </c>
      <c r="G499" s="40">
        <v>0</v>
      </c>
      <c r="H499" s="40">
        <v>0</v>
      </c>
      <c r="I499" s="40">
        <v>0</v>
      </c>
      <c r="J499" s="40">
        <v>0</v>
      </c>
      <c r="K499" s="40">
        <v>0</v>
      </c>
      <c r="L499" s="40">
        <v>0</v>
      </c>
      <c r="M499" s="40">
        <f t="shared" si="15"/>
        <v>0</v>
      </c>
      <c r="N499" s="40">
        <f t="shared" si="16"/>
        <v>0</v>
      </c>
    </row>
    <row r="500" spans="1:14" x14ac:dyDescent="0.35">
      <c r="A500" s="33">
        <v>497</v>
      </c>
      <c r="B500" s="34" t="s">
        <v>814</v>
      </c>
      <c r="C500" s="33" t="s">
        <v>346</v>
      </c>
      <c r="D500" s="33" t="s">
        <v>17</v>
      </c>
      <c r="E500" s="33" t="s">
        <v>666</v>
      </c>
      <c r="F500" s="35">
        <v>0.2</v>
      </c>
      <c r="G500" s="40">
        <v>0</v>
      </c>
      <c r="H500" s="40">
        <v>0</v>
      </c>
      <c r="I500" s="40">
        <v>0</v>
      </c>
      <c r="J500" s="40">
        <v>0</v>
      </c>
      <c r="K500" s="40">
        <v>0</v>
      </c>
      <c r="L500" s="40">
        <v>0</v>
      </c>
      <c r="M500" s="40">
        <f t="shared" si="15"/>
        <v>0</v>
      </c>
      <c r="N500" s="40">
        <f t="shared" si="16"/>
        <v>0</v>
      </c>
    </row>
    <row r="501" spans="1:14" x14ac:dyDescent="0.35">
      <c r="A501" s="33">
        <v>498</v>
      </c>
      <c r="B501" s="34" t="s">
        <v>815</v>
      </c>
      <c r="C501" s="33" t="s">
        <v>346</v>
      </c>
      <c r="D501" s="33" t="s">
        <v>17</v>
      </c>
      <c r="E501" s="33" t="s">
        <v>666</v>
      </c>
      <c r="F501" s="35">
        <v>1</v>
      </c>
      <c r="G501" s="40">
        <v>0</v>
      </c>
      <c r="H501" s="40">
        <v>0</v>
      </c>
      <c r="I501" s="40">
        <v>0</v>
      </c>
      <c r="J501" s="40">
        <v>0</v>
      </c>
      <c r="K501" s="40">
        <v>0</v>
      </c>
      <c r="L501" s="40">
        <v>0</v>
      </c>
      <c r="M501" s="40">
        <f t="shared" si="15"/>
        <v>0</v>
      </c>
      <c r="N501" s="40">
        <f t="shared" si="16"/>
        <v>0</v>
      </c>
    </row>
    <row r="502" spans="1:14" x14ac:dyDescent="0.35">
      <c r="A502" s="33">
        <v>499</v>
      </c>
      <c r="B502" s="34" t="s">
        <v>816</v>
      </c>
      <c r="C502" s="33" t="s">
        <v>346</v>
      </c>
      <c r="D502" s="33" t="s">
        <v>17</v>
      </c>
      <c r="E502" s="33" t="s">
        <v>666</v>
      </c>
      <c r="F502" s="35">
        <v>0.15</v>
      </c>
      <c r="G502" s="40">
        <v>0</v>
      </c>
      <c r="H502" s="40">
        <v>0</v>
      </c>
      <c r="I502" s="40">
        <v>0</v>
      </c>
      <c r="J502" s="40">
        <v>0</v>
      </c>
      <c r="K502" s="40">
        <v>0</v>
      </c>
      <c r="L502" s="40">
        <v>0</v>
      </c>
      <c r="M502" s="40">
        <f t="shared" si="15"/>
        <v>0</v>
      </c>
      <c r="N502" s="40">
        <f t="shared" si="16"/>
        <v>0</v>
      </c>
    </row>
    <row r="503" spans="1:14" x14ac:dyDescent="0.35">
      <c r="A503" s="33">
        <v>500</v>
      </c>
      <c r="B503" s="34" t="s">
        <v>817</v>
      </c>
      <c r="C503" s="33" t="s">
        <v>346</v>
      </c>
      <c r="D503" s="33" t="s">
        <v>17</v>
      </c>
      <c r="E503" s="33" t="s">
        <v>666</v>
      </c>
      <c r="F503" s="35">
        <v>0.15</v>
      </c>
      <c r="G503" s="40">
        <v>0</v>
      </c>
      <c r="H503" s="40">
        <v>0</v>
      </c>
      <c r="I503" s="40">
        <v>0</v>
      </c>
      <c r="J503" s="40">
        <v>0</v>
      </c>
      <c r="K503" s="40">
        <v>0</v>
      </c>
      <c r="L503" s="40">
        <v>0</v>
      </c>
      <c r="M503" s="40">
        <f t="shared" si="15"/>
        <v>0</v>
      </c>
      <c r="N503" s="40">
        <f t="shared" si="16"/>
        <v>0</v>
      </c>
    </row>
    <row r="504" spans="1:14" x14ac:dyDescent="0.35">
      <c r="A504" s="33">
        <v>501</v>
      </c>
      <c r="B504" s="34" t="s">
        <v>818</v>
      </c>
      <c r="C504" s="33" t="s">
        <v>346</v>
      </c>
      <c r="D504" s="33" t="s">
        <v>17</v>
      </c>
      <c r="E504" s="33" t="s">
        <v>666</v>
      </c>
      <c r="F504" s="35">
        <v>0.15</v>
      </c>
      <c r="G504" s="40">
        <v>0</v>
      </c>
      <c r="H504" s="40">
        <v>0</v>
      </c>
      <c r="I504" s="40">
        <v>0</v>
      </c>
      <c r="J504" s="40">
        <v>0</v>
      </c>
      <c r="K504" s="40">
        <v>0</v>
      </c>
      <c r="L504" s="40">
        <v>0</v>
      </c>
      <c r="M504" s="40">
        <f t="shared" si="15"/>
        <v>0</v>
      </c>
      <c r="N504" s="40">
        <f t="shared" si="16"/>
        <v>0</v>
      </c>
    </row>
    <row r="505" spans="1:14" x14ac:dyDescent="0.35">
      <c r="A505" s="33">
        <v>502</v>
      </c>
      <c r="B505" s="34" t="s">
        <v>819</v>
      </c>
      <c r="C505" s="33" t="s">
        <v>346</v>
      </c>
      <c r="D505" s="33" t="s">
        <v>17</v>
      </c>
      <c r="E505" s="33" t="s">
        <v>666</v>
      </c>
      <c r="F505" s="35">
        <v>0.15</v>
      </c>
      <c r="G505" s="40">
        <v>0</v>
      </c>
      <c r="H505" s="40">
        <v>0</v>
      </c>
      <c r="I505" s="40">
        <v>0</v>
      </c>
      <c r="J505" s="40">
        <v>0</v>
      </c>
      <c r="K505" s="40">
        <v>0</v>
      </c>
      <c r="L505" s="40">
        <v>0</v>
      </c>
      <c r="M505" s="40">
        <f t="shared" si="15"/>
        <v>0</v>
      </c>
      <c r="N505" s="40">
        <f t="shared" si="16"/>
        <v>0</v>
      </c>
    </row>
    <row r="506" spans="1:14" x14ac:dyDescent="0.35">
      <c r="A506" s="33">
        <v>503</v>
      </c>
      <c r="B506" s="34" t="s">
        <v>677</v>
      </c>
      <c r="C506" s="33" t="s">
        <v>297</v>
      </c>
      <c r="D506" s="33" t="s">
        <v>17</v>
      </c>
      <c r="E506" s="33" t="s">
        <v>677</v>
      </c>
      <c r="F506" s="35">
        <v>1</v>
      </c>
      <c r="G506" s="40">
        <v>0</v>
      </c>
      <c r="H506" s="40">
        <v>0</v>
      </c>
      <c r="I506" s="40">
        <v>0</v>
      </c>
      <c r="J506" s="40">
        <v>0</v>
      </c>
      <c r="K506" s="40">
        <v>0</v>
      </c>
      <c r="L506" s="40">
        <v>0</v>
      </c>
      <c r="M506" s="40">
        <f t="shared" si="15"/>
        <v>0</v>
      </c>
      <c r="N506" s="40">
        <f t="shared" si="16"/>
        <v>0</v>
      </c>
    </row>
    <row r="507" spans="1:14" x14ac:dyDescent="0.35">
      <c r="A507" s="33">
        <v>504</v>
      </c>
      <c r="B507" s="34" t="s">
        <v>820</v>
      </c>
      <c r="C507" s="33" t="s">
        <v>297</v>
      </c>
      <c r="D507" s="33" t="s">
        <v>139</v>
      </c>
      <c r="E507" s="33" t="s">
        <v>821</v>
      </c>
      <c r="F507" s="35">
        <v>1</v>
      </c>
      <c r="G507" s="40">
        <v>0</v>
      </c>
      <c r="H507" s="40">
        <v>0</v>
      </c>
      <c r="I507" s="40">
        <v>0</v>
      </c>
      <c r="J507" s="40">
        <v>0</v>
      </c>
      <c r="K507" s="40">
        <v>0</v>
      </c>
      <c r="L507" s="40">
        <v>0</v>
      </c>
      <c r="M507" s="40">
        <f t="shared" si="15"/>
        <v>0</v>
      </c>
      <c r="N507" s="40">
        <f t="shared" si="16"/>
        <v>0</v>
      </c>
    </row>
    <row r="508" spans="1:14" x14ac:dyDescent="0.35">
      <c r="A508" s="33">
        <v>505</v>
      </c>
      <c r="B508" s="34" t="s">
        <v>822</v>
      </c>
      <c r="C508" s="33" t="s">
        <v>297</v>
      </c>
      <c r="D508" s="33" t="s">
        <v>139</v>
      </c>
      <c r="E508" s="33" t="s">
        <v>821</v>
      </c>
      <c r="F508" s="35">
        <v>1</v>
      </c>
      <c r="G508" s="40">
        <v>0</v>
      </c>
      <c r="H508" s="40">
        <v>0</v>
      </c>
      <c r="I508" s="40">
        <v>0</v>
      </c>
      <c r="J508" s="40">
        <v>0</v>
      </c>
      <c r="K508" s="40">
        <v>0</v>
      </c>
      <c r="L508" s="40">
        <v>0</v>
      </c>
      <c r="M508" s="40">
        <f t="shared" si="15"/>
        <v>0</v>
      </c>
      <c r="N508" s="40">
        <f t="shared" si="16"/>
        <v>0</v>
      </c>
    </row>
    <row r="509" spans="1:14" x14ac:dyDescent="0.35">
      <c r="A509" s="33">
        <v>506</v>
      </c>
      <c r="B509" s="34" t="s">
        <v>823</v>
      </c>
      <c r="C509" s="33" t="s">
        <v>297</v>
      </c>
      <c r="D509" s="33" t="s">
        <v>139</v>
      </c>
      <c r="E509" s="33" t="s">
        <v>821</v>
      </c>
      <c r="F509" s="35">
        <v>1</v>
      </c>
      <c r="G509" s="40">
        <v>0</v>
      </c>
      <c r="H509" s="40">
        <v>0</v>
      </c>
      <c r="I509" s="40">
        <v>0</v>
      </c>
      <c r="J509" s="40">
        <v>0</v>
      </c>
      <c r="K509" s="40">
        <v>0</v>
      </c>
      <c r="L509" s="40">
        <v>14.2</v>
      </c>
      <c r="M509" s="40">
        <f t="shared" si="15"/>
        <v>0</v>
      </c>
      <c r="N509" s="40">
        <f t="shared" si="16"/>
        <v>14.2</v>
      </c>
    </row>
    <row r="510" spans="1:14" x14ac:dyDescent="0.35">
      <c r="A510" s="33">
        <v>507</v>
      </c>
      <c r="B510" s="34" t="s">
        <v>828</v>
      </c>
      <c r="C510" s="33" t="s">
        <v>346</v>
      </c>
      <c r="D510" s="33" t="s">
        <v>139</v>
      </c>
      <c r="E510" s="33" t="s">
        <v>821</v>
      </c>
      <c r="F510" s="35">
        <v>0.25</v>
      </c>
      <c r="G510" s="40">
        <v>0</v>
      </c>
      <c r="H510" s="40">
        <v>0</v>
      </c>
      <c r="I510" s="40">
        <v>0</v>
      </c>
      <c r="J510" s="40">
        <v>0</v>
      </c>
      <c r="K510" s="40">
        <v>0</v>
      </c>
      <c r="L510" s="40">
        <v>0</v>
      </c>
      <c r="M510" s="40">
        <f t="shared" si="15"/>
        <v>0</v>
      </c>
      <c r="N510" s="40">
        <f t="shared" si="16"/>
        <v>0</v>
      </c>
    </row>
    <row r="511" spans="1:14" x14ac:dyDescent="0.35">
      <c r="A511" s="33">
        <v>508</v>
      </c>
      <c r="B511" s="34" t="s">
        <v>829</v>
      </c>
      <c r="C511" s="33" t="s">
        <v>346</v>
      </c>
      <c r="D511" s="33" t="s">
        <v>139</v>
      </c>
      <c r="E511" s="33" t="s">
        <v>821</v>
      </c>
      <c r="F511" s="35">
        <v>0.2</v>
      </c>
      <c r="G511" s="40">
        <v>0</v>
      </c>
      <c r="H511" s="40">
        <v>0</v>
      </c>
      <c r="I511" s="40">
        <v>0</v>
      </c>
      <c r="J511" s="40">
        <v>0</v>
      </c>
      <c r="K511" s="40">
        <v>0</v>
      </c>
      <c r="L511" s="40">
        <v>0</v>
      </c>
      <c r="M511" s="40">
        <f t="shared" si="15"/>
        <v>0</v>
      </c>
      <c r="N511" s="40">
        <f t="shared" si="16"/>
        <v>0</v>
      </c>
    </row>
    <row r="512" spans="1:14" x14ac:dyDescent="0.35">
      <c r="A512" s="33">
        <v>509</v>
      </c>
      <c r="B512" s="34" t="s">
        <v>830</v>
      </c>
      <c r="C512" s="33" t="s">
        <v>346</v>
      </c>
      <c r="D512" s="33" t="s">
        <v>139</v>
      </c>
      <c r="E512" s="33" t="s">
        <v>821</v>
      </c>
      <c r="F512" s="35">
        <v>0.25</v>
      </c>
      <c r="G512" s="40">
        <v>0</v>
      </c>
      <c r="H512" s="40">
        <v>0</v>
      </c>
      <c r="I512" s="40">
        <v>0</v>
      </c>
      <c r="J512" s="40">
        <v>0</v>
      </c>
      <c r="K512" s="40">
        <v>0</v>
      </c>
      <c r="L512" s="40">
        <v>0</v>
      </c>
      <c r="M512" s="40">
        <f t="shared" si="15"/>
        <v>0</v>
      </c>
      <c r="N512" s="40">
        <f t="shared" si="16"/>
        <v>0</v>
      </c>
    </row>
    <row r="513" spans="1:14" x14ac:dyDescent="0.35">
      <c r="A513" s="33">
        <v>510</v>
      </c>
      <c r="B513" s="34" t="s">
        <v>831</v>
      </c>
      <c r="C513" s="33" t="s">
        <v>346</v>
      </c>
      <c r="D513" s="33" t="s">
        <v>139</v>
      </c>
      <c r="E513" s="33" t="s">
        <v>821</v>
      </c>
      <c r="F513" s="35">
        <v>0.1</v>
      </c>
      <c r="G513" s="40">
        <v>0</v>
      </c>
      <c r="H513" s="40">
        <v>0</v>
      </c>
      <c r="I513" s="40">
        <v>0</v>
      </c>
      <c r="J513" s="40">
        <v>0</v>
      </c>
      <c r="K513" s="40">
        <v>0</v>
      </c>
      <c r="L513" s="40">
        <v>0</v>
      </c>
      <c r="M513" s="40">
        <f t="shared" si="15"/>
        <v>0</v>
      </c>
      <c r="N513" s="40">
        <f t="shared" si="16"/>
        <v>0</v>
      </c>
    </row>
    <row r="514" spans="1:14" x14ac:dyDescent="0.35">
      <c r="A514" s="33">
        <v>511</v>
      </c>
      <c r="B514" s="34" t="s">
        <v>832</v>
      </c>
      <c r="C514" s="33" t="s">
        <v>346</v>
      </c>
      <c r="D514" s="33" t="s">
        <v>139</v>
      </c>
      <c r="E514" s="33" t="s">
        <v>821</v>
      </c>
      <c r="F514" s="35">
        <v>0.12</v>
      </c>
      <c r="G514" s="40">
        <v>0</v>
      </c>
      <c r="H514" s="40">
        <v>0</v>
      </c>
      <c r="I514" s="40">
        <v>0</v>
      </c>
      <c r="J514" s="40">
        <v>0</v>
      </c>
      <c r="K514" s="40">
        <v>0</v>
      </c>
      <c r="L514" s="40">
        <v>0</v>
      </c>
      <c r="M514" s="40">
        <f t="shared" si="15"/>
        <v>0</v>
      </c>
      <c r="N514" s="40">
        <f t="shared" si="16"/>
        <v>0</v>
      </c>
    </row>
    <row r="515" spans="1:14" x14ac:dyDescent="0.35">
      <c r="A515" s="33">
        <v>512</v>
      </c>
      <c r="B515" s="34" t="s">
        <v>833</v>
      </c>
      <c r="C515" s="33" t="s">
        <v>346</v>
      </c>
      <c r="D515" s="33" t="s">
        <v>139</v>
      </c>
      <c r="E515" s="33" t="s">
        <v>821</v>
      </c>
      <c r="F515" s="35">
        <v>0.25</v>
      </c>
      <c r="G515" s="40">
        <v>0</v>
      </c>
      <c r="H515" s="40">
        <v>0</v>
      </c>
      <c r="I515" s="40">
        <v>0</v>
      </c>
      <c r="J515" s="40">
        <v>0</v>
      </c>
      <c r="K515" s="40">
        <v>0</v>
      </c>
      <c r="L515" s="40">
        <v>0</v>
      </c>
      <c r="M515" s="40">
        <f t="shared" si="15"/>
        <v>0</v>
      </c>
      <c r="N515" s="40">
        <f t="shared" si="16"/>
        <v>0</v>
      </c>
    </row>
    <row r="516" spans="1:14" x14ac:dyDescent="0.35">
      <c r="A516" s="33">
        <v>513</v>
      </c>
      <c r="B516" s="34" t="s">
        <v>834</v>
      </c>
      <c r="C516" s="33" t="s">
        <v>346</v>
      </c>
      <c r="D516" s="33" t="s">
        <v>139</v>
      </c>
      <c r="E516" s="33" t="s">
        <v>821</v>
      </c>
      <c r="F516" s="35">
        <v>0.08</v>
      </c>
      <c r="G516" s="40">
        <v>0</v>
      </c>
      <c r="H516" s="40">
        <v>0</v>
      </c>
      <c r="I516" s="40">
        <v>0</v>
      </c>
      <c r="J516" s="40">
        <v>0</v>
      </c>
      <c r="K516" s="40">
        <v>0</v>
      </c>
      <c r="L516" s="40">
        <v>0</v>
      </c>
      <c r="M516" s="40">
        <f t="shared" si="15"/>
        <v>0</v>
      </c>
      <c r="N516" s="40">
        <f t="shared" si="16"/>
        <v>0</v>
      </c>
    </row>
    <row r="517" spans="1:14" x14ac:dyDescent="0.35">
      <c r="A517" s="33">
        <v>514</v>
      </c>
      <c r="B517" s="34" t="s">
        <v>835</v>
      </c>
      <c r="C517" s="33" t="s">
        <v>346</v>
      </c>
      <c r="D517" s="33" t="s">
        <v>139</v>
      </c>
      <c r="E517" s="33" t="s">
        <v>821</v>
      </c>
      <c r="F517" s="35">
        <v>0.1</v>
      </c>
      <c r="G517" s="40">
        <v>0</v>
      </c>
      <c r="H517" s="40">
        <v>0</v>
      </c>
      <c r="I517" s="40">
        <v>0</v>
      </c>
      <c r="J517" s="40">
        <v>0</v>
      </c>
      <c r="K517" s="40">
        <v>0</v>
      </c>
      <c r="L517" s="40">
        <v>0</v>
      </c>
      <c r="M517" s="40">
        <f t="shared" ref="M517:M580" si="17">G517+I517+K517</f>
        <v>0</v>
      </c>
      <c r="N517" s="40">
        <f t="shared" ref="N517:N580" si="18">H517+J517+L517</f>
        <v>0</v>
      </c>
    </row>
    <row r="518" spans="1:14" x14ac:dyDescent="0.35">
      <c r="A518" s="33">
        <v>515</v>
      </c>
      <c r="B518" s="34" t="s">
        <v>239</v>
      </c>
      <c r="C518" s="33" t="s">
        <v>346</v>
      </c>
      <c r="D518" s="33" t="s">
        <v>139</v>
      </c>
      <c r="E518" s="33" t="s">
        <v>821</v>
      </c>
      <c r="F518" s="35">
        <v>0.03</v>
      </c>
      <c r="G518" s="40">
        <v>0</v>
      </c>
      <c r="H518" s="40">
        <v>0</v>
      </c>
      <c r="I518" s="40">
        <v>0</v>
      </c>
      <c r="J518" s="40">
        <v>0</v>
      </c>
      <c r="K518" s="40">
        <v>850</v>
      </c>
      <c r="L518" s="40">
        <v>25.5</v>
      </c>
      <c r="M518" s="40">
        <f t="shared" si="17"/>
        <v>850</v>
      </c>
      <c r="N518" s="40">
        <f t="shared" si="18"/>
        <v>25.5</v>
      </c>
    </row>
    <row r="519" spans="1:14" x14ac:dyDescent="0.35">
      <c r="A519" s="33">
        <v>516</v>
      </c>
      <c r="B519" s="34" t="s">
        <v>836</v>
      </c>
      <c r="C519" s="33" t="s">
        <v>346</v>
      </c>
      <c r="D519" s="33" t="s">
        <v>139</v>
      </c>
      <c r="E519" s="33" t="s">
        <v>821</v>
      </c>
      <c r="F519" s="35">
        <v>0.1</v>
      </c>
      <c r="G519" s="40">
        <v>0</v>
      </c>
      <c r="H519" s="40">
        <v>0</v>
      </c>
      <c r="I519" s="40">
        <v>0</v>
      </c>
      <c r="J519" s="40">
        <v>0</v>
      </c>
      <c r="K519" s="40">
        <v>0</v>
      </c>
      <c r="L519" s="40">
        <v>0</v>
      </c>
      <c r="M519" s="40">
        <f t="shared" si="17"/>
        <v>0</v>
      </c>
      <c r="N519" s="40">
        <f t="shared" si="18"/>
        <v>0</v>
      </c>
    </row>
    <row r="520" spans="1:14" x14ac:dyDescent="0.35">
      <c r="A520" s="33">
        <v>517</v>
      </c>
      <c r="B520" s="34" t="s">
        <v>837</v>
      </c>
      <c r="C520" s="33" t="s">
        <v>346</v>
      </c>
      <c r="D520" s="33" t="s">
        <v>139</v>
      </c>
      <c r="E520" s="33" t="s">
        <v>821</v>
      </c>
      <c r="F520" s="35">
        <v>0.15</v>
      </c>
      <c r="G520" s="40">
        <v>0</v>
      </c>
      <c r="H520" s="40">
        <v>0</v>
      </c>
      <c r="I520" s="40">
        <v>0</v>
      </c>
      <c r="J520" s="40">
        <v>0</v>
      </c>
      <c r="K520" s="40">
        <v>0</v>
      </c>
      <c r="L520" s="40">
        <v>0</v>
      </c>
      <c r="M520" s="40">
        <f t="shared" si="17"/>
        <v>0</v>
      </c>
      <c r="N520" s="40">
        <f t="shared" si="18"/>
        <v>0</v>
      </c>
    </row>
    <row r="521" spans="1:14" x14ac:dyDescent="0.35">
      <c r="A521" s="33">
        <v>518</v>
      </c>
      <c r="B521" s="34" t="s">
        <v>824</v>
      </c>
      <c r="C521" s="33" t="s">
        <v>297</v>
      </c>
      <c r="D521" s="33" t="s">
        <v>139</v>
      </c>
      <c r="E521" s="33" t="s">
        <v>825</v>
      </c>
      <c r="F521" s="35">
        <v>1</v>
      </c>
      <c r="G521" s="40">
        <v>0</v>
      </c>
      <c r="H521" s="40">
        <v>0</v>
      </c>
      <c r="I521" s="40">
        <v>0</v>
      </c>
      <c r="J521" s="40">
        <v>0</v>
      </c>
      <c r="K521" s="40">
        <v>0</v>
      </c>
      <c r="L521" s="40">
        <v>117.39</v>
      </c>
      <c r="M521" s="40">
        <f t="shared" si="17"/>
        <v>0</v>
      </c>
      <c r="N521" s="40">
        <f t="shared" si="18"/>
        <v>117.39</v>
      </c>
    </row>
    <row r="522" spans="1:14" x14ac:dyDescent="0.35">
      <c r="A522" s="33">
        <v>519</v>
      </c>
      <c r="B522" s="34" t="s">
        <v>826</v>
      </c>
      <c r="C522" s="33" t="s">
        <v>297</v>
      </c>
      <c r="D522" s="33" t="s">
        <v>139</v>
      </c>
      <c r="E522" s="33" t="s">
        <v>825</v>
      </c>
      <c r="F522" s="35">
        <v>1</v>
      </c>
      <c r="G522" s="40">
        <v>0</v>
      </c>
      <c r="H522" s="40">
        <v>0</v>
      </c>
      <c r="I522" s="40">
        <v>0</v>
      </c>
      <c r="J522" s="40">
        <v>0</v>
      </c>
      <c r="K522" s="40">
        <v>0</v>
      </c>
      <c r="L522" s="40">
        <v>0</v>
      </c>
      <c r="M522" s="40">
        <f t="shared" si="17"/>
        <v>0</v>
      </c>
      <c r="N522" s="40">
        <f t="shared" si="18"/>
        <v>0</v>
      </c>
    </row>
    <row r="523" spans="1:14" x14ac:dyDescent="0.35">
      <c r="A523" s="33">
        <v>520</v>
      </c>
      <c r="B523" s="34" t="s">
        <v>838</v>
      </c>
      <c r="C523" s="33" t="s">
        <v>346</v>
      </c>
      <c r="D523" s="33" t="s">
        <v>139</v>
      </c>
      <c r="E523" s="33" t="s">
        <v>825</v>
      </c>
      <c r="F523" s="35">
        <v>0.1</v>
      </c>
      <c r="G523" s="40">
        <v>0</v>
      </c>
      <c r="H523" s="40">
        <v>0</v>
      </c>
      <c r="I523" s="40">
        <v>0</v>
      </c>
      <c r="J523" s="40">
        <v>0</v>
      </c>
      <c r="K523" s="40">
        <v>0</v>
      </c>
      <c r="L523" s="40">
        <v>0</v>
      </c>
      <c r="M523" s="40">
        <f t="shared" si="17"/>
        <v>0</v>
      </c>
      <c r="N523" s="40">
        <f t="shared" si="18"/>
        <v>0</v>
      </c>
    </row>
    <row r="524" spans="1:14" x14ac:dyDescent="0.35">
      <c r="A524" s="33">
        <v>521</v>
      </c>
      <c r="B524" s="34" t="s">
        <v>839</v>
      </c>
      <c r="C524" s="33" t="s">
        <v>346</v>
      </c>
      <c r="D524" s="33" t="s">
        <v>139</v>
      </c>
      <c r="E524" s="33" t="s">
        <v>825</v>
      </c>
      <c r="F524" s="35">
        <v>0.25</v>
      </c>
      <c r="G524" s="40">
        <v>0</v>
      </c>
      <c r="H524" s="40">
        <v>0</v>
      </c>
      <c r="I524" s="40">
        <v>0</v>
      </c>
      <c r="J524" s="40">
        <v>0</v>
      </c>
      <c r="K524" s="40">
        <v>0</v>
      </c>
      <c r="L524" s="40">
        <v>0</v>
      </c>
      <c r="M524" s="40">
        <f t="shared" si="17"/>
        <v>0</v>
      </c>
      <c r="N524" s="40">
        <f t="shared" si="18"/>
        <v>0</v>
      </c>
    </row>
    <row r="525" spans="1:14" x14ac:dyDescent="0.35">
      <c r="A525" s="33">
        <v>522</v>
      </c>
      <c r="B525" s="34" t="s">
        <v>840</v>
      </c>
      <c r="C525" s="33" t="s">
        <v>346</v>
      </c>
      <c r="D525" s="33" t="s">
        <v>139</v>
      </c>
      <c r="E525" s="33" t="s">
        <v>825</v>
      </c>
      <c r="F525" s="35">
        <v>0.23</v>
      </c>
      <c r="G525" s="40">
        <v>0</v>
      </c>
      <c r="H525" s="40">
        <v>0</v>
      </c>
      <c r="I525" s="40">
        <v>0</v>
      </c>
      <c r="J525" s="40">
        <v>0</v>
      </c>
      <c r="K525" s="40">
        <v>0</v>
      </c>
      <c r="L525" s="40">
        <v>0</v>
      </c>
      <c r="M525" s="40">
        <f t="shared" si="17"/>
        <v>0</v>
      </c>
      <c r="N525" s="40">
        <f t="shared" si="18"/>
        <v>0</v>
      </c>
    </row>
    <row r="526" spans="1:14" x14ac:dyDescent="0.35">
      <c r="A526" s="33">
        <v>523</v>
      </c>
      <c r="B526" s="34" t="s">
        <v>841</v>
      </c>
      <c r="C526" s="33" t="s">
        <v>346</v>
      </c>
      <c r="D526" s="33" t="s">
        <v>139</v>
      </c>
      <c r="E526" s="33" t="s">
        <v>825</v>
      </c>
      <c r="F526" s="35">
        <v>0.25</v>
      </c>
      <c r="G526" s="40">
        <v>0</v>
      </c>
      <c r="H526" s="40">
        <v>0</v>
      </c>
      <c r="I526" s="40">
        <v>0</v>
      </c>
      <c r="J526" s="40">
        <v>0</v>
      </c>
      <c r="K526" s="40">
        <v>0</v>
      </c>
      <c r="L526" s="40">
        <v>0</v>
      </c>
      <c r="M526" s="40">
        <f t="shared" si="17"/>
        <v>0</v>
      </c>
      <c r="N526" s="40">
        <f t="shared" si="18"/>
        <v>0</v>
      </c>
    </row>
    <row r="527" spans="1:14" x14ac:dyDescent="0.35">
      <c r="A527" s="33">
        <v>524</v>
      </c>
      <c r="B527" s="34" t="s">
        <v>842</v>
      </c>
      <c r="C527" s="33" t="s">
        <v>346</v>
      </c>
      <c r="D527" s="33" t="s">
        <v>139</v>
      </c>
      <c r="E527" s="33" t="s">
        <v>825</v>
      </c>
      <c r="F527" s="35">
        <v>0.1</v>
      </c>
      <c r="G527" s="40">
        <v>0</v>
      </c>
      <c r="H527" s="40">
        <v>0</v>
      </c>
      <c r="I527" s="40">
        <v>0</v>
      </c>
      <c r="J527" s="40">
        <v>0</v>
      </c>
      <c r="K527" s="40">
        <v>0</v>
      </c>
      <c r="L527" s="40">
        <v>0</v>
      </c>
      <c r="M527" s="40">
        <f t="shared" si="17"/>
        <v>0</v>
      </c>
      <c r="N527" s="40">
        <f t="shared" si="18"/>
        <v>0</v>
      </c>
    </row>
    <row r="528" spans="1:14" x14ac:dyDescent="0.35">
      <c r="A528" s="33">
        <v>525</v>
      </c>
      <c r="B528" s="34" t="s">
        <v>843</v>
      </c>
      <c r="C528" s="33" t="s">
        <v>346</v>
      </c>
      <c r="D528" s="33" t="s">
        <v>139</v>
      </c>
      <c r="E528" s="33" t="s">
        <v>825</v>
      </c>
      <c r="F528" s="35">
        <v>0.25</v>
      </c>
      <c r="G528" s="40">
        <v>0</v>
      </c>
      <c r="H528" s="40">
        <v>0</v>
      </c>
      <c r="I528" s="40">
        <v>0</v>
      </c>
      <c r="J528" s="40">
        <v>0</v>
      </c>
      <c r="K528" s="40">
        <v>0</v>
      </c>
      <c r="L528" s="40">
        <v>0</v>
      </c>
      <c r="M528" s="40">
        <f t="shared" si="17"/>
        <v>0</v>
      </c>
      <c r="N528" s="40">
        <f t="shared" si="18"/>
        <v>0</v>
      </c>
    </row>
    <row r="529" spans="1:14" x14ac:dyDescent="0.35">
      <c r="A529" s="33">
        <v>526</v>
      </c>
      <c r="B529" s="34" t="s">
        <v>844</v>
      </c>
      <c r="C529" s="33" t="s">
        <v>346</v>
      </c>
      <c r="D529" s="33" t="s">
        <v>139</v>
      </c>
      <c r="E529" s="33" t="s">
        <v>825</v>
      </c>
      <c r="F529" s="35">
        <v>0.25</v>
      </c>
      <c r="G529" s="40">
        <v>0</v>
      </c>
      <c r="H529" s="40">
        <v>0</v>
      </c>
      <c r="I529" s="40">
        <v>0</v>
      </c>
      <c r="J529" s="40">
        <v>0</v>
      </c>
      <c r="K529" s="40">
        <v>0</v>
      </c>
      <c r="L529" s="40">
        <v>0</v>
      </c>
      <c r="M529" s="40">
        <f t="shared" si="17"/>
        <v>0</v>
      </c>
      <c r="N529" s="40">
        <f t="shared" si="18"/>
        <v>0</v>
      </c>
    </row>
    <row r="530" spans="1:14" x14ac:dyDescent="0.35">
      <c r="A530" s="33">
        <v>527</v>
      </c>
      <c r="B530" s="34" t="s">
        <v>845</v>
      </c>
      <c r="C530" s="33" t="s">
        <v>346</v>
      </c>
      <c r="D530" s="33" t="s">
        <v>139</v>
      </c>
      <c r="E530" s="33" t="s">
        <v>825</v>
      </c>
      <c r="F530" s="35">
        <v>0.2</v>
      </c>
      <c r="G530" s="40">
        <v>0</v>
      </c>
      <c r="H530" s="40">
        <v>0</v>
      </c>
      <c r="I530" s="40">
        <v>0</v>
      </c>
      <c r="J530" s="40">
        <v>0</v>
      </c>
      <c r="K530" s="40">
        <v>0</v>
      </c>
      <c r="L530" s="40">
        <v>0</v>
      </c>
      <c r="M530" s="40">
        <f t="shared" si="17"/>
        <v>0</v>
      </c>
      <c r="N530" s="40">
        <f t="shared" si="18"/>
        <v>0</v>
      </c>
    </row>
    <row r="531" spans="1:14" x14ac:dyDescent="0.35">
      <c r="A531" s="33">
        <v>528</v>
      </c>
      <c r="B531" s="34" t="s">
        <v>846</v>
      </c>
      <c r="C531" s="33" t="s">
        <v>346</v>
      </c>
      <c r="D531" s="33" t="s">
        <v>139</v>
      </c>
      <c r="E531" s="33" t="s">
        <v>825</v>
      </c>
      <c r="F531" s="35">
        <v>0.1</v>
      </c>
      <c r="G531" s="40">
        <v>0</v>
      </c>
      <c r="H531" s="40">
        <v>0</v>
      </c>
      <c r="I531" s="40">
        <v>0</v>
      </c>
      <c r="J531" s="40">
        <v>0</v>
      </c>
      <c r="K531" s="40">
        <v>0</v>
      </c>
      <c r="L531" s="40">
        <v>0</v>
      </c>
      <c r="M531" s="40">
        <f t="shared" si="17"/>
        <v>0</v>
      </c>
      <c r="N531" s="40">
        <f t="shared" si="18"/>
        <v>0</v>
      </c>
    </row>
    <row r="532" spans="1:14" x14ac:dyDescent="0.35">
      <c r="A532" s="33">
        <v>529</v>
      </c>
      <c r="B532" s="34" t="s">
        <v>847</v>
      </c>
      <c r="C532" s="33" t="s">
        <v>346</v>
      </c>
      <c r="D532" s="33" t="s">
        <v>139</v>
      </c>
      <c r="E532" s="33" t="s">
        <v>825</v>
      </c>
      <c r="F532" s="35">
        <v>0.25</v>
      </c>
      <c r="G532" s="40">
        <v>0</v>
      </c>
      <c r="H532" s="40">
        <v>0</v>
      </c>
      <c r="I532" s="40">
        <v>0</v>
      </c>
      <c r="J532" s="40">
        <v>0</v>
      </c>
      <c r="K532" s="40">
        <v>0</v>
      </c>
      <c r="L532" s="40">
        <v>0</v>
      </c>
      <c r="M532" s="40">
        <f t="shared" si="17"/>
        <v>0</v>
      </c>
      <c r="N532" s="40">
        <f t="shared" si="18"/>
        <v>0</v>
      </c>
    </row>
    <row r="533" spans="1:14" x14ac:dyDescent="0.35">
      <c r="A533" s="33">
        <v>530</v>
      </c>
      <c r="B533" s="34" t="s">
        <v>848</v>
      </c>
      <c r="C533" s="33" t="s">
        <v>346</v>
      </c>
      <c r="D533" s="33" t="s">
        <v>139</v>
      </c>
      <c r="E533" s="33" t="s">
        <v>825</v>
      </c>
      <c r="F533" s="35">
        <v>0.1</v>
      </c>
      <c r="G533" s="40">
        <v>0</v>
      </c>
      <c r="H533" s="40">
        <v>0</v>
      </c>
      <c r="I533" s="40">
        <v>0</v>
      </c>
      <c r="J533" s="40">
        <v>0</v>
      </c>
      <c r="K533" s="40">
        <v>0</v>
      </c>
      <c r="L533" s="40">
        <v>0</v>
      </c>
      <c r="M533" s="40">
        <f t="shared" si="17"/>
        <v>0</v>
      </c>
      <c r="N533" s="40">
        <f t="shared" si="18"/>
        <v>0</v>
      </c>
    </row>
    <row r="534" spans="1:14" x14ac:dyDescent="0.35">
      <c r="A534" s="33">
        <v>531</v>
      </c>
      <c r="B534" s="34" t="s">
        <v>849</v>
      </c>
      <c r="C534" s="33" t="s">
        <v>346</v>
      </c>
      <c r="D534" s="33" t="s">
        <v>139</v>
      </c>
      <c r="E534" s="33" t="s">
        <v>825</v>
      </c>
      <c r="F534" s="35">
        <v>0.25</v>
      </c>
      <c r="G534" s="40">
        <v>0</v>
      </c>
      <c r="H534" s="40">
        <v>0</v>
      </c>
      <c r="I534" s="40">
        <v>0</v>
      </c>
      <c r="J534" s="40">
        <v>0</v>
      </c>
      <c r="K534" s="40">
        <v>0</v>
      </c>
      <c r="L534" s="40">
        <v>0</v>
      </c>
      <c r="M534" s="40">
        <f t="shared" si="17"/>
        <v>0</v>
      </c>
      <c r="N534" s="40">
        <f t="shared" si="18"/>
        <v>0</v>
      </c>
    </row>
    <row r="535" spans="1:14" x14ac:dyDescent="0.35">
      <c r="A535" s="33">
        <v>532</v>
      </c>
      <c r="B535" s="34" t="s">
        <v>850</v>
      </c>
      <c r="C535" s="33" t="s">
        <v>346</v>
      </c>
      <c r="D535" s="33" t="s">
        <v>139</v>
      </c>
      <c r="E535" s="33" t="s">
        <v>825</v>
      </c>
      <c r="F535" s="35">
        <v>0.125</v>
      </c>
      <c r="G535" s="40">
        <v>0</v>
      </c>
      <c r="H535" s="40">
        <v>0</v>
      </c>
      <c r="I535" s="40">
        <v>0</v>
      </c>
      <c r="J535" s="40">
        <v>0</v>
      </c>
      <c r="K535" s="40">
        <v>0</v>
      </c>
      <c r="L535" s="40">
        <v>0</v>
      </c>
      <c r="M535" s="40">
        <f t="shared" si="17"/>
        <v>0</v>
      </c>
      <c r="N535" s="40">
        <f t="shared" si="18"/>
        <v>0</v>
      </c>
    </row>
    <row r="536" spans="1:14" x14ac:dyDescent="0.35">
      <c r="A536" s="33">
        <v>533</v>
      </c>
      <c r="B536" s="34" t="s">
        <v>851</v>
      </c>
      <c r="C536" s="33" t="s">
        <v>346</v>
      </c>
      <c r="D536" s="33" t="s">
        <v>139</v>
      </c>
      <c r="E536" s="33" t="s">
        <v>825</v>
      </c>
      <c r="F536" s="35">
        <v>1</v>
      </c>
      <c r="G536" s="40">
        <v>0</v>
      </c>
      <c r="H536" s="40">
        <v>0</v>
      </c>
      <c r="I536" s="40">
        <v>0</v>
      </c>
      <c r="J536" s="40">
        <v>556.79999999999995</v>
      </c>
      <c r="K536" s="40">
        <v>0</v>
      </c>
      <c r="L536" s="40">
        <v>126.88</v>
      </c>
      <c r="M536" s="40">
        <f t="shared" si="17"/>
        <v>0</v>
      </c>
      <c r="N536" s="40">
        <f t="shared" si="18"/>
        <v>683.68</v>
      </c>
    </row>
    <row r="537" spans="1:14" x14ac:dyDescent="0.35">
      <c r="A537" s="33">
        <v>534</v>
      </c>
      <c r="B537" s="34" t="s">
        <v>852</v>
      </c>
      <c r="C537" s="33" t="s">
        <v>346</v>
      </c>
      <c r="D537" s="33" t="s">
        <v>139</v>
      </c>
      <c r="E537" s="33" t="s">
        <v>825</v>
      </c>
      <c r="F537" s="35">
        <v>7.4999999999999997E-2</v>
      </c>
      <c r="G537" s="40">
        <v>0</v>
      </c>
      <c r="H537" s="40">
        <v>0</v>
      </c>
      <c r="I537" s="40">
        <v>0</v>
      </c>
      <c r="J537" s="40">
        <v>0</v>
      </c>
      <c r="K537" s="40">
        <v>0</v>
      </c>
      <c r="L537" s="40">
        <v>0</v>
      </c>
      <c r="M537" s="40">
        <f t="shared" si="17"/>
        <v>0</v>
      </c>
      <c r="N537" s="40">
        <f t="shared" si="18"/>
        <v>0</v>
      </c>
    </row>
    <row r="538" spans="1:14" x14ac:dyDescent="0.35">
      <c r="A538" s="33">
        <v>535</v>
      </c>
      <c r="B538" s="34" t="s">
        <v>853</v>
      </c>
      <c r="C538" s="33" t="s">
        <v>346</v>
      </c>
      <c r="D538" s="33" t="s">
        <v>139</v>
      </c>
      <c r="E538" s="33" t="s">
        <v>825</v>
      </c>
      <c r="F538" s="35">
        <v>0.23</v>
      </c>
      <c r="G538" s="40">
        <v>0</v>
      </c>
      <c r="H538" s="40">
        <v>0</v>
      </c>
      <c r="I538" s="40">
        <v>0</v>
      </c>
      <c r="J538" s="40">
        <v>0</v>
      </c>
      <c r="K538" s="40">
        <v>0</v>
      </c>
      <c r="L538" s="40">
        <v>0</v>
      </c>
      <c r="M538" s="40">
        <f t="shared" si="17"/>
        <v>0</v>
      </c>
      <c r="N538" s="40">
        <f t="shared" si="18"/>
        <v>0</v>
      </c>
    </row>
    <row r="539" spans="1:14" x14ac:dyDescent="0.35">
      <c r="A539" s="33">
        <v>536</v>
      </c>
      <c r="B539" s="34" t="s">
        <v>854</v>
      </c>
      <c r="C539" s="33" t="s">
        <v>346</v>
      </c>
      <c r="D539" s="33" t="s">
        <v>139</v>
      </c>
      <c r="E539" s="33" t="s">
        <v>825</v>
      </c>
      <c r="F539" s="35">
        <v>0.2</v>
      </c>
      <c r="G539" s="40">
        <v>0</v>
      </c>
      <c r="H539" s="40">
        <v>0</v>
      </c>
      <c r="I539" s="40">
        <v>0</v>
      </c>
      <c r="J539" s="40">
        <v>0</v>
      </c>
      <c r="K539" s="40">
        <v>0</v>
      </c>
      <c r="L539" s="40">
        <v>0</v>
      </c>
      <c r="M539" s="40">
        <f t="shared" si="17"/>
        <v>0</v>
      </c>
      <c r="N539" s="40">
        <f t="shared" si="18"/>
        <v>0</v>
      </c>
    </row>
    <row r="540" spans="1:14" x14ac:dyDescent="0.35">
      <c r="A540" s="33">
        <v>537</v>
      </c>
      <c r="B540" s="34" t="s">
        <v>855</v>
      </c>
      <c r="C540" s="33" t="s">
        <v>346</v>
      </c>
      <c r="D540" s="33" t="s">
        <v>139</v>
      </c>
      <c r="E540" s="33" t="s">
        <v>825</v>
      </c>
      <c r="F540" s="35">
        <v>0.3</v>
      </c>
      <c r="G540" s="40">
        <v>0</v>
      </c>
      <c r="H540" s="40">
        <v>0</v>
      </c>
      <c r="I540" s="40">
        <v>0</v>
      </c>
      <c r="J540" s="40">
        <v>0</v>
      </c>
      <c r="K540" s="40">
        <v>0</v>
      </c>
      <c r="L540" s="40">
        <v>0</v>
      </c>
      <c r="M540" s="40">
        <f t="shared" si="17"/>
        <v>0</v>
      </c>
      <c r="N540" s="40">
        <f t="shared" si="18"/>
        <v>0</v>
      </c>
    </row>
    <row r="541" spans="1:14" x14ac:dyDescent="0.35">
      <c r="A541" s="33">
        <v>538</v>
      </c>
      <c r="B541" s="34" t="s">
        <v>856</v>
      </c>
      <c r="C541" s="33" t="s">
        <v>346</v>
      </c>
      <c r="D541" s="33" t="s">
        <v>139</v>
      </c>
      <c r="E541" s="33" t="s">
        <v>825</v>
      </c>
      <c r="F541" s="35">
        <v>0.3</v>
      </c>
      <c r="G541" s="40">
        <v>0</v>
      </c>
      <c r="H541" s="40">
        <v>0</v>
      </c>
      <c r="I541" s="40">
        <v>0</v>
      </c>
      <c r="J541" s="40">
        <v>0</v>
      </c>
      <c r="K541" s="40">
        <v>0</v>
      </c>
      <c r="L541" s="40">
        <v>0</v>
      </c>
      <c r="M541" s="40">
        <f t="shared" si="17"/>
        <v>0</v>
      </c>
      <c r="N541" s="40">
        <f t="shared" si="18"/>
        <v>0</v>
      </c>
    </row>
    <row r="542" spans="1:14" x14ac:dyDescent="0.35">
      <c r="A542" s="33">
        <v>539</v>
      </c>
      <c r="B542" s="34" t="s">
        <v>857</v>
      </c>
      <c r="C542" s="33" t="s">
        <v>346</v>
      </c>
      <c r="D542" s="33" t="s">
        <v>139</v>
      </c>
      <c r="E542" s="33" t="s">
        <v>825</v>
      </c>
      <c r="F542" s="35">
        <v>0.13</v>
      </c>
      <c r="G542" s="40">
        <v>0</v>
      </c>
      <c r="H542" s="40">
        <v>0</v>
      </c>
      <c r="I542" s="40">
        <v>0</v>
      </c>
      <c r="J542" s="40">
        <v>0</v>
      </c>
      <c r="K542" s="40">
        <v>0</v>
      </c>
      <c r="L542" s="40">
        <v>0</v>
      </c>
      <c r="M542" s="40">
        <f t="shared" si="17"/>
        <v>0</v>
      </c>
      <c r="N542" s="40">
        <f t="shared" si="18"/>
        <v>0</v>
      </c>
    </row>
    <row r="543" spans="1:14" x14ac:dyDescent="0.35">
      <c r="A543" s="33">
        <v>540</v>
      </c>
      <c r="B543" s="34" t="s">
        <v>858</v>
      </c>
      <c r="C543" s="33" t="s">
        <v>346</v>
      </c>
      <c r="D543" s="33" t="s">
        <v>139</v>
      </c>
      <c r="E543" s="33" t="s">
        <v>825</v>
      </c>
      <c r="F543" s="35">
        <v>0.1</v>
      </c>
      <c r="G543" s="40">
        <v>0</v>
      </c>
      <c r="H543" s="40">
        <v>0</v>
      </c>
      <c r="I543" s="40">
        <v>0</v>
      </c>
      <c r="J543" s="40">
        <v>0</v>
      </c>
      <c r="K543" s="40">
        <v>96</v>
      </c>
      <c r="L543" s="40">
        <v>9.6</v>
      </c>
      <c r="M543" s="40">
        <f t="shared" si="17"/>
        <v>96</v>
      </c>
      <c r="N543" s="40">
        <f t="shared" si="18"/>
        <v>9.6</v>
      </c>
    </row>
    <row r="544" spans="1:14" x14ac:dyDescent="0.35">
      <c r="A544" s="33">
        <v>541</v>
      </c>
      <c r="B544" s="34" t="s">
        <v>859</v>
      </c>
      <c r="C544" s="33" t="s">
        <v>346</v>
      </c>
      <c r="D544" s="33" t="s">
        <v>139</v>
      </c>
      <c r="E544" s="33" t="s">
        <v>825</v>
      </c>
      <c r="F544" s="35">
        <v>1</v>
      </c>
      <c r="G544" s="40">
        <v>0</v>
      </c>
      <c r="H544" s="40">
        <v>0</v>
      </c>
      <c r="I544" s="40">
        <v>0</v>
      </c>
      <c r="J544" s="40">
        <v>0</v>
      </c>
      <c r="K544" s="40">
        <v>0</v>
      </c>
      <c r="L544" s="40">
        <v>0</v>
      </c>
      <c r="M544" s="40">
        <f t="shared" si="17"/>
        <v>0</v>
      </c>
      <c r="N544" s="40">
        <f t="shared" si="18"/>
        <v>0</v>
      </c>
    </row>
    <row r="545" spans="1:14" x14ac:dyDescent="0.35">
      <c r="A545" s="33">
        <v>542</v>
      </c>
      <c r="B545" s="34" t="s">
        <v>860</v>
      </c>
      <c r="C545" s="33" t="s">
        <v>346</v>
      </c>
      <c r="D545" s="33" t="s">
        <v>139</v>
      </c>
      <c r="E545" s="33" t="s">
        <v>825</v>
      </c>
      <c r="F545" s="35">
        <v>1</v>
      </c>
      <c r="G545" s="40">
        <v>0</v>
      </c>
      <c r="H545" s="40">
        <v>0</v>
      </c>
      <c r="I545" s="40">
        <v>0</v>
      </c>
      <c r="J545" s="40">
        <v>0</v>
      </c>
      <c r="K545" s="40">
        <v>0</v>
      </c>
      <c r="L545" s="40">
        <v>0</v>
      </c>
      <c r="M545" s="40">
        <f t="shared" si="17"/>
        <v>0</v>
      </c>
      <c r="N545" s="40">
        <f t="shared" si="18"/>
        <v>0</v>
      </c>
    </row>
    <row r="546" spans="1:14" x14ac:dyDescent="0.35">
      <c r="A546" s="33">
        <v>543</v>
      </c>
      <c r="B546" s="34" t="s">
        <v>861</v>
      </c>
      <c r="C546" s="33" t="s">
        <v>346</v>
      </c>
      <c r="D546" s="33" t="s">
        <v>139</v>
      </c>
      <c r="E546" s="33" t="s">
        <v>825</v>
      </c>
      <c r="F546" s="35">
        <v>1</v>
      </c>
      <c r="G546" s="40">
        <v>0</v>
      </c>
      <c r="H546" s="40">
        <v>0</v>
      </c>
      <c r="I546" s="40">
        <v>0</v>
      </c>
      <c r="J546" s="40">
        <v>0</v>
      </c>
      <c r="K546" s="40">
        <v>0</v>
      </c>
      <c r="L546" s="40">
        <v>0</v>
      </c>
      <c r="M546" s="40">
        <f t="shared" si="17"/>
        <v>0</v>
      </c>
      <c r="N546" s="40">
        <f t="shared" si="18"/>
        <v>0</v>
      </c>
    </row>
    <row r="547" spans="1:14" x14ac:dyDescent="0.35">
      <c r="A547" s="33">
        <v>544</v>
      </c>
      <c r="B547" s="34" t="s">
        <v>862</v>
      </c>
      <c r="C547" s="33" t="s">
        <v>346</v>
      </c>
      <c r="D547" s="33" t="s">
        <v>139</v>
      </c>
      <c r="E547" s="33" t="s">
        <v>825</v>
      </c>
      <c r="F547" s="35">
        <v>0.1</v>
      </c>
      <c r="G547" s="40">
        <v>0</v>
      </c>
      <c r="H547" s="40">
        <v>0</v>
      </c>
      <c r="I547" s="40">
        <v>0</v>
      </c>
      <c r="J547" s="40">
        <v>0</v>
      </c>
      <c r="K547" s="40">
        <v>11880</v>
      </c>
      <c r="L547" s="40">
        <v>1188</v>
      </c>
      <c r="M547" s="40">
        <f t="shared" si="17"/>
        <v>11880</v>
      </c>
      <c r="N547" s="40">
        <f t="shared" si="18"/>
        <v>1188</v>
      </c>
    </row>
    <row r="548" spans="1:14" x14ac:dyDescent="0.35">
      <c r="A548" s="33">
        <v>545</v>
      </c>
      <c r="B548" s="34" t="s">
        <v>863</v>
      </c>
      <c r="C548" s="33" t="s">
        <v>346</v>
      </c>
      <c r="D548" s="33" t="s">
        <v>139</v>
      </c>
      <c r="E548" s="33" t="s">
        <v>825</v>
      </c>
      <c r="F548" s="35">
        <v>0.1</v>
      </c>
      <c r="G548" s="40">
        <v>0</v>
      </c>
      <c r="H548" s="40">
        <v>0</v>
      </c>
      <c r="I548" s="40">
        <v>0</v>
      </c>
      <c r="J548" s="40">
        <v>0</v>
      </c>
      <c r="K548" s="40">
        <v>0</v>
      </c>
      <c r="L548" s="40">
        <v>0</v>
      </c>
      <c r="M548" s="40">
        <f t="shared" si="17"/>
        <v>0</v>
      </c>
      <c r="N548" s="40">
        <f t="shared" si="18"/>
        <v>0</v>
      </c>
    </row>
    <row r="549" spans="1:14" x14ac:dyDescent="0.35">
      <c r="A549" s="33">
        <v>546</v>
      </c>
      <c r="B549" s="34" t="s">
        <v>864</v>
      </c>
      <c r="C549" s="33" t="s">
        <v>346</v>
      </c>
      <c r="D549" s="33" t="s">
        <v>139</v>
      </c>
      <c r="E549" s="33" t="s">
        <v>825</v>
      </c>
      <c r="F549" s="35">
        <v>0.23</v>
      </c>
      <c r="G549" s="40">
        <v>0</v>
      </c>
      <c r="H549" s="40">
        <v>0</v>
      </c>
      <c r="I549" s="40">
        <v>0</v>
      </c>
      <c r="J549" s="40">
        <v>0</v>
      </c>
      <c r="K549" s="40">
        <v>0</v>
      </c>
      <c r="L549" s="40">
        <v>0</v>
      </c>
      <c r="M549" s="40">
        <f t="shared" si="17"/>
        <v>0</v>
      </c>
      <c r="N549" s="40">
        <f t="shared" si="18"/>
        <v>0</v>
      </c>
    </row>
    <row r="550" spans="1:14" x14ac:dyDescent="0.35">
      <c r="A550" s="33">
        <v>547</v>
      </c>
      <c r="B550" s="34" t="s">
        <v>865</v>
      </c>
      <c r="C550" s="33" t="s">
        <v>346</v>
      </c>
      <c r="D550" s="33" t="s">
        <v>139</v>
      </c>
      <c r="E550" s="33" t="s">
        <v>825</v>
      </c>
      <c r="F550" s="35">
        <v>0.1</v>
      </c>
      <c r="G550" s="40">
        <v>0</v>
      </c>
      <c r="H550" s="40">
        <v>0</v>
      </c>
      <c r="I550" s="40">
        <v>0</v>
      </c>
      <c r="J550" s="40">
        <v>0</v>
      </c>
      <c r="K550" s="40">
        <v>0</v>
      </c>
      <c r="L550" s="40">
        <v>0</v>
      </c>
      <c r="M550" s="40">
        <f t="shared" si="17"/>
        <v>0</v>
      </c>
      <c r="N550" s="40">
        <f t="shared" si="18"/>
        <v>0</v>
      </c>
    </row>
    <row r="551" spans="1:14" x14ac:dyDescent="0.35">
      <c r="A551" s="33">
        <v>548</v>
      </c>
      <c r="B551" s="34" t="s">
        <v>866</v>
      </c>
      <c r="C551" s="33" t="s">
        <v>346</v>
      </c>
      <c r="D551" s="33" t="s">
        <v>139</v>
      </c>
      <c r="E551" s="33" t="s">
        <v>825</v>
      </c>
      <c r="F551" s="35">
        <v>1</v>
      </c>
      <c r="G551" s="40">
        <v>0</v>
      </c>
      <c r="H551" s="40">
        <v>0</v>
      </c>
      <c r="I551" s="40">
        <v>0</v>
      </c>
      <c r="J551" s="40">
        <v>0</v>
      </c>
      <c r="K551" s="40">
        <v>0</v>
      </c>
      <c r="L551" s="40">
        <v>0</v>
      </c>
      <c r="M551" s="40">
        <f t="shared" si="17"/>
        <v>0</v>
      </c>
      <c r="N551" s="40">
        <f t="shared" si="18"/>
        <v>0</v>
      </c>
    </row>
    <row r="552" spans="1:14" x14ac:dyDescent="0.35">
      <c r="A552" s="33">
        <v>549</v>
      </c>
      <c r="B552" s="34" t="s">
        <v>867</v>
      </c>
      <c r="C552" s="33" t="s">
        <v>346</v>
      </c>
      <c r="D552" s="33" t="s">
        <v>139</v>
      </c>
      <c r="E552" s="33" t="s">
        <v>825</v>
      </c>
      <c r="F552" s="35">
        <v>0.2</v>
      </c>
      <c r="G552" s="40">
        <v>0</v>
      </c>
      <c r="H552" s="40">
        <v>0</v>
      </c>
      <c r="I552" s="40">
        <v>0</v>
      </c>
      <c r="J552" s="40">
        <v>0</v>
      </c>
      <c r="K552" s="40">
        <v>0</v>
      </c>
      <c r="L552" s="40">
        <v>0</v>
      </c>
      <c r="M552" s="40">
        <f t="shared" si="17"/>
        <v>0</v>
      </c>
      <c r="N552" s="40">
        <f t="shared" si="18"/>
        <v>0</v>
      </c>
    </row>
    <row r="553" spans="1:14" x14ac:dyDescent="0.35">
      <c r="A553" s="33">
        <v>550</v>
      </c>
      <c r="B553" s="34" t="s">
        <v>868</v>
      </c>
      <c r="C553" s="33" t="s">
        <v>346</v>
      </c>
      <c r="D553" s="33" t="s">
        <v>139</v>
      </c>
      <c r="E553" s="33" t="s">
        <v>825</v>
      </c>
      <c r="F553" s="35">
        <v>0.5</v>
      </c>
      <c r="G553" s="40">
        <v>0</v>
      </c>
      <c r="H553" s="40">
        <v>0</v>
      </c>
      <c r="I553" s="40">
        <v>0</v>
      </c>
      <c r="J553" s="40">
        <v>0</v>
      </c>
      <c r="K553" s="40">
        <v>0</v>
      </c>
      <c r="L553" s="40">
        <v>0</v>
      </c>
      <c r="M553" s="40">
        <f t="shared" si="17"/>
        <v>0</v>
      </c>
      <c r="N553" s="40">
        <f t="shared" si="18"/>
        <v>0</v>
      </c>
    </row>
    <row r="554" spans="1:14" x14ac:dyDescent="0.35">
      <c r="A554" s="33">
        <v>551</v>
      </c>
      <c r="B554" s="34" t="s">
        <v>827</v>
      </c>
      <c r="C554" s="33" t="s">
        <v>297</v>
      </c>
      <c r="D554" s="33" t="s">
        <v>139</v>
      </c>
      <c r="E554" s="33" t="s">
        <v>827</v>
      </c>
      <c r="F554" s="35">
        <v>1</v>
      </c>
      <c r="G554" s="40">
        <v>0</v>
      </c>
      <c r="H554" s="40">
        <v>0</v>
      </c>
      <c r="I554" s="40">
        <v>0</v>
      </c>
      <c r="J554" s="40">
        <v>0</v>
      </c>
      <c r="K554" s="40">
        <v>0</v>
      </c>
      <c r="L554" s="40">
        <v>0</v>
      </c>
      <c r="M554" s="40">
        <f t="shared" si="17"/>
        <v>0</v>
      </c>
      <c r="N554" s="40">
        <f t="shared" si="18"/>
        <v>0</v>
      </c>
    </row>
    <row r="555" spans="1:14" x14ac:dyDescent="0.35">
      <c r="A555" s="33">
        <v>552</v>
      </c>
      <c r="B555" s="34" t="s">
        <v>869</v>
      </c>
      <c r="C555" s="33" t="s">
        <v>297</v>
      </c>
      <c r="D555" s="33" t="s">
        <v>50</v>
      </c>
      <c r="E555" s="33" t="s">
        <v>870</v>
      </c>
      <c r="F555" s="35">
        <v>1</v>
      </c>
      <c r="G555" s="40">
        <v>0</v>
      </c>
      <c r="H555" s="40">
        <v>0</v>
      </c>
      <c r="I555" s="40">
        <v>0</v>
      </c>
      <c r="J555" s="40">
        <v>0</v>
      </c>
      <c r="K555" s="40">
        <v>0</v>
      </c>
      <c r="L555" s="40">
        <v>0</v>
      </c>
      <c r="M555" s="40">
        <f t="shared" si="17"/>
        <v>0</v>
      </c>
      <c r="N555" s="40">
        <f t="shared" si="18"/>
        <v>0</v>
      </c>
    </row>
    <row r="556" spans="1:14" x14ac:dyDescent="0.35">
      <c r="A556" s="33">
        <v>553</v>
      </c>
      <c r="B556" s="34" t="s">
        <v>871</v>
      </c>
      <c r="C556" s="33" t="s">
        <v>297</v>
      </c>
      <c r="D556" s="33" t="s">
        <v>50</v>
      </c>
      <c r="E556" s="33" t="s">
        <v>870</v>
      </c>
      <c r="F556" s="35">
        <v>1</v>
      </c>
      <c r="G556" s="40">
        <v>0</v>
      </c>
      <c r="H556" s="40">
        <v>0</v>
      </c>
      <c r="I556" s="40">
        <v>0</v>
      </c>
      <c r="J556" s="40">
        <v>0</v>
      </c>
      <c r="K556" s="40">
        <v>0</v>
      </c>
      <c r="L556" s="40">
        <v>0</v>
      </c>
      <c r="M556" s="40">
        <f t="shared" si="17"/>
        <v>0</v>
      </c>
      <c r="N556" s="40">
        <f t="shared" si="18"/>
        <v>0</v>
      </c>
    </row>
    <row r="557" spans="1:14" x14ac:dyDescent="0.35">
      <c r="A557" s="33">
        <v>554</v>
      </c>
      <c r="B557" s="34" t="s">
        <v>872</v>
      </c>
      <c r="C557" s="33" t="s">
        <v>297</v>
      </c>
      <c r="D557" s="33" t="s">
        <v>50</v>
      </c>
      <c r="E557" s="33" t="s">
        <v>870</v>
      </c>
      <c r="F557" s="35">
        <v>1</v>
      </c>
      <c r="G557" s="40">
        <v>0</v>
      </c>
      <c r="H557" s="40">
        <v>0</v>
      </c>
      <c r="I557" s="40">
        <v>0</v>
      </c>
      <c r="J557" s="40">
        <v>0</v>
      </c>
      <c r="K557" s="40">
        <v>0</v>
      </c>
      <c r="L557" s="40">
        <v>0</v>
      </c>
      <c r="M557" s="40">
        <f t="shared" si="17"/>
        <v>0</v>
      </c>
      <c r="N557" s="40">
        <f t="shared" si="18"/>
        <v>0</v>
      </c>
    </row>
    <row r="558" spans="1:14" x14ac:dyDescent="0.35">
      <c r="A558" s="33">
        <v>555</v>
      </c>
      <c r="B558" s="34" t="s">
        <v>985</v>
      </c>
      <c r="C558" s="33" t="s">
        <v>346</v>
      </c>
      <c r="D558" s="33" t="s">
        <v>50</v>
      </c>
      <c r="E558" s="33" t="s">
        <v>870</v>
      </c>
      <c r="F558" s="35">
        <v>0.4</v>
      </c>
      <c r="G558" s="40">
        <v>0</v>
      </c>
      <c r="H558" s="40">
        <v>0</v>
      </c>
      <c r="I558" s="40">
        <v>0</v>
      </c>
      <c r="J558" s="40">
        <v>0</v>
      </c>
      <c r="K558" s="40">
        <v>0</v>
      </c>
      <c r="L558" s="40">
        <v>0</v>
      </c>
      <c r="M558" s="40">
        <f t="shared" si="17"/>
        <v>0</v>
      </c>
      <c r="N558" s="40">
        <f t="shared" si="18"/>
        <v>0</v>
      </c>
    </row>
    <row r="559" spans="1:14" x14ac:dyDescent="0.35">
      <c r="A559" s="33">
        <v>556</v>
      </c>
      <c r="B559" s="34" t="s">
        <v>986</v>
      </c>
      <c r="C559" s="33" t="s">
        <v>346</v>
      </c>
      <c r="D559" s="33" t="s">
        <v>50</v>
      </c>
      <c r="E559" s="33" t="s">
        <v>870</v>
      </c>
      <c r="F559" s="35">
        <v>0.5</v>
      </c>
      <c r="G559" s="40">
        <v>0</v>
      </c>
      <c r="H559" s="40">
        <v>0</v>
      </c>
      <c r="I559" s="40">
        <v>0</v>
      </c>
      <c r="J559" s="40">
        <v>0</v>
      </c>
      <c r="K559" s="40">
        <v>0</v>
      </c>
      <c r="L559" s="40">
        <v>0</v>
      </c>
      <c r="M559" s="40">
        <f t="shared" si="17"/>
        <v>0</v>
      </c>
      <c r="N559" s="40">
        <f t="shared" si="18"/>
        <v>0</v>
      </c>
    </row>
    <row r="560" spans="1:14" x14ac:dyDescent="0.35">
      <c r="A560" s="33">
        <v>557</v>
      </c>
      <c r="B560" s="34" t="s">
        <v>2310</v>
      </c>
      <c r="C560" s="33" t="s">
        <v>346</v>
      </c>
      <c r="D560" s="33" t="s">
        <v>50</v>
      </c>
      <c r="E560" s="33" t="s">
        <v>870</v>
      </c>
      <c r="F560" s="35">
        <v>3.5000000000000003E-2</v>
      </c>
      <c r="G560" s="40">
        <v>0</v>
      </c>
      <c r="H560" s="40">
        <v>0</v>
      </c>
      <c r="I560" s="40">
        <v>0</v>
      </c>
      <c r="J560" s="40">
        <v>0</v>
      </c>
      <c r="K560" s="40">
        <v>0</v>
      </c>
      <c r="L560" s="40">
        <v>0</v>
      </c>
      <c r="M560" s="40">
        <f t="shared" si="17"/>
        <v>0</v>
      </c>
      <c r="N560" s="40">
        <f t="shared" si="18"/>
        <v>0</v>
      </c>
    </row>
    <row r="561" spans="1:14" x14ac:dyDescent="0.35">
      <c r="A561" s="33">
        <v>558</v>
      </c>
      <c r="B561" s="34" t="s">
        <v>987</v>
      </c>
      <c r="C561" s="33" t="s">
        <v>346</v>
      </c>
      <c r="D561" s="33" t="s">
        <v>50</v>
      </c>
      <c r="E561" s="33" t="s">
        <v>870</v>
      </c>
      <c r="F561" s="35">
        <v>0.5</v>
      </c>
      <c r="G561" s="40">
        <v>0</v>
      </c>
      <c r="H561" s="40">
        <v>0</v>
      </c>
      <c r="I561" s="40">
        <v>0</v>
      </c>
      <c r="J561" s="40">
        <v>0</v>
      </c>
      <c r="K561" s="40">
        <v>0</v>
      </c>
      <c r="L561" s="40">
        <v>0</v>
      </c>
      <c r="M561" s="40">
        <f t="shared" si="17"/>
        <v>0</v>
      </c>
      <c r="N561" s="40">
        <f t="shared" si="18"/>
        <v>0</v>
      </c>
    </row>
    <row r="562" spans="1:14" x14ac:dyDescent="0.35">
      <c r="A562" s="33">
        <v>559</v>
      </c>
      <c r="B562" s="34" t="s">
        <v>988</v>
      </c>
      <c r="C562" s="33" t="s">
        <v>346</v>
      </c>
      <c r="D562" s="33" t="s">
        <v>50</v>
      </c>
      <c r="E562" s="33" t="s">
        <v>870</v>
      </c>
      <c r="F562" s="35">
        <v>0.25</v>
      </c>
      <c r="G562" s="40">
        <v>0</v>
      </c>
      <c r="H562" s="40">
        <v>0</v>
      </c>
      <c r="I562" s="40">
        <v>0</v>
      </c>
      <c r="J562" s="40">
        <v>0</v>
      </c>
      <c r="K562" s="40">
        <v>0</v>
      </c>
      <c r="L562" s="40">
        <v>0</v>
      </c>
      <c r="M562" s="40">
        <f t="shared" si="17"/>
        <v>0</v>
      </c>
      <c r="N562" s="40">
        <f t="shared" si="18"/>
        <v>0</v>
      </c>
    </row>
    <row r="563" spans="1:14" x14ac:dyDescent="0.35">
      <c r="A563" s="33">
        <v>560</v>
      </c>
      <c r="B563" s="34" t="s">
        <v>989</v>
      </c>
      <c r="C563" s="33" t="s">
        <v>346</v>
      </c>
      <c r="D563" s="33" t="s">
        <v>50</v>
      </c>
      <c r="E563" s="33" t="s">
        <v>870</v>
      </c>
      <c r="F563" s="35">
        <v>0.3</v>
      </c>
      <c r="G563" s="40">
        <v>0</v>
      </c>
      <c r="H563" s="40">
        <v>0</v>
      </c>
      <c r="I563" s="40">
        <v>0</v>
      </c>
      <c r="J563" s="40">
        <v>0</v>
      </c>
      <c r="K563" s="40">
        <v>0</v>
      </c>
      <c r="L563" s="40">
        <v>0</v>
      </c>
      <c r="M563" s="40">
        <f t="shared" si="17"/>
        <v>0</v>
      </c>
      <c r="N563" s="40">
        <f t="shared" si="18"/>
        <v>0</v>
      </c>
    </row>
    <row r="564" spans="1:14" x14ac:dyDescent="0.35">
      <c r="A564" s="33">
        <v>561</v>
      </c>
      <c r="B564" s="34" t="s">
        <v>990</v>
      </c>
      <c r="C564" s="33" t="s">
        <v>346</v>
      </c>
      <c r="D564" s="33" t="s">
        <v>50</v>
      </c>
      <c r="E564" s="33" t="s">
        <v>870</v>
      </c>
      <c r="F564" s="35">
        <v>0.25</v>
      </c>
      <c r="G564" s="40">
        <v>0</v>
      </c>
      <c r="H564" s="40">
        <v>0</v>
      </c>
      <c r="I564" s="40">
        <v>0</v>
      </c>
      <c r="J564" s="40">
        <v>0</v>
      </c>
      <c r="K564" s="40">
        <v>0</v>
      </c>
      <c r="L564" s="40">
        <v>0</v>
      </c>
      <c r="M564" s="40">
        <f t="shared" si="17"/>
        <v>0</v>
      </c>
      <c r="N564" s="40">
        <f t="shared" si="18"/>
        <v>0</v>
      </c>
    </row>
    <row r="565" spans="1:14" x14ac:dyDescent="0.35">
      <c r="A565" s="33">
        <v>562</v>
      </c>
      <c r="B565" s="34" t="s">
        <v>991</v>
      </c>
      <c r="C565" s="33" t="s">
        <v>346</v>
      </c>
      <c r="D565" s="33" t="s">
        <v>50</v>
      </c>
      <c r="E565" s="33" t="s">
        <v>870</v>
      </c>
      <c r="F565" s="35">
        <v>0.8</v>
      </c>
      <c r="G565" s="40">
        <v>0</v>
      </c>
      <c r="H565" s="40">
        <v>0</v>
      </c>
      <c r="I565" s="40">
        <v>0</v>
      </c>
      <c r="J565" s="40">
        <v>0</v>
      </c>
      <c r="K565" s="40">
        <v>0</v>
      </c>
      <c r="L565" s="40">
        <v>0</v>
      </c>
      <c r="M565" s="40">
        <f t="shared" si="17"/>
        <v>0</v>
      </c>
      <c r="N565" s="40">
        <f t="shared" si="18"/>
        <v>0</v>
      </c>
    </row>
    <row r="566" spans="1:14" x14ac:dyDescent="0.35">
      <c r="A566" s="33">
        <v>563</v>
      </c>
      <c r="B566" s="34" t="s">
        <v>992</v>
      </c>
      <c r="C566" s="33" t="s">
        <v>346</v>
      </c>
      <c r="D566" s="33" t="s">
        <v>50</v>
      </c>
      <c r="E566" s="33" t="s">
        <v>870</v>
      </c>
      <c r="F566" s="35">
        <v>0.48</v>
      </c>
      <c r="G566" s="40">
        <v>0</v>
      </c>
      <c r="H566" s="40">
        <v>0</v>
      </c>
      <c r="I566" s="40">
        <v>0</v>
      </c>
      <c r="J566" s="40">
        <v>0</v>
      </c>
      <c r="K566" s="40">
        <v>0</v>
      </c>
      <c r="L566" s="40">
        <v>0</v>
      </c>
      <c r="M566" s="40">
        <f t="shared" si="17"/>
        <v>0</v>
      </c>
      <c r="N566" s="40">
        <f t="shared" si="18"/>
        <v>0</v>
      </c>
    </row>
    <row r="567" spans="1:14" x14ac:dyDescent="0.35">
      <c r="A567" s="33">
        <v>564</v>
      </c>
      <c r="B567" s="34" t="s">
        <v>873</v>
      </c>
      <c r="C567" s="33" t="s">
        <v>297</v>
      </c>
      <c r="D567" s="33" t="s">
        <v>50</v>
      </c>
      <c r="E567" s="33" t="s">
        <v>874</v>
      </c>
      <c r="F567" s="35">
        <v>1</v>
      </c>
      <c r="G567" s="40">
        <v>0</v>
      </c>
      <c r="H567" s="40">
        <v>0</v>
      </c>
      <c r="I567" s="40">
        <v>0</v>
      </c>
      <c r="J567" s="40">
        <v>0</v>
      </c>
      <c r="K567" s="40">
        <v>0</v>
      </c>
      <c r="L567" s="40">
        <v>0</v>
      </c>
      <c r="M567" s="40">
        <f t="shared" si="17"/>
        <v>0</v>
      </c>
      <c r="N567" s="40">
        <f t="shared" si="18"/>
        <v>0</v>
      </c>
    </row>
    <row r="568" spans="1:14" x14ac:dyDescent="0.35">
      <c r="A568" s="33">
        <v>565</v>
      </c>
      <c r="B568" s="34" t="s">
        <v>875</v>
      </c>
      <c r="C568" s="33" t="s">
        <v>297</v>
      </c>
      <c r="D568" s="33" t="s">
        <v>50</v>
      </c>
      <c r="E568" s="33" t="s">
        <v>874</v>
      </c>
      <c r="F568" s="35">
        <v>1</v>
      </c>
      <c r="G568" s="40">
        <v>0</v>
      </c>
      <c r="H568" s="40">
        <v>0</v>
      </c>
      <c r="I568" s="40">
        <v>0</v>
      </c>
      <c r="J568" s="40">
        <v>0</v>
      </c>
      <c r="K568" s="40">
        <v>0</v>
      </c>
      <c r="L568" s="40">
        <v>0</v>
      </c>
      <c r="M568" s="40">
        <f t="shared" si="17"/>
        <v>0</v>
      </c>
      <c r="N568" s="40">
        <f t="shared" si="18"/>
        <v>0</v>
      </c>
    </row>
    <row r="569" spans="1:14" x14ac:dyDescent="0.35">
      <c r="A569" s="33">
        <v>566</v>
      </c>
      <c r="B569" s="34" t="s">
        <v>876</v>
      </c>
      <c r="C569" s="33" t="s">
        <v>297</v>
      </c>
      <c r="D569" s="33" t="s">
        <v>50</v>
      </c>
      <c r="E569" s="33" t="s">
        <v>874</v>
      </c>
      <c r="F569" s="35">
        <v>1</v>
      </c>
      <c r="G569" s="40">
        <v>0</v>
      </c>
      <c r="H569" s="40">
        <v>0</v>
      </c>
      <c r="I569" s="40">
        <v>0</v>
      </c>
      <c r="J569" s="40">
        <v>0</v>
      </c>
      <c r="K569" s="40">
        <v>0</v>
      </c>
      <c r="L569" s="40">
        <v>0</v>
      </c>
      <c r="M569" s="40">
        <f t="shared" si="17"/>
        <v>0</v>
      </c>
      <c r="N569" s="40">
        <f t="shared" si="18"/>
        <v>0</v>
      </c>
    </row>
    <row r="570" spans="1:14" x14ac:dyDescent="0.35">
      <c r="A570" s="33">
        <v>567</v>
      </c>
      <c r="B570" s="34" t="s">
        <v>993</v>
      </c>
      <c r="C570" s="33" t="s">
        <v>346</v>
      </c>
      <c r="D570" s="33" t="s">
        <v>50</v>
      </c>
      <c r="E570" s="33" t="s">
        <v>874</v>
      </c>
      <c r="F570" s="35">
        <v>0.25</v>
      </c>
      <c r="G570" s="40">
        <v>0</v>
      </c>
      <c r="H570" s="40">
        <v>0</v>
      </c>
      <c r="I570" s="40">
        <v>0</v>
      </c>
      <c r="J570" s="40">
        <v>0</v>
      </c>
      <c r="K570" s="40">
        <v>0</v>
      </c>
      <c r="L570" s="40">
        <v>0</v>
      </c>
      <c r="M570" s="40">
        <f t="shared" si="17"/>
        <v>0</v>
      </c>
      <c r="N570" s="40">
        <f t="shared" si="18"/>
        <v>0</v>
      </c>
    </row>
    <row r="571" spans="1:14" x14ac:dyDescent="0.35">
      <c r="A571" s="33">
        <v>568</v>
      </c>
      <c r="B571" s="34" t="s">
        <v>994</v>
      </c>
      <c r="C571" s="33" t="s">
        <v>346</v>
      </c>
      <c r="D571" s="33" t="s">
        <v>50</v>
      </c>
      <c r="E571" s="33" t="s">
        <v>995</v>
      </c>
      <c r="F571" s="35">
        <v>0.5</v>
      </c>
      <c r="G571" s="40">
        <v>0</v>
      </c>
      <c r="H571" s="40">
        <v>0</v>
      </c>
      <c r="I571" s="40">
        <v>0</v>
      </c>
      <c r="J571" s="40">
        <v>0</v>
      </c>
      <c r="K571" s="40">
        <v>0</v>
      </c>
      <c r="L571" s="40">
        <v>0</v>
      </c>
      <c r="M571" s="40">
        <f t="shared" si="17"/>
        <v>0</v>
      </c>
      <c r="N571" s="40">
        <f t="shared" si="18"/>
        <v>0</v>
      </c>
    </row>
    <row r="572" spans="1:14" x14ac:dyDescent="0.35">
      <c r="A572" s="33">
        <v>569</v>
      </c>
      <c r="B572" s="34" t="s">
        <v>877</v>
      </c>
      <c r="C572" s="33" t="s">
        <v>297</v>
      </c>
      <c r="D572" s="33" t="s">
        <v>50</v>
      </c>
      <c r="E572" s="33" t="s">
        <v>878</v>
      </c>
      <c r="F572" s="35">
        <v>1</v>
      </c>
      <c r="G572" s="40">
        <v>0</v>
      </c>
      <c r="H572" s="40">
        <v>0</v>
      </c>
      <c r="I572" s="40">
        <v>0</v>
      </c>
      <c r="J572" s="40">
        <v>0</v>
      </c>
      <c r="K572" s="40">
        <v>0</v>
      </c>
      <c r="L572" s="40">
        <v>0</v>
      </c>
      <c r="M572" s="40">
        <f t="shared" si="17"/>
        <v>0</v>
      </c>
      <c r="N572" s="40">
        <f t="shared" si="18"/>
        <v>0</v>
      </c>
    </row>
    <row r="573" spans="1:14" x14ac:dyDescent="0.35">
      <c r="A573" s="33">
        <v>570</v>
      </c>
      <c r="B573" s="34" t="s">
        <v>879</v>
      </c>
      <c r="C573" s="33" t="s">
        <v>297</v>
      </c>
      <c r="D573" s="33" t="s">
        <v>50</v>
      </c>
      <c r="E573" s="33" t="s">
        <v>878</v>
      </c>
      <c r="F573" s="35">
        <v>1</v>
      </c>
      <c r="G573" s="40">
        <v>0</v>
      </c>
      <c r="H573" s="40">
        <v>0</v>
      </c>
      <c r="I573" s="40">
        <v>0</v>
      </c>
      <c r="J573" s="40">
        <v>0</v>
      </c>
      <c r="K573" s="40">
        <v>0</v>
      </c>
      <c r="L573" s="40">
        <v>0</v>
      </c>
      <c r="M573" s="40">
        <f t="shared" si="17"/>
        <v>0</v>
      </c>
      <c r="N573" s="40">
        <f t="shared" si="18"/>
        <v>0</v>
      </c>
    </row>
    <row r="574" spans="1:14" x14ac:dyDescent="0.35">
      <c r="A574" s="33">
        <v>571</v>
      </c>
      <c r="B574" s="34" t="s">
        <v>996</v>
      </c>
      <c r="C574" s="33" t="s">
        <v>346</v>
      </c>
      <c r="D574" s="33" t="s">
        <v>50</v>
      </c>
      <c r="E574" s="33" t="s">
        <v>878</v>
      </c>
      <c r="F574" s="35">
        <v>0.3</v>
      </c>
      <c r="G574" s="40">
        <v>0</v>
      </c>
      <c r="H574" s="40">
        <v>0</v>
      </c>
      <c r="I574" s="40">
        <v>0</v>
      </c>
      <c r="J574" s="40">
        <v>0</v>
      </c>
      <c r="K574" s="40">
        <v>0</v>
      </c>
      <c r="L574" s="40">
        <v>0</v>
      </c>
      <c r="M574" s="40">
        <f t="shared" si="17"/>
        <v>0</v>
      </c>
      <c r="N574" s="40">
        <f t="shared" si="18"/>
        <v>0</v>
      </c>
    </row>
    <row r="575" spans="1:14" x14ac:dyDescent="0.35">
      <c r="A575" s="33">
        <v>572</v>
      </c>
      <c r="B575" s="34" t="s">
        <v>2311</v>
      </c>
      <c r="C575" s="33" t="s">
        <v>346</v>
      </c>
      <c r="D575" s="33" t="s">
        <v>50</v>
      </c>
      <c r="E575" s="33" t="s">
        <v>878</v>
      </c>
      <c r="F575" s="35">
        <v>0.5</v>
      </c>
      <c r="G575" s="40">
        <v>0</v>
      </c>
      <c r="H575" s="40">
        <v>0</v>
      </c>
      <c r="I575" s="40">
        <v>0</v>
      </c>
      <c r="J575" s="40">
        <v>0</v>
      </c>
      <c r="K575" s="40">
        <v>0</v>
      </c>
      <c r="L575" s="40">
        <v>0</v>
      </c>
      <c r="M575" s="40">
        <f t="shared" si="17"/>
        <v>0</v>
      </c>
      <c r="N575" s="40">
        <f t="shared" si="18"/>
        <v>0</v>
      </c>
    </row>
    <row r="576" spans="1:14" x14ac:dyDescent="0.35">
      <c r="A576" s="33">
        <v>573</v>
      </c>
      <c r="B576" s="34" t="s">
        <v>997</v>
      </c>
      <c r="C576" s="33" t="s">
        <v>346</v>
      </c>
      <c r="D576" s="33" t="s">
        <v>50</v>
      </c>
      <c r="E576" s="33" t="s">
        <v>878</v>
      </c>
      <c r="F576" s="35">
        <v>0.35</v>
      </c>
      <c r="G576" s="40">
        <v>0</v>
      </c>
      <c r="H576" s="40">
        <v>0</v>
      </c>
      <c r="I576" s="40">
        <v>0</v>
      </c>
      <c r="J576" s="40">
        <v>0</v>
      </c>
      <c r="K576" s="40">
        <v>0</v>
      </c>
      <c r="L576" s="40">
        <v>0</v>
      </c>
      <c r="M576" s="40">
        <f t="shared" si="17"/>
        <v>0</v>
      </c>
      <c r="N576" s="40">
        <f t="shared" si="18"/>
        <v>0</v>
      </c>
    </row>
    <row r="577" spans="1:14" x14ac:dyDescent="0.35">
      <c r="A577" s="33">
        <v>574</v>
      </c>
      <c r="B577" s="34" t="s">
        <v>998</v>
      </c>
      <c r="C577" s="33" t="s">
        <v>346</v>
      </c>
      <c r="D577" s="33" t="s">
        <v>50</v>
      </c>
      <c r="E577" s="33" t="s">
        <v>878</v>
      </c>
      <c r="F577" s="35">
        <v>0.5</v>
      </c>
      <c r="G577" s="40">
        <v>0</v>
      </c>
      <c r="H577" s="40">
        <v>0</v>
      </c>
      <c r="I577" s="40">
        <v>0</v>
      </c>
      <c r="J577" s="40">
        <v>0</v>
      </c>
      <c r="K577" s="40">
        <v>0</v>
      </c>
      <c r="L577" s="40">
        <v>0</v>
      </c>
      <c r="M577" s="40">
        <f t="shared" si="17"/>
        <v>0</v>
      </c>
      <c r="N577" s="40">
        <f t="shared" si="18"/>
        <v>0</v>
      </c>
    </row>
    <row r="578" spans="1:14" x14ac:dyDescent="0.35">
      <c r="A578" s="33">
        <v>575</v>
      </c>
      <c r="B578" s="34" t="s">
        <v>880</v>
      </c>
      <c r="C578" s="33" t="s">
        <v>297</v>
      </c>
      <c r="D578" s="33" t="s">
        <v>50</v>
      </c>
      <c r="E578" s="33" t="s">
        <v>881</v>
      </c>
      <c r="F578" s="35">
        <v>1</v>
      </c>
      <c r="G578" s="40">
        <v>0</v>
      </c>
      <c r="H578" s="40">
        <v>0</v>
      </c>
      <c r="I578" s="40">
        <v>0</v>
      </c>
      <c r="J578" s="40">
        <v>0</v>
      </c>
      <c r="K578" s="40">
        <v>0</v>
      </c>
      <c r="L578" s="40">
        <v>0</v>
      </c>
      <c r="M578" s="40">
        <f t="shared" si="17"/>
        <v>0</v>
      </c>
      <c r="N578" s="40">
        <f t="shared" si="18"/>
        <v>0</v>
      </c>
    </row>
    <row r="579" spans="1:14" x14ac:dyDescent="0.35">
      <c r="A579" s="33">
        <v>576</v>
      </c>
      <c r="B579" s="34" t="s">
        <v>882</v>
      </c>
      <c r="C579" s="33" t="s">
        <v>297</v>
      </c>
      <c r="D579" s="33" t="s">
        <v>50</v>
      </c>
      <c r="E579" s="33" t="s">
        <v>881</v>
      </c>
      <c r="F579" s="35">
        <v>1</v>
      </c>
      <c r="G579" s="40">
        <v>0</v>
      </c>
      <c r="H579" s="40">
        <v>0</v>
      </c>
      <c r="I579" s="40">
        <v>0</v>
      </c>
      <c r="J579" s="40">
        <v>0</v>
      </c>
      <c r="K579" s="40">
        <v>0</v>
      </c>
      <c r="L579" s="40">
        <v>0</v>
      </c>
      <c r="M579" s="40">
        <f t="shared" si="17"/>
        <v>0</v>
      </c>
      <c r="N579" s="40">
        <f t="shared" si="18"/>
        <v>0</v>
      </c>
    </row>
    <row r="580" spans="1:14" x14ac:dyDescent="0.35">
      <c r="A580" s="33">
        <v>577</v>
      </c>
      <c r="B580" s="34" t="s">
        <v>883</v>
      </c>
      <c r="C580" s="33" t="s">
        <v>297</v>
      </c>
      <c r="D580" s="33" t="s">
        <v>50</v>
      </c>
      <c r="E580" s="33" t="s">
        <v>881</v>
      </c>
      <c r="F580" s="35">
        <v>0.90800000000000003</v>
      </c>
      <c r="G580" s="40">
        <v>0</v>
      </c>
      <c r="H580" s="40">
        <v>0</v>
      </c>
      <c r="I580" s="40">
        <v>0</v>
      </c>
      <c r="J580" s="40">
        <v>0</v>
      </c>
      <c r="K580" s="40">
        <v>0</v>
      </c>
      <c r="L580" s="40">
        <v>0</v>
      </c>
      <c r="M580" s="40">
        <f t="shared" si="17"/>
        <v>0</v>
      </c>
      <c r="N580" s="40">
        <f t="shared" si="18"/>
        <v>0</v>
      </c>
    </row>
    <row r="581" spans="1:14" x14ac:dyDescent="0.35">
      <c r="A581" s="33">
        <v>578</v>
      </c>
      <c r="B581" s="34" t="s">
        <v>884</v>
      </c>
      <c r="C581" s="33" t="s">
        <v>297</v>
      </c>
      <c r="D581" s="33" t="s">
        <v>50</v>
      </c>
      <c r="E581" s="33" t="s">
        <v>885</v>
      </c>
      <c r="F581" s="35">
        <v>1</v>
      </c>
      <c r="G581" s="40">
        <v>0</v>
      </c>
      <c r="H581" s="40">
        <v>0</v>
      </c>
      <c r="I581" s="40">
        <v>0</v>
      </c>
      <c r="J581" s="40">
        <v>0</v>
      </c>
      <c r="K581" s="40">
        <v>0</v>
      </c>
      <c r="L581" s="40">
        <v>0</v>
      </c>
      <c r="M581" s="40">
        <f t="shared" ref="M581:M644" si="19">G581+I581+K581</f>
        <v>0</v>
      </c>
      <c r="N581" s="40">
        <f t="shared" ref="N581:N644" si="20">H581+J581+L581</f>
        <v>0</v>
      </c>
    </row>
    <row r="582" spans="1:14" x14ac:dyDescent="0.35">
      <c r="A582" s="33">
        <v>579</v>
      </c>
      <c r="B582" s="34" t="s">
        <v>886</v>
      </c>
      <c r="C582" s="33" t="s">
        <v>297</v>
      </c>
      <c r="D582" s="33" t="s">
        <v>50</v>
      </c>
      <c r="E582" s="33" t="s">
        <v>885</v>
      </c>
      <c r="F582" s="35">
        <v>1</v>
      </c>
      <c r="G582" s="40">
        <v>0</v>
      </c>
      <c r="H582" s="40">
        <v>0</v>
      </c>
      <c r="I582" s="40">
        <v>0</v>
      </c>
      <c r="J582" s="40">
        <v>0</v>
      </c>
      <c r="K582" s="40">
        <v>0</v>
      </c>
      <c r="L582" s="40">
        <v>0</v>
      </c>
      <c r="M582" s="40">
        <f t="shared" si="19"/>
        <v>0</v>
      </c>
      <c r="N582" s="40">
        <f t="shared" si="20"/>
        <v>0</v>
      </c>
    </row>
    <row r="583" spans="1:14" x14ac:dyDescent="0.35">
      <c r="A583" s="33">
        <v>580</v>
      </c>
      <c r="B583" s="34" t="s">
        <v>887</v>
      </c>
      <c r="C583" s="33" t="s">
        <v>297</v>
      </c>
      <c r="D583" s="33" t="s">
        <v>50</v>
      </c>
      <c r="E583" s="33" t="s">
        <v>885</v>
      </c>
      <c r="F583" s="35">
        <v>1</v>
      </c>
      <c r="G583" s="40">
        <v>0</v>
      </c>
      <c r="H583" s="40">
        <v>0</v>
      </c>
      <c r="I583" s="40">
        <v>0</v>
      </c>
      <c r="J583" s="40">
        <v>0</v>
      </c>
      <c r="K583" s="40">
        <v>0</v>
      </c>
      <c r="L583" s="40">
        <v>0</v>
      </c>
      <c r="M583" s="40">
        <f t="shared" si="19"/>
        <v>0</v>
      </c>
      <c r="N583" s="40">
        <f t="shared" si="20"/>
        <v>0</v>
      </c>
    </row>
    <row r="584" spans="1:14" x14ac:dyDescent="0.35">
      <c r="A584" s="33">
        <v>581</v>
      </c>
      <c r="B584" s="34" t="s">
        <v>888</v>
      </c>
      <c r="C584" s="33" t="s">
        <v>297</v>
      </c>
      <c r="D584" s="33" t="s">
        <v>50</v>
      </c>
      <c r="E584" s="33" t="s">
        <v>885</v>
      </c>
      <c r="F584" s="35">
        <v>1</v>
      </c>
      <c r="G584" s="40">
        <v>0</v>
      </c>
      <c r="H584" s="40">
        <v>0</v>
      </c>
      <c r="I584" s="40">
        <v>0</v>
      </c>
      <c r="J584" s="40">
        <v>0</v>
      </c>
      <c r="K584" s="40">
        <v>0</v>
      </c>
      <c r="L584" s="40">
        <v>0</v>
      </c>
      <c r="M584" s="40">
        <f t="shared" si="19"/>
        <v>0</v>
      </c>
      <c r="N584" s="40">
        <f t="shared" si="20"/>
        <v>0</v>
      </c>
    </row>
    <row r="585" spans="1:14" x14ac:dyDescent="0.35">
      <c r="A585" s="33">
        <v>582</v>
      </c>
      <c r="B585" s="34" t="s">
        <v>999</v>
      </c>
      <c r="C585" s="33" t="s">
        <v>346</v>
      </c>
      <c r="D585" s="33" t="s">
        <v>50</v>
      </c>
      <c r="E585" s="33" t="s">
        <v>885</v>
      </c>
      <c r="F585" s="35">
        <v>0.5</v>
      </c>
      <c r="G585" s="40">
        <v>0</v>
      </c>
      <c r="H585" s="40">
        <v>0</v>
      </c>
      <c r="I585" s="40">
        <v>0</v>
      </c>
      <c r="J585" s="40">
        <v>0</v>
      </c>
      <c r="K585" s="40">
        <v>0</v>
      </c>
      <c r="L585" s="40">
        <v>0</v>
      </c>
      <c r="M585" s="40">
        <f t="shared" si="19"/>
        <v>0</v>
      </c>
      <c r="N585" s="40">
        <f t="shared" si="20"/>
        <v>0</v>
      </c>
    </row>
    <row r="586" spans="1:14" x14ac:dyDescent="0.35">
      <c r="A586" s="33">
        <v>583</v>
      </c>
      <c r="B586" s="34" t="s">
        <v>1000</v>
      </c>
      <c r="C586" s="33" t="s">
        <v>346</v>
      </c>
      <c r="D586" s="33" t="s">
        <v>50</v>
      </c>
      <c r="E586" s="33" t="s">
        <v>885</v>
      </c>
      <c r="F586" s="35">
        <v>0.5</v>
      </c>
      <c r="G586" s="40">
        <v>0</v>
      </c>
      <c r="H586" s="40">
        <v>0</v>
      </c>
      <c r="I586" s="40">
        <v>0</v>
      </c>
      <c r="J586" s="40">
        <v>0</v>
      </c>
      <c r="K586" s="40">
        <v>0</v>
      </c>
      <c r="L586" s="40">
        <v>0</v>
      </c>
      <c r="M586" s="40">
        <f t="shared" si="19"/>
        <v>0</v>
      </c>
      <c r="N586" s="40">
        <f t="shared" si="20"/>
        <v>0</v>
      </c>
    </row>
    <row r="587" spans="1:14" x14ac:dyDescent="0.35">
      <c r="A587" s="33">
        <v>584</v>
      </c>
      <c r="B587" s="34" t="s">
        <v>1001</v>
      </c>
      <c r="C587" s="33" t="s">
        <v>346</v>
      </c>
      <c r="D587" s="33" t="s">
        <v>50</v>
      </c>
      <c r="E587" s="33" t="s">
        <v>885</v>
      </c>
      <c r="F587" s="35">
        <v>0.25</v>
      </c>
      <c r="G587" s="40">
        <v>0</v>
      </c>
      <c r="H587" s="40">
        <v>0</v>
      </c>
      <c r="I587" s="40">
        <v>0</v>
      </c>
      <c r="J587" s="40">
        <v>0</v>
      </c>
      <c r="K587" s="40">
        <v>0</v>
      </c>
      <c r="L587" s="40">
        <v>0</v>
      </c>
      <c r="M587" s="40">
        <f t="shared" si="19"/>
        <v>0</v>
      </c>
      <c r="N587" s="40">
        <f t="shared" si="20"/>
        <v>0</v>
      </c>
    </row>
    <row r="588" spans="1:14" x14ac:dyDescent="0.35">
      <c r="A588" s="33">
        <v>585</v>
      </c>
      <c r="B588" s="34" t="s">
        <v>1002</v>
      </c>
      <c r="C588" s="33" t="s">
        <v>346</v>
      </c>
      <c r="D588" s="33" t="s">
        <v>50</v>
      </c>
      <c r="E588" s="33" t="s">
        <v>885</v>
      </c>
      <c r="F588" s="35">
        <v>0.25</v>
      </c>
      <c r="G588" s="40">
        <v>0</v>
      </c>
      <c r="H588" s="40">
        <v>0</v>
      </c>
      <c r="I588" s="40">
        <v>0</v>
      </c>
      <c r="J588" s="40">
        <v>0</v>
      </c>
      <c r="K588" s="40">
        <v>0</v>
      </c>
      <c r="L588" s="40">
        <v>0</v>
      </c>
      <c r="M588" s="40">
        <f t="shared" si="19"/>
        <v>0</v>
      </c>
      <c r="N588" s="40">
        <f t="shared" si="20"/>
        <v>0</v>
      </c>
    </row>
    <row r="589" spans="1:14" x14ac:dyDescent="0.35">
      <c r="A589" s="33">
        <v>586</v>
      </c>
      <c r="B589" s="34" t="s">
        <v>1003</v>
      </c>
      <c r="C589" s="33" t="s">
        <v>346</v>
      </c>
      <c r="D589" s="33" t="s">
        <v>50</v>
      </c>
      <c r="E589" s="33" t="s">
        <v>885</v>
      </c>
      <c r="F589" s="35">
        <v>0.5</v>
      </c>
      <c r="G589" s="40">
        <v>0</v>
      </c>
      <c r="H589" s="40">
        <v>0</v>
      </c>
      <c r="I589" s="40">
        <v>0</v>
      </c>
      <c r="J589" s="40">
        <v>0</v>
      </c>
      <c r="K589" s="40">
        <v>0</v>
      </c>
      <c r="L589" s="40">
        <v>0</v>
      </c>
      <c r="M589" s="40">
        <f t="shared" si="19"/>
        <v>0</v>
      </c>
      <c r="N589" s="40">
        <f t="shared" si="20"/>
        <v>0</v>
      </c>
    </row>
    <row r="590" spans="1:14" x14ac:dyDescent="0.35">
      <c r="A590" s="33">
        <v>587</v>
      </c>
      <c r="B590" s="34" t="s">
        <v>1004</v>
      </c>
      <c r="C590" s="33" t="s">
        <v>346</v>
      </c>
      <c r="D590" s="33" t="s">
        <v>50</v>
      </c>
      <c r="E590" s="33" t="s">
        <v>885</v>
      </c>
      <c r="F590" s="35">
        <v>0.3</v>
      </c>
      <c r="G590" s="40">
        <v>0</v>
      </c>
      <c r="H590" s="40">
        <v>0</v>
      </c>
      <c r="I590" s="40">
        <v>0</v>
      </c>
      <c r="J590" s="40">
        <v>0</v>
      </c>
      <c r="K590" s="40">
        <v>0</v>
      </c>
      <c r="L590" s="40">
        <v>0</v>
      </c>
      <c r="M590" s="40">
        <f t="shared" si="19"/>
        <v>0</v>
      </c>
      <c r="N590" s="40">
        <f t="shared" si="20"/>
        <v>0</v>
      </c>
    </row>
    <row r="591" spans="1:14" x14ac:dyDescent="0.35">
      <c r="A591" s="33">
        <v>588</v>
      </c>
      <c r="B591" s="34" t="s">
        <v>889</v>
      </c>
      <c r="C591" s="33" t="s">
        <v>297</v>
      </c>
      <c r="D591" s="33" t="s">
        <v>50</v>
      </c>
      <c r="E591" s="33" t="s">
        <v>890</v>
      </c>
      <c r="F591" s="35">
        <v>1</v>
      </c>
      <c r="G591" s="40">
        <v>0</v>
      </c>
      <c r="H591" s="40">
        <v>0</v>
      </c>
      <c r="I591" s="40">
        <v>0</v>
      </c>
      <c r="J591" s="40">
        <v>0</v>
      </c>
      <c r="K591" s="40">
        <v>0</v>
      </c>
      <c r="L591" s="40">
        <v>0</v>
      </c>
      <c r="M591" s="40">
        <f t="shared" si="19"/>
        <v>0</v>
      </c>
      <c r="N591" s="40">
        <f t="shared" si="20"/>
        <v>0</v>
      </c>
    </row>
    <row r="592" spans="1:14" x14ac:dyDescent="0.35">
      <c r="A592" s="33">
        <v>589</v>
      </c>
      <c r="B592" s="34" t="s">
        <v>891</v>
      </c>
      <c r="C592" s="33" t="s">
        <v>297</v>
      </c>
      <c r="D592" s="33" t="s">
        <v>50</v>
      </c>
      <c r="E592" s="33" t="s">
        <v>890</v>
      </c>
      <c r="F592" s="35">
        <v>1</v>
      </c>
      <c r="G592" s="40">
        <v>0</v>
      </c>
      <c r="H592" s="40">
        <v>0</v>
      </c>
      <c r="I592" s="40">
        <v>0</v>
      </c>
      <c r="J592" s="40">
        <v>0</v>
      </c>
      <c r="K592" s="40">
        <v>0</v>
      </c>
      <c r="L592" s="40">
        <v>0</v>
      </c>
      <c r="M592" s="40">
        <f t="shared" si="19"/>
        <v>0</v>
      </c>
      <c r="N592" s="40">
        <f t="shared" si="20"/>
        <v>0</v>
      </c>
    </row>
    <row r="593" spans="1:14" x14ac:dyDescent="0.35">
      <c r="A593" s="33">
        <v>590</v>
      </c>
      <c r="B593" s="34" t="s">
        <v>177</v>
      </c>
      <c r="C593" s="33" t="s">
        <v>297</v>
      </c>
      <c r="D593" s="33" t="s">
        <v>50</v>
      </c>
      <c r="E593" s="33" t="s">
        <v>890</v>
      </c>
      <c r="F593" s="35">
        <v>1</v>
      </c>
      <c r="G593" s="40">
        <v>0</v>
      </c>
      <c r="H593" s="40">
        <v>0</v>
      </c>
      <c r="I593" s="40">
        <v>0</v>
      </c>
      <c r="J593" s="40">
        <v>0</v>
      </c>
      <c r="K593" s="40">
        <v>0</v>
      </c>
      <c r="L593" s="40">
        <v>0</v>
      </c>
      <c r="M593" s="40">
        <f t="shared" si="19"/>
        <v>0</v>
      </c>
      <c r="N593" s="40">
        <f t="shared" si="20"/>
        <v>0</v>
      </c>
    </row>
    <row r="594" spans="1:14" x14ac:dyDescent="0.35">
      <c r="A594" s="33">
        <v>591</v>
      </c>
      <c r="B594" s="34" t="s">
        <v>892</v>
      </c>
      <c r="C594" s="33" t="s">
        <v>297</v>
      </c>
      <c r="D594" s="33" t="s">
        <v>50</v>
      </c>
      <c r="E594" s="33" t="s">
        <v>890</v>
      </c>
      <c r="F594" s="35">
        <v>1</v>
      </c>
      <c r="G594" s="40">
        <v>0</v>
      </c>
      <c r="H594" s="40">
        <v>0</v>
      </c>
      <c r="I594" s="40">
        <v>0</v>
      </c>
      <c r="J594" s="40">
        <v>0</v>
      </c>
      <c r="K594" s="40">
        <v>0</v>
      </c>
      <c r="L594" s="40">
        <v>0</v>
      </c>
      <c r="M594" s="40">
        <f t="shared" si="19"/>
        <v>0</v>
      </c>
      <c r="N594" s="40">
        <f t="shared" si="20"/>
        <v>0</v>
      </c>
    </row>
    <row r="595" spans="1:14" x14ac:dyDescent="0.35">
      <c r="A595" s="33">
        <v>592</v>
      </c>
      <c r="B595" s="34" t="s">
        <v>893</v>
      </c>
      <c r="C595" s="33" t="s">
        <v>297</v>
      </c>
      <c r="D595" s="33" t="s">
        <v>50</v>
      </c>
      <c r="E595" s="33" t="s">
        <v>890</v>
      </c>
      <c r="F595" s="35">
        <v>1</v>
      </c>
      <c r="G595" s="40">
        <v>0</v>
      </c>
      <c r="H595" s="40">
        <v>0</v>
      </c>
      <c r="I595" s="40">
        <v>0</v>
      </c>
      <c r="J595" s="40">
        <v>0</v>
      </c>
      <c r="K595" s="40">
        <v>0</v>
      </c>
      <c r="L595" s="40">
        <v>0</v>
      </c>
      <c r="M595" s="40">
        <f t="shared" si="19"/>
        <v>0</v>
      </c>
      <c r="N595" s="40">
        <f t="shared" si="20"/>
        <v>0</v>
      </c>
    </row>
    <row r="596" spans="1:14" x14ac:dyDescent="0.35">
      <c r="A596" s="33">
        <v>593</v>
      </c>
      <c r="B596" s="34" t="s">
        <v>894</v>
      </c>
      <c r="C596" s="33" t="s">
        <v>297</v>
      </c>
      <c r="D596" s="33" t="s">
        <v>50</v>
      </c>
      <c r="E596" s="33" t="s">
        <v>890</v>
      </c>
      <c r="F596" s="35">
        <v>1</v>
      </c>
      <c r="G596" s="40">
        <v>0</v>
      </c>
      <c r="H596" s="40">
        <v>0</v>
      </c>
      <c r="I596" s="40">
        <v>0</v>
      </c>
      <c r="J596" s="40">
        <v>0</v>
      </c>
      <c r="K596" s="40">
        <v>0</v>
      </c>
      <c r="L596" s="40">
        <v>0</v>
      </c>
      <c r="M596" s="40">
        <f t="shared" si="19"/>
        <v>0</v>
      </c>
      <c r="N596" s="40">
        <f t="shared" si="20"/>
        <v>0</v>
      </c>
    </row>
    <row r="597" spans="1:14" x14ac:dyDescent="0.35">
      <c r="A597" s="33">
        <v>594</v>
      </c>
      <c r="B597" s="34" t="s">
        <v>1005</v>
      </c>
      <c r="C597" s="33" t="s">
        <v>346</v>
      </c>
      <c r="D597" s="33" t="s">
        <v>50</v>
      </c>
      <c r="E597" s="33" t="s">
        <v>1006</v>
      </c>
      <c r="F597" s="35">
        <v>0.5</v>
      </c>
      <c r="G597" s="40">
        <v>0</v>
      </c>
      <c r="H597" s="40">
        <v>0</v>
      </c>
      <c r="I597" s="40">
        <v>0</v>
      </c>
      <c r="J597" s="40">
        <v>0</v>
      </c>
      <c r="K597" s="40">
        <v>0</v>
      </c>
      <c r="L597" s="40">
        <v>0</v>
      </c>
      <c r="M597" s="40">
        <f t="shared" si="19"/>
        <v>0</v>
      </c>
      <c r="N597" s="40">
        <f t="shared" si="20"/>
        <v>0</v>
      </c>
    </row>
    <row r="598" spans="1:14" x14ac:dyDescent="0.35">
      <c r="A598" s="33">
        <v>595</v>
      </c>
      <c r="B598" s="34" t="s">
        <v>1007</v>
      </c>
      <c r="C598" s="33" t="s">
        <v>346</v>
      </c>
      <c r="D598" s="33" t="s">
        <v>50</v>
      </c>
      <c r="E598" s="33" t="s">
        <v>1006</v>
      </c>
      <c r="F598" s="35">
        <v>0.5</v>
      </c>
      <c r="G598" s="40">
        <v>1488</v>
      </c>
      <c r="H598" s="40">
        <v>744</v>
      </c>
      <c r="I598" s="40">
        <v>0</v>
      </c>
      <c r="J598" s="40">
        <v>0</v>
      </c>
      <c r="K598" s="40">
        <v>3818</v>
      </c>
      <c r="L598" s="40">
        <v>1909</v>
      </c>
      <c r="M598" s="40">
        <f t="shared" si="19"/>
        <v>5306</v>
      </c>
      <c r="N598" s="40">
        <f t="shared" si="20"/>
        <v>2653</v>
      </c>
    </row>
    <row r="599" spans="1:14" x14ac:dyDescent="0.35">
      <c r="A599" s="33">
        <v>596</v>
      </c>
      <c r="B599" s="34" t="s">
        <v>1008</v>
      </c>
      <c r="C599" s="33" t="s">
        <v>346</v>
      </c>
      <c r="D599" s="33" t="s">
        <v>50</v>
      </c>
      <c r="E599" s="33" t="s">
        <v>1006</v>
      </c>
      <c r="F599" s="35">
        <v>8</v>
      </c>
      <c r="G599" s="40">
        <v>0</v>
      </c>
      <c r="H599" s="40">
        <v>0</v>
      </c>
      <c r="I599" s="40">
        <v>0</v>
      </c>
      <c r="J599" s="40">
        <v>0</v>
      </c>
      <c r="K599" s="40">
        <v>0</v>
      </c>
      <c r="L599" s="40">
        <v>0</v>
      </c>
      <c r="M599" s="40">
        <f t="shared" si="19"/>
        <v>0</v>
      </c>
      <c r="N599" s="40">
        <f t="shared" si="20"/>
        <v>0</v>
      </c>
    </row>
    <row r="600" spans="1:14" x14ac:dyDescent="0.35">
      <c r="A600" s="33">
        <v>597</v>
      </c>
      <c r="B600" s="34" t="s">
        <v>1009</v>
      </c>
      <c r="C600" s="33" t="s">
        <v>346</v>
      </c>
      <c r="D600" s="33" t="s">
        <v>50</v>
      </c>
      <c r="E600" s="33" t="s">
        <v>1006</v>
      </c>
      <c r="F600" s="35">
        <v>0.5</v>
      </c>
      <c r="G600" s="40">
        <v>0</v>
      </c>
      <c r="H600" s="40">
        <v>0</v>
      </c>
      <c r="I600" s="40">
        <v>0</v>
      </c>
      <c r="J600" s="40">
        <v>0</v>
      </c>
      <c r="K600" s="40">
        <v>68</v>
      </c>
      <c r="L600" s="40">
        <v>34</v>
      </c>
      <c r="M600" s="40">
        <f t="shared" si="19"/>
        <v>68</v>
      </c>
      <c r="N600" s="40">
        <f t="shared" si="20"/>
        <v>34</v>
      </c>
    </row>
    <row r="601" spans="1:14" x14ac:dyDescent="0.35">
      <c r="A601" s="33">
        <v>598</v>
      </c>
      <c r="B601" s="34" t="s">
        <v>1010</v>
      </c>
      <c r="C601" s="33" t="s">
        <v>346</v>
      </c>
      <c r="D601" s="33" t="s">
        <v>50</v>
      </c>
      <c r="E601" s="33" t="s">
        <v>1006</v>
      </c>
      <c r="F601" s="35">
        <v>8</v>
      </c>
      <c r="G601" s="40">
        <v>0</v>
      </c>
      <c r="H601" s="40">
        <v>0</v>
      </c>
      <c r="I601" s="40">
        <v>0</v>
      </c>
      <c r="J601" s="40">
        <v>0</v>
      </c>
      <c r="K601" s="40">
        <v>0</v>
      </c>
      <c r="L601" s="40">
        <v>0</v>
      </c>
      <c r="M601" s="40">
        <f t="shared" si="19"/>
        <v>0</v>
      </c>
      <c r="N601" s="40">
        <f t="shared" si="20"/>
        <v>0</v>
      </c>
    </row>
    <row r="602" spans="1:14" x14ac:dyDescent="0.35">
      <c r="A602" s="33">
        <v>599</v>
      </c>
      <c r="B602" s="34" t="s">
        <v>1011</v>
      </c>
      <c r="C602" s="33" t="s">
        <v>346</v>
      </c>
      <c r="D602" s="33" t="s">
        <v>50</v>
      </c>
      <c r="E602" s="33" t="s">
        <v>1006</v>
      </c>
      <c r="F602" s="35">
        <v>0.5</v>
      </c>
      <c r="G602" s="40">
        <v>0</v>
      </c>
      <c r="H602" s="40">
        <v>0</v>
      </c>
      <c r="I602" s="40">
        <v>0</v>
      </c>
      <c r="J602" s="40">
        <v>0</v>
      </c>
      <c r="K602" s="40">
        <v>0</v>
      </c>
      <c r="L602" s="40">
        <v>0</v>
      </c>
      <c r="M602" s="40">
        <f t="shared" si="19"/>
        <v>0</v>
      </c>
      <c r="N602" s="40">
        <f t="shared" si="20"/>
        <v>0</v>
      </c>
    </row>
    <row r="603" spans="1:14" x14ac:dyDescent="0.35">
      <c r="A603" s="33">
        <v>600</v>
      </c>
      <c r="B603" s="34" t="s">
        <v>895</v>
      </c>
      <c r="C603" s="33" t="s">
        <v>297</v>
      </c>
      <c r="D603" s="33" t="s">
        <v>50</v>
      </c>
      <c r="E603" s="33" t="s">
        <v>896</v>
      </c>
      <c r="F603" s="35">
        <v>1</v>
      </c>
      <c r="G603" s="40">
        <v>0</v>
      </c>
      <c r="H603" s="40">
        <v>0</v>
      </c>
      <c r="I603" s="40">
        <v>0</v>
      </c>
      <c r="J603" s="40">
        <v>0</v>
      </c>
      <c r="K603" s="40">
        <v>0</v>
      </c>
      <c r="L603" s="40">
        <v>0</v>
      </c>
      <c r="M603" s="40">
        <f t="shared" si="19"/>
        <v>0</v>
      </c>
      <c r="N603" s="40">
        <f t="shared" si="20"/>
        <v>0</v>
      </c>
    </row>
    <row r="604" spans="1:14" x14ac:dyDescent="0.35">
      <c r="A604" s="33">
        <v>601</v>
      </c>
      <c r="B604" s="34" t="s">
        <v>897</v>
      </c>
      <c r="C604" s="33" t="s">
        <v>297</v>
      </c>
      <c r="D604" s="33" t="s">
        <v>50</v>
      </c>
      <c r="E604" s="33" t="s">
        <v>896</v>
      </c>
      <c r="F604" s="35">
        <v>1</v>
      </c>
      <c r="G604" s="40">
        <v>0</v>
      </c>
      <c r="H604" s="40">
        <v>0</v>
      </c>
      <c r="I604" s="40">
        <v>0</v>
      </c>
      <c r="J604" s="40">
        <v>0</v>
      </c>
      <c r="K604" s="40">
        <v>0</v>
      </c>
      <c r="L604" s="40">
        <v>0</v>
      </c>
      <c r="M604" s="40">
        <f t="shared" si="19"/>
        <v>0</v>
      </c>
      <c r="N604" s="40">
        <f t="shared" si="20"/>
        <v>0</v>
      </c>
    </row>
    <row r="605" spans="1:14" x14ac:dyDescent="0.35">
      <c r="A605" s="33">
        <v>602</v>
      </c>
      <c r="B605" s="34" t="s">
        <v>898</v>
      </c>
      <c r="C605" s="33" t="s">
        <v>297</v>
      </c>
      <c r="D605" s="33" t="s">
        <v>50</v>
      </c>
      <c r="E605" s="33" t="s">
        <v>896</v>
      </c>
      <c r="F605" s="35">
        <v>1</v>
      </c>
      <c r="G605" s="40">
        <v>0</v>
      </c>
      <c r="H605" s="40">
        <v>0</v>
      </c>
      <c r="I605" s="40">
        <v>0</v>
      </c>
      <c r="J605" s="40">
        <v>0</v>
      </c>
      <c r="K605" s="40">
        <v>0</v>
      </c>
      <c r="L605" s="40">
        <v>0</v>
      </c>
      <c r="M605" s="40">
        <f t="shared" si="19"/>
        <v>0</v>
      </c>
      <c r="N605" s="40">
        <f t="shared" si="20"/>
        <v>0</v>
      </c>
    </row>
    <row r="606" spans="1:14" x14ac:dyDescent="0.35">
      <c r="A606" s="33">
        <v>603</v>
      </c>
      <c r="B606" s="34" t="s">
        <v>899</v>
      </c>
      <c r="C606" s="33" t="s">
        <v>297</v>
      </c>
      <c r="D606" s="33" t="s">
        <v>50</v>
      </c>
      <c r="E606" s="33" t="s">
        <v>896</v>
      </c>
      <c r="F606" s="35">
        <v>1</v>
      </c>
      <c r="G606" s="40">
        <v>0</v>
      </c>
      <c r="H606" s="40">
        <v>0</v>
      </c>
      <c r="I606" s="40">
        <v>0</v>
      </c>
      <c r="J606" s="40">
        <v>0</v>
      </c>
      <c r="K606" s="40">
        <v>0</v>
      </c>
      <c r="L606" s="40">
        <v>0</v>
      </c>
      <c r="M606" s="40">
        <f t="shared" si="19"/>
        <v>0</v>
      </c>
      <c r="N606" s="40">
        <f t="shared" si="20"/>
        <v>0</v>
      </c>
    </row>
    <row r="607" spans="1:14" x14ac:dyDescent="0.35">
      <c r="A607" s="33">
        <v>604</v>
      </c>
      <c r="B607" s="34" t="s">
        <v>900</v>
      </c>
      <c r="C607" s="33" t="s">
        <v>297</v>
      </c>
      <c r="D607" s="33" t="s">
        <v>50</v>
      </c>
      <c r="E607" s="33" t="s">
        <v>896</v>
      </c>
      <c r="F607" s="35">
        <v>1</v>
      </c>
      <c r="G607" s="40">
        <v>0</v>
      </c>
      <c r="H607" s="40">
        <v>0</v>
      </c>
      <c r="I607" s="40">
        <v>0</v>
      </c>
      <c r="J607" s="40">
        <v>0</v>
      </c>
      <c r="K607" s="40">
        <v>0</v>
      </c>
      <c r="L607" s="40">
        <v>0</v>
      </c>
      <c r="M607" s="40">
        <f t="shared" si="19"/>
        <v>0</v>
      </c>
      <c r="N607" s="40">
        <f t="shared" si="20"/>
        <v>0</v>
      </c>
    </row>
    <row r="608" spans="1:14" x14ac:dyDescent="0.35">
      <c r="A608" s="33">
        <v>605</v>
      </c>
      <c r="B608" s="34" t="s">
        <v>1012</v>
      </c>
      <c r="C608" s="33" t="s">
        <v>346</v>
      </c>
      <c r="D608" s="33" t="s">
        <v>50</v>
      </c>
      <c r="E608" s="33" t="s">
        <v>896</v>
      </c>
      <c r="F608" s="35">
        <v>0.4</v>
      </c>
      <c r="G608" s="40">
        <v>0</v>
      </c>
      <c r="H608" s="40">
        <v>0</v>
      </c>
      <c r="I608" s="40">
        <v>0</v>
      </c>
      <c r="J608" s="40">
        <v>0</v>
      </c>
      <c r="K608" s="40">
        <v>0</v>
      </c>
      <c r="L608" s="40">
        <v>0</v>
      </c>
      <c r="M608" s="40">
        <f t="shared" si="19"/>
        <v>0</v>
      </c>
      <c r="N608" s="40">
        <f t="shared" si="20"/>
        <v>0</v>
      </c>
    </row>
    <row r="609" spans="1:14" x14ac:dyDescent="0.35">
      <c r="A609" s="33">
        <v>606</v>
      </c>
      <c r="B609" s="34" t="s">
        <v>1013</v>
      </c>
      <c r="C609" s="33" t="s">
        <v>346</v>
      </c>
      <c r="D609" s="33" t="s">
        <v>50</v>
      </c>
      <c r="E609" s="33" t="s">
        <v>896</v>
      </c>
      <c r="F609" s="35">
        <v>0.5</v>
      </c>
      <c r="G609" s="40">
        <v>0</v>
      </c>
      <c r="H609" s="40">
        <v>0</v>
      </c>
      <c r="I609" s="40">
        <v>0</v>
      </c>
      <c r="J609" s="40">
        <v>0</v>
      </c>
      <c r="K609" s="40">
        <v>0</v>
      </c>
      <c r="L609" s="40">
        <v>0</v>
      </c>
      <c r="M609" s="40">
        <f t="shared" si="19"/>
        <v>0</v>
      </c>
      <c r="N609" s="40">
        <f t="shared" si="20"/>
        <v>0</v>
      </c>
    </row>
    <row r="610" spans="1:14" x14ac:dyDescent="0.35">
      <c r="A610" s="33">
        <v>607</v>
      </c>
      <c r="B610" s="34" t="s">
        <v>1014</v>
      </c>
      <c r="C610" s="33" t="s">
        <v>346</v>
      </c>
      <c r="D610" s="33" t="s">
        <v>50</v>
      </c>
      <c r="E610" s="33" t="s">
        <v>896</v>
      </c>
      <c r="F610" s="35">
        <v>1</v>
      </c>
      <c r="G610" s="40">
        <v>0</v>
      </c>
      <c r="H610" s="40">
        <v>0</v>
      </c>
      <c r="I610" s="40">
        <v>0</v>
      </c>
      <c r="J610" s="40">
        <v>0</v>
      </c>
      <c r="K610" s="40">
        <v>0</v>
      </c>
      <c r="L610" s="40">
        <v>0</v>
      </c>
      <c r="M610" s="40">
        <f t="shared" si="19"/>
        <v>0</v>
      </c>
      <c r="N610" s="40">
        <f t="shared" si="20"/>
        <v>0</v>
      </c>
    </row>
    <row r="611" spans="1:14" x14ac:dyDescent="0.35">
      <c r="A611" s="33">
        <v>608</v>
      </c>
      <c r="B611" s="34" t="s">
        <v>1015</v>
      </c>
      <c r="C611" s="33" t="s">
        <v>346</v>
      </c>
      <c r="D611" s="33" t="s">
        <v>50</v>
      </c>
      <c r="E611" s="33" t="s">
        <v>896</v>
      </c>
      <c r="F611" s="35">
        <v>0.25</v>
      </c>
      <c r="G611" s="40">
        <v>0</v>
      </c>
      <c r="H611" s="40">
        <v>0</v>
      </c>
      <c r="I611" s="40">
        <v>0</v>
      </c>
      <c r="J611" s="40">
        <v>0</v>
      </c>
      <c r="K611" s="40">
        <v>0</v>
      </c>
      <c r="L611" s="40">
        <v>0</v>
      </c>
      <c r="M611" s="40">
        <f t="shared" si="19"/>
        <v>0</v>
      </c>
      <c r="N611" s="40">
        <f t="shared" si="20"/>
        <v>0</v>
      </c>
    </row>
    <row r="612" spans="1:14" x14ac:dyDescent="0.35">
      <c r="A612" s="33">
        <v>609</v>
      </c>
      <c r="B612" s="34" t="s">
        <v>1016</v>
      </c>
      <c r="C612" s="33" t="s">
        <v>346</v>
      </c>
      <c r="D612" s="33" t="s">
        <v>50</v>
      </c>
      <c r="E612" s="33" t="s">
        <v>1017</v>
      </c>
      <c r="F612" s="35">
        <v>1</v>
      </c>
      <c r="G612" s="40">
        <v>0</v>
      </c>
      <c r="H612" s="40">
        <v>0</v>
      </c>
      <c r="I612" s="40">
        <v>0</v>
      </c>
      <c r="J612" s="40">
        <v>0</v>
      </c>
      <c r="K612" s="40">
        <v>0</v>
      </c>
      <c r="L612" s="40">
        <v>0</v>
      </c>
      <c r="M612" s="40">
        <f t="shared" si="19"/>
        <v>0</v>
      </c>
      <c r="N612" s="40">
        <f t="shared" si="20"/>
        <v>0</v>
      </c>
    </row>
    <row r="613" spans="1:14" x14ac:dyDescent="0.35">
      <c r="A613" s="33">
        <v>610</v>
      </c>
      <c r="B613" s="34" t="s">
        <v>1018</v>
      </c>
      <c r="C613" s="33" t="s">
        <v>346</v>
      </c>
      <c r="D613" s="33" t="s">
        <v>50</v>
      </c>
      <c r="E613" s="33" t="s">
        <v>896</v>
      </c>
      <c r="F613" s="35">
        <v>0.2</v>
      </c>
      <c r="G613" s="40">
        <v>0</v>
      </c>
      <c r="H613" s="40">
        <v>0</v>
      </c>
      <c r="I613" s="40">
        <v>0</v>
      </c>
      <c r="J613" s="40">
        <v>0</v>
      </c>
      <c r="K613" s="40">
        <v>0</v>
      </c>
      <c r="L613" s="40">
        <v>0</v>
      </c>
      <c r="M613" s="40">
        <f t="shared" si="19"/>
        <v>0</v>
      </c>
      <c r="N613" s="40">
        <f t="shared" si="20"/>
        <v>0</v>
      </c>
    </row>
    <row r="614" spans="1:14" x14ac:dyDescent="0.35">
      <c r="A614" s="33">
        <v>611</v>
      </c>
      <c r="B614" s="34" t="s">
        <v>1019</v>
      </c>
      <c r="C614" s="33" t="s">
        <v>346</v>
      </c>
      <c r="D614" s="33" t="s">
        <v>50</v>
      </c>
      <c r="E614" s="33" t="s">
        <v>896</v>
      </c>
      <c r="F614" s="35">
        <v>7.2</v>
      </c>
      <c r="G614" s="40">
        <v>0</v>
      </c>
      <c r="H614" s="40">
        <v>0</v>
      </c>
      <c r="I614" s="40">
        <v>0</v>
      </c>
      <c r="J614" s="40">
        <v>0</v>
      </c>
      <c r="K614" s="40">
        <v>0</v>
      </c>
      <c r="L614" s="40">
        <v>0</v>
      </c>
      <c r="M614" s="40">
        <f t="shared" si="19"/>
        <v>0</v>
      </c>
      <c r="N614" s="40">
        <f t="shared" si="20"/>
        <v>0</v>
      </c>
    </row>
    <row r="615" spans="1:14" x14ac:dyDescent="0.35">
      <c r="A615" s="33">
        <v>612</v>
      </c>
      <c r="B615" s="34" t="s">
        <v>1020</v>
      </c>
      <c r="C615" s="33" t="s">
        <v>346</v>
      </c>
      <c r="D615" s="33" t="s">
        <v>50</v>
      </c>
      <c r="E615" s="33" t="s">
        <v>896</v>
      </c>
      <c r="F615" s="35">
        <v>7.2</v>
      </c>
      <c r="G615" s="40">
        <v>0</v>
      </c>
      <c r="H615" s="40">
        <v>0</v>
      </c>
      <c r="I615" s="40">
        <v>0</v>
      </c>
      <c r="J615" s="40">
        <v>0</v>
      </c>
      <c r="K615" s="40">
        <v>0</v>
      </c>
      <c r="L615" s="40">
        <v>0</v>
      </c>
      <c r="M615" s="40">
        <f t="shared" si="19"/>
        <v>0</v>
      </c>
      <c r="N615" s="40">
        <f t="shared" si="20"/>
        <v>0</v>
      </c>
    </row>
    <row r="616" spans="1:14" x14ac:dyDescent="0.35">
      <c r="A616" s="33">
        <v>613</v>
      </c>
      <c r="B616" s="34" t="s">
        <v>1021</v>
      </c>
      <c r="C616" s="33" t="s">
        <v>346</v>
      </c>
      <c r="D616" s="33" t="s">
        <v>50</v>
      </c>
      <c r="E616" s="33" t="s">
        <v>896</v>
      </c>
      <c r="F616" s="35">
        <v>0.5</v>
      </c>
      <c r="G616" s="40">
        <v>0</v>
      </c>
      <c r="H616" s="40">
        <v>0</v>
      </c>
      <c r="I616" s="40">
        <v>0</v>
      </c>
      <c r="J616" s="40">
        <v>0</v>
      </c>
      <c r="K616" s="40">
        <v>0</v>
      </c>
      <c r="L616" s="40">
        <v>0</v>
      </c>
      <c r="M616" s="40">
        <f t="shared" si="19"/>
        <v>0</v>
      </c>
      <c r="N616" s="40">
        <f t="shared" si="20"/>
        <v>0</v>
      </c>
    </row>
    <row r="617" spans="1:14" x14ac:dyDescent="0.35">
      <c r="A617" s="33">
        <v>614</v>
      </c>
      <c r="B617" s="34" t="s">
        <v>1022</v>
      </c>
      <c r="C617" s="33" t="s">
        <v>346</v>
      </c>
      <c r="D617" s="33" t="s">
        <v>50</v>
      </c>
      <c r="E617" s="33" t="s">
        <v>896</v>
      </c>
      <c r="F617" s="35">
        <v>12</v>
      </c>
      <c r="G617" s="40">
        <v>0</v>
      </c>
      <c r="H617" s="40">
        <v>0</v>
      </c>
      <c r="I617" s="40">
        <v>0</v>
      </c>
      <c r="J617" s="40">
        <v>0</v>
      </c>
      <c r="K617" s="40">
        <v>0</v>
      </c>
      <c r="L617" s="40">
        <v>0</v>
      </c>
      <c r="M617" s="40">
        <f t="shared" si="19"/>
        <v>0</v>
      </c>
      <c r="N617" s="40">
        <f t="shared" si="20"/>
        <v>0</v>
      </c>
    </row>
    <row r="618" spans="1:14" x14ac:dyDescent="0.35">
      <c r="A618" s="33">
        <v>615</v>
      </c>
      <c r="B618" s="34" t="s">
        <v>1023</v>
      </c>
      <c r="C618" s="33" t="s">
        <v>346</v>
      </c>
      <c r="D618" s="33" t="s">
        <v>50</v>
      </c>
      <c r="E618" s="33" t="s">
        <v>896</v>
      </c>
      <c r="F618" s="35">
        <v>12</v>
      </c>
      <c r="G618" s="40">
        <v>0</v>
      </c>
      <c r="H618" s="40">
        <v>0</v>
      </c>
      <c r="I618" s="40">
        <v>0</v>
      </c>
      <c r="J618" s="40">
        <v>0</v>
      </c>
      <c r="K618" s="40">
        <v>0</v>
      </c>
      <c r="L618" s="40">
        <v>0</v>
      </c>
      <c r="M618" s="40">
        <f t="shared" si="19"/>
        <v>0</v>
      </c>
      <c r="N618" s="40">
        <f t="shared" si="20"/>
        <v>0</v>
      </c>
    </row>
    <row r="619" spans="1:14" x14ac:dyDescent="0.35">
      <c r="A619" s="33">
        <v>616</v>
      </c>
      <c r="B619" s="34" t="s">
        <v>1024</v>
      </c>
      <c r="C619" s="33" t="s">
        <v>346</v>
      </c>
      <c r="D619" s="33" t="s">
        <v>50</v>
      </c>
      <c r="E619" s="33" t="s">
        <v>896</v>
      </c>
      <c r="F619" s="35">
        <v>0.5</v>
      </c>
      <c r="G619" s="40">
        <v>0</v>
      </c>
      <c r="H619" s="40">
        <v>0</v>
      </c>
      <c r="I619" s="40">
        <v>0</v>
      </c>
      <c r="J619" s="40">
        <v>0</v>
      </c>
      <c r="K619" s="40">
        <v>0</v>
      </c>
      <c r="L619" s="40">
        <v>0</v>
      </c>
      <c r="M619" s="40">
        <f t="shared" si="19"/>
        <v>0</v>
      </c>
      <c r="N619" s="40">
        <f t="shared" si="20"/>
        <v>0</v>
      </c>
    </row>
    <row r="620" spans="1:14" x14ac:dyDescent="0.35">
      <c r="A620" s="33">
        <v>617</v>
      </c>
      <c r="B620" s="34" t="s">
        <v>1025</v>
      </c>
      <c r="C620" s="33" t="s">
        <v>346</v>
      </c>
      <c r="D620" s="33" t="s">
        <v>50</v>
      </c>
      <c r="E620" s="33" t="s">
        <v>896</v>
      </c>
      <c r="F620" s="35">
        <v>0.4</v>
      </c>
      <c r="G620" s="40">
        <v>0</v>
      </c>
      <c r="H620" s="40">
        <v>0</v>
      </c>
      <c r="I620" s="40">
        <v>0</v>
      </c>
      <c r="J620" s="40">
        <v>0</v>
      </c>
      <c r="K620" s="40">
        <v>0</v>
      </c>
      <c r="L620" s="40">
        <v>0</v>
      </c>
      <c r="M620" s="40">
        <f t="shared" si="19"/>
        <v>0</v>
      </c>
      <c r="N620" s="40">
        <f t="shared" si="20"/>
        <v>0</v>
      </c>
    </row>
    <row r="621" spans="1:14" x14ac:dyDescent="0.35">
      <c r="A621" s="33">
        <v>618</v>
      </c>
      <c r="B621" s="34" t="s">
        <v>1026</v>
      </c>
      <c r="C621" s="33" t="s">
        <v>346</v>
      </c>
      <c r="D621" s="33" t="s">
        <v>50</v>
      </c>
      <c r="E621" s="33" t="s">
        <v>896</v>
      </c>
      <c r="F621" s="35">
        <v>0.25</v>
      </c>
      <c r="G621" s="40">
        <v>0</v>
      </c>
      <c r="H621" s="40">
        <v>0</v>
      </c>
      <c r="I621" s="40">
        <v>0</v>
      </c>
      <c r="J621" s="40">
        <v>0</v>
      </c>
      <c r="K621" s="40">
        <v>0</v>
      </c>
      <c r="L621" s="40">
        <v>0</v>
      </c>
      <c r="M621" s="40">
        <f t="shared" si="19"/>
        <v>0</v>
      </c>
      <c r="N621" s="40">
        <f t="shared" si="20"/>
        <v>0</v>
      </c>
    </row>
    <row r="622" spans="1:14" x14ac:dyDescent="0.35">
      <c r="A622" s="33">
        <v>619</v>
      </c>
      <c r="B622" s="34" t="s">
        <v>1027</v>
      </c>
      <c r="C622" s="33" t="s">
        <v>346</v>
      </c>
      <c r="D622" s="33" t="s">
        <v>50</v>
      </c>
      <c r="E622" s="33" t="s">
        <v>896</v>
      </c>
      <c r="F622" s="35">
        <v>0.48</v>
      </c>
      <c r="G622" s="40">
        <v>0</v>
      </c>
      <c r="H622" s="40">
        <v>0</v>
      </c>
      <c r="I622" s="40">
        <v>0</v>
      </c>
      <c r="J622" s="40">
        <v>0</v>
      </c>
      <c r="K622" s="40">
        <v>0</v>
      </c>
      <c r="L622" s="40">
        <v>0</v>
      </c>
      <c r="M622" s="40">
        <f t="shared" si="19"/>
        <v>0</v>
      </c>
      <c r="N622" s="40">
        <f t="shared" si="20"/>
        <v>0</v>
      </c>
    </row>
    <row r="623" spans="1:14" x14ac:dyDescent="0.35">
      <c r="A623" s="33">
        <v>620</v>
      </c>
      <c r="B623" s="34" t="s">
        <v>1028</v>
      </c>
      <c r="C623" s="33" t="s">
        <v>346</v>
      </c>
      <c r="D623" s="33" t="s">
        <v>50</v>
      </c>
      <c r="E623" s="33" t="s">
        <v>896</v>
      </c>
      <c r="F623" s="35">
        <v>0.5</v>
      </c>
      <c r="G623" s="40">
        <v>0</v>
      </c>
      <c r="H623" s="40">
        <v>0</v>
      </c>
      <c r="I623" s="40">
        <v>0</v>
      </c>
      <c r="J623" s="40">
        <v>0</v>
      </c>
      <c r="K623" s="40">
        <v>0</v>
      </c>
      <c r="L623" s="40">
        <v>0</v>
      </c>
      <c r="M623" s="40">
        <f t="shared" si="19"/>
        <v>0</v>
      </c>
      <c r="N623" s="40">
        <f t="shared" si="20"/>
        <v>0</v>
      </c>
    </row>
    <row r="624" spans="1:14" x14ac:dyDescent="0.35">
      <c r="A624" s="33">
        <v>621</v>
      </c>
      <c r="B624" s="34" t="s">
        <v>1029</v>
      </c>
      <c r="C624" s="33" t="s">
        <v>346</v>
      </c>
      <c r="D624" s="33" t="s">
        <v>50</v>
      </c>
      <c r="E624" s="33" t="s">
        <v>896</v>
      </c>
      <c r="F624" s="35">
        <v>1</v>
      </c>
      <c r="G624" s="40">
        <v>0</v>
      </c>
      <c r="H624" s="40">
        <v>0</v>
      </c>
      <c r="I624" s="40">
        <v>0</v>
      </c>
      <c r="J624" s="40">
        <v>0</v>
      </c>
      <c r="K624" s="40">
        <v>0</v>
      </c>
      <c r="L624" s="40">
        <v>0</v>
      </c>
      <c r="M624" s="40">
        <f t="shared" si="19"/>
        <v>0</v>
      </c>
      <c r="N624" s="40">
        <f t="shared" si="20"/>
        <v>0</v>
      </c>
    </row>
    <row r="625" spans="1:14" x14ac:dyDescent="0.35">
      <c r="A625" s="33">
        <v>622</v>
      </c>
      <c r="B625" s="34" t="s">
        <v>1030</v>
      </c>
      <c r="C625" s="33" t="s">
        <v>346</v>
      </c>
      <c r="D625" s="33" t="s">
        <v>50</v>
      </c>
      <c r="E625" s="33" t="s">
        <v>1031</v>
      </c>
      <c r="F625" s="35">
        <v>0.3</v>
      </c>
      <c r="G625" s="40">
        <v>0</v>
      </c>
      <c r="H625" s="40">
        <v>0</v>
      </c>
      <c r="I625" s="40">
        <v>0</v>
      </c>
      <c r="J625" s="40">
        <v>0</v>
      </c>
      <c r="K625" s="40">
        <v>0</v>
      </c>
      <c r="L625" s="40">
        <v>0</v>
      </c>
      <c r="M625" s="40">
        <f t="shared" si="19"/>
        <v>0</v>
      </c>
      <c r="N625" s="40">
        <f t="shared" si="20"/>
        <v>0</v>
      </c>
    </row>
    <row r="626" spans="1:14" x14ac:dyDescent="0.35">
      <c r="A626" s="33">
        <v>623</v>
      </c>
      <c r="B626" s="34" t="s">
        <v>1032</v>
      </c>
      <c r="C626" s="33" t="s">
        <v>346</v>
      </c>
      <c r="D626" s="33" t="s">
        <v>50</v>
      </c>
      <c r="E626" s="33" t="s">
        <v>1031</v>
      </c>
      <c r="F626" s="35">
        <v>0.25</v>
      </c>
      <c r="G626" s="40">
        <v>0</v>
      </c>
      <c r="H626" s="40">
        <v>0</v>
      </c>
      <c r="I626" s="40">
        <v>0</v>
      </c>
      <c r="J626" s="40">
        <v>0</v>
      </c>
      <c r="K626" s="40">
        <v>0</v>
      </c>
      <c r="L626" s="40">
        <v>0</v>
      </c>
      <c r="M626" s="40">
        <f t="shared" si="19"/>
        <v>0</v>
      </c>
      <c r="N626" s="40">
        <f t="shared" si="20"/>
        <v>0</v>
      </c>
    </row>
    <row r="627" spans="1:14" x14ac:dyDescent="0.35">
      <c r="A627" s="33">
        <v>624</v>
      </c>
      <c r="B627" s="34" t="s">
        <v>901</v>
      </c>
      <c r="C627" s="33" t="s">
        <v>297</v>
      </c>
      <c r="D627" s="33" t="s">
        <v>50</v>
      </c>
      <c r="E627" s="33" t="s">
        <v>902</v>
      </c>
      <c r="F627" s="35">
        <v>1</v>
      </c>
      <c r="G627" s="40">
        <v>0</v>
      </c>
      <c r="H627" s="40">
        <v>0</v>
      </c>
      <c r="I627" s="40">
        <v>0</v>
      </c>
      <c r="J627" s="40">
        <v>0</v>
      </c>
      <c r="K627" s="40">
        <v>0</v>
      </c>
      <c r="L627" s="40">
        <v>0</v>
      </c>
      <c r="M627" s="40">
        <f t="shared" si="19"/>
        <v>0</v>
      </c>
      <c r="N627" s="40">
        <f t="shared" si="20"/>
        <v>0</v>
      </c>
    </row>
    <row r="628" spans="1:14" x14ac:dyDescent="0.35">
      <c r="A628" s="33">
        <v>625</v>
      </c>
      <c r="B628" s="34" t="s">
        <v>903</v>
      </c>
      <c r="C628" s="33" t="s">
        <v>297</v>
      </c>
      <c r="D628" s="33" t="s">
        <v>50</v>
      </c>
      <c r="E628" s="33" t="s">
        <v>902</v>
      </c>
      <c r="F628" s="35">
        <v>1</v>
      </c>
      <c r="G628" s="40">
        <v>0</v>
      </c>
      <c r="H628" s="40">
        <v>0</v>
      </c>
      <c r="I628" s="40">
        <v>0</v>
      </c>
      <c r="J628" s="40">
        <v>0</v>
      </c>
      <c r="K628" s="40">
        <v>0</v>
      </c>
      <c r="L628" s="40">
        <v>0</v>
      </c>
      <c r="M628" s="40">
        <f t="shared" si="19"/>
        <v>0</v>
      </c>
      <c r="N628" s="40">
        <f t="shared" si="20"/>
        <v>0</v>
      </c>
    </row>
    <row r="629" spans="1:14" x14ac:dyDescent="0.35">
      <c r="A629" s="33">
        <v>626</v>
      </c>
      <c r="B629" s="34" t="s">
        <v>904</v>
      </c>
      <c r="C629" s="33" t="s">
        <v>297</v>
      </c>
      <c r="D629" s="33" t="s">
        <v>50</v>
      </c>
      <c r="E629" s="33" t="s">
        <v>902</v>
      </c>
      <c r="F629" s="35">
        <v>1</v>
      </c>
      <c r="G629" s="40">
        <v>0</v>
      </c>
      <c r="H629" s="40">
        <v>0</v>
      </c>
      <c r="I629" s="40">
        <v>0</v>
      </c>
      <c r="J629" s="40">
        <v>0</v>
      </c>
      <c r="K629" s="40">
        <v>0</v>
      </c>
      <c r="L629" s="40">
        <v>0</v>
      </c>
      <c r="M629" s="40">
        <f t="shared" si="19"/>
        <v>0</v>
      </c>
      <c r="N629" s="40">
        <f t="shared" si="20"/>
        <v>0</v>
      </c>
    </row>
    <row r="630" spans="1:14" x14ac:dyDescent="0.35">
      <c r="A630" s="33">
        <v>627</v>
      </c>
      <c r="B630" s="34" t="s">
        <v>1033</v>
      </c>
      <c r="C630" s="33" t="s">
        <v>346</v>
      </c>
      <c r="D630" s="33" t="s">
        <v>50</v>
      </c>
      <c r="E630" s="33" t="s">
        <v>902</v>
      </c>
      <c r="F630" s="35">
        <v>0.3</v>
      </c>
      <c r="G630" s="40">
        <v>0</v>
      </c>
      <c r="H630" s="40">
        <v>0</v>
      </c>
      <c r="I630" s="40">
        <v>0</v>
      </c>
      <c r="J630" s="40">
        <v>0</v>
      </c>
      <c r="K630" s="40">
        <v>0</v>
      </c>
      <c r="L630" s="40">
        <v>0</v>
      </c>
      <c r="M630" s="40">
        <f t="shared" si="19"/>
        <v>0</v>
      </c>
      <c r="N630" s="40">
        <f t="shared" si="20"/>
        <v>0</v>
      </c>
    </row>
    <row r="631" spans="1:14" x14ac:dyDescent="0.35">
      <c r="A631" s="33">
        <v>628</v>
      </c>
      <c r="B631" s="34" t="s">
        <v>1034</v>
      </c>
      <c r="C631" s="33" t="s">
        <v>346</v>
      </c>
      <c r="D631" s="33" t="s">
        <v>50</v>
      </c>
      <c r="E631" s="33" t="s">
        <v>902</v>
      </c>
      <c r="F631" s="35">
        <v>0.6</v>
      </c>
      <c r="G631" s="40">
        <v>0</v>
      </c>
      <c r="H631" s="40">
        <v>0</v>
      </c>
      <c r="I631" s="40">
        <v>0</v>
      </c>
      <c r="J631" s="40">
        <v>0</v>
      </c>
      <c r="K631" s="40">
        <v>0</v>
      </c>
      <c r="L631" s="40">
        <v>0</v>
      </c>
      <c r="M631" s="40">
        <f t="shared" si="19"/>
        <v>0</v>
      </c>
      <c r="N631" s="40">
        <f t="shared" si="20"/>
        <v>0</v>
      </c>
    </row>
    <row r="632" spans="1:14" x14ac:dyDescent="0.35">
      <c r="A632" s="33">
        <v>629</v>
      </c>
      <c r="B632" s="34" t="s">
        <v>1035</v>
      </c>
      <c r="C632" s="33" t="s">
        <v>346</v>
      </c>
      <c r="D632" s="33" t="s">
        <v>50</v>
      </c>
      <c r="E632" s="33" t="s">
        <v>902</v>
      </c>
      <c r="F632" s="35">
        <v>0.4</v>
      </c>
      <c r="G632" s="40">
        <v>0</v>
      </c>
      <c r="H632" s="40">
        <v>0</v>
      </c>
      <c r="I632" s="40">
        <v>0</v>
      </c>
      <c r="J632" s="40">
        <v>0</v>
      </c>
      <c r="K632" s="40">
        <v>0</v>
      </c>
      <c r="L632" s="40">
        <v>0</v>
      </c>
      <c r="M632" s="40">
        <f t="shared" si="19"/>
        <v>0</v>
      </c>
      <c r="N632" s="40">
        <f t="shared" si="20"/>
        <v>0</v>
      </c>
    </row>
    <row r="633" spans="1:14" x14ac:dyDescent="0.35">
      <c r="A633" s="33">
        <v>630</v>
      </c>
      <c r="B633" s="34" t="s">
        <v>1036</v>
      </c>
      <c r="C633" s="33" t="s">
        <v>346</v>
      </c>
      <c r="D633" s="33" t="s">
        <v>50</v>
      </c>
      <c r="E633" s="33" t="s">
        <v>902</v>
      </c>
      <c r="F633" s="35">
        <v>0.5</v>
      </c>
      <c r="G633" s="40">
        <v>0</v>
      </c>
      <c r="H633" s="40">
        <v>0</v>
      </c>
      <c r="I633" s="40">
        <v>0</v>
      </c>
      <c r="J633" s="40">
        <v>0</v>
      </c>
      <c r="K633" s="40">
        <v>0</v>
      </c>
      <c r="L633" s="40">
        <v>0</v>
      </c>
      <c r="M633" s="40">
        <f t="shared" si="19"/>
        <v>0</v>
      </c>
      <c r="N633" s="40">
        <f t="shared" si="20"/>
        <v>0</v>
      </c>
    </row>
    <row r="634" spans="1:14" x14ac:dyDescent="0.35">
      <c r="A634" s="33">
        <v>631</v>
      </c>
      <c r="B634" s="34" t="s">
        <v>1037</v>
      </c>
      <c r="C634" s="33" t="s">
        <v>346</v>
      </c>
      <c r="D634" s="33" t="s">
        <v>50</v>
      </c>
      <c r="E634" s="33" t="s">
        <v>902</v>
      </c>
      <c r="F634" s="35">
        <v>0.5</v>
      </c>
      <c r="G634" s="40">
        <v>0</v>
      </c>
      <c r="H634" s="40">
        <v>0</v>
      </c>
      <c r="I634" s="40">
        <v>0</v>
      </c>
      <c r="J634" s="40">
        <v>0</v>
      </c>
      <c r="K634" s="40">
        <v>0</v>
      </c>
      <c r="L634" s="40">
        <v>0</v>
      </c>
      <c r="M634" s="40">
        <f t="shared" si="19"/>
        <v>0</v>
      </c>
      <c r="N634" s="40">
        <f t="shared" si="20"/>
        <v>0</v>
      </c>
    </row>
    <row r="635" spans="1:14" x14ac:dyDescent="0.35">
      <c r="A635" s="33">
        <v>632</v>
      </c>
      <c r="B635" s="34" t="s">
        <v>2312</v>
      </c>
      <c r="C635" s="33" t="s">
        <v>346</v>
      </c>
      <c r="D635" s="33" t="s">
        <v>50</v>
      </c>
      <c r="E635" s="33" t="s">
        <v>902</v>
      </c>
      <c r="F635" s="35">
        <v>3.5000000000000003E-2</v>
      </c>
      <c r="G635" s="40">
        <v>0</v>
      </c>
      <c r="H635" s="40">
        <v>0</v>
      </c>
      <c r="I635" s="40">
        <v>0</v>
      </c>
      <c r="J635" s="40">
        <v>0</v>
      </c>
      <c r="K635" s="40">
        <v>0</v>
      </c>
      <c r="L635" s="40">
        <v>0</v>
      </c>
      <c r="M635" s="40">
        <f t="shared" si="19"/>
        <v>0</v>
      </c>
      <c r="N635" s="40">
        <f t="shared" si="20"/>
        <v>0</v>
      </c>
    </row>
    <row r="636" spans="1:14" x14ac:dyDescent="0.35">
      <c r="A636" s="33">
        <v>633</v>
      </c>
      <c r="B636" s="34" t="s">
        <v>1038</v>
      </c>
      <c r="C636" s="33" t="s">
        <v>346</v>
      </c>
      <c r="D636" s="33" t="s">
        <v>50</v>
      </c>
      <c r="E636" s="33" t="s">
        <v>902</v>
      </c>
      <c r="F636" s="35">
        <v>1</v>
      </c>
      <c r="G636" s="40">
        <v>0</v>
      </c>
      <c r="H636" s="40">
        <v>0</v>
      </c>
      <c r="I636" s="40">
        <v>0</v>
      </c>
      <c r="J636" s="40">
        <v>0</v>
      </c>
      <c r="K636" s="40">
        <v>0</v>
      </c>
      <c r="L636" s="40">
        <v>0</v>
      </c>
      <c r="M636" s="40">
        <f t="shared" si="19"/>
        <v>0</v>
      </c>
      <c r="N636" s="40">
        <f t="shared" si="20"/>
        <v>0</v>
      </c>
    </row>
    <row r="637" spans="1:14" x14ac:dyDescent="0.35">
      <c r="A637" s="33">
        <v>634</v>
      </c>
      <c r="B637" s="34" t="s">
        <v>1039</v>
      </c>
      <c r="C637" s="33" t="s">
        <v>346</v>
      </c>
      <c r="D637" s="33" t="s">
        <v>50</v>
      </c>
      <c r="E637" s="33" t="s">
        <v>902</v>
      </c>
      <c r="F637" s="35">
        <v>0.4</v>
      </c>
      <c r="G637" s="40">
        <v>0</v>
      </c>
      <c r="H637" s="40">
        <v>0</v>
      </c>
      <c r="I637" s="40">
        <v>0</v>
      </c>
      <c r="J637" s="40">
        <v>0</v>
      </c>
      <c r="K637" s="40">
        <v>0</v>
      </c>
      <c r="L637" s="40">
        <v>0</v>
      </c>
      <c r="M637" s="40">
        <f t="shared" si="19"/>
        <v>0</v>
      </c>
      <c r="N637" s="40">
        <f t="shared" si="20"/>
        <v>0</v>
      </c>
    </row>
    <row r="638" spans="1:14" x14ac:dyDescent="0.35">
      <c r="A638" s="33">
        <v>635</v>
      </c>
      <c r="B638" s="34" t="s">
        <v>1040</v>
      </c>
      <c r="C638" s="33" t="s">
        <v>346</v>
      </c>
      <c r="D638" s="33" t="s">
        <v>50</v>
      </c>
      <c r="E638" s="33" t="s">
        <v>902</v>
      </c>
      <c r="F638" s="35">
        <v>0.5</v>
      </c>
      <c r="G638" s="40">
        <v>0</v>
      </c>
      <c r="H638" s="40">
        <v>0</v>
      </c>
      <c r="I638" s="40">
        <v>0</v>
      </c>
      <c r="J638" s="40">
        <v>0</v>
      </c>
      <c r="K638" s="40">
        <v>0</v>
      </c>
      <c r="L638" s="40">
        <v>0</v>
      </c>
      <c r="M638" s="40">
        <f t="shared" si="19"/>
        <v>0</v>
      </c>
      <c r="N638" s="40">
        <f t="shared" si="20"/>
        <v>0</v>
      </c>
    </row>
    <row r="639" spans="1:14" x14ac:dyDescent="0.35">
      <c r="A639" s="33">
        <v>636</v>
      </c>
      <c r="B639" s="34" t="s">
        <v>1041</v>
      </c>
      <c r="C639" s="33" t="s">
        <v>346</v>
      </c>
      <c r="D639" s="33" t="s">
        <v>50</v>
      </c>
      <c r="E639" s="33" t="s">
        <v>902</v>
      </c>
      <c r="F639" s="35">
        <v>0.5</v>
      </c>
      <c r="G639" s="40">
        <v>0</v>
      </c>
      <c r="H639" s="40">
        <v>0</v>
      </c>
      <c r="I639" s="40">
        <v>0</v>
      </c>
      <c r="J639" s="40">
        <v>0</v>
      </c>
      <c r="K639" s="40">
        <v>0</v>
      </c>
      <c r="L639" s="40">
        <v>0</v>
      </c>
      <c r="M639" s="40">
        <f t="shared" si="19"/>
        <v>0</v>
      </c>
      <c r="N639" s="40">
        <f t="shared" si="20"/>
        <v>0</v>
      </c>
    </row>
    <row r="640" spans="1:14" x14ac:dyDescent="0.35">
      <c r="A640" s="33">
        <v>637</v>
      </c>
      <c r="B640" s="34" t="s">
        <v>1042</v>
      </c>
      <c r="C640" s="33" t="s">
        <v>346</v>
      </c>
      <c r="D640" s="33" t="s">
        <v>50</v>
      </c>
      <c r="E640" s="33" t="s">
        <v>902</v>
      </c>
      <c r="F640" s="35">
        <v>0.2</v>
      </c>
      <c r="G640" s="40">
        <v>0</v>
      </c>
      <c r="H640" s="40">
        <v>0</v>
      </c>
      <c r="I640" s="40">
        <v>0</v>
      </c>
      <c r="J640" s="40">
        <v>0</v>
      </c>
      <c r="K640" s="40">
        <v>0</v>
      </c>
      <c r="L640" s="40">
        <v>0</v>
      </c>
      <c r="M640" s="40">
        <f t="shared" si="19"/>
        <v>0</v>
      </c>
      <c r="N640" s="40">
        <f t="shared" si="20"/>
        <v>0</v>
      </c>
    </row>
    <row r="641" spans="1:14" x14ac:dyDescent="0.35">
      <c r="A641" s="33">
        <v>638</v>
      </c>
      <c r="B641" s="34" t="s">
        <v>1043</v>
      </c>
      <c r="C641" s="33" t="s">
        <v>346</v>
      </c>
      <c r="D641" s="33" t="s">
        <v>50</v>
      </c>
      <c r="E641" s="33" t="s">
        <v>902</v>
      </c>
      <c r="F641" s="35">
        <v>7.2</v>
      </c>
      <c r="G641" s="40">
        <v>0</v>
      </c>
      <c r="H641" s="40">
        <v>0</v>
      </c>
      <c r="I641" s="40">
        <v>0</v>
      </c>
      <c r="J641" s="40">
        <v>0</v>
      </c>
      <c r="K641" s="40">
        <v>0</v>
      </c>
      <c r="L641" s="40">
        <v>0</v>
      </c>
      <c r="M641" s="40">
        <f t="shared" si="19"/>
        <v>0</v>
      </c>
      <c r="N641" s="40">
        <f t="shared" si="20"/>
        <v>0</v>
      </c>
    </row>
    <row r="642" spans="1:14" x14ac:dyDescent="0.35">
      <c r="A642" s="33">
        <v>639</v>
      </c>
      <c r="B642" s="34" t="s">
        <v>1044</v>
      </c>
      <c r="C642" s="33" t="s">
        <v>346</v>
      </c>
      <c r="D642" s="33" t="s">
        <v>50</v>
      </c>
      <c r="E642" s="33" t="s">
        <v>902</v>
      </c>
      <c r="F642" s="35">
        <v>7.2</v>
      </c>
      <c r="G642" s="40">
        <v>0</v>
      </c>
      <c r="H642" s="40">
        <v>0</v>
      </c>
      <c r="I642" s="40">
        <v>0</v>
      </c>
      <c r="J642" s="40">
        <v>0</v>
      </c>
      <c r="K642" s="40">
        <v>0</v>
      </c>
      <c r="L642" s="40">
        <v>0</v>
      </c>
      <c r="M642" s="40">
        <f t="shared" si="19"/>
        <v>0</v>
      </c>
      <c r="N642" s="40">
        <f t="shared" si="20"/>
        <v>0</v>
      </c>
    </row>
    <row r="643" spans="1:14" x14ac:dyDescent="0.35">
      <c r="A643" s="33">
        <v>640</v>
      </c>
      <c r="B643" s="34" t="s">
        <v>1045</v>
      </c>
      <c r="C643" s="33" t="s">
        <v>346</v>
      </c>
      <c r="D643" s="33" t="s">
        <v>50</v>
      </c>
      <c r="E643" s="33" t="s">
        <v>902</v>
      </c>
      <c r="F643" s="35">
        <v>0.5</v>
      </c>
      <c r="G643" s="40">
        <v>0</v>
      </c>
      <c r="H643" s="40">
        <v>0</v>
      </c>
      <c r="I643" s="40">
        <v>0</v>
      </c>
      <c r="J643" s="40">
        <v>0</v>
      </c>
      <c r="K643" s="40">
        <v>0</v>
      </c>
      <c r="L643" s="40">
        <v>0</v>
      </c>
      <c r="M643" s="40">
        <f t="shared" si="19"/>
        <v>0</v>
      </c>
      <c r="N643" s="40">
        <f t="shared" si="20"/>
        <v>0</v>
      </c>
    </row>
    <row r="644" spans="1:14" x14ac:dyDescent="0.35">
      <c r="A644" s="33">
        <v>641</v>
      </c>
      <c r="B644" s="34" t="s">
        <v>1046</v>
      </c>
      <c r="C644" s="33" t="s">
        <v>346</v>
      </c>
      <c r="D644" s="33" t="s">
        <v>50</v>
      </c>
      <c r="E644" s="33" t="s">
        <v>902</v>
      </c>
      <c r="F644" s="35">
        <v>12</v>
      </c>
      <c r="G644" s="40">
        <v>0</v>
      </c>
      <c r="H644" s="40">
        <v>0</v>
      </c>
      <c r="I644" s="40">
        <v>0</v>
      </c>
      <c r="J644" s="40">
        <v>0</v>
      </c>
      <c r="K644" s="40">
        <v>0</v>
      </c>
      <c r="L644" s="40">
        <v>0</v>
      </c>
      <c r="M644" s="40">
        <f t="shared" si="19"/>
        <v>0</v>
      </c>
      <c r="N644" s="40">
        <f t="shared" si="20"/>
        <v>0</v>
      </c>
    </row>
    <row r="645" spans="1:14" x14ac:dyDescent="0.35">
      <c r="A645" s="33">
        <v>642</v>
      </c>
      <c r="B645" s="34" t="s">
        <v>1047</v>
      </c>
      <c r="C645" s="33" t="s">
        <v>346</v>
      </c>
      <c r="D645" s="33" t="s">
        <v>50</v>
      </c>
      <c r="E645" s="33" t="s">
        <v>902</v>
      </c>
      <c r="F645" s="35">
        <v>12</v>
      </c>
      <c r="G645" s="40">
        <v>0</v>
      </c>
      <c r="H645" s="40">
        <v>0</v>
      </c>
      <c r="I645" s="40">
        <v>0</v>
      </c>
      <c r="J645" s="40">
        <v>0</v>
      </c>
      <c r="K645" s="40">
        <v>0</v>
      </c>
      <c r="L645" s="40">
        <v>0</v>
      </c>
      <c r="M645" s="40">
        <f t="shared" ref="M645:M708" si="21">G645+I645+K645</f>
        <v>0</v>
      </c>
      <c r="N645" s="40">
        <f t="shared" ref="N645:N708" si="22">H645+J645+L645</f>
        <v>0</v>
      </c>
    </row>
    <row r="646" spans="1:14" x14ac:dyDescent="0.35">
      <c r="A646" s="33">
        <v>643</v>
      </c>
      <c r="B646" s="34" t="s">
        <v>1048</v>
      </c>
      <c r="C646" s="33" t="s">
        <v>346</v>
      </c>
      <c r="D646" s="33" t="s">
        <v>50</v>
      </c>
      <c r="E646" s="33" t="s">
        <v>902</v>
      </c>
      <c r="F646" s="35">
        <v>0.2</v>
      </c>
      <c r="G646" s="40">
        <v>0</v>
      </c>
      <c r="H646" s="40">
        <v>0</v>
      </c>
      <c r="I646" s="40">
        <v>0</v>
      </c>
      <c r="J646" s="40">
        <v>0</v>
      </c>
      <c r="K646" s="40">
        <v>0</v>
      </c>
      <c r="L646" s="40">
        <v>0</v>
      </c>
      <c r="M646" s="40">
        <f t="shared" si="21"/>
        <v>0</v>
      </c>
      <c r="N646" s="40">
        <f t="shared" si="22"/>
        <v>0</v>
      </c>
    </row>
    <row r="647" spans="1:14" x14ac:dyDescent="0.35">
      <c r="A647" s="33">
        <v>644</v>
      </c>
      <c r="B647" s="34" t="s">
        <v>1049</v>
      </c>
      <c r="C647" s="33" t="s">
        <v>346</v>
      </c>
      <c r="D647" s="33" t="s">
        <v>50</v>
      </c>
      <c r="E647" s="33" t="s">
        <v>902</v>
      </c>
      <c r="F647" s="35">
        <v>0.25</v>
      </c>
      <c r="G647" s="40">
        <v>0</v>
      </c>
      <c r="H647" s="40">
        <v>0</v>
      </c>
      <c r="I647" s="40">
        <v>0</v>
      </c>
      <c r="J647" s="40">
        <v>0</v>
      </c>
      <c r="K647" s="40">
        <v>0</v>
      </c>
      <c r="L647" s="40">
        <v>0</v>
      </c>
      <c r="M647" s="40">
        <f t="shared" si="21"/>
        <v>0</v>
      </c>
      <c r="N647" s="40">
        <f t="shared" si="22"/>
        <v>0</v>
      </c>
    </row>
    <row r="648" spans="1:14" x14ac:dyDescent="0.35">
      <c r="A648" s="33">
        <v>645</v>
      </c>
      <c r="B648" s="34" t="s">
        <v>1050</v>
      </c>
      <c r="C648" s="33" t="s">
        <v>346</v>
      </c>
      <c r="D648" s="33" t="s">
        <v>50</v>
      </c>
      <c r="E648" s="33" t="s">
        <v>902</v>
      </c>
      <c r="F648" s="35">
        <v>0.3</v>
      </c>
      <c r="G648" s="40">
        <v>0</v>
      </c>
      <c r="H648" s="40">
        <v>0</v>
      </c>
      <c r="I648" s="40">
        <v>0</v>
      </c>
      <c r="J648" s="40">
        <v>0</v>
      </c>
      <c r="K648" s="40">
        <v>0</v>
      </c>
      <c r="L648" s="40">
        <v>0</v>
      </c>
      <c r="M648" s="40">
        <f t="shared" si="21"/>
        <v>0</v>
      </c>
      <c r="N648" s="40">
        <f t="shared" si="22"/>
        <v>0</v>
      </c>
    </row>
    <row r="649" spans="1:14" x14ac:dyDescent="0.35">
      <c r="A649" s="33">
        <v>646</v>
      </c>
      <c r="B649" s="34" t="s">
        <v>1051</v>
      </c>
      <c r="C649" s="33" t="s">
        <v>346</v>
      </c>
      <c r="D649" s="33" t="s">
        <v>50</v>
      </c>
      <c r="E649" s="33" t="s">
        <v>902</v>
      </c>
      <c r="F649" s="35">
        <v>0.5</v>
      </c>
      <c r="G649" s="40">
        <v>0</v>
      </c>
      <c r="H649" s="40">
        <v>0</v>
      </c>
      <c r="I649" s="40">
        <v>0</v>
      </c>
      <c r="J649" s="40">
        <v>0</v>
      </c>
      <c r="K649" s="40">
        <v>0</v>
      </c>
      <c r="L649" s="40">
        <v>0</v>
      </c>
      <c r="M649" s="40">
        <f t="shared" si="21"/>
        <v>0</v>
      </c>
      <c r="N649" s="40">
        <f t="shared" si="22"/>
        <v>0</v>
      </c>
    </row>
    <row r="650" spans="1:14" x14ac:dyDescent="0.35">
      <c r="A650" s="33">
        <v>647</v>
      </c>
      <c r="B650" s="34" t="s">
        <v>1052</v>
      </c>
      <c r="C650" s="33" t="s">
        <v>346</v>
      </c>
      <c r="D650" s="33" t="s">
        <v>50</v>
      </c>
      <c r="E650" s="33" t="s">
        <v>902</v>
      </c>
      <c r="F650" s="35">
        <v>0.48</v>
      </c>
      <c r="G650" s="40">
        <v>0</v>
      </c>
      <c r="H650" s="40">
        <v>0</v>
      </c>
      <c r="I650" s="40">
        <v>0</v>
      </c>
      <c r="J650" s="40">
        <v>0</v>
      </c>
      <c r="K650" s="40">
        <v>0</v>
      </c>
      <c r="L650" s="40">
        <v>0</v>
      </c>
      <c r="M650" s="40">
        <f t="shared" si="21"/>
        <v>0</v>
      </c>
      <c r="N650" s="40">
        <f t="shared" si="22"/>
        <v>0</v>
      </c>
    </row>
    <row r="651" spans="1:14" x14ac:dyDescent="0.35">
      <c r="A651" s="33">
        <v>648</v>
      </c>
      <c r="B651" s="34" t="s">
        <v>1053</v>
      </c>
      <c r="C651" s="33" t="s">
        <v>346</v>
      </c>
      <c r="D651" s="33" t="s">
        <v>50</v>
      </c>
      <c r="E651" s="33" t="s">
        <v>902</v>
      </c>
      <c r="F651" s="35">
        <v>1</v>
      </c>
      <c r="G651" s="40">
        <v>0</v>
      </c>
      <c r="H651" s="40">
        <v>0</v>
      </c>
      <c r="I651" s="40">
        <v>0</v>
      </c>
      <c r="J651" s="40">
        <v>0</v>
      </c>
      <c r="K651" s="40">
        <v>0</v>
      </c>
      <c r="L651" s="40">
        <v>0</v>
      </c>
      <c r="M651" s="40">
        <f t="shared" si="21"/>
        <v>0</v>
      </c>
      <c r="N651" s="40">
        <f t="shared" si="22"/>
        <v>0</v>
      </c>
    </row>
    <row r="652" spans="1:14" x14ac:dyDescent="0.35">
      <c r="A652" s="33">
        <v>649</v>
      </c>
      <c r="B652" s="34" t="s">
        <v>905</v>
      </c>
      <c r="C652" s="33" t="s">
        <v>297</v>
      </c>
      <c r="D652" s="33" t="s">
        <v>50</v>
      </c>
      <c r="E652" s="33" t="s">
        <v>906</v>
      </c>
      <c r="F652" s="35">
        <v>1</v>
      </c>
      <c r="G652" s="40">
        <v>0</v>
      </c>
      <c r="H652" s="40">
        <v>0</v>
      </c>
      <c r="I652" s="40">
        <v>0</v>
      </c>
      <c r="J652" s="40">
        <v>0</v>
      </c>
      <c r="K652" s="40">
        <v>0</v>
      </c>
      <c r="L652" s="40">
        <v>0</v>
      </c>
      <c r="M652" s="40">
        <f t="shared" si="21"/>
        <v>0</v>
      </c>
      <c r="N652" s="40">
        <f t="shared" si="22"/>
        <v>0</v>
      </c>
    </row>
    <row r="653" spans="1:14" x14ac:dyDescent="0.35">
      <c r="A653" s="33">
        <v>650</v>
      </c>
      <c r="B653" s="34" t="s">
        <v>907</v>
      </c>
      <c r="C653" s="33" t="s">
        <v>297</v>
      </c>
      <c r="D653" s="33" t="s">
        <v>50</v>
      </c>
      <c r="E653" s="33" t="s">
        <v>906</v>
      </c>
      <c r="F653" s="35">
        <v>1</v>
      </c>
      <c r="G653" s="40">
        <v>0</v>
      </c>
      <c r="H653" s="40">
        <v>0</v>
      </c>
      <c r="I653" s="40">
        <v>0</v>
      </c>
      <c r="J653" s="40">
        <v>0</v>
      </c>
      <c r="K653" s="40">
        <v>0</v>
      </c>
      <c r="L653" s="40">
        <v>0</v>
      </c>
      <c r="M653" s="40">
        <f t="shared" si="21"/>
        <v>0</v>
      </c>
      <c r="N653" s="40">
        <f t="shared" si="22"/>
        <v>0</v>
      </c>
    </row>
    <row r="654" spans="1:14" x14ac:dyDescent="0.35">
      <c r="A654" s="33">
        <v>651</v>
      </c>
      <c r="B654" s="34" t="s">
        <v>2313</v>
      </c>
      <c r="C654" s="33" t="s">
        <v>346</v>
      </c>
      <c r="D654" s="33" t="s">
        <v>50</v>
      </c>
      <c r="E654" s="33" t="s">
        <v>906</v>
      </c>
      <c r="F654" s="35">
        <v>3.5000000000000003E-2</v>
      </c>
      <c r="G654" s="40">
        <v>0</v>
      </c>
      <c r="H654" s="40">
        <v>0</v>
      </c>
      <c r="I654" s="40">
        <v>0</v>
      </c>
      <c r="J654" s="40">
        <v>0</v>
      </c>
      <c r="K654" s="40">
        <v>0</v>
      </c>
      <c r="L654" s="40">
        <v>0</v>
      </c>
      <c r="M654" s="40">
        <f t="shared" si="21"/>
        <v>0</v>
      </c>
      <c r="N654" s="40">
        <f t="shared" si="22"/>
        <v>0</v>
      </c>
    </row>
    <row r="655" spans="1:14" x14ac:dyDescent="0.35">
      <c r="A655" s="33">
        <v>652</v>
      </c>
      <c r="B655" s="34" t="s">
        <v>1054</v>
      </c>
      <c r="C655" s="33" t="s">
        <v>346</v>
      </c>
      <c r="D655" s="33" t="s">
        <v>50</v>
      </c>
      <c r="E655" s="33" t="s">
        <v>906</v>
      </c>
      <c r="F655" s="35">
        <v>0.5</v>
      </c>
      <c r="G655" s="40">
        <v>0</v>
      </c>
      <c r="H655" s="40">
        <v>0</v>
      </c>
      <c r="I655" s="40">
        <v>0</v>
      </c>
      <c r="J655" s="40">
        <v>0</v>
      </c>
      <c r="K655" s="40">
        <v>0</v>
      </c>
      <c r="L655" s="40">
        <v>0</v>
      </c>
      <c r="M655" s="40">
        <f t="shared" si="21"/>
        <v>0</v>
      </c>
      <c r="N655" s="40">
        <f t="shared" si="22"/>
        <v>0</v>
      </c>
    </row>
    <row r="656" spans="1:14" x14ac:dyDescent="0.35">
      <c r="A656" s="33">
        <v>653</v>
      </c>
      <c r="B656" s="34" t="s">
        <v>1055</v>
      </c>
      <c r="C656" s="33" t="s">
        <v>346</v>
      </c>
      <c r="D656" s="33" t="s">
        <v>50</v>
      </c>
      <c r="E656" s="33" t="s">
        <v>906</v>
      </c>
      <c r="F656" s="35">
        <v>0.4</v>
      </c>
      <c r="G656" s="40">
        <v>0</v>
      </c>
      <c r="H656" s="40">
        <v>0</v>
      </c>
      <c r="I656" s="40">
        <v>0</v>
      </c>
      <c r="J656" s="40">
        <v>0</v>
      </c>
      <c r="K656" s="40">
        <v>0</v>
      </c>
      <c r="L656" s="40">
        <v>0</v>
      </c>
      <c r="M656" s="40">
        <f t="shared" si="21"/>
        <v>0</v>
      </c>
      <c r="N656" s="40">
        <f t="shared" si="22"/>
        <v>0</v>
      </c>
    </row>
    <row r="657" spans="1:14" x14ac:dyDescent="0.35">
      <c r="A657" s="33">
        <v>654</v>
      </c>
      <c r="B657" s="34" t="s">
        <v>1056</v>
      </c>
      <c r="C657" s="33" t="s">
        <v>346</v>
      </c>
      <c r="D657" s="33" t="s">
        <v>50</v>
      </c>
      <c r="E657" s="33" t="s">
        <v>906</v>
      </c>
      <c r="F657" s="35">
        <v>0.5</v>
      </c>
      <c r="G657" s="40">
        <v>0</v>
      </c>
      <c r="H657" s="40">
        <v>0</v>
      </c>
      <c r="I657" s="40">
        <v>0</v>
      </c>
      <c r="J657" s="40">
        <v>0</v>
      </c>
      <c r="K657" s="40">
        <v>0</v>
      </c>
      <c r="L657" s="40">
        <v>0</v>
      </c>
      <c r="M657" s="40">
        <f t="shared" si="21"/>
        <v>0</v>
      </c>
      <c r="N657" s="40">
        <f t="shared" si="22"/>
        <v>0</v>
      </c>
    </row>
    <row r="658" spans="1:14" x14ac:dyDescent="0.35">
      <c r="A658" s="33">
        <v>655</v>
      </c>
      <c r="B658" s="34" t="s">
        <v>908</v>
      </c>
      <c r="C658" s="33" t="s">
        <v>297</v>
      </c>
      <c r="D658" s="33" t="s">
        <v>50</v>
      </c>
      <c r="E658" s="33" t="s">
        <v>909</v>
      </c>
      <c r="F658" s="35">
        <v>1</v>
      </c>
      <c r="G658" s="40">
        <v>0</v>
      </c>
      <c r="H658" s="40">
        <v>0</v>
      </c>
      <c r="I658" s="40">
        <v>0</v>
      </c>
      <c r="J658" s="40">
        <v>0</v>
      </c>
      <c r="K658" s="40">
        <v>0</v>
      </c>
      <c r="L658" s="40">
        <v>0</v>
      </c>
      <c r="M658" s="40">
        <f t="shared" si="21"/>
        <v>0</v>
      </c>
      <c r="N658" s="40">
        <f t="shared" si="22"/>
        <v>0</v>
      </c>
    </row>
    <row r="659" spans="1:14" x14ac:dyDescent="0.35">
      <c r="A659" s="33">
        <v>656</v>
      </c>
      <c r="B659" s="34" t="s">
        <v>910</v>
      </c>
      <c r="C659" s="33" t="s">
        <v>297</v>
      </c>
      <c r="D659" s="33" t="s">
        <v>50</v>
      </c>
      <c r="E659" s="33" t="s">
        <v>909</v>
      </c>
      <c r="F659" s="35">
        <v>1</v>
      </c>
      <c r="G659" s="40">
        <v>0</v>
      </c>
      <c r="H659" s="40">
        <v>0</v>
      </c>
      <c r="I659" s="40">
        <v>0</v>
      </c>
      <c r="J659" s="40">
        <v>0</v>
      </c>
      <c r="K659" s="40">
        <v>0</v>
      </c>
      <c r="L659" s="40">
        <v>0</v>
      </c>
      <c r="M659" s="40">
        <f t="shared" si="21"/>
        <v>0</v>
      </c>
      <c r="N659" s="40">
        <f t="shared" si="22"/>
        <v>0</v>
      </c>
    </row>
    <row r="660" spans="1:14" x14ac:dyDescent="0.35">
      <c r="A660" s="33">
        <v>657</v>
      </c>
      <c r="B660" s="34" t="s">
        <v>911</v>
      </c>
      <c r="C660" s="33" t="s">
        <v>297</v>
      </c>
      <c r="D660" s="33" t="s">
        <v>50</v>
      </c>
      <c r="E660" s="33" t="s">
        <v>909</v>
      </c>
      <c r="F660" s="35">
        <v>1</v>
      </c>
      <c r="G660" s="40">
        <v>0</v>
      </c>
      <c r="H660" s="40">
        <v>0</v>
      </c>
      <c r="I660" s="40">
        <v>0</v>
      </c>
      <c r="J660" s="40">
        <v>0</v>
      </c>
      <c r="K660" s="40">
        <v>0</v>
      </c>
      <c r="L660" s="40">
        <v>0</v>
      </c>
      <c r="M660" s="40">
        <f t="shared" si="21"/>
        <v>0</v>
      </c>
      <c r="N660" s="40">
        <f t="shared" si="22"/>
        <v>0</v>
      </c>
    </row>
    <row r="661" spans="1:14" x14ac:dyDescent="0.35">
      <c r="A661" s="33">
        <v>658</v>
      </c>
      <c r="B661" s="34" t="s">
        <v>912</v>
      </c>
      <c r="C661" s="33" t="s">
        <v>297</v>
      </c>
      <c r="D661" s="33" t="s">
        <v>50</v>
      </c>
      <c r="E661" s="33" t="s">
        <v>913</v>
      </c>
      <c r="F661" s="35">
        <v>1</v>
      </c>
      <c r="G661" s="40">
        <v>0</v>
      </c>
      <c r="H661" s="40">
        <v>0</v>
      </c>
      <c r="I661" s="40">
        <v>0</v>
      </c>
      <c r="J661" s="40">
        <v>0</v>
      </c>
      <c r="K661" s="40">
        <v>0</v>
      </c>
      <c r="L661" s="40">
        <v>0</v>
      </c>
      <c r="M661" s="40">
        <f t="shared" si="21"/>
        <v>0</v>
      </c>
      <c r="N661" s="40">
        <f t="shared" si="22"/>
        <v>0</v>
      </c>
    </row>
    <row r="662" spans="1:14" x14ac:dyDescent="0.35">
      <c r="A662" s="33">
        <v>659</v>
      </c>
      <c r="B662" s="34" t="s">
        <v>914</v>
      </c>
      <c r="C662" s="33" t="s">
        <v>297</v>
      </c>
      <c r="D662" s="33" t="s">
        <v>50</v>
      </c>
      <c r="E662" s="33" t="s">
        <v>913</v>
      </c>
      <c r="F662" s="35">
        <v>1</v>
      </c>
      <c r="G662" s="40">
        <v>0</v>
      </c>
      <c r="H662" s="40">
        <v>0</v>
      </c>
      <c r="I662" s="40">
        <v>0</v>
      </c>
      <c r="J662" s="40">
        <v>0</v>
      </c>
      <c r="K662" s="40">
        <v>0</v>
      </c>
      <c r="L662" s="40">
        <v>0</v>
      </c>
      <c r="M662" s="40">
        <f t="shared" si="21"/>
        <v>0</v>
      </c>
      <c r="N662" s="40">
        <f t="shared" si="22"/>
        <v>0</v>
      </c>
    </row>
    <row r="663" spans="1:14" x14ac:dyDescent="0.35">
      <c r="A663" s="33">
        <v>660</v>
      </c>
      <c r="B663" s="34" t="s">
        <v>915</v>
      </c>
      <c r="C663" s="33" t="s">
        <v>297</v>
      </c>
      <c r="D663" s="33" t="s">
        <v>50</v>
      </c>
      <c r="E663" s="33" t="s">
        <v>913</v>
      </c>
      <c r="F663" s="35">
        <v>1</v>
      </c>
      <c r="G663" s="40">
        <v>0</v>
      </c>
      <c r="H663" s="40">
        <v>0</v>
      </c>
      <c r="I663" s="40">
        <v>0</v>
      </c>
      <c r="J663" s="40">
        <v>0</v>
      </c>
      <c r="K663" s="40">
        <v>0</v>
      </c>
      <c r="L663" s="40">
        <v>0</v>
      </c>
      <c r="M663" s="40">
        <f t="shared" si="21"/>
        <v>0</v>
      </c>
      <c r="N663" s="40">
        <f t="shared" si="22"/>
        <v>0</v>
      </c>
    </row>
    <row r="664" spans="1:14" x14ac:dyDescent="0.35">
      <c r="A664" s="33">
        <v>661</v>
      </c>
      <c r="B664" s="34" t="s">
        <v>916</v>
      </c>
      <c r="C664" s="33" t="s">
        <v>297</v>
      </c>
      <c r="D664" s="33" t="s">
        <v>50</v>
      </c>
      <c r="E664" s="33" t="s">
        <v>913</v>
      </c>
      <c r="F664" s="35">
        <v>1</v>
      </c>
      <c r="G664" s="40">
        <v>0</v>
      </c>
      <c r="H664" s="40">
        <v>0</v>
      </c>
      <c r="I664" s="40">
        <v>0</v>
      </c>
      <c r="J664" s="40">
        <v>0</v>
      </c>
      <c r="K664" s="40">
        <v>0</v>
      </c>
      <c r="L664" s="40">
        <v>0</v>
      </c>
      <c r="M664" s="40">
        <f t="shared" si="21"/>
        <v>0</v>
      </c>
      <c r="N664" s="40">
        <f t="shared" si="22"/>
        <v>0</v>
      </c>
    </row>
    <row r="665" spans="1:14" x14ac:dyDescent="0.35">
      <c r="A665" s="33">
        <v>662</v>
      </c>
      <c r="B665" s="34" t="s">
        <v>1057</v>
      </c>
      <c r="C665" s="33" t="s">
        <v>346</v>
      </c>
      <c r="D665" s="33" t="s">
        <v>50</v>
      </c>
      <c r="E665" s="33" t="s">
        <v>913</v>
      </c>
      <c r="F665" s="35">
        <v>0.5</v>
      </c>
      <c r="G665" s="40">
        <v>0</v>
      </c>
      <c r="H665" s="40">
        <v>0</v>
      </c>
      <c r="I665" s="40">
        <v>0</v>
      </c>
      <c r="J665" s="40">
        <v>0</v>
      </c>
      <c r="K665" s="40">
        <v>0</v>
      </c>
      <c r="L665" s="40">
        <v>0</v>
      </c>
      <c r="M665" s="40">
        <f t="shared" si="21"/>
        <v>0</v>
      </c>
      <c r="N665" s="40">
        <f t="shared" si="22"/>
        <v>0</v>
      </c>
    </row>
    <row r="666" spans="1:14" x14ac:dyDescent="0.35">
      <c r="A666" s="33">
        <v>663</v>
      </c>
      <c r="B666" s="34" t="s">
        <v>1058</v>
      </c>
      <c r="C666" s="33" t="s">
        <v>346</v>
      </c>
      <c r="D666" s="33" t="s">
        <v>50</v>
      </c>
      <c r="E666" s="33" t="s">
        <v>913</v>
      </c>
      <c r="F666" s="35">
        <v>0.25</v>
      </c>
      <c r="G666" s="40">
        <v>0</v>
      </c>
      <c r="H666" s="40">
        <v>0</v>
      </c>
      <c r="I666" s="40">
        <v>0</v>
      </c>
      <c r="J666" s="40">
        <v>0</v>
      </c>
      <c r="K666" s="40">
        <v>0</v>
      </c>
      <c r="L666" s="40">
        <v>0</v>
      </c>
      <c r="M666" s="40">
        <f t="shared" si="21"/>
        <v>0</v>
      </c>
      <c r="N666" s="40">
        <f t="shared" si="22"/>
        <v>0</v>
      </c>
    </row>
    <row r="667" spans="1:14" x14ac:dyDescent="0.35">
      <c r="A667" s="33">
        <v>664</v>
      </c>
      <c r="B667" s="34" t="s">
        <v>1059</v>
      </c>
      <c r="C667" s="33" t="s">
        <v>346</v>
      </c>
      <c r="D667" s="33" t="s">
        <v>50</v>
      </c>
      <c r="E667" s="33" t="s">
        <v>913</v>
      </c>
      <c r="F667" s="35">
        <v>0.5</v>
      </c>
      <c r="G667" s="40">
        <v>0</v>
      </c>
      <c r="H667" s="40">
        <v>0</v>
      </c>
      <c r="I667" s="40">
        <v>0</v>
      </c>
      <c r="J667" s="40">
        <v>0</v>
      </c>
      <c r="K667" s="40">
        <v>0</v>
      </c>
      <c r="L667" s="40">
        <v>0</v>
      </c>
      <c r="M667" s="40">
        <f t="shared" si="21"/>
        <v>0</v>
      </c>
      <c r="N667" s="40">
        <f t="shared" si="22"/>
        <v>0</v>
      </c>
    </row>
    <row r="668" spans="1:14" x14ac:dyDescent="0.35">
      <c r="A668" s="33">
        <v>665</v>
      </c>
      <c r="B668" s="34" t="s">
        <v>1060</v>
      </c>
      <c r="C668" s="33" t="s">
        <v>346</v>
      </c>
      <c r="D668" s="33" t="s">
        <v>50</v>
      </c>
      <c r="E668" s="33" t="s">
        <v>913</v>
      </c>
      <c r="F668" s="35">
        <v>0.5</v>
      </c>
      <c r="G668" s="40">
        <v>0</v>
      </c>
      <c r="H668" s="40">
        <v>0</v>
      </c>
      <c r="I668" s="40">
        <v>0</v>
      </c>
      <c r="J668" s="40">
        <v>0</v>
      </c>
      <c r="K668" s="40">
        <v>0</v>
      </c>
      <c r="L668" s="40">
        <v>0</v>
      </c>
      <c r="M668" s="40">
        <f t="shared" si="21"/>
        <v>0</v>
      </c>
      <c r="N668" s="40">
        <f t="shared" si="22"/>
        <v>0</v>
      </c>
    </row>
    <row r="669" spans="1:14" x14ac:dyDescent="0.35">
      <c r="A669" s="33">
        <v>666</v>
      </c>
      <c r="B669" s="34" t="s">
        <v>2314</v>
      </c>
      <c r="C669" s="33" t="s">
        <v>346</v>
      </c>
      <c r="D669" s="33" t="s">
        <v>50</v>
      </c>
      <c r="E669" s="33" t="s">
        <v>913</v>
      </c>
      <c r="F669" s="35">
        <v>0.5</v>
      </c>
      <c r="G669" s="40">
        <v>0</v>
      </c>
      <c r="H669" s="40">
        <v>0</v>
      </c>
      <c r="I669" s="40">
        <v>0</v>
      </c>
      <c r="J669" s="40">
        <v>0</v>
      </c>
      <c r="K669" s="40">
        <v>0</v>
      </c>
      <c r="L669" s="40">
        <v>0</v>
      </c>
      <c r="M669" s="40">
        <f t="shared" si="21"/>
        <v>0</v>
      </c>
      <c r="N669" s="40">
        <f t="shared" si="22"/>
        <v>0</v>
      </c>
    </row>
    <row r="670" spans="1:14" x14ac:dyDescent="0.35">
      <c r="A670" s="33">
        <v>667</v>
      </c>
      <c r="B670" s="34" t="s">
        <v>1061</v>
      </c>
      <c r="C670" s="33" t="s">
        <v>346</v>
      </c>
      <c r="D670" s="33" t="s">
        <v>50</v>
      </c>
      <c r="E670" s="33" t="s">
        <v>913</v>
      </c>
      <c r="F670" s="35">
        <v>1</v>
      </c>
      <c r="G670" s="40">
        <v>0</v>
      </c>
      <c r="H670" s="40">
        <v>0</v>
      </c>
      <c r="I670" s="40">
        <v>0</v>
      </c>
      <c r="J670" s="40">
        <v>0</v>
      </c>
      <c r="K670" s="40">
        <v>0</v>
      </c>
      <c r="L670" s="40">
        <v>0</v>
      </c>
      <c r="M670" s="40">
        <f t="shared" si="21"/>
        <v>0</v>
      </c>
      <c r="N670" s="40">
        <f t="shared" si="22"/>
        <v>0</v>
      </c>
    </row>
    <row r="671" spans="1:14" x14ac:dyDescent="0.35">
      <c r="A671" s="33">
        <v>668</v>
      </c>
      <c r="B671" s="34" t="s">
        <v>1062</v>
      </c>
      <c r="C671" s="33" t="s">
        <v>346</v>
      </c>
      <c r="D671" s="33" t="s">
        <v>50</v>
      </c>
      <c r="E671" s="33" t="s">
        <v>913</v>
      </c>
      <c r="F671" s="35">
        <v>0.35</v>
      </c>
      <c r="G671" s="40">
        <v>0</v>
      </c>
      <c r="H671" s="40">
        <v>0</v>
      </c>
      <c r="I671" s="40">
        <v>0</v>
      </c>
      <c r="J671" s="40">
        <v>0</v>
      </c>
      <c r="K671" s="40">
        <v>0</v>
      </c>
      <c r="L671" s="40">
        <v>0</v>
      </c>
      <c r="M671" s="40">
        <f t="shared" si="21"/>
        <v>0</v>
      </c>
      <c r="N671" s="40">
        <f t="shared" si="22"/>
        <v>0</v>
      </c>
    </row>
    <row r="672" spans="1:14" x14ac:dyDescent="0.35">
      <c r="A672" s="33">
        <v>669</v>
      </c>
      <c r="B672" s="34" t="s">
        <v>917</v>
      </c>
      <c r="C672" s="33" t="s">
        <v>297</v>
      </c>
      <c r="D672" s="33" t="s">
        <v>50</v>
      </c>
      <c r="E672" s="33" t="s">
        <v>918</v>
      </c>
      <c r="F672" s="35">
        <v>1</v>
      </c>
      <c r="G672" s="40">
        <v>0</v>
      </c>
      <c r="H672" s="40">
        <v>0</v>
      </c>
      <c r="I672" s="40">
        <v>0</v>
      </c>
      <c r="J672" s="40">
        <v>0</v>
      </c>
      <c r="K672" s="40">
        <v>0</v>
      </c>
      <c r="L672" s="40">
        <v>0</v>
      </c>
      <c r="M672" s="40">
        <f t="shared" si="21"/>
        <v>0</v>
      </c>
      <c r="N672" s="40">
        <f t="shared" si="22"/>
        <v>0</v>
      </c>
    </row>
    <row r="673" spans="1:14" x14ac:dyDescent="0.35">
      <c r="A673" s="33">
        <v>670</v>
      </c>
      <c r="B673" s="34" t="s">
        <v>1063</v>
      </c>
      <c r="C673" s="33" t="s">
        <v>346</v>
      </c>
      <c r="D673" s="33" t="s">
        <v>50</v>
      </c>
      <c r="E673" s="33" t="s">
        <v>918</v>
      </c>
      <c r="F673" s="35">
        <v>0.5</v>
      </c>
      <c r="G673" s="40">
        <v>0</v>
      </c>
      <c r="H673" s="40">
        <v>0</v>
      </c>
      <c r="I673" s="40">
        <v>0</v>
      </c>
      <c r="J673" s="40">
        <v>0</v>
      </c>
      <c r="K673" s="40">
        <v>0</v>
      </c>
      <c r="L673" s="40">
        <v>0</v>
      </c>
      <c r="M673" s="40">
        <f t="shared" si="21"/>
        <v>0</v>
      </c>
      <c r="N673" s="40">
        <f t="shared" si="22"/>
        <v>0</v>
      </c>
    </row>
    <row r="674" spans="1:14" x14ac:dyDescent="0.35">
      <c r="A674" s="33">
        <v>671</v>
      </c>
      <c r="B674" s="34" t="s">
        <v>919</v>
      </c>
      <c r="C674" s="33" t="s">
        <v>297</v>
      </c>
      <c r="D674" s="33" t="s">
        <v>50</v>
      </c>
      <c r="E674" s="33" t="s">
        <v>920</v>
      </c>
      <c r="F674" s="35">
        <v>1</v>
      </c>
      <c r="G674" s="40">
        <v>0</v>
      </c>
      <c r="H674" s="40">
        <v>0</v>
      </c>
      <c r="I674" s="40">
        <v>0</v>
      </c>
      <c r="J674" s="40">
        <v>0</v>
      </c>
      <c r="K674" s="40">
        <v>0</v>
      </c>
      <c r="L674" s="40">
        <v>0</v>
      </c>
      <c r="M674" s="40">
        <f t="shared" si="21"/>
        <v>0</v>
      </c>
      <c r="N674" s="40">
        <f t="shared" si="22"/>
        <v>0</v>
      </c>
    </row>
    <row r="675" spans="1:14" x14ac:dyDescent="0.35">
      <c r="A675" s="33">
        <v>672</v>
      </c>
      <c r="B675" s="34" t="s">
        <v>1064</v>
      </c>
      <c r="C675" s="33" t="s">
        <v>346</v>
      </c>
      <c r="D675" s="33" t="s">
        <v>50</v>
      </c>
      <c r="E675" s="33" t="s">
        <v>920</v>
      </c>
      <c r="F675" s="35">
        <v>0.3</v>
      </c>
      <c r="G675" s="40">
        <v>0</v>
      </c>
      <c r="H675" s="40">
        <v>0</v>
      </c>
      <c r="I675" s="40">
        <v>0</v>
      </c>
      <c r="J675" s="40">
        <v>0</v>
      </c>
      <c r="K675" s="40">
        <v>0</v>
      </c>
      <c r="L675" s="40">
        <v>0</v>
      </c>
      <c r="M675" s="40">
        <f t="shared" si="21"/>
        <v>0</v>
      </c>
      <c r="N675" s="40">
        <f t="shared" si="22"/>
        <v>0</v>
      </c>
    </row>
    <row r="676" spans="1:14" x14ac:dyDescent="0.35">
      <c r="A676" s="33">
        <v>673</v>
      </c>
      <c r="B676" s="34" t="s">
        <v>1065</v>
      </c>
      <c r="C676" s="33" t="s">
        <v>346</v>
      </c>
      <c r="D676" s="33" t="s">
        <v>50</v>
      </c>
      <c r="E676" s="33" t="s">
        <v>920</v>
      </c>
      <c r="F676" s="35">
        <v>0.25</v>
      </c>
      <c r="G676" s="40">
        <v>0</v>
      </c>
      <c r="H676" s="40">
        <v>0</v>
      </c>
      <c r="I676" s="40">
        <v>0</v>
      </c>
      <c r="J676" s="40">
        <v>0</v>
      </c>
      <c r="K676" s="40">
        <v>0</v>
      </c>
      <c r="L676" s="40">
        <v>0</v>
      </c>
      <c r="M676" s="40">
        <f t="shared" si="21"/>
        <v>0</v>
      </c>
      <c r="N676" s="40">
        <f t="shared" si="22"/>
        <v>0</v>
      </c>
    </row>
    <row r="677" spans="1:14" x14ac:dyDescent="0.35">
      <c r="A677" s="33">
        <v>674</v>
      </c>
      <c r="B677" s="34" t="s">
        <v>921</v>
      </c>
      <c r="C677" s="33" t="s">
        <v>297</v>
      </c>
      <c r="D677" s="33" t="s">
        <v>50</v>
      </c>
      <c r="E677" s="33" t="s">
        <v>922</v>
      </c>
      <c r="F677" s="35">
        <v>1</v>
      </c>
      <c r="G677" s="40">
        <v>0</v>
      </c>
      <c r="H677" s="40">
        <v>0</v>
      </c>
      <c r="I677" s="40">
        <v>0</v>
      </c>
      <c r="J677" s="40">
        <v>0</v>
      </c>
      <c r="K677" s="40">
        <v>0</v>
      </c>
      <c r="L677" s="40">
        <v>0</v>
      </c>
      <c r="M677" s="40">
        <f t="shared" si="21"/>
        <v>0</v>
      </c>
      <c r="N677" s="40">
        <f t="shared" si="22"/>
        <v>0</v>
      </c>
    </row>
    <row r="678" spans="1:14" x14ac:dyDescent="0.35">
      <c r="A678" s="33">
        <v>675</v>
      </c>
      <c r="B678" s="34" t="s">
        <v>1066</v>
      </c>
      <c r="C678" s="33" t="s">
        <v>346</v>
      </c>
      <c r="D678" s="33" t="s">
        <v>50</v>
      </c>
      <c r="E678" s="33" t="s">
        <v>922</v>
      </c>
      <c r="F678" s="35">
        <v>0.3</v>
      </c>
      <c r="G678" s="40">
        <v>0</v>
      </c>
      <c r="H678" s="40">
        <v>0</v>
      </c>
      <c r="I678" s="40">
        <v>0</v>
      </c>
      <c r="J678" s="40">
        <v>0</v>
      </c>
      <c r="K678" s="40">
        <v>0</v>
      </c>
      <c r="L678" s="40">
        <v>0</v>
      </c>
      <c r="M678" s="40">
        <f t="shared" si="21"/>
        <v>0</v>
      </c>
      <c r="N678" s="40">
        <f t="shared" si="22"/>
        <v>0</v>
      </c>
    </row>
    <row r="679" spans="1:14" x14ac:dyDescent="0.35">
      <c r="A679" s="33">
        <v>676</v>
      </c>
      <c r="B679" s="34" t="s">
        <v>923</v>
      </c>
      <c r="C679" s="33" t="s">
        <v>297</v>
      </c>
      <c r="D679" s="33" t="s">
        <v>50</v>
      </c>
      <c r="E679" s="33" t="s">
        <v>924</v>
      </c>
      <c r="F679" s="35">
        <v>1</v>
      </c>
      <c r="G679" s="40">
        <v>0</v>
      </c>
      <c r="H679" s="40">
        <v>0</v>
      </c>
      <c r="I679" s="40">
        <v>0</v>
      </c>
      <c r="J679" s="40">
        <v>0</v>
      </c>
      <c r="K679" s="40">
        <v>0</v>
      </c>
      <c r="L679" s="40">
        <v>0</v>
      </c>
      <c r="M679" s="40">
        <f t="shared" si="21"/>
        <v>0</v>
      </c>
      <c r="N679" s="40">
        <f t="shared" si="22"/>
        <v>0</v>
      </c>
    </row>
    <row r="680" spans="1:14" x14ac:dyDescent="0.35">
      <c r="A680" s="33">
        <v>677</v>
      </c>
      <c r="B680" s="34" t="s">
        <v>925</v>
      </c>
      <c r="C680" s="33" t="s">
        <v>297</v>
      </c>
      <c r="D680" s="33" t="s">
        <v>50</v>
      </c>
      <c r="E680" s="33" t="s">
        <v>926</v>
      </c>
      <c r="F680" s="35">
        <v>1</v>
      </c>
      <c r="G680" s="40">
        <v>0</v>
      </c>
      <c r="H680" s="40">
        <v>0</v>
      </c>
      <c r="I680" s="40">
        <v>0</v>
      </c>
      <c r="J680" s="40">
        <v>0</v>
      </c>
      <c r="K680" s="40">
        <v>0</v>
      </c>
      <c r="L680" s="40">
        <v>0</v>
      </c>
      <c r="M680" s="40">
        <f t="shared" si="21"/>
        <v>0</v>
      </c>
      <c r="N680" s="40">
        <f t="shared" si="22"/>
        <v>0</v>
      </c>
    </row>
    <row r="681" spans="1:14" x14ac:dyDescent="0.35">
      <c r="A681" s="33">
        <v>678</v>
      </c>
      <c r="B681" s="34" t="s">
        <v>927</v>
      </c>
      <c r="C681" s="33" t="s">
        <v>297</v>
      </c>
      <c r="D681" s="33" t="s">
        <v>50</v>
      </c>
      <c r="E681" s="33" t="s">
        <v>926</v>
      </c>
      <c r="F681" s="35">
        <v>1</v>
      </c>
      <c r="G681" s="40">
        <v>0</v>
      </c>
      <c r="H681" s="40">
        <v>0</v>
      </c>
      <c r="I681" s="40">
        <v>0</v>
      </c>
      <c r="J681" s="40">
        <v>0</v>
      </c>
      <c r="K681" s="40">
        <v>0</v>
      </c>
      <c r="L681" s="40">
        <v>0</v>
      </c>
      <c r="M681" s="40">
        <f t="shared" si="21"/>
        <v>0</v>
      </c>
      <c r="N681" s="40">
        <f t="shared" si="22"/>
        <v>0</v>
      </c>
    </row>
    <row r="682" spans="1:14" x14ac:dyDescent="0.35">
      <c r="A682" s="33">
        <v>679</v>
      </c>
      <c r="B682" s="34" t="s">
        <v>1067</v>
      </c>
      <c r="C682" s="33" t="s">
        <v>346</v>
      </c>
      <c r="D682" s="33" t="s">
        <v>50</v>
      </c>
      <c r="E682" s="33" t="s">
        <v>926</v>
      </c>
      <c r="F682" s="35">
        <v>0.5</v>
      </c>
      <c r="G682" s="40">
        <v>0</v>
      </c>
      <c r="H682" s="40">
        <v>0</v>
      </c>
      <c r="I682" s="40">
        <v>0</v>
      </c>
      <c r="J682" s="40">
        <v>0</v>
      </c>
      <c r="K682" s="40">
        <v>0</v>
      </c>
      <c r="L682" s="40">
        <v>0</v>
      </c>
      <c r="M682" s="40">
        <f t="shared" si="21"/>
        <v>0</v>
      </c>
      <c r="N682" s="40">
        <f t="shared" si="22"/>
        <v>0</v>
      </c>
    </row>
    <row r="683" spans="1:14" x14ac:dyDescent="0.35">
      <c r="A683" s="33">
        <v>680</v>
      </c>
      <c r="B683" s="34" t="s">
        <v>1068</v>
      </c>
      <c r="C683" s="33" t="s">
        <v>346</v>
      </c>
      <c r="D683" s="33" t="s">
        <v>50</v>
      </c>
      <c r="E683" s="33" t="s">
        <v>926</v>
      </c>
      <c r="F683" s="35">
        <v>0.8</v>
      </c>
      <c r="G683" s="40">
        <v>0</v>
      </c>
      <c r="H683" s="40">
        <v>0</v>
      </c>
      <c r="I683" s="40">
        <v>0</v>
      </c>
      <c r="J683" s="40">
        <v>0</v>
      </c>
      <c r="K683" s="40">
        <v>0</v>
      </c>
      <c r="L683" s="40">
        <v>0</v>
      </c>
      <c r="M683" s="40">
        <f t="shared" si="21"/>
        <v>0</v>
      </c>
      <c r="N683" s="40">
        <f t="shared" si="22"/>
        <v>0</v>
      </c>
    </row>
    <row r="684" spans="1:14" x14ac:dyDescent="0.35">
      <c r="A684" s="33">
        <v>681</v>
      </c>
      <c r="B684" s="34" t="s">
        <v>1069</v>
      </c>
      <c r="C684" s="33" t="s">
        <v>346</v>
      </c>
      <c r="D684" s="33" t="s">
        <v>50</v>
      </c>
      <c r="E684" s="33" t="s">
        <v>926</v>
      </c>
      <c r="F684" s="35">
        <v>0.25</v>
      </c>
      <c r="G684" s="40">
        <v>0</v>
      </c>
      <c r="H684" s="40">
        <v>0</v>
      </c>
      <c r="I684" s="40">
        <v>0</v>
      </c>
      <c r="J684" s="40">
        <v>0</v>
      </c>
      <c r="K684" s="40">
        <v>0</v>
      </c>
      <c r="L684" s="40">
        <v>0</v>
      </c>
      <c r="M684" s="40">
        <f t="shared" si="21"/>
        <v>0</v>
      </c>
      <c r="N684" s="40">
        <f t="shared" si="22"/>
        <v>0</v>
      </c>
    </row>
    <row r="685" spans="1:14" x14ac:dyDescent="0.35">
      <c r="A685" s="33">
        <v>682</v>
      </c>
      <c r="B685" s="34" t="s">
        <v>1070</v>
      </c>
      <c r="C685" s="33" t="s">
        <v>346</v>
      </c>
      <c r="D685" s="33" t="s">
        <v>50</v>
      </c>
      <c r="E685" s="33" t="s">
        <v>926</v>
      </c>
      <c r="F685" s="35">
        <v>0.5</v>
      </c>
      <c r="G685" s="40">
        <v>0</v>
      </c>
      <c r="H685" s="40">
        <v>0</v>
      </c>
      <c r="I685" s="40">
        <v>0</v>
      </c>
      <c r="J685" s="40">
        <v>0</v>
      </c>
      <c r="K685" s="40">
        <v>0</v>
      </c>
      <c r="L685" s="40">
        <v>0</v>
      </c>
      <c r="M685" s="40">
        <f t="shared" si="21"/>
        <v>0</v>
      </c>
      <c r="N685" s="40">
        <f t="shared" si="22"/>
        <v>0</v>
      </c>
    </row>
    <row r="686" spans="1:14" x14ac:dyDescent="0.35">
      <c r="A686" s="33">
        <v>683</v>
      </c>
      <c r="B686" s="34" t="s">
        <v>1071</v>
      </c>
      <c r="C686" s="33" t="s">
        <v>346</v>
      </c>
      <c r="D686" s="33" t="s">
        <v>50</v>
      </c>
      <c r="E686" s="33" t="s">
        <v>926</v>
      </c>
      <c r="F686" s="35">
        <v>0.3</v>
      </c>
      <c r="G686" s="40">
        <v>0</v>
      </c>
      <c r="H686" s="40">
        <v>0</v>
      </c>
      <c r="I686" s="40">
        <v>0</v>
      </c>
      <c r="J686" s="40">
        <v>0</v>
      </c>
      <c r="K686" s="40">
        <v>0</v>
      </c>
      <c r="L686" s="40">
        <v>0</v>
      </c>
      <c r="M686" s="40">
        <f t="shared" si="21"/>
        <v>0</v>
      </c>
      <c r="N686" s="40">
        <f t="shared" si="22"/>
        <v>0</v>
      </c>
    </row>
    <row r="687" spans="1:14" x14ac:dyDescent="0.35">
      <c r="A687" s="33">
        <v>684</v>
      </c>
      <c r="B687" s="34" t="s">
        <v>1072</v>
      </c>
      <c r="C687" s="33" t="s">
        <v>346</v>
      </c>
      <c r="D687" s="33" t="s">
        <v>50</v>
      </c>
      <c r="E687" s="33" t="s">
        <v>926</v>
      </c>
      <c r="F687" s="35">
        <v>0.25</v>
      </c>
      <c r="G687" s="40">
        <v>0</v>
      </c>
      <c r="H687" s="40">
        <v>0</v>
      </c>
      <c r="I687" s="40">
        <v>0</v>
      </c>
      <c r="J687" s="40">
        <v>0</v>
      </c>
      <c r="K687" s="40">
        <v>0</v>
      </c>
      <c r="L687" s="40">
        <v>0</v>
      </c>
      <c r="M687" s="40">
        <f t="shared" si="21"/>
        <v>0</v>
      </c>
      <c r="N687" s="40">
        <f t="shared" si="22"/>
        <v>0</v>
      </c>
    </row>
    <row r="688" spans="1:14" x14ac:dyDescent="0.35">
      <c r="A688" s="33">
        <v>685</v>
      </c>
      <c r="B688" s="34" t="s">
        <v>2315</v>
      </c>
      <c r="C688" s="33" t="s">
        <v>346</v>
      </c>
      <c r="D688" s="33" t="s">
        <v>50</v>
      </c>
      <c r="E688" s="33" t="s">
        <v>926</v>
      </c>
      <c r="F688" s="35">
        <v>0.06</v>
      </c>
      <c r="G688" s="40">
        <v>0</v>
      </c>
      <c r="H688" s="40">
        <v>0</v>
      </c>
      <c r="I688" s="40">
        <v>0</v>
      </c>
      <c r="J688" s="40">
        <v>0</v>
      </c>
      <c r="K688" s="40">
        <v>0</v>
      </c>
      <c r="L688" s="40">
        <v>0</v>
      </c>
      <c r="M688" s="40">
        <f t="shared" si="21"/>
        <v>0</v>
      </c>
      <c r="N688" s="40">
        <f t="shared" si="22"/>
        <v>0</v>
      </c>
    </row>
    <row r="689" spans="1:14" x14ac:dyDescent="0.35">
      <c r="A689" s="33">
        <v>686</v>
      </c>
      <c r="B689" s="34" t="s">
        <v>1073</v>
      </c>
      <c r="C689" s="33" t="s">
        <v>346</v>
      </c>
      <c r="D689" s="33" t="s">
        <v>50</v>
      </c>
      <c r="E689" s="33" t="s">
        <v>926</v>
      </c>
      <c r="F689" s="35">
        <v>0.5</v>
      </c>
      <c r="G689" s="40">
        <v>0</v>
      </c>
      <c r="H689" s="40">
        <v>0</v>
      </c>
      <c r="I689" s="40">
        <v>0</v>
      </c>
      <c r="J689" s="40">
        <v>0</v>
      </c>
      <c r="K689" s="40">
        <v>0</v>
      </c>
      <c r="L689" s="40">
        <v>0</v>
      </c>
      <c r="M689" s="40">
        <f t="shared" si="21"/>
        <v>0</v>
      </c>
      <c r="N689" s="40">
        <f t="shared" si="22"/>
        <v>0</v>
      </c>
    </row>
    <row r="690" spans="1:14" x14ac:dyDescent="0.35">
      <c r="A690" s="33">
        <v>687</v>
      </c>
      <c r="B690" s="34" t="s">
        <v>1074</v>
      </c>
      <c r="C690" s="33" t="s">
        <v>346</v>
      </c>
      <c r="D690" s="33" t="s">
        <v>50</v>
      </c>
      <c r="E690" s="33" t="s">
        <v>926</v>
      </c>
      <c r="F690" s="35">
        <v>0.8</v>
      </c>
      <c r="G690" s="40">
        <v>0</v>
      </c>
      <c r="H690" s="40">
        <v>0</v>
      </c>
      <c r="I690" s="40">
        <v>0</v>
      </c>
      <c r="J690" s="40">
        <v>0</v>
      </c>
      <c r="K690" s="40">
        <v>0</v>
      </c>
      <c r="L690" s="40">
        <v>0</v>
      </c>
      <c r="M690" s="40">
        <f t="shared" si="21"/>
        <v>0</v>
      </c>
      <c r="N690" s="40">
        <f t="shared" si="22"/>
        <v>0</v>
      </c>
    </row>
    <row r="691" spans="1:14" x14ac:dyDescent="0.35">
      <c r="A691" s="33">
        <v>688</v>
      </c>
      <c r="B691" s="34" t="s">
        <v>1075</v>
      </c>
      <c r="C691" s="33" t="s">
        <v>346</v>
      </c>
      <c r="D691" s="33" t="s">
        <v>50</v>
      </c>
      <c r="E691" s="33" t="s">
        <v>926</v>
      </c>
      <c r="F691" s="35">
        <v>0.25</v>
      </c>
      <c r="G691" s="40">
        <v>0</v>
      </c>
      <c r="H691" s="40">
        <v>0</v>
      </c>
      <c r="I691" s="40">
        <v>0</v>
      </c>
      <c r="J691" s="40">
        <v>0</v>
      </c>
      <c r="K691" s="40">
        <v>0</v>
      </c>
      <c r="L691" s="40">
        <v>0</v>
      </c>
      <c r="M691" s="40">
        <f t="shared" si="21"/>
        <v>0</v>
      </c>
      <c r="N691" s="40">
        <f t="shared" si="22"/>
        <v>0</v>
      </c>
    </row>
    <row r="692" spans="1:14" x14ac:dyDescent="0.35">
      <c r="A692" s="33">
        <v>689</v>
      </c>
      <c r="B692" s="34" t="s">
        <v>1076</v>
      </c>
      <c r="C692" s="33" t="s">
        <v>346</v>
      </c>
      <c r="D692" s="33" t="s">
        <v>50</v>
      </c>
      <c r="E692" s="33" t="s">
        <v>926</v>
      </c>
      <c r="F692" s="35">
        <v>0.4</v>
      </c>
      <c r="G692" s="40">
        <v>0</v>
      </c>
      <c r="H692" s="40">
        <v>0</v>
      </c>
      <c r="I692" s="40">
        <v>0</v>
      </c>
      <c r="J692" s="40">
        <v>0</v>
      </c>
      <c r="K692" s="40">
        <v>0</v>
      </c>
      <c r="L692" s="40">
        <v>0</v>
      </c>
      <c r="M692" s="40">
        <f t="shared" si="21"/>
        <v>0</v>
      </c>
      <c r="N692" s="40">
        <f t="shared" si="22"/>
        <v>0</v>
      </c>
    </row>
    <row r="693" spans="1:14" x14ac:dyDescent="0.35">
      <c r="A693" s="33">
        <v>690</v>
      </c>
      <c r="B693" s="34" t="s">
        <v>1077</v>
      </c>
      <c r="C693" s="33" t="s">
        <v>346</v>
      </c>
      <c r="D693" s="33" t="s">
        <v>50</v>
      </c>
      <c r="E693" s="33" t="s">
        <v>926</v>
      </c>
      <c r="F693" s="35">
        <v>0.42</v>
      </c>
      <c r="G693" s="40">
        <v>0</v>
      </c>
      <c r="H693" s="40">
        <v>0</v>
      </c>
      <c r="I693" s="40">
        <v>0</v>
      </c>
      <c r="J693" s="40">
        <v>0</v>
      </c>
      <c r="K693" s="40">
        <v>0</v>
      </c>
      <c r="L693" s="40">
        <v>0</v>
      </c>
      <c r="M693" s="40">
        <f t="shared" si="21"/>
        <v>0</v>
      </c>
      <c r="N693" s="40">
        <f t="shared" si="22"/>
        <v>0</v>
      </c>
    </row>
    <row r="694" spans="1:14" x14ac:dyDescent="0.35">
      <c r="A694" s="33">
        <v>691</v>
      </c>
      <c r="B694" s="34" t="s">
        <v>1078</v>
      </c>
      <c r="C694" s="33" t="s">
        <v>346</v>
      </c>
      <c r="D694" s="33" t="s">
        <v>50</v>
      </c>
      <c r="E694" s="33" t="s">
        <v>926</v>
      </c>
      <c r="F694" s="35">
        <v>0.33</v>
      </c>
      <c r="G694" s="40">
        <v>0</v>
      </c>
      <c r="H694" s="40">
        <v>0</v>
      </c>
      <c r="I694" s="40">
        <v>0</v>
      </c>
      <c r="J694" s="40">
        <v>0</v>
      </c>
      <c r="K694" s="40">
        <v>0</v>
      </c>
      <c r="L694" s="40">
        <v>0</v>
      </c>
      <c r="M694" s="40">
        <f t="shared" si="21"/>
        <v>0</v>
      </c>
      <c r="N694" s="40">
        <f t="shared" si="22"/>
        <v>0</v>
      </c>
    </row>
    <row r="695" spans="1:14" x14ac:dyDescent="0.35">
      <c r="A695" s="33">
        <v>692</v>
      </c>
      <c r="B695" s="34" t="s">
        <v>928</v>
      </c>
      <c r="C695" s="33" t="s">
        <v>297</v>
      </c>
      <c r="D695" s="33" t="s">
        <v>50</v>
      </c>
      <c r="E695" s="33" t="s">
        <v>929</v>
      </c>
      <c r="F695" s="35">
        <v>1</v>
      </c>
      <c r="G695" s="40">
        <v>0</v>
      </c>
      <c r="H695" s="40">
        <v>0</v>
      </c>
      <c r="I695" s="40">
        <v>0</v>
      </c>
      <c r="J695" s="40">
        <v>0</v>
      </c>
      <c r="K695" s="40">
        <v>0</v>
      </c>
      <c r="L695" s="40">
        <v>0</v>
      </c>
      <c r="M695" s="40">
        <f t="shared" si="21"/>
        <v>0</v>
      </c>
      <c r="N695" s="40">
        <f t="shared" si="22"/>
        <v>0</v>
      </c>
    </row>
    <row r="696" spans="1:14" x14ac:dyDescent="0.35">
      <c r="A696" s="33">
        <v>693</v>
      </c>
      <c r="B696" s="34" t="s">
        <v>930</v>
      </c>
      <c r="C696" s="33" t="s">
        <v>297</v>
      </c>
      <c r="D696" s="33" t="s">
        <v>50</v>
      </c>
      <c r="E696" s="33" t="s">
        <v>929</v>
      </c>
      <c r="F696" s="35">
        <v>1</v>
      </c>
      <c r="G696" s="40">
        <v>0</v>
      </c>
      <c r="H696" s="40">
        <v>0</v>
      </c>
      <c r="I696" s="40">
        <v>0</v>
      </c>
      <c r="J696" s="40">
        <v>0</v>
      </c>
      <c r="K696" s="40">
        <v>0</v>
      </c>
      <c r="L696" s="40">
        <v>0</v>
      </c>
      <c r="M696" s="40">
        <f t="shared" si="21"/>
        <v>0</v>
      </c>
      <c r="N696" s="40">
        <f t="shared" si="22"/>
        <v>0</v>
      </c>
    </row>
    <row r="697" spans="1:14" x14ac:dyDescent="0.35">
      <c r="A697" s="33">
        <v>694</v>
      </c>
      <c r="B697" s="34" t="s">
        <v>931</v>
      </c>
      <c r="C697" s="33" t="s">
        <v>297</v>
      </c>
      <c r="D697" s="33" t="s">
        <v>50</v>
      </c>
      <c r="E697" s="33" t="s">
        <v>929</v>
      </c>
      <c r="F697" s="35">
        <v>1</v>
      </c>
      <c r="G697" s="40">
        <v>0</v>
      </c>
      <c r="H697" s="40">
        <v>0</v>
      </c>
      <c r="I697" s="40">
        <v>0</v>
      </c>
      <c r="J697" s="40">
        <v>0</v>
      </c>
      <c r="K697" s="40">
        <v>0</v>
      </c>
      <c r="L697" s="40">
        <v>0</v>
      </c>
      <c r="M697" s="40">
        <f t="shared" si="21"/>
        <v>0</v>
      </c>
      <c r="N697" s="40">
        <f t="shared" si="22"/>
        <v>0</v>
      </c>
    </row>
    <row r="698" spans="1:14" x14ac:dyDescent="0.35">
      <c r="A698" s="33">
        <v>695</v>
      </c>
      <c r="B698" s="34" t="s">
        <v>1079</v>
      </c>
      <c r="C698" s="33" t="s">
        <v>346</v>
      </c>
      <c r="D698" s="33" t="s">
        <v>50</v>
      </c>
      <c r="E698" s="33" t="s">
        <v>929</v>
      </c>
      <c r="F698" s="35">
        <v>1</v>
      </c>
      <c r="G698" s="40">
        <v>0</v>
      </c>
      <c r="H698" s="40">
        <v>0</v>
      </c>
      <c r="I698" s="40">
        <v>0</v>
      </c>
      <c r="J698" s="40">
        <v>0</v>
      </c>
      <c r="K698" s="40">
        <v>0</v>
      </c>
      <c r="L698" s="40">
        <v>0</v>
      </c>
      <c r="M698" s="40">
        <f t="shared" si="21"/>
        <v>0</v>
      </c>
      <c r="N698" s="40">
        <f t="shared" si="22"/>
        <v>0</v>
      </c>
    </row>
    <row r="699" spans="1:14" x14ac:dyDescent="0.35">
      <c r="A699" s="33">
        <v>696</v>
      </c>
      <c r="B699" s="34" t="s">
        <v>1080</v>
      </c>
      <c r="C699" s="33" t="s">
        <v>346</v>
      </c>
      <c r="D699" s="33" t="s">
        <v>50</v>
      </c>
      <c r="E699" s="33" t="s">
        <v>929</v>
      </c>
      <c r="F699" s="35">
        <v>0.5</v>
      </c>
      <c r="G699" s="40">
        <v>0</v>
      </c>
      <c r="H699" s="40">
        <v>0</v>
      </c>
      <c r="I699" s="40">
        <v>0</v>
      </c>
      <c r="J699" s="40">
        <v>0</v>
      </c>
      <c r="K699" s="40">
        <v>0</v>
      </c>
      <c r="L699" s="40">
        <v>0</v>
      </c>
      <c r="M699" s="40">
        <f t="shared" si="21"/>
        <v>0</v>
      </c>
      <c r="N699" s="40">
        <f t="shared" si="22"/>
        <v>0</v>
      </c>
    </row>
    <row r="700" spans="1:14" x14ac:dyDescent="0.35">
      <c r="A700" s="33">
        <v>697</v>
      </c>
      <c r="B700" s="34" t="s">
        <v>932</v>
      </c>
      <c r="C700" s="33" t="s">
        <v>297</v>
      </c>
      <c r="D700" s="33" t="s">
        <v>50</v>
      </c>
      <c r="E700" s="33" t="s">
        <v>933</v>
      </c>
      <c r="F700" s="35">
        <v>1</v>
      </c>
      <c r="G700" s="40">
        <v>0</v>
      </c>
      <c r="H700" s="40">
        <v>0</v>
      </c>
      <c r="I700" s="40">
        <v>0</v>
      </c>
      <c r="J700" s="40">
        <v>0</v>
      </c>
      <c r="K700" s="40">
        <v>0</v>
      </c>
      <c r="L700" s="40">
        <v>0</v>
      </c>
      <c r="M700" s="40">
        <f t="shared" si="21"/>
        <v>0</v>
      </c>
      <c r="N700" s="40">
        <f t="shared" si="22"/>
        <v>0</v>
      </c>
    </row>
    <row r="701" spans="1:14" x14ac:dyDescent="0.35">
      <c r="A701" s="33">
        <v>698</v>
      </c>
      <c r="B701" s="34" t="s">
        <v>934</v>
      </c>
      <c r="C701" s="33" t="s">
        <v>297</v>
      </c>
      <c r="D701" s="33" t="s">
        <v>50</v>
      </c>
      <c r="E701" s="33" t="s">
        <v>933</v>
      </c>
      <c r="F701" s="35">
        <v>1</v>
      </c>
      <c r="G701" s="40">
        <v>0</v>
      </c>
      <c r="H701" s="40">
        <v>0</v>
      </c>
      <c r="I701" s="40">
        <v>0</v>
      </c>
      <c r="J701" s="40">
        <v>0</v>
      </c>
      <c r="K701" s="40">
        <v>0</v>
      </c>
      <c r="L701" s="40">
        <v>0</v>
      </c>
      <c r="M701" s="40">
        <f t="shared" si="21"/>
        <v>0</v>
      </c>
      <c r="N701" s="40">
        <f t="shared" si="22"/>
        <v>0</v>
      </c>
    </row>
    <row r="702" spans="1:14" x14ac:dyDescent="0.35">
      <c r="A702" s="33">
        <v>699</v>
      </c>
      <c r="B702" s="34" t="s">
        <v>1081</v>
      </c>
      <c r="C702" s="33" t="s">
        <v>346</v>
      </c>
      <c r="D702" s="33" t="s">
        <v>50</v>
      </c>
      <c r="E702" s="33" t="s">
        <v>933</v>
      </c>
      <c r="F702" s="35">
        <v>1</v>
      </c>
      <c r="G702" s="40">
        <v>0</v>
      </c>
      <c r="H702" s="40">
        <v>0</v>
      </c>
      <c r="I702" s="40">
        <v>0</v>
      </c>
      <c r="J702" s="40">
        <v>0</v>
      </c>
      <c r="K702" s="40">
        <v>0</v>
      </c>
      <c r="L702" s="40">
        <v>0</v>
      </c>
      <c r="M702" s="40">
        <f t="shared" si="21"/>
        <v>0</v>
      </c>
      <c r="N702" s="40">
        <f t="shared" si="22"/>
        <v>0</v>
      </c>
    </row>
    <row r="703" spans="1:14" x14ac:dyDescent="0.35">
      <c r="A703" s="33">
        <v>700</v>
      </c>
      <c r="B703" s="34" t="s">
        <v>1082</v>
      </c>
      <c r="C703" s="33" t="s">
        <v>346</v>
      </c>
      <c r="D703" s="33" t="s">
        <v>50</v>
      </c>
      <c r="E703" s="33" t="s">
        <v>933</v>
      </c>
      <c r="F703" s="35">
        <v>1</v>
      </c>
      <c r="G703" s="40">
        <v>0</v>
      </c>
      <c r="H703" s="40">
        <v>0</v>
      </c>
      <c r="I703" s="40">
        <v>0</v>
      </c>
      <c r="J703" s="40">
        <v>0</v>
      </c>
      <c r="K703" s="40">
        <v>0</v>
      </c>
      <c r="L703" s="40">
        <v>0</v>
      </c>
      <c r="M703" s="40">
        <f t="shared" si="21"/>
        <v>0</v>
      </c>
      <c r="N703" s="40">
        <f t="shared" si="22"/>
        <v>0</v>
      </c>
    </row>
    <row r="704" spans="1:14" x14ac:dyDescent="0.35">
      <c r="A704" s="33">
        <v>701</v>
      </c>
      <c r="B704" s="34" t="s">
        <v>1083</v>
      </c>
      <c r="C704" s="33" t="s">
        <v>346</v>
      </c>
      <c r="D704" s="33" t="s">
        <v>50</v>
      </c>
      <c r="E704" s="33" t="s">
        <v>933</v>
      </c>
      <c r="F704" s="35">
        <v>0.5</v>
      </c>
      <c r="G704" s="40">
        <v>0</v>
      </c>
      <c r="H704" s="40">
        <v>0</v>
      </c>
      <c r="I704" s="40">
        <v>0</v>
      </c>
      <c r="J704" s="40">
        <v>0</v>
      </c>
      <c r="K704" s="40">
        <v>0</v>
      </c>
      <c r="L704" s="40">
        <v>0</v>
      </c>
      <c r="M704" s="40">
        <f t="shared" si="21"/>
        <v>0</v>
      </c>
      <c r="N704" s="40">
        <f t="shared" si="22"/>
        <v>0</v>
      </c>
    </row>
    <row r="705" spans="1:14" x14ac:dyDescent="0.35">
      <c r="A705" s="33">
        <v>702</v>
      </c>
      <c r="B705" s="34" t="s">
        <v>1084</v>
      </c>
      <c r="C705" s="33" t="s">
        <v>346</v>
      </c>
      <c r="D705" s="33" t="s">
        <v>50</v>
      </c>
      <c r="E705" s="33" t="s">
        <v>933</v>
      </c>
      <c r="F705" s="35">
        <v>0.5</v>
      </c>
      <c r="G705" s="40">
        <v>0</v>
      </c>
      <c r="H705" s="40">
        <v>0</v>
      </c>
      <c r="I705" s="40">
        <v>0</v>
      </c>
      <c r="J705" s="40">
        <v>0</v>
      </c>
      <c r="K705" s="40">
        <v>0</v>
      </c>
      <c r="L705" s="40">
        <v>0</v>
      </c>
      <c r="M705" s="40">
        <f t="shared" si="21"/>
        <v>0</v>
      </c>
      <c r="N705" s="40">
        <f t="shared" si="22"/>
        <v>0</v>
      </c>
    </row>
    <row r="706" spans="1:14" x14ac:dyDescent="0.35">
      <c r="A706" s="33">
        <v>703</v>
      </c>
      <c r="B706" s="34" t="s">
        <v>935</v>
      </c>
      <c r="C706" s="33" t="s">
        <v>297</v>
      </c>
      <c r="D706" s="33" t="s">
        <v>50</v>
      </c>
      <c r="E706" s="33" t="s">
        <v>936</v>
      </c>
      <c r="F706" s="35">
        <v>1</v>
      </c>
      <c r="G706" s="40">
        <v>0</v>
      </c>
      <c r="H706" s="40">
        <v>0</v>
      </c>
      <c r="I706" s="40">
        <v>0</v>
      </c>
      <c r="J706" s="40">
        <v>0</v>
      </c>
      <c r="K706" s="40">
        <v>0</v>
      </c>
      <c r="L706" s="40">
        <v>0</v>
      </c>
      <c r="M706" s="40">
        <f t="shared" si="21"/>
        <v>0</v>
      </c>
      <c r="N706" s="40">
        <f t="shared" si="22"/>
        <v>0</v>
      </c>
    </row>
    <row r="707" spans="1:14" x14ac:dyDescent="0.35">
      <c r="A707" s="33">
        <v>704</v>
      </c>
      <c r="B707" s="34" t="s">
        <v>937</v>
      </c>
      <c r="C707" s="33" t="s">
        <v>297</v>
      </c>
      <c r="D707" s="33" t="s">
        <v>50</v>
      </c>
      <c r="E707" s="33" t="s">
        <v>936</v>
      </c>
      <c r="F707" s="35">
        <v>1</v>
      </c>
      <c r="G707" s="40">
        <v>0</v>
      </c>
      <c r="H707" s="40">
        <v>0</v>
      </c>
      <c r="I707" s="40">
        <v>0</v>
      </c>
      <c r="J707" s="40">
        <v>0</v>
      </c>
      <c r="K707" s="40">
        <v>0</v>
      </c>
      <c r="L707" s="40">
        <v>0</v>
      </c>
      <c r="M707" s="40">
        <f t="shared" si="21"/>
        <v>0</v>
      </c>
      <c r="N707" s="40">
        <f t="shared" si="22"/>
        <v>0</v>
      </c>
    </row>
    <row r="708" spans="1:14" x14ac:dyDescent="0.35">
      <c r="A708" s="33">
        <v>705</v>
      </c>
      <c r="B708" s="34" t="s">
        <v>938</v>
      </c>
      <c r="C708" s="33" t="s">
        <v>297</v>
      </c>
      <c r="D708" s="33" t="s">
        <v>50</v>
      </c>
      <c r="E708" s="33" t="s">
        <v>936</v>
      </c>
      <c r="F708" s="35">
        <v>1</v>
      </c>
      <c r="G708" s="40">
        <v>0</v>
      </c>
      <c r="H708" s="40">
        <v>0</v>
      </c>
      <c r="I708" s="40">
        <v>0</v>
      </c>
      <c r="J708" s="40">
        <v>0</v>
      </c>
      <c r="K708" s="40">
        <v>0</v>
      </c>
      <c r="L708" s="40">
        <v>0</v>
      </c>
      <c r="M708" s="40">
        <f t="shared" si="21"/>
        <v>0</v>
      </c>
      <c r="N708" s="40">
        <f t="shared" si="22"/>
        <v>0</v>
      </c>
    </row>
    <row r="709" spans="1:14" x14ac:dyDescent="0.35">
      <c r="A709" s="33">
        <v>706</v>
      </c>
      <c r="B709" s="34" t="s">
        <v>2316</v>
      </c>
      <c r="C709" s="33" t="s">
        <v>297</v>
      </c>
      <c r="D709" s="33" t="s">
        <v>50</v>
      </c>
      <c r="E709" s="33" t="s">
        <v>936</v>
      </c>
      <c r="F709" s="35">
        <v>1</v>
      </c>
      <c r="G709" s="40">
        <v>0</v>
      </c>
      <c r="H709" s="40">
        <v>0</v>
      </c>
      <c r="I709" s="40">
        <v>0</v>
      </c>
      <c r="J709" s="40">
        <v>0</v>
      </c>
      <c r="K709" s="40">
        <v>0</v>
      </c>
      <c r="L709" s="40">
        <v>0</v>
      </c>
      <c r="M709" s="40">
        <f t="shared" ref="M709:M772" si="23">G709+I709+K709</f>
        <v>0</v>
      </c>
      <c r="N709" s="40">
        <f t="shared" ref="N709:N772" si="24">H709+J709+L709</f>
        <v>0</v>
      </c>
    </row>
    <row r="710" spans="1:14" x14ac:dyDescent="0.35">
      <c r="A710" s="33">
        <v>707</v>
      </c>
      <c r="B710" s="34" t="s">
        <v>1085</v>
      </c>
      <c r="C710" s="33" t="s">
        <v>346</v>
      </c>
      <c r="D710" s="33" t="s">
        <v>50</v>
      </c>
      <c r="E710" s="33" t="s">
        <v>936</v>
      </c>
      <c r="F710" s="35">
        <v>1.08</v>
      </c>
      <c r="G710" s="40">
        <v>0</v>
      </c>
      <c r="H710" s="40">
        <v>0</v>
      </c>
      <c r="I710" s="40">
        <v>0</v>
      </c>
      <c r="J710" s="40">
        <v>0</v>
      </c>
      <c r="K710" s="40">
        <v>0</v>
      </c>
      <c r="L710" s="40">
        <v>0</v>
      </c>
      <c r="M710" s="40">
        <f t="shared" si="23"/>
        <v>0</v>
      </c>
      <c r="N710" s="40">
        <f t="shared" si="24"/>
        <v>0</v>
      </c>
    </row>
    <row r="711" spans="1:14" x14ac:dyDescent="0.35">
      <c r="A711" s="33">
        <v>708</v>
      </c>
      <c r="B711" s="34" t="s">
        <v>1086</v>
      </c>
      <c r="C711" s="33" t="s">
        <v>346</v>
      </c>
      <c r="D711" s="33" t="s">
        <v>50</v>
      </c>
      <c r="E711" s="33" t="s">
        <v>936</v>
      </c>
      <c r="F711" s="35">
        <v>1</v>
      </c>
      <c r="G711" s="40">
        <v>0</v>
      </c>
      <c r="H711" s="40">
        <v>0</v>
      </c>
      <c r="I711" s="40">
        <v>0</v>
      </c>
      <c r="J711" s="40">
        <v>0</v>
      </c>
      <c r="K711" s="40">
        <v>0</v>
      </c>
      <c r="L711" s="40">
        <v>0</v>
      </c>
      <c r="M711" s="40">
        <f t="shared" si="23"/>
        <v>0</v>
      </c>
      <c r="N711" s="40">
        <f t="shared" si="24"/>
        <v>0</v>
      </c>
    </row>
    <row r="712" spans="1:14" x14ac:dyDescent="0.35">
      <c r="A712" s="33">
        <v>709</v>
      </c>
      <c r="B712" s="34" t="s">
        <v>1087</v>
      </c>
      <c r="C712" s="33" t="s">
        <v>346</v>
      </c>
      <c r="D712" s="33" t="s">
        <v>50</v>
      </c>
      <c r="E712" s="33" t="s">
        <v>936</v>
      </c>
      <c r="F712" s="35">
        <v>1</v>
      </c>
      <c r="G712" s="40">
        <v>0</v>
      </c>
      <c r="H712" s="40">
        <v>0</v>
      </c>
      <c r="I712" s="40">
        <v>0</v>
      </c>
      <c r="J712" s="40">
        <v>0</v>
      </c>
      <c r="K712" s="40">
        <v>0</v>
      </c>
      <c r="L712" s="40">
        <v>0</v>
      </c>
      <c r="M712" s="40">
        <f t="shared" si="23"/>
        <v>0</v>
      </c>
      <c r="N712" s="40">
        <f t="shared" si="24"/>
        <v>0</v>
      </c>
    </row>
    <row r="713" spans="1:14" x14ac:dyDescent="0.35">
      <c r="A713" s="33">
        <v>710</v>
      </c>
      <c r="B713" s="34" t="s">
        <v>1088</v>
      </c>
      <c r="C713" s="33" t="s">
        <v>346</v>
      </c>
      <c r="D713" s="33" t="s">
        <v>50</v>
      </c>
      <c r="E713" s="33" t="s">
        <v>936</v>
      </c>
      <c r="F713" s="35">
        <v>1</v>
      </c>
      <c r="G713" s="40">
        <v>0</v>
      </c>
      <c r="H713" s="40">
        <v>0</v>
      </c>
      <c r="I713" s="40">
        <v>0</v>
      </c>
      <c r="J713" s="40">
        <v>0</v>
      </c>
      <c r="K713" s="40">
        <v>0</v>
      </c>
      <c r="L713" s="40">
        <v>0</v>
      </c>
      <c r="M713" s="40">
        <f t="shared" si="23"/>
        <v>0</v>
      </c>
      <c r="N713" s="40">
        <f t="shared" si="24"/>
        <v>0</v>
      </c>
    </row>
    <row r="714" spans="1:14" x14ac:dyDescent="0.35">
      <c r="A714" s="33">
        <v>711</v>
      </c>
      <c r="B714" s="34" t="s">
        <v>1089</v>
      </c>
      <c r="C714" s="33" t="s">
        <v>346</v>
      </c>
      <c r="D714" s="33" t="s">
        <v>50</v>
      </c>
      <c r="E714" s="33" t="s">
        <v>936</v>
      </c>
      <c r="F714" s="35">
        <v>1</v>
      </c>
      <c r="G714" s="40">
        <v>0</v>
      </c>
      <c r="H714" s="40">
        <v>0</v>
      </c>
      <c r="I714" s="40">
        <v>0</v>
      </c>
      <c r="J714" s="40">
        <v>0</v>
      </c>
      <c r="K714" s="40">
        <v>0</v>
      </c>
      <c r="L714" s="40">
        <v>0</v>
      </c>
      <c r="M714" s="40">
        <f t="shared" si="23"/>
        <v>0</v>
      </c>
      <c r="N714" s="40">
        <f t="shared" si="24"/>
        <v>0</v>
      </c>
    </row>
    <row r="715" spans="1:14" x14ac:dyDescent="0.35">
      <c r="A715" s="33">
        <v>712</v>
      </c>
      <c r="B715" s="34" t="s">
        <v>1090</v>
      </c>
      <c r="C715" s="33" t="s">
        <v>346</v>
      </c>
      <c r="D715" s="33" t="s">
        <v>50</v>
      </c>
      <c r="E715" s="33" t="s">
        <v>936</v>
      </c>
      <c r="F715" s="35">
        <v>3.3000000000000002E-2</v>
      </c>
      <c r="G715" s="40">
        <v>0</v>
      </c>
      <c r="H715" s="40">
        <v>0</v>
      </c>
      <c r="I715" s="40">
        <v>0</v>
      </c>
      <c r="J715" s="40">
        <v>0</v>
      </c>
      <c r="K715" s="40">
        <v>0</v>
      </c>
      <c r="L715" s="40">
        <v>0</v>
      </c>
      <c r="M715" s="40">
        <f t="shared" si="23"/>
        <v>0</v>
      </c>
      <c r="N715" s="40">
        <f t="shared" si="24"/>
        <v>0</v>
      </c>
    </row>
    <row r="716" spans="1:14" x14ac:dyDescent="0.35">
      <c r="A716" s="33">
        <v>713</v>
      </c>
      <c r="B716" s="34" t="s">
        <v>1091</v>
      </c>
      <c r="C716" s="33" t="s">
        <v>346</v>
      </c>
      <c r="D716" s="33" t="s">
        <v>50</v>
      </c>
      <c r="E716" s="33" t="s">
        <v>936</v>
      </c>
      <c r="F716" s="35">
        <v>3.3000000000000002E-2</v>
      </c>
      <c r="G716" s="40">
        <v>0</v>
      </c>
      <c r="H716" s="40">
        <v>0</v>
      </c>
      <c r="I716" s="40">
        <v>0</v>
      </c>
      <c r="J716" s="40">
        <v>0</v>
      </c>
      <c r="K716" s="40">
        <v>0</v>
      </c>
      <c r="L716" s="40">
        <v>0</v>
      </c>
      <c r="M716" s="40">
        <f t="shared" si="23"/>
        <v>0</v>
      </c>
      <c r="N716" s="40">
        <f t="shared" si="24"/>
        <v>0</v>
      </c>
    </row>
    <row r="717" spans="1:14" x14ac:dyDescent="0.35">
      <c r="A717" s="33">
        <v>714</v>
      </c>
      <c r="B717" s="34" t="s">
        <v>1092</v>
      </c>
      <c r="C717" s="33" t="s">
        <v>346</v>
      </c>
      <c r="D717" s="33" t="s">
        <v>50</v>
      </c>
      <c r="E717" s="33" t="s">
        <v>936</v>
      </c>
      <c r="F717" s="35">
        <v>3.3000000000000002E-2</v>
      </c>
      <c r="G717" s="40">
        <v>0</v>
      </c>
      <c r="H717" s="40">
        <v>0</v>
      </c>
      <c r="I717" s="40">
        <v>0</v>
      </c>
      <c r="J717" s="40">
        <v>0</v>
      </c>
      <c r="K717" s="40">
        <v>0</v>
      </c>
      <c r="L717" s="40">
        <v>0</v>
      </c>
      <c r="M717" s="40">
        <f t="shared" si="23"/>
        <v>0</v>
      </c>
      <c r="N717" s="40">
        <f t="shared" si="24"/>
        <v>0</v>
      </c>
    </row>
    <row r="718" spans="1:14" x14ac:dyDescent="0.35">
      <c r="A718" s="33">
        <v>715</v>
      </c>
      <c r="B718" s="34" t="s">
        <v>1093</v>
      </c>
      <c r="C718" s="33" t="s">
        <v>346</v>
      </c>
      <c r="D718" s="33" t="s">
        <v>50</v>
      </c>
      <c r="E718" s="33" t="s">
        <v>936</v>
      </c>
      <c r="F718" s="35">
        <v>3.3000000000000002E-2</v>
      </c>
      <c r="G718" s="40">
        <v>0</v>
      </c>
      <c r="H718" s="40">
        <v>0</v>
      </c>
      <c r="I718" s="40">
        <v>0</v>
      </c>
      <c r="J718" s="40">
        <v>0</v>
      </c>
      <c r="K718" s="40">
        <v>0</v>
      </c>
      <c r="L718" s="40">
        <v>0</v>
      </c>
      <c r="M718" s="40">
        <f t="shared" si="23"/>
        <v>0</v>
      </c>
      <c r="N718" s="40">
        <f t="shared" si="24"/>
        <v>0</v>
      </c>
    </row>
    <row r="719" spans="1:14" x14ac:dyDescent="0.35">
      <c r="A719" s="33">
        <v>716</v>
      </c>
      <c r="B719" s="34" t="s">
        <v>1094</v>
      </c>
      <c r="C719" s="33" t="s">
        <v>346</v>
      </c>
      <c r="D719" s="33" t="s">
        <v>50</v>
      </c>
      <c r="E719" s="33" t="s">
        <v>936</v>
      </c>
      <c r="F719" s="35">
        <v>3.3000000000000002E-2</v>
      </c>
      <c r="G719" s="40">
        <v>0</v>
      </c>
      <c r="H719" s="40">
        <v>0</v>
      </c>
      <c r="I719" s="40">
        <v>0</v>
      </c>
      <c r="J719" s="40">
        <v>0</v>
      </c>
      <c r="K719" s="40">
        <v>0</v>
      </c>
      <c r="L719" s="40">
        <v>0</v>
      </c>
      <c r="M719" s="40">
        <f t="shared" si="23"/>
        <v>0</v>
      </c>
      <c r="N719" s="40">
        <f t="shared" si="24"/>
        <v>0</v>
      </c>
    </row>
    <row r="720" spans="1:14" x14ac:dyDescent="0.35">
      <c r="A720" s="33">
        <v>717</v>
      </c>
      <c r="B720" s="34" t="s">
        <v>1095</v>
      </c>
      <c r="C720" s="33" t="s">
        <v>346</v>
      </c>
      <c r="D720" s="33" t="s">
        <v>50</v>
      </c>
      <c r="E720" s="33" t="s">
        <v>936</v>
      </c>
      <c r="F720" s="35">
        <v>3.3000000000000002E-2</v>
      </c>
      <c r="G720" s="40">
        <v>0</v>
      </c>
      <c r="H720" s="40">
        <v>0</v>
      </c>
      <c r="I720" s="40">
        <v>0</v>
      </c>
      <c r="J720" s="40">
        <v>0</v>
      </c>
      <c r="K720" s="40">
        <v>0</v>
      </c>
      <c r="L720" s="40">
        <v>0</v>
      </c>
      <c r="M720" s="40">
        <f t="shared" si="23"/>
        <v>0</v>
      </c>
      <c r="N720" s="40">
        <f t="shared" si="24"/>
        <v>0</v>
      </c>
    </row>
    <row r="721" spans="1:14" x14ac:dyDescent="0.35">
      <c r="A721" s="33">
        <v>718</v>
      </c>
      <c r="B721" s="34" t="s">
        <v>1096</v>
      </c>
      <c r="C721" s="33" t="s">
        <v>346</v>
      </c>
      <c r="D721" s="33" t="s">
        <v>50</v>
      </c>
      <c r="E721" s="33" t="s">
        <v>936</v>
      </c>
      <c r="F721" s="35">
        <v>3.3000000000000002E-2</v>
      </c>
      <c r="G721" s="40">
        <v>0</v>
      </c>
      <c r="H721" s="40">
        <v>0</v>
      </c>
      <c r="I721" s="40">
        <v>0</v>
      </c>
      <c r="J721" s="40">
        <v>0</v>
      </c>
      <c r="K721" s="40">
        <v>0</v>
      </c>
      <c r="L721" s="40">
        <v>0</v>
      </c>
      <c r="M721" s="40">
        <f t="shared" si="23"/>
        <v>0</v>
      </c>
      <c r="N721" s="40">
        <f t="shared" si="24"/>
        <v>0</v>
      </c>
    </row>
    <row r="722" spans="1:14" x14ac:dyDescent="0.35">
      <c r="A722" s="33">
        <v>719</v>
      </c>
      <c r="B722" s="34" t="s">
        <v>1097</v>
      </c>
      <c r="C722" s="33" t="s">
        <v>346</v>
      </c>
      <c r="D722" s="33" t="s">
        <v>50</v>
      </c>
      <c r="E722" s="33" t="s">
        <v>936</v>
      </c>
      <c r="F722" s="35">
        <v>3.3000000000000002E-2</v>
      </c>
      <c r="G722" s="40">
        <v>0</v>
      </c>
      <c r="H722" s="40">
        <v>0</v>
      </c>
      <c r="I722" s="40">
        <v>0</v>
      </c>
      <c r="J722" s="40">
        <v>0</v>
      </c>
      <c r="K722" s="40">
        <v>0</v>
      </c>
      <c r="L722" s="40">
        <v>0</v>
      </c>
      <c r="M722" s="40">
        <f t="shared" si="23"/>
        <v>0</v>
      </c>
      <c r="N722" s="40">
        <f t="shared" si="24"/>
        <v>0</v>
      </c>
    </row>
    <row r="723" spans="1:14" x14ac:dyDescent="0.35">
      <c r="A723" s="33">
        <v>720</v>
      </c>
      <c r="B723" s="34" t="s">
        <v>939</v>
      </c>
      <c r="C723" s="33" t="s">
        <v>297</v>
      </c>
      <c r="D723" s="33" t="s">
        <v>50</v>
      </c>
      <c r="E723" s="33" t="s">
        <v>940</v>
      </c>
      <c r="F723" s="35">
        <v>1</v>
      </c>
      <c r="G723" s="40">
        <v>0</v>
      </c>
      <c r="H723" s="40">
        <v>0</v>
      </c>
      <c r="I723" s="40">
        <v>0</v>
      </c>
      <c r="J723" s="40">
        <v>0</v>
      </c>
      <c r="K723" s="40">
        <v>0</v>
      </c>
      <c r="L723" s="40">
        <v>0</v>
      </c>
      <c r="M723" s="40">
        <f t="shared" si="23"/>
        <v>0</v>
      </c>
      <c r="N723" s="40">
        <f t="shared" si="24"/>
        <v>0</v>
      </c>
    </row>
    <row r="724" spans="1:14" x14ac:dyDescent="0.35">
      <c r="A724" s="33">
        <v>721</v>
      </c>
      <c r="B724" s="34" t="s">
        <v>1098</v>
      </c>
      <c r="C724" s="33" t="s">
        <v>346</v>
      </c>
      <c r="D724" s="33" t="s">
        <v>50</v>
      </c>
      <c r="E724" s="33" t="s">
        <v>940</v>
      </c>
      <c r="F724" s="35">
        <v>0.2</v>
      </c>
      <c r="G724" s="40">
        <v>0</v>
      </c>
      <c r="H724" s="40">
        <v>0</v>
      </c>
      <c r="I724" s="40">
        <v>0</v>
      </c>
      <c r="J724" s="40">
        <v>0</v>
      </c>
      <c r="K724" s="40">
        <v>0</v>
      </c>
      <c r="L724" s="40">
        <v>0</v>
      </c>
      <c r="M724" s="40">
        <f t="shared" si="23"/>
        <v>0</v>
      </c>
      <c r="N724" s="40">
        <f t="shared" si="24"/>
        <v>0</v>
      </c>
    </row>
    <row r="725" spans="1:14" x14ac:dyDescent="0.35">
      <c r="A725" s="33">
        <v>722</v>
      </c>
      <c r="B725" s="34" t="s">
        <v>1099</v>
      </c>
      <c r="C725" s="33" t="s">
        <v>346</v>
      </c>
      <c r="D725" s="33" t="s">
        <v>50</v>
      </c>
      <c r="E725" s="33" t="s">
        <v>940</v>
      </c>
      <c r="F725" s="35">
        <v>0.2</v>
      </c>
      <c r="G725" s="40">
        <v>0</v>
      </c>
      <c r="H725" s="40">
        <v>0</v>
      </c>
      <c r="I725" s="40">
        <v>0</v>
      </c>
      <c r="J725" s="40">
        <v>0</v>
      </c>
      <c r="K725" s="40">
        <v>0</v>
      </c>
      <c r="L725" s="40">
        <v>0</v>
      </c>
      <c r="M725" s="40">
        <f t="shared" si="23"/>
        <v>0</v>
      </c>
      <c r="N725" s="40">
        <f t="shared" si="24"/>
        <v>0</v>
      </c>
    </row>
    <row r="726" spans="1:14" x14ac:dyDescent="0.35">
      <c r="A726" s="33">
        <v>723</v>
      </c>
      <c r="B726" s="34" t="s">
        <v>1100</v>
      </c>
      <c r="C726" s="33" t="s">
        <v>346</v>
      </c>
      <c r="D726" s="33" t="s">
        <v>50</v>
      </c>
      <c r="E726" s="33" t="s">
        <v>940</v>
      </c>
      <c r="F726" s="35">
        <v>1</v>
      </c>
      <c r="G726" s="40">
        <v>0</v>
      </c>
      <c r="H726" s="40">
        <v>0</v>
      </c>
      <c r="I726" s="40">
        <v>0</v>
      </c>
      <c r="J726" s="40">
        <v>0</v>
      </c>
      <c r="K726" s="40">
        <v>0</v>
      </c>
      <c r="L726" s="40">
        <v>0</v>
      </c>
      <c r="M726" s="40">
        <f t="shared" si="23"/>
        <v>0</v>
      </c>
      <c r="N726" s="40">
        <f t="shared" si="24"/>
        <v>0</v>
      </c>
    </row>
    <row r="727" spans="1:14" x14ac:dyDescent="0.35">
      <c r="A727" s="33">
        <v>724</v>
      </c>
      <c r="B727" s="34" t="s">
        <v>1101</v>
      </c>
      <c r="C727" s="33" t="s">
        <v>346</v>
      </c>
      <c r="D727" s="33" t="s">
        <v>50</v>
      </c>
      <c r="E727" s="33" t="s">
        <v>940</v>
      </c>
      <c r="F727" s="35">
        <v>0.5</v>
      </c>
      <c r="G727" s="40">
        <v>0</v>
      </c>
      <c r="H727" s="40">
        <v>0</v>
      </c>
      <c r="I727" s="40">
        <v>0</v>
      </c>
      <c r="J727" s="40">
        <v>0</v>
      </c>
      <c r="K727" s="40">
        <v>0</v>
      </c>
      <c r="L727" s="40">
        <v>0</v>
      </c>
      <c r="M727" s="40">
        <f t="shared" si="23"/>
        <v>0</v>
      </c>
      <c r="N727" s="40">
        <f t="shared" si="24"/>
        <v>0</v>
      </c>
    </row>
    <row r="728" spans="1:14" x14ac:dyDescent="0.35">
      <c r="A728" s="33">
        <v>725</v>
      </c>
      <c r="B728" s="34" t="s">
        <v>1102</v>
      </c>
      <c r="C728" s="33" t="s">
        <v>346</v>
      </c>
      <c r="D728" s="33" t="s">
        <v>50</v>
      </c>
      <c r="E728" s="33" t="s">
        <v>940</v>
      </c>
      <c r="F728" s="35">
        <v>0.25</v>
      </c>
      <c r="G728" s="40">
        <v>0</v>
      </c>
      <c r="H728" s="40">
        <v>0</v>
      </c>
      <c r="I728" s="40">
        <v>0</v>
      </c>
      <c r="J728" s="40">
        <v>0</v>
      </c>
      <c r="K728" s="40">
        <v>0</v>
      </c>
      <c r="L728" s="40">
        <v>0</v>
      </c>
      <c r="M728" s="40">
        <f t="shared" si="23"/>
        <v>0</v>
      </c>
      <c r="N728" s="40">
        <f t="shared" si="24"/>
        <v>0</v>
      </c>
    </row>
    <row r="729" spans="1:14" x14ac:dyDescent="0.35">
      <c r="A729" s="33">
        <v>726</v>
      </c>
      <c r="B729" s="34" t="s">
        <v>941</v>
      </c>
      <c r="C729" s="33" t="s">
        <v>297</v>
      </c>
      <c r="D729" s="33" t="s">
        <v>50</v>
      </c>
      <c r="E729" s="33" t="s">
        <v>942</v>
      </c>
      <c r="F729" s="35">
        <v>1</v>
      </c>
      <c r="G729" s="40">
        <v>0</v>
      </c>
      <c r="H729" s="40">
        <v>0</v>
      </c>
      <c r="I729" s="40">
        <v>0</v>
      </c>
      <c r="J729" s="40">
        <v>0</v>
      </c>
      <c r="K729" s="40">
        <v>0</v>
      </c>
      <c r="L729" s="40">
        <v>0</v>
      </c>
      <c r="M729" s="40">
        <f t="shared" si="23"/>
        <v>0</v>
      </c>
      <c r="N729" s="40">
        <f t="shared" si="24"/>
        <v>0</v>
      </c>
    </row>
    <row r="730" spans="1:14" x14ac:dyDescent="0.35">
      <c r="A730" s="33">
        <v>727</v>
      </c>
      <c r="B730" s="34" t="s">
        <v>943</v>
      </c>
      <c r="C730" s="33" t="s">
        <v>297</v>
      </c>
      <c r="D730" s="33" t="s">
        <v>50</v>
      </c>
      <c r="E730" s="33" t="s">
        <v>942</v>
      </c>
      <c r="F730" s="35">
        <v>1</v>
      </c>
      <c r="G730" s="40">
        <v>0</v>
      </c>
      <c r="H730" s="40">
        <v>0</v>
      </c>
      <c r="I730" s="40">
        <v>0</v>
      </c>
      <c r="J730" s="40">
        <v>0</v>
      </c>
      <c r="K730" s="40">
        <v>0</v>
      </c>
      <c r="L730" s="40">
        <v>0</v>
      </c>
      <c r="M730" s="40">
        <f t="shared" si="23"/>
        <v>0</v>
      </c>
      <c r="N730" s="40">
        <f t="shared" si="24"/>
        <v>0</v>
      </c>
    </row>
    <row r="731" spans="1:14" x14ac:dyDescent="0.35">
      <c r="A731" s="33">
        <v>728</v>
      </c>
      <c r="B731" s="34" t="s">
        <v>1103</v>
      </c>
      <c r="C731" s="33" t="s">
        <v>346</v>
      </c>
      <c r="D731" s="33" t="s">
        <v>50</v>
      </c>
      <c r="E731" s="33" t="s">
        <v>942</v>
      </c>
      <c r="F731" s="35">
        <v>1</v>
      </c>
      <c r="G731" s="40">
        <v>0</v>
      </c>
      <c r="H731" s="40">
        <v>0</v>
      </c>
      <c r="I731" s="40">
        <v>0</v>
      </c>
      <c r="J731" s="40">
        <v>0</v>
      </c>
      <c r="K731" s="40">
        <v>0</v>
      </c>
      <c r="L731" s="40">
        <v>0</v>
      </c>
      <c r="M731" s="40">
        <f t="shared" si="23"/>
        <v>0</v>
      </c>
      <c r="N731" s="40">
        <f t="shared" si="24"/>
        <v>0</v>
      </c>
    </row>
    <row r="732" spans="1:14" x14ac:dyDescent="0.35">
      <c r="A732" s="33">
        <v>729</v>
      </c>
      <c r="B732" s="34" t="s">
        <v>1104</v>
      </c>
      <c r="C732" s="33" t="s">
        <v>346</v>
      </c>
      <c r="D732" s="33" t="s">
        <v>50</v>
      </c>
      <c r="E732" s="33" t="s">
        <v>942</v>
      </c>
      <c r="F732" s="35">
        <v>0.5</v>
      </c>
      <c r="G732" s="40">
        <v>0</v>
      </c>
      <c r="H732" s="40">
        <v>0</v>
      </c>
      <c r="I732" s="40">
        <v>0</v>
      </c>
      <c r="J732" s="40">
        <v>0</v>
      </c>
      <c r="K732" s="40">
        <v>0</v>
      </c>
      <c r="L732" s="40">
        <v>0</v>
      </c>
      <c r="M732" s="40">
        <f t="shared" si="23"/>
        <v>0</v>
      </c>
      <c r="N732" s="40">
        <f t="shared" si="24"/>
        <v>0</v>
      </c>
    </row>
    <row r="733" spans="1:14" x14ac:dyDescent="0.35">
      <c r="A733" s="33">
        <v>730</v>
      </c>
      <c r="B733" s="34" t="s">
        <v>944</v>
      </c>
      <c r="C733" s="33" t="s">
        <v>297</v>
      </c>
      <c r="D733" s="33" t="s">
        <v>50</v>
      </c>
      <c r="E733" s="33" t="s">
        <v>944</v>
      </c>
      <c r="F733" s="35">
        <v>1</v>
      </c>
      <c r="G733" s="40">
        <v>0</v>
      </c>
      <c r="H733" s="40">
        <v>0</v>
      </c>
      <c r="I733" s="40">
        <v>0</v>
      </c>
      <c r="J733" s="40">
        <v>0</v>
      </c>
      <c r="K733" s="40">
        <v>0</v>
      </c>
      <c r="L733" s="40">
        <v>0</v>
      </c>
      <c r="M733" s="40">
        <f t="shared" si="23"/>
        <v>0</v>
      </c>
      <c r="N733" s="40">
        <f t="shared" si="24"/>
        <v>0</v>
      </c>
    </row>
    <row r="734" spans="1:14" x14ac:dyDescent="0.35">
      <c r="A734" s="33">
        <v>731</v>
      </c>
      <c r="B734" s="34" t="s">
        <v>1105</v>
      </c>
      <c r="C734" s="33" t="s">
        <v>346</v>
      </c>
      <c r="D734" s="33" t="s">
        <v>50</v>
      </c>
      <c r="E734" s="33" t="s">
        <v>1106</v>
      </c>
      <c r="F734" s="35">
        <v>0.6</v>
      </c>
      <c r="G734" s="40">
        <v>0</v>
      </c>
      <c r="H734" s="40">
        <v>0</v>
      </c>
      <c r="I734" s="40">
        <v>0</v>
      </c>
      <c r="J734" s="40">
        <v>0</v>
      </c>
      <c r="K734" s="40">
        <v>0</v>
      </c>
      <c r="L734" s="40">
        <v>0</v>
      </c>
      <c r="M734" s="40">
        <f t="shared" si="23"/>
        <v>0</v>
      </c>
      <c r="N734" s="40">
        <f t="shared" si="24"/>
        <v>0</v>
      </c>
    </row>
    <row r="735" spans="1:14" x14ac:dyDescent="0.35">
      <c r="A735" s="33">
        <v>732</v>
      </c>
      <c r="B735" s="34" t="s">
        <v>1107</v>
      </c>
      <c r="C735" s="33" t="s">
        <v>346</v>
      </c>
      <c r="D735" s="33" t="s">
        <v>50</v>
      </c>
      <c r="E735" s="33" t="s">
        <v>1106</v>
      </c>
      <c r="F735" s="35">
        <v>0.4</v>
      </c>
      <c r="G735" s="40">
        <v>0</v>
      </c>
      <c r="H735" s="40">
        <v>0</v>
      </c>
      <c r="I735" s="40">
        <v>0</v>
      </c>
      <c r="J735" s="40">
        <v>0</v>
      </c>
      <c r="K735" s="40">
        <v>0</v>
      </c>
      <c r="L735" s="40">
        <v>0</v>
      </c>
      <c r="M735" s="40">
        <f t="shared" si="23"/>
        <v>0</v>
      </c>
      <c r="N735" s="40">
        <f t="shared" si="24"/>
        <v>0</v>
      </c>
    </row>
    <row r="736" spans="1:14" x14ac:dyDescent="0.35">
      <c r="A736" s="33">
        <v>733</v>
      </c>
      <c r="B736" s="34" t="s">
        <v>1108</v>
      </c>
      <c r="C736" s="33" t="s">
        <v>346</v>
      </c>
      <c r="D736" s="33" t="s">
        <v>50</v>
      </c>
      <c r="E736" s="33" t="s">
        <v>1106</v>
      </c>
      <c r="F736" s="35">
        <v>0.5</v>
      </c>
      <c r="G736" s="40">
        <v>0</v>
      </c>
      <c r="H736" s="40">
        <v>0</v>
      </c>
      <c r="I736" s="40">
        <v>0</v>
      </c>
      <c r="J736" s="40">
        <v>0</v>
      </c>
      <c r="K736" s="40">
        <v>0</v>
      </c>
      <c r="L736" s="40">
        <v>0</v>
      </c>
      <c r="M736" s="40">
        <f t="shared" si="23"/>
        <v>0</v>
      </c>
      <c r="N736" s="40">
        <f t="shared" si="24"/>
        <v>0</v>
      </c>
    </row>
    <row r="737" spans="1:14" x14ac:dyDescent="0.35">
      <c r="A737" s="33">
        <v>734</v>
      </c>
      <c r="B737" s="34" t="s">
        <v>1109</v>
      </c>
      <c r="C737" s="33" t="s">
        <v>346</v>
      </c>
      <c r="D737" s="33" t="s">
        <v>50</v>
      </c>
      <c r="E737" s="33" t="s">
        <v>1106</v>
      </c>
      <c r="F737" s="35">
        <v>0.5</v>
      </c>
      <c r="G737" s="40">
        <v>0</v>
      </c>
      <c r="H737" s="40">
        <v>0</v>
      </c>
      <c r="I737" s="40">
        <v>0</v>
      </c>
      <c r="J737" s="40">
        <v>0</v>
      </c>
      <c r="K737" s="40">
        <v>0</v>
      </c>
      <c r="L737" s="40">
        <v>0</v>
      </c>
      <c r="M737" s="40">
        <f t="shared" si="23"/>
        <v>0</v>
      </c>
      <c r="N737" s="40">
        <f t="shared" si="24"/>
        <v>0</v>
      </c>
    </row>
    <row r="738" spans="1:14" x14ac:dyDescent="0.35">
      <c r="A738" s="33">
        <v>735</v>
      </c>
      <c r="B738" s="34" t="s">
        <v>1110</v>
      </c>
      <c r="C738" s="33" t="s">
        <v>346</v>
      </c>
      <c r="D738" s="33" t="s">
        <v>50</v>
      </c>
      <c r="E738" s="33" t="s">
        <v>1106</v>
      </c>
      <c r="F738" s="35">
        <v>0.25</v>
      </c>
      <c r="G738" s="40">
        <v>0</v>
      </c>
      <c r="H738" s="40">
        <v>0</v>
      </c>
      <c r="I738" s="40">
        <v>0</v>
      </c>
      <c r="J738" s="40">
        <v>0</v>
      </c>
      <c r="K738" s="40">
        <v>0</v>
      </c>
      <c r="L738" s="40">
        <v>0</v>
      </c>
      <c r="M738" s="40">
        <f t="shared" si="23"/>
        <v>0</v>
      </c>
      <c r="N738" s="40">
        <f t="shared" si="24"/>
        <v>0</v>
      </c>
    </row>
    <row r="739" spans="1:14" x14ac:dyDescent="0.35">
      <c r="A739" s="33">
        <v>736</v>
      </c>
      <c r="B739" s="34" t="s">
        <v>1111</v>
      </c>
      <c r="C739" s="33" t="s">
        <v>346</v>
      </c>
      <c r="D739" s="33" t="s">
        <v>50</v>
      </c>
      <c r="E739" s="33" t="s">
        <v>1106</v>
      </c>
      <c r="F739" s="35">
        <v>0.25</v>
      </c>
      <c r="G739" s="40">
        <v>0</v>
      </c>
      <c r="H739" s="40">
        <v>0</v>
      </c>
      <c r="I739" s="40">
        <v>0</v>
      </c>
      <c r="J739" s="40">
        <v>0</v>
      </c>
      <c r="K739" s="40">
        <v>0</v>
      </c>
      <c r="L739" s="40">
        <v>0</v>
      </c>
      <c r="M739" s="40">
        <f t="shared" si="23"/>
        <v>0</v>
      </c>
      <c r="N739" s="40">
        <f t="shared" si="24"/>
        <v>0</v>
      </c>
    </row>
    <row r="740" spans="1:14" x14ac:dyDescent="0.35">
      <c r="A740" s="33">
        <v>737</v>
      </c>
      <c r="B740" s="34" t="s">
        <v>1112</v>
      </c>
      <c r="C740" s="33" t="s">
        <v>346</v>
      </c>
      <c r="D740" s="33" t="s">
        <v>50</v>
      </c>
      <c r="E740" s="33" t="s">
        <v>1106</v>
      </c>
      <c r="F740" s="35">
        <v>1</v>
      </c>
      <c r="G740" s="40">
        <v>0</v>
      </c>
      <c r="H740" s="40">
        <v>0</v>
      </c>
      <c r="I740" s="40">
        <v>0</v>
      </c>
      <c r="J740" s="40">
        <v>0</v>
      </c>
      <c r="K740" s="40">
        <v>0</v>
      </c>
      <c r="L740" s="40">
        <v>0</v>
      </c>
      <c r="M740" s="40">
        <f t="shared" si="23"/>
        <v>0</v>
      </c>
      <c r="N740" s="40">
        <f t="shared" si="24"/>
        <v>0</v>
      </c>
    </row>
    <row r="741" spans="1:14" x14ac:dyDescent="0.35">
      <c r="A741" s="33">
        <v>738</v>
      </c>
      <c r="B741" s="34" t="s">
        <v>945</v>
      </c>
      <c r="C741" s="33" t="s">
        <v>297</v>
      </c>
      <c r="D741" s="33" t="s">
        <v>50</v>
      </c>
      <c r="E741" s="33" t="s">
        <v>946</v>
      </c>
      <c r="F741" s="35">
        <v>1</v>
      </c>
      <c r="G741" s="40">
        <v>0</v>
      </c>
      <c r="H741" s="40">
        <v>0</v>
      </c>
      <c r="I741" s="40">
        <v>0</v>
      </c>
      <c r="J741" s="40">
        <v>0</v>
      </c>
      <c r="K741" s="40">
        <v>0</v>
      </c>
      <c r="L741" s="40">
        <v>0</v>
      </c>
      <c r="M741" s="40">
        <f t="shared" si="23"/>
        <v>0</v>
      </c>
      <c r="N741" s="40">
        <f t="shared" si="24"/>
        <v>0</v>
      </c>
    </row>
    <row r="742" spans="1:14" x14ac:dyDescent="0.35">
      <c r="A742" s="33">
        <v>739</v>
      </c>
      <c r="B742" s="34" t="s">
        <v>947</v>
      </c>
      <c r="C742" s="33" t="s">
        <v>297</v>
      </c>
      <c r="D742" s="33" t="s">
        <v>50</v>
      </c>
      <c r="E742" s="33" t="s">
        <v>946</v>
      </c>
      <c r="F742" s="35">
        <v>1</v>
      </c>
      <c r="G742" s="40">
        <v>0</v>
      </c>
      <c r="H742" s="40">
        <v>0</v>
      </c>
      <c r="I742" s="40">
        <v>0</v>
      </c>
      <c r="J742" s="40">
        <v>0</v>
      </c>
      <c r="K742" s="40">
        <v>0</v>
      </c>
      <c r="L742" s="40">
        <v>0</v>
      </c>
      <c r="M742" s="40">
        <f t="shared" si="23"/>
        <v>0</v>
      </c>
      <c r="N742" s="40">
        <f t="shared" si="24"/>
        <v>0</v>
      </c>
    </row>
    <row r="743" spans="1:14" x14ac:dyDescent="0.35">
      <c r="A743" s="33">
        <v>740</v>
      </c>
      <c r="B743" s="34" t="s">
        <v>948</v>
      </c>
      <c r="C743" s="33" t="s">
        <v>297</v>
      </c>
      <c r="D743" s="33" t="s">
        <v>50</v>
      </c>
      <c r="E743" s="33" t="s">
        <v>949</v>
      </c>
      <c r="F743" s="35">
        <v>1</v>
      </c>
      <c r="G743" s="40">
        <v>0</v>
      </c>
      <c r="H743" s="40">
        <v>0</v>
      </c>
      <c r="I743" s="40">
        <v>0</v>
      </c>
      <c r="J743" s="40">
        <v>0</v>
      </c>
      <c r="K743" s="40">
        <v>0</v>
      </c>
      <c r="L743" s="40">
        <v>0</v>
      </c>
      <c r="M743" s="40">
        <f t="shared" si="23"/>
        <v>0</v>
      </c>
      <c r="N743" s="40">
        <f t="shared" si="24"/>
        <v>0</v>
      </c>
    </row>
    <row r="744" spans="1:14" x14ac:dyDescent="0.35">
      <c r="A744" s="33">
        <v>741</v>
      </c>
      <c r="B744" s="34" t="s">
        <v>1113</v>
      </c>
      <c r="C744" s="33" t="s">
        <v>346</v>
      </c>
      <c r="D744" s="33" t="s">
        <v>50</v>
      </c>
      <c r="E744" s="33" t="s">
        <v>949</v>
      </c>
      <c r="F744" s="35">
        <v>0.25</v>
      </c>
      <c r="G744" s="40">
        <v>0</v>
      </c>
      <c r="H744" s="40">
        <v>0</v>
      </c>
      <c r="I744" s="40">
        <v>0</v>
      </c>
      <c r="J744" s="40">
        <v>0</v>
      </c>
      <c r="K744" s="40">
        <v>0</v>
      </c>
      <c r="L744" s="40">
        <v>0</v>
      </c>
      <c r="M744" s="40">
        <f t="shared" si="23"/>
        <v>0</v>
      </c>
      <c r="N744" s="40">
        <f t="shared" si="24"/>
        <v>0</v>
      </c>
    </row>
    <row r="745" spans="1:14" x14ac:dyDescent="0.35">
      <c r="A745" s="33">
        <v>742</v>
      </c>
      <c r="B745" s="34" t="s">
        <v>1114</v>
      </c>
      <c r="C745" s="33" t="s">
        <v>346</v>
      </c>
      <c r="D745" s="33" t="s">
        <v>50</v>
      </c>
      <c r="E745" s="33" t="s">
        <v>949</v>
      </c>
      <c r="F745" s="35">
        <v>0.2</v>
      </c>
      <c r="G745" s="40">
        <v>0</v>
      </c>
      <c r="H745" s="40">
        <v>0</v>
      </c>
      <c r="I745" s="40">
        <v>0</v>
      </c>
      <c r="J745" s="40">
        <v>0</v>
      </c>
      <c r="K745" s="40">
        <v>0</v>
      </c>
      <c r="L745" s="40">
        <v>0</v>
      </c>
      <c r="M745" s="40">
        <f t="shared" si="23"/>
        <v>0</v>
      </c>
      <c r="N745" s="40">
        <f t="shared" si="24"/>
        <v>0</v>
      </c>
    </row>
    <row r="746" spans="1:14" x14ac:dyDescent="0.35">
      <c r="A746" s="33">
        <v>743</v>
      </c>
      <c r="B746" s="34" t="s">
        <v>1115</v>
      </c>
      <c r="C746" s="33" t="s">
        <v>346</v>
      </c>
      <c r="D746" s="33" t="s">
        <v>50</v>
      </c>
      <c r="E746" s="33" t="s">
        <v>949</v>
      </c>
      <c r="F746" s="35">
        <v>0.25</v>
      </c>
      <c r="G746" s="40">
        <v>0</v>
      </c>
      <c r="H746" s="40">
        <v>0</v>
      </c>
      <c r="I746" s="40">
        <v>0</v>
      </c>
      <c r="J746" s="40">
        <v>0</v>
      </c>
      <c r="K746" s="40">
        <v>0</v>
      </c>
      <c r="L746" s="40">
        <v>0</v>
      </c>
      <c r="M746" s="40">
        <f t="shared" si="23"/>
        <v>0</v>
      </c>
      <c r="N746" s="40">
        <f t="shared" si="24"/>
        <v>0</v>
      </c>
    </row>
    <row r="747" spans="1:14" x14ac:dyDescent="0.35">
      <c r="A747" s="33">
        <v>744</v>
      </c>
      <c r="B747" s="34" t="s">
        <v>1116</v>
      </c>
      <c r="C747" s="33" t="s">
        <v>346</v>
      </c>
      <c r="D747" s="33" t="s">
        <v>50</v>
      </c>
      <c r="E747" s="33" t="s">
        <v>949</v>
      </c>
      <c r="F747" s="35">
        <v>0.5</v>
      </c>
      <c r="G747" s="40">
        <v>0</v>
      </c>
      <c r="H747" s="40">
        <v>0</v>
      </c>
      <c r="I747" s="40">
        <v>0</v>
      </c>
      <c r="J747" s="40">
        <v>0</v>
      </c>
      <c r="K747" s="40">
        <v>0</v>
      </c>
      <c r="L747" s="40">
        <v>0</v>
      </c>
      <c r="M747" s="40">
        <f t="shared" si="23"/>
        <v>0</v>
      </c>
      <c r="N747" s="40">
        <f t="shared" si="24"/>
        <v>0</v>
      </c>
    </row>
    <row r="748" spans="1:14" x14ac:dyDescent="0.35">
      <c r="A748" s="33">
        <v>745</v>
      </c>
      <c r="B748" s="34" t="s">
        <v>950</v>
      </c>
      <c r="C748" s="33" t="s">
        <v>297</v>
      </c>
      <c r="D748" s="33" t="s">
        <v>50</v>
      </c>
      <c r="E748" s="33" t="s">
        <v>951</v>
      </c>
      <c r="F748" s="35">
        <v>1</v>
      </c>
      <c r="G748" s="40">
        <v>0</v>
      </c>
      <c r="H748" s="40">
        <v>0</v>
      </c>
      <c r="I748" s="40">
        <v>0</v>
      </c>
      <c r="J748" s="40">
        <v>0</v>
      </c>
      <c r="K748" s="40">
        <v>0</v>
      </c>
      <c r="L748" s="40">
        <v>0</v>
      </c>
      <c r="M748" s="40">
        <f t="shared" si="23"/>
        <v>0</v>
      </c>
      <c r="N748" s="40">
        <f t="shared" si="24"/>
        <v>0</v>
      </c>
    </row>
    <row r="749" spans="1:14" x14ac:dyDescent="0.35">
      <c r="A749" s="33">
        <v>746</v>
      </c>
      <c r="B749" s="34" t="s">
        <v>952</v>
      </c>
      <c r="C749" s="33" t="s">
        <v>297</v>
      </c>
      <c r="D749" s="33" t="s">
        <v>50</v>
      </c>
      <c r="E749" s="33" t="s">
        <v>953</v>
      </c>
      <c r="F749" s="35">
        <v>1</v>
      </c>
      <c r="G749" s="40">
        <v>0</v>
      </c>
      <c r="H749" s="40">
        <v>0</v>
      </c>
      <c r="I749" s="40">
        <v>0</v>
      </c>
      <c r="J749" s="40">
        <v>0</v>
      </c>
      <c r="K749" s="40">
        <v>0</v>
      </c>
      <c r="L749" s="40">
        <v>0</v>
      </c>
      <c r="M749" s="40">
        <f t="shared" si="23"/>
        <v>0</v>
      </c>
      <c r="N749" s="40">
        <f t="shared" si="24"/>
        <v>0</v>
      </c>
    </row>
    <row r="750" spans="1:14" x14ac:dyDescent="0.35">
      <c r="A750" s="33">
        <v>747</v>
      </c>
      <c r="B750" s="34" t="s">
        <v>954</v>
      </c>
      <c r="C750" s="33" t="s">
        <v>297</v>
      </c>
      <c r="D750" s="33" t="s">
        <v>50</v>
      </c>
      <c r="E750" s="33" t="s">
        <v>953</v>
      </c>
      <c r="F750" s="35">
        <v>1</v>
      </c>
      <c r="G750" s="40">
        <v>0</v>
      </c>
      <c r="H750" s="40">
        <v>0</v>
      </c>
      <c r="I750" s="40">
        <v>0</v>
      </c>
      <c r="J750" s="40">
        <v>0</v>
      </c>
      <c r="K750" s="40">
        <v>0</v>
      </c>
      <c r="L750" s="40">
        <v>0</v>
      </c>
      <c r="M750" s="40">
        <f t="shared" si="23"/>
        <v>0</v>
      </c>
      <c r="N750" s="40">
        <f t="shared" si="24"/>
        <v>0</v>
      </c>
    </row>
    <row r="751" spans="1:14" x14ac:dyDescent="0.35">
      <c r="A751" s="33">
        <v>748</v>
      </c>
      <c r="B751" s="34" t="s">
        <v>955</v>
      </c>
      <c r="C751" s="33" t="s">
        <v>297</v>
      </c>
      <c r="D751" s="33" t="s">
        <v>50</v>
      </c>
      <c r="E751" s="33" t="s">
        <v>953</v>
      </c>
      <c r="F751" s="35">
        <v>1</v>
      </c>
      <c r="G751" s="40">
        <v>0</v>
      </c>
      <c r="H751" s="40">
        <v>0</v>
      </c>
      <c r="I751" s="40">
        <v>0</v>
      </c>
      <c r="J751" s="40">
        <v>0</v>
      </c>
      <c r="K751" s="40">
        <v>0</v>
      </c>
      <c r="L751" s="40">
        <v>0</v>
      </c>
      <c r="M751" s="40">
        <f t="shared" si="23"/>
        <v>0</v>
      </c>
      <c r="N751" s="40">
        <f t="shared" si="24"/>
        <v>0</v>
      </c>
    </row>
    <row r="752" spans="1:14" x14ac:dyDescent="0.35">
      <c r="A752" s="33">
        <v>749</v>
      </c>
      <c r="B752" s="34" t="s">
        <v>956</v>
      </c>
      <c r="C752" s="33" t="s">
        <v>297</v>
      </c>
      <c r="D752" s="33" t="s">
        <v>50</v>
      </c>
      <c r="E752" s="33" t="s">
        <v>953</v>
      </c>
      <c r="F752" s="35">
        <v>1</v>
      </c>
      <c r="G752" s="40">
        <v>0</v>
      </c>
      <c r="H752" s="40">
        <v>0</v>
      </c>
      <c r="I752" s="40">
        <v>0</v>
      </c>
      <c r="J752" s="40">
        <v>0</v>
      </c>
      <c r="K752" s="40">
        <v>0</v>
      </c>
      <c r="L752" s="40">
        <v>0</v>
      </c>
      <c r="M752" s="40">
        <f t="shared" si="23"/>
        <v>0</v>
      </c>
      <c r="N752" s="40">
        <f t="shared" si="24"/>
        <v>0</v>
      </c>
    </row>
    <row r="753" spans="1:14" x14ac:dyDescent="0.35">
      <c r="A753" s="33">
        <v>750</v>
      </c>
      <c r="B753" s="34" t="s">
        <v>2317</v>
      </c>
      <c r="C753" s="33" t="s">
        <v>346</v>
      </c>
      <c r="D753" s="33" t="s">
        <v>50</v>
      </c>
      <c r="E753" s="33" t="s">
        <v>953</v>
      </c>
      <c r="F753" s="35">
        <v>3.5000000000000003E-2</v>
      </c>
      <c r="G753" s="40">
        <v>0</v>
      </c>
      <c r="H753" s="40">
        <v>0</v>
      </c>
      <c r="I753" s="40">
        <v>0</v>
      </c>
      <c r="J753" s="40">
        <v>0</v>
      </c>
      <c r="K753" s="40">
        <v>0</v>
      </c>
      <c r="L753" s="40">
        <v>0</v>
      </c>
      <c r="M753" s="40">
        <f t="shared" si="23"/>
        <v>0</v>
      </c>
      <c r="N753" s="40">
        <f t="shared" si="24"/>
        <v>0</v>
      </c>
    </row>
    <row r="754" spans="1:14" x14ac:dyDescent="0.35">
      <c r="A754" s="33">
        <v>751</v>
      </c>
      <c r="B754" s="34" t="s">
        <v>1117</v>
      </c>
      <c r="C754" s="33" t="s">
        <v>346</v>
      </c>
      <c r="D754" s="33" t="s">
        <v>50</v>
      </c>
      <c r="E754" s="33" t="s">
        <v>953</v>
      </c>
      <c r="F754" s="35">
        <v>0.4</v>
      </c>
      <c r="G754" s="40">
        <v>0</v>
      </c>
      <c r="H754" s="40">
        <v>0</v>
      </c>
      <c r="I754" s="40">
        <v>0</v>
      </c>
      <c r="J754" s="40">
        <v>0</v>
      </c>
      <c r="K754" s="40">
        <v>0</v>
      </c>
      <c r="L754" s="40">
        <v>0</v>
      </c>
      <c r="M754" s="40">
        <f t="shared" si="23"/>
        <v>0</v>
      </c>
      <c r="N754" s="40">
        <f t="shared" si="24"/>
        <v>0</v>
      </c>
    </row>
    <row r="755" spans="1:14" x14ac:dyDescent="0.35">
      <c r="A755" s="33">
        <v>752</v>
      </c>
      <c r="B755" s="34" t="s">
        <v>1118</v>
      </c>
      <c r="C755" s="33" t="s">
        <v>346</v>
      </c>
      <c r="D755" s="33" t="s">
        <v>50</v>
      </c>
      <c r="E755" s="33" t="s">
        <v>953</v>
      </c>
      <c r="F755" s="35">
        <v>0.4</v>
      </c>
      <c r="G755" s="40">
        <v>0</v>
      </c>
      <c r="H755" s="40">
        <v>0</v>
      </c>
      <c r="I755" s="40">
        <v>0</v>
      </c>
      <c r="J755" s="40">
        <v>0</v>
      </c>
      <c r="K755" s="40">
        <v>0</v>
      </c>
      <c r="L755" s="40">
        <v>0</v>
      </c>
      <c r="M755" s="40">
        <f t="shared" si="23"/>
        <v>0</v>
      </c>
      <c r="N755" s="40">
        <f t="shared" si="24"/>
        <v>0</v>
      </c>
    </row>
    <row r="756" spans="1:14" x14ac:dyDescent="0.35">
      <c r="A756" s="33">
        <v>753</v>
      </c>
      <c r="B756" s="34" t="s">
        <v>1119</v>
      </c>
      <c r="C756" s="33" t="s">
        <v>346</v>
      </c>
      <c r="D756" s="33" t="s">
        <v>50</v>
      </c>
      <c r="E756" s="33" t="s">
        <v>953</v>
      </c>
      <c r="F756" s="35">
        <v>0.5</v>
      </c>
      <c r="G756" s="40">
        <v>0</v>
      </c>
      <c r="H756" s="40">
        <v>0</v>
      </c>
      <c r="I756" s="40">
        <v>0</v>
      </c>
      <c r="J756" s="40">
        <v>0</v>
      </c>
      <c r="K756" s="40">
        <v>0</v>
      </c>
      <c r="L756" s="40">
        <v>0</v>
      </c>
      <c r="M756" s="40">
        <f t="shared" si="23"/>
        <v>0</v>
      </c>
      <c r="N756" s="40">
        <f t="shared" si="24"/>
        <v>0</v>
      </c>
    </row>
    <row r="757" spans="1:14" x14ac:dyDescent="0.35">
      <c r="A757" s="33">
        <v>754</v>
      </c>
      <c r="B757" s="34" t="s">
        <v>1120</v>
      </c>
      <c r="C757" s="33" t="s">
        <v>346</v>
      </c>
      <c r="D757" s="33" t="s">
        <v>50</v>
      </c>
      <c r="E757" s="33" t="s">
        <v>953</v>
      </c>
      <c r="F757" s="35">
        <v>0.5</v>
      </c>
      <c r="G757" s="40">
        <v>0</v>
      </c>
      <c r="H757" s="40">
        <v>0</v>
      </c>
      <c r="I757" s="40">
        <v>0</v>
      </c>
      <c r="J757" s="40">
        <v>0</v>
      </c>
      <c r="K757" s="40">
        <v>0</v>
      </c>
      <c r="L757" s="40">
        <v>0</v>
      </c>
      <c r="M757" s="40">
        <f t="shared" si="23"/>
        <v>0</v>
      </c>
      <c r="N757" s="40">
        <f t="shared" si="24"/>
        <v>0</v>
      </c>
    </row>
    <row r="758" spans="1:14" x14ac:dyDescent="0.35">
      <c r="A758" s="33">
        <v>755</v>
      </c>
      <c r="B758" s="34" t="s">
        <v>1121</v>
      </c>
      <c r="C758" s="33" t="s">
        <v>346</v>
      </c>
      <c r="D758" s="33" t="s">
        <v>50</v>
      </c>
      <c r="E758" s="33" t="s">
        <v>953</v>
      </c>
      <c r="F758" s="35">
        <v>0.25</v>
      </c>
      <c r="G758" s="40">
        <v>0</v>
      </c>
      <c r="H758" s="40">
        <v>0</v>
      </c>
      <c r="I758" s="40">
        <v>0</v>
      </c>
      <c r="J758" s="40">
        <v>0</v>
      </c>
      <c r="K758" s="40">
        <v>0</v>
      </c>
      <c r="L758" s="40">
        <v>0</v>
      </c>
      <c r="M758" s="40">
        <f t="shared" si="23"/>
        <v>0</v>
      </c>
      <c r="N758" s="40">
        <f t="shared" si="24"/>
        <v>0</v>
      </c>
    </row>
    <row r="759" spans="1:14" x14ac:dyDescent="0.35">
      <c r="A759" s="33">
        <v>756</v>
      </c>
      <c r="B759" s="34" t="s">
        <v>1122</v>
      </c>
      <c r="C759" s="33" t="s">
        <v>346</v>
      </c>
      <c r="D759" s="33" t="s">
        <v>50</v>
      </c>
      <c r="E759" s="33" t="s">
        <v>953</v>
      </c>
      <c r="F759" s="35">
        <v>0.5</v>
      </c>
      <c r="G759" s="40">
        <v>0</v>
      </c>
      <c r="H759" s="40">
        <v>0</v>
      </c>
      <c r="I759" s="40">
        <v>0</v>
      </c>
      <c r="J759" s="40">
        <v>0</v>
      </c>
      <c r="K759" s="40">
        <v>0</v>
      </c>
      <c r="L759" s="40">
        <v>0</v>
      </c>
      <c r="M759" s="40">
        <f t="shared" si="23"/>
        <v>0</v>
      </c>
      <c r="N759" s="40">
        <f t="shared" si="24"/>
        <v>0</v>
      </c>
    </row>
    <row r="760" spans="1:14" x14ac:dyDescent="0.35">
      <c r="A760" s="33">
        <v>757</v>
      </c>
      <c r="B760" s="34" t="s">
        <v>1123</v>
      </c>
      <c r="C760" s="33" t="s">
        <v>346</v>
      </c>
      <c r="D760" s="33" t="s">
        <v>50</v>
      </c>
      <c r="E760" s="33" t="s">
        <v>953</v>
      </c>
      <c r="F760" s="35">
        <v>0.3</v>
      </c>
      <c r="G760" s="40">
        <v>0</v>
      </c>
      <c r="H760" s="40">
        <v>0</v>
      </c>
      <c r="I760" s="40">
        <v>0</v>
      </c>
      <c r="J760" s="40">
        <v>0</v>
      </c>
      <c r="K760" s="40">
        <v>0</v>
      </c>
      <c r="L760" s="40">
        <v>0</v>
      </c>
      <c r="M760" s="40">
        <f t="shared" si="23"/>
        <v>0</v>
      </c>
      <c r="N760" s="40">
        <f t="shared" si="24"/>
        <v>0</v>
      </c>
    </row>
    <row r="761" spans="1:14" x14ac:dyDescent="0.35">
      <c r="A761" s="33">
        <v>758</v>
      </c>
      <c r="B761" s="34" t="s">
        <v>1124</v>
      </c>
      <c r="C761" s="33" t="s">
        <v>346</v>
      </c>
      <c r="D761" s="33" t="s">
        <v>50</v>
      </c>
      <c r="E761" s="33" t="s">
        <v>953</v>
      </c>
      <c r="F761" s="35">
        <v>0.5</v>
      </c>
      <c r="G761" s="40">
        <v>0</v>
      </c>
      <c r="H761" s="40">
        <v>0</v>
      </c>
      <c r="I761" s="40">
        <v>0</v>
      </c>
      <c r="J761" s="40">
        <v>0</v>
      </c>
      <c r="K761" s="40">
        <v>0</v>
      </c>
      <c r="L761" s="40">
        <v>0</v>
      </c>
      <c r="M761" s="40">
        <f t="shared" si="23"/>
        <v>0</v>
      </c>
      <c r="N761" s="40">
        <f t="shared" si="24"/>
        <v>0</v>
      </c>
    </row>
    <row r="762" spans="1:14" x14ac:dyDescent="0.35">
      <c r="A762" s="33">
        <v>759</v>
      </c>
      <c r="B762" s="34" t="s">
        <v>1125</v>
      </c>
      <c r="C762" s="33" t="s">
        <v>346</v>
      </c>
      <c r="D762" s="33" t="s">
        <v>50</v>
      </c>
      <c r="E762" s="33" t="s">
        <v>953</v>
      </c>
      <c r="F762" s="35">
        <v>0.25</v>
      </c>
      <c r="G762" s="40">
        <v>0</v>
      </c>
      <c r="H762" s="40">
        <v>0</v>
      </c>
      <c r="I762" s="40">
        <v>0</v>
      </c>
      <c r="J762" s="40">
        <v>0</v>
      </c>
      <c r="K762" s="40">
        <v>0</v>
      </c>
      <c r="L762" s="40">
        <v>0</v>
      </c>
      <c r="M762" s="40">
        <f t="shared" si="23"/>
        <v>0</v>
      </c>
      <c r="N762" s="40">
        <f t="shared" si="24"/>
        <v>0</v>
      </c>
    </row>
    <row r="763" spans="1:14" x14ac:dyDescent="0.35">
      <c r="A763" s="33">
        <v>760</v>
      </c>
      <c r="B763" s="34" t="s">
        <v>1126</v>
      </c>
      <c r="C763" s="33" t="s">
        <v>346</v>
      </c>
      <c r="D763" s="33" t="s">
        <v>50</v>
      </c>
      <c r="E763" s="33" t="s">
        <v>953</v>
      </c>
      <c r="F763" s="35">
        <v>5</v>
      </c>
      <c r="G763" s="40">
        <v>0</v>
      </c>
      <c r="H763" s="40">
        <v>0</v>
      </c>
      <c r="I763" s="40">
        <v>0</v>
      </c>
      <c r="J763" s="40">
        <v>0</v>
      </c>
      <c r="K763" s="40">
        <v>0</v>
      </c>
      <c r="L763" s="40">
        <v>0</v>
      </c>
      <c r="M763" s="40">
        <f t="shared" si="23"/>
        <v>0</v>
      </c>
      <c r="N763" s="40">
        <f t="shared" si="24"/>
        <v>0</v>
      </c>
    </row>
    <row r="764" spans="1:14" x14ac:dyDescent="0.35">
      <c r="A764" s="33">
        <v>761</v>
      </c>
      <c r="B764" s="34" t="s">
        <v>1127</v>
      </c>
      <c r="C764" s="33" t="s">
        <v>346</v>
      </c>
      <c r="D764" s="33" t="s">
        <v>50</v>
      </c>
      <c r="E764" s="33" t="s">
        <v>953</v>
      </c>
      <c r="F764" s="35">
        <v>1.4999999999999999E-2</v>
      </c>
      <c r="G764" s="40">
        <v>0</v>
      </c>
      <c r="H764" s="40">
        <v>0</v>
      </c>
      <c r="I764" s="40">
        <v>0</v>
      </c>
      <c r="J764" s="40">
        <v>0</v>
      </c>
      <c r="K764" s="40">
        <v>0</v>
      </c>
      <c r="L764" s="40">
        <v>0</v>
      </c>
      <c r="M764" s="40">
        <f t="shared" si="23"/>
        <v>0</v>
      </c>
      <c r="N764" s="40">
        <f t="shared" si="24"/>
        <v>0</v>
      </c>
    </row>
    <row r="765" spans="1:14" x14ac:dyDescent="0.35">
      <c r="A765" s="33">
        <v>762</v>
      </c>
      <c r="B765" s="34" t="s">
        <v>1128</v>
      </c>
      <c r="C765" s="33" t="s">
        <v>346</v>
      </c>
      <c r="D765" s="33" t="s">
        <v>50</v>
      </c>
      <c r="E765" s="33" t="s">
        <v>953</v>
      </c>
      <c r="F765" s="35">
        <v>0.25</v>
      </c>
      <c r="G765" s="40">
        <v>0</v>
      </c>
      <c r="H765" s="40">
        <v>0</v>
      </c>
      <c r="I765" s="40">
        <v>0</v>
      </c>
      <c r="J765" s="40">
        <v>0</v>
      </c>
      <c r="K765" s="40">
        <v>0</v>
      </c>
      <c r="L765" s="40">
        <v>0</v>
      </c>
      <c r="M765" s="40">
        <f t="shared" si="23"/>
        <v>0</v>
      </c>
      <c r="N765" s="40">
        <f t="shared" si="24"/>
        <v>0</v>
      </c>
    </row>
    <row r="766" spans="1:14" x14ac:dyDescent="0.35">
      <c r="A766" s="33">
        <v>763</v>
      </c>
      <c r="B766" s="34" t="s">
        <v>1129</v>
      </c>
      <c r="C766" s="33" t="s">
        <v>346</v>
      </c>
      <c r="D766" s="33" t="s">
        <v>50</v>
      </c>
      <c r="E766" s="33" t="s">
        <v>953</v>
      </c>
      <c r="F766" s="35">
        <v>0.48</v>
      </c>
      <c r="G766" s="40">
        <v>0</v>
      </c>
      <c r="H766" s="40">
        <v>0</v>
      </c>
      <c r="I766" s="40">
        <v>0</v>
      </c>
      <c r="J766" s="40">
        <v>0</v>
      </c>
      <c r="K766" s="40">
        <v>0</v>
      </c>
      <c r="L766" s="40">
        <v>0</v>
      </c>
      <c r="M766" s="40">
        <f t="shared" si="23"/>
        <v>0</v>
      </c>
      <c r="N766" s="40">
        <f t="shared" si="24"/>
        <v>0</v>
      </c>
    </row>
    <row r="767" spans="1:14" x14ac:dyDescent="0.35">
      <c r="A767" s="33">
        <v>764</v>
      </c>
      <c r="B767" s="34" t="s">
        <v>957</v>
      </c>
      <c r="C767" s="33" t="s">
        <v>297</v>
      </c>
      <c r="D767" s="33" t="s">
        <v>50</v>
      </c>
      <c r="E767" s="33" t="s">
        <v>958</v>
      </c>
      <c r="F767" s="35">
        <v>1</v>
      </c>
      <c r="G767" s="40">
        <v>0</v>
      </c>
      <c r="H767" s="40">
        <v>0</v>
      </c>
      <c r="I767" s="40">
        <v>0</v>
      </c>
      <c r="J767" s="40">
        <v>0</v>
      </c>
      <c r="K767" s="40">
        <v>0</v>
      </c>
      <c r="L767" s="40">
        <v>0</v>
      </c>
      <c r="M767" s="40">
        <f t="shared" si="23"/>
        <v>0</v>
      </c>
      <c r="N767" s="40">
        <f t="shared" si="24"/>
        <v>0</v>
      </c>
    </row>
    <row r="768" spans="1:14" x14ac:dyDescent="0.35">
      <c r="A768" s="33">
        <v>765</v>
      </c>
      <c r="B768" s="34" t="s">
        <v>959</v>
      </c>
      <c r="C768" s="33" t="s">
        <v>297</v>
      </c>
      <c r="D768" s="33" t="s">
        <v>50</v>
      </c>
      <c r="E768" s="33" t="s">
        <v>958</v>
      </c>
      <c r="F768" s="35">
        <v>1</v>
      </c>
      <c r="G768" s="40">
        <v>0</v>
      </c>
      <c r="H768" s="40">
        <v>0</v>
      </c>
      <c r="I768" s="40">
        <v>0</v>
      </c>
      <c r="J768" s="40">
        <v>0</v>
      </c>
      <c r="K768" s="40">
        <v>0</v>
      </c>
      <c r="L768" s="40">
        <v>0</v>
      </c>
      <c r="M768" s="40">
        <f t="shared" si="23"/>
        <v>0</v>
      </c>
      <c r="N768" s="40">
        <f t="shared" si="24"/>
        <v>0</v>
      </c>
    </row>
    <row r="769" spans="1:14" x14ac:dyDescent="0.35">
      <c r="A769" s="33">
        <v>766</v>
      </c>
      <c r="B769" s="34" t="s">
        <v>960</v>
      </c>
      <c r="C769" s="33" t="s">
        <v>297</v>
      </c>
      <c r="D769" s="33" t="s">
        <v>50</v>
      </c>
      <c r="E769" s="33" t="s">
        <v>958</v>
      </c>
      <c r="F769" s="35">
        <v>1</v>
      </c>
      <c r="G769" s="40">
        <v>0</v>
      </c>
      <c r="H769" s="40">
        <v>0</v>
      </c>
      <c r="I769" s="40">
        <v>0</v>
      </c>
      <c r="J769" s="40">
        <v>0</v>
      </c>
      <c r="K769" s="40">
        <v>0</v>
      </c>
      <c r="L769" s="40">
        <v>0</v>
      </c>
      <c r="M769" s="40">
        <f t="shared" si="23"/>
        <v>0</v>
      </c>
      <c r="N769" s="40">
        <f t="shared" si="24"/>
        <v>0</v>
      </c>
    </row>
    <row r="770" spans="1:14" x14ac:dyDescent="0.35">
      <c r="A770" s="33">
        <v>767</v>
      </c>
      <c r="B770" s="34" t="s">
        <v>1130</v>
      </c>
      <c r="C770" s="33" t="s">
        <v>346</v>
      </c>
      <c r="D770" s="33" t="s">
        <v>50</v>
      </c>
      <c r="E770" s="33" t="s">
        <v>958</v>
      </c>
      <c r="F770" s="35">
        <v>1</v>
      </c>
      <c r="G770" s="40">
        <v>0</v>
      </c>
      <c r="H770" s="40">
        <v>0</v>
      </c>
      <c r="I770" s="40">
        <v>0</v>
      </c>
      <c r="J770" s="40">
        <v>0</v>
      </c>
      <c r="K770" s="40">
        <v>0</v>
      </c>
      <c r="L770" s="40">
        <v>0</v>
      </c>
      <c r="M770" s="40">
        <f t="shared" si="23"/>
        <v>0</v>
      </c>
      <c r="N770" s="40">
        <f t="shared" si="24"/>
        <v>0</v>
      </c>
    </row>
    <row r="771" spans="1:14" x14ac:dyDescent="0.35">
      <c r="A771" s="33">
        <v>768</v>
      </c>
      <c r="B771" s="34" t="s">
        <v>1131</v>
      </c>
      <c r="C771" s="33" t="s">
        <v>346</v>
      </c>
      <c r="D771" s="33" t="s">
        <v>50</v>
      </c>
      <c r="E771" s="33" t="s">
        <v>958</v>
      </c>
      <c r="F771" s="35">
        <v>0.5</v>
      </c>
      <c r="G771" s="40">
        <v>0</v>
      </c>
      <c r="H771" s="40">
        <v>0</v>
      </c>
      <c r="I771" s="40">
        <v>0</v>
      </c>
      <c r="J771" s="40">
        <v>0</v>
      </c>
      <c r="K771" s="40">
        <v>0</v>
      </c>
      <c r="L771" s="40">
        <v>0</v>
      </c>
      <c r="M771" s="40">
        <f t="shared" si="23"/>
        <v>0</v>
      </c>
      <c r="N771" s="40">
        <f t="shared" si="24"/>
        <v>0</v>
      </c>
    </row>
    <row r="772" spans="1:14" x14ac:dyDescent="0.35">
      <c r="A772" s="33">
        <v>769</v>
      </c>
      <c r="B772" s="34" t="s">
        <v>1132</v>
      </c>
      <c r="C772" s="33" t="s">
        <v>346</v>
      </c>
      <c r="D772" s="33" t="s">
        <v>50</v>
      </c>
      <c r="E772" s="33" t="s">
        <v>958</v>
      </c>
      <c r="F772" s="35">
        <v>1</v>
      </c>
      <c r="G772" s="40">
        <v>0</v>
      </c>
      <c r="H772" s="40">
        <v>0</v>
      </c>
      <c r="I772" s="40">
        <v>0</v>
      </c>
      <c r="J772" s="40">
        <v>0</v>
      </c>
      <c r="K772" s="40">
        <v>0</v>
      </c>
      <c r="L772" s="40">
        <v>0</v>
      </c>
      <c r="M772" s="40">
        <f t="shared" si="23"/>
        <v>0</v>
      </c>
      <c r="N772" s="40">
        <f t="shared" si="24"/>
        <v>0</v>
      </c>
    </row>
    <row r="773" spans="1:14" x14ac:dyDescent="0.35">
      <c r="A773" s="33">
        <v>770</v>
      </c>
      <c r="B773" s="34" t="s">
        <v>73</v>
      </c>
      <c r="C773" s="33" t="s">
        <v>346</v>
      </c>
      <c r="D773" s="33" t="s">
        <v>50</v>
      </c>
      <c r="E773" s="33" t="s">
        <v>958</v>
      </c>
      <c r="F773" s="35">
        <v>0.5</v>
      </c>
      <c r="G773" s="40">
        <v>3062</v>
      </c>
      <c r="H773" s="40">
        <v>1531</v>
      </c>
      <c r="I773" s="40">
        <v>0</v>
      </c>
      <c r="J773" s="40">
        <v>0</v>
      </c>
      <c r="K773" s="40">
        <v>1811</v>
      </c>
      <c r="L773" s="40">
        <v>905.5</v>
      </c>
      <c r="M773" s="40">
        <f t="shared" ref="M773:M836" si="25">G773+I773+K773</f>
        <v>4873</v>
      </c>
      <c r="N773" s="40">
        <f t="shared" ref="N773:N836" si="26">H773+J773+L773</f>
        <v>2436.5</v>
      </c>
    </row>
    <row r="774" spans="1:14" x14ac:dyDescent="0.35">
      <c r="A774" s="33">
        <v>771</v>
      </c>
      <c r="B774" s="34" t="s">
        <v>961</v>
      </c>
      <c r="C774" s="33" t="s">
        <v>297</v>
      </c>
      <c r="D774" s="33" t="s">
        <v>50</v>
      </c>
      <c r="E774" s="33" t="s">
        <v>962</v>
      </c>
      <c r="F774" s="35">
        <v>1</v>
      </c>
      <c r="G774" s="40">
        <v>0</v>
      </c>
      <c r="H774" s="40">
        <v>0</v>
      </c>
      <c r="I774" s="40">
        <v>0</v>
      </c>
      <c r="J774" s="40">
        <v>0</v>
      </c>
      <c r="K774" s="40">
        <v>0</v>
      </c>
      <c r="L774" s="40">
        <v>0</v>
      </c>
      <c r="M774" s="40">
        <f t="shared" si="25"/>
        <v>0</v>
      </c>
      <c r="N774" s="40">
        <f t="shared" si="26"/>
        <v>0</v>
      </c>
    </row>
    <row r="775" spans="1:14" x14ac:dyDescent="0.35">
      <c r="A775" s="33">
        <v>772</v>
      </c>
      <c r="B775" s="34" t="s">
        <v>963</v>
      </c>
      <c r="C775" s="33" t="s">
        <v>297</v>
      </c>
      <c r="D775" s="33" t="s">
        <v>50</v>
      </c>
      <c r="E775" s="33" t="s">
        <v>962</v>
      </c>
      <c r="F775" s="35">
        <v>1</v>
      </c>
      <c r="G775" s="40">
        <v>0</v>
      </c>
      <c r="H775" s="40">
        <v>0</v>
      </c>
      <c r="I775" s="40">
        <v>0</v>
      </c>
      <c r="J775" s="40">
        <v>0</v>
      </c>
      <c r="K775" s="40">
        <v>0</v>
      </c>
      <c r="L775" s="40">
        <v>0</v>
      </c>
      <c r="M775" s="40">
        <f t="shared" si="25"/>
        <v>0</v>
      </c>
      <c r="N775" s="40">
        <f t="shared" si="26"/>
        <v>0</v>
      </c>
    </row>
    <row r="776" spans="1:14" x14ac:dyDescent="0.35">
      <c r="A776" s="33">
        <v>773</v>
      </c>
      <c r="B776" s="34" t="s">
        <v>964</v>
      </c>
      <c r="C776" s="33" t="s">
        <v>297</v>
      </c>
      <c r="D776" s="33" t="s">
        <v>50</v>
      </c>
      <c r="E776" s="33" t="s">
        <v>962</v>
      </c>
      <c r="F776" s="35">
        <v>1</v>
      </c>
      <c r="G776" s="40">
        <v>0</v>
      </c>
      <c r="H776" s="40">
        <v>0</v>
      </c>
      <c r="I776" s="40">
        <v>0</v>
      </c>
      <c r="J776" s="40">
        <v>0</v>
      </c>
      <c r="K776" s="40">
        <v>0</v>
      </c>
      <c r="L776" s="40">
        <v>0</v>
      </c>
      <c r="M776" s="40">
        <f t="shared" si="25"/>
        <v>0</v>
      </c>
      <c r="N776" s="40">
        <f t="shared" si="26"/>
        <v>0</v>
      </c>
    </row>
    <row r="777" spans="1:14" x14ac:dyDescent="0.35">
      <c r="A777" s="33">
        <v>774</v>
      </c>
      <c r="B777" s="34" t="s">
        <v>1133</v>
      </c>
      <c r="C777" s="33" t="s">
        <v>346</v>
      </c>
      <c r="D777" s="33" t="s">
        <v>50</v>
      </c>
      <c r="E777" s="33" t="s">
        <v>962</v>
      </c>
      <c r="F777" s="35">
        <v>1</v>
      </c>
      <c r="G777" s="40">
        <v>0</v>
      </c>
      <c r="H777" s="40">
        <v>0</v>
      </c>
      <c r="I777" s="40">
        <v>0</v>
      </c>
      <c r="J777" s="40">
        <v>0</v>
      </c>
      <c r="K777" s="40">
        <v>0</v>
      </c>
      <c r="L777" s="40">
        <v>0</v>
      </c>
      <c r="M777" s="40">
        <f t="shared" si="25"/>
        <v>0</v>
      </c>
      <c r="N777" s="40">
        <f t="shared" si="26"/>
        <v>0</v>
      </c>
    </row>
    <row r="778" spans="1:14" x14ac:dyDescent="0.35">
      <c r="A778" s="33">
        <v>775</v>
      </c>
      <c r="B778" s="34" t="s">
        <v>1134</v>
      </c>
      <c r="C778" s="33" t="s">
        <v>346</v>
      </c>
      <c r="D778" s="33" t="s">
        <v>50</v>
      </c>
      <c r="E778" s="33" t="s">
        <v>962</v>
      </c>
      <c r="F778" s="35">
        <v>0.35</v>
      </c>
      <c r="G778" s="40">
        <v>0</v>
      </c>
      <c r="H778" s="40">
        <v>0</v>
      </c>
      <c r="I778" s="40">
        <v>0</v>
      </c>
      <c r="J778" s="40">
        <v>0</v>
      </c>
      <c r="K778" s="40">
        <v>0</v>
      </c>
      <c r="L778" s="40">
        <v>0</v>
      </c>
      <c r="M778" s="40">
        <f t="shared" si="25"/>
        <v>0</v>
      </c>
      <c r="N778" s="40">
        <f t="shared" si="26"/>
        <v>0</v>
      </c>
    </row>
    <row r="779" spans="1:14" x14ac:dyDescent="0.35">
      <c r="A779" s="33">
        <v>776</v>
      </c>
      <c r="B779" s="34" t="s">
        <v>52</v>
      </c>
      <c r="C779" s="33" t="s">
        <v>346</v>
      </c>
      <c r="D779" s="33" t="s">
        <v>50</v>
      </c>
      <c r="E779" s="33" t="s">
        <v>962</v>
      </c>
      <c r="F779" s="35">
        <v>0.5</v>
      </c>
      <c r="G779" s="40">
        <v>2656</v>
      </c>
      <c r="H779" s="40">
        <v>1328</v>
      </c>
      <c r="I779" s="40">
        <v>0</v>
      </c>
      <c r="J779" s="40">
        <v>0</v>
      </c>
      <c r="K779" s="40">
        <v>0</v>
      </c>
      <c r="L779" s="40">
        <v>0</v>
      </c>
      <c r="M779" s="40">
        <f t="shared" si="25"/>
        <v>2656</v>
      </c>
      <c r="N779" s="40">
        <f t="shared" si="26"/>
        <v>1328</v>
      </c>
    </row>
    <row r="780" spans="1:14" x14ac:dyDescent="0.35">
      <c r="A780" s="33">
        <v>777</v>
      </c>
      <c r="B780" s="34" t="s">
        <v>1135</v>
      </c>
      <c r="C780" s="33" t="s">
        <v>346</v>
      </c>
      <c r="D780" s="33" t="s">
        <v>50</v>
      </c>
      <c r="E780" s="33" t="s">
        <v>962</v>
      </c>
      <c r="F780" s="35">
        <v>0.25</v>
      </c>
      <c r="G780" s="40">
        <v>0</v>
      </c>
      <c r="H780" s="40">
        <v>0</v>
      </c>
      <c r="I780" s="40">
        <v>0</v>
      </c>
      <c r="J780" s="40">
        <v>0</v>
      </c>
      <c r="K780" s="40">
        <v>0</v>
      </c>
      <c r="L780" s="40">
        <v>0</v>
      </c>
      <c r="M780" s="40">
        <f t="shared" si="25"/>
        <v>0</v>
      </c>
      <c r="N780" s="40">
        <f t="shared" si="26"/>
        <v>0</v>
      </c>
    </row>
    <row r="781" spans="1:14" x14ac:dyDescent="0.35">
      <c r="A781" s="33">
        <v>778</v>
      </c>
      <c r="B781" s="34" t="s">
        <v>1136</v>
      </c>
      <c r="C781" s="33" t="s">
        <v>346</v>
      </c>
      <c r="D781" s="33" t="s">
        <v>50</v>
      </c>
      <c r="E781" s="33" t="s">
        <v>962</v>
      </c>
      <c r="F781" s="35">
        <v>0.35</v>
      </c>
      <c r="G781" s="40">
        <v>0</v>
      </c>
      <c r="H781" s="40">
        <v>0</v>
      </c>
      <c r="I781" s="40">
        <v>0</v>
      </c>
      <c r="J781" s="40">
        <v>0</v>
      </c>
      <c r="K781" s="40">
        <v>0</v>
      </c>
      <c r="L781" s="40">
        <v>0</v>
      </c>
      <c r="M781" s="40">
        <f t="shared" si="25"/>
        <v>0</v>
      </c>
      <c r="N781" s="40">
        <f t="shared" si="26"/>
        <v>0</v>
      </c>
    </row>
    <row r="782" spans="1:14" x14ac:dyDescent="0.35">
      <c r="A782" s="33">
        <v>779</v>
      </c>
      <c r="B782" s="34" t="s">
        <v>1137</v>
      </c>
      <c r="C782" s="33" t="s">
        <v>346</v>
      </c>
      <c r="D782" s="33" t="s">
        <v>50</v>
      </c>
      <c r="E782" s="33" t="s">
        <v>962</v>
      </c>
      <c r="F782" s="35">
        <v>0.25</v>
      </c>
      <c r="G782" s="40">
        <v>0</v>
      </c>
      <c r="H782" s="40">
        <v>0</v>
      </c>
      <c r="I782" s="40">
        <v>0</v>
      </c>
      <c r="J782" s="40">
        <v>0</v>
      </c>
      <c r="K782" s="40">
        <v>0</v>
      </c>
      <c r="L782" s="40">
        <v>0</v>
      </c>
      <c r="M782" s="40">
        <f t="shared" si="25"/>
        <v>0</v>
      </c>
      <c r="N782" s="40">
        <f t="shared" si="26"/>
        <v>0</v>
      </c>
    </row>
    <row r="783" spans="1:14" x14ac:dyDescent="0.35">
      <c r="A783" s="33">
        <v>780</v>
      </c>
      <c r="B783" s="34" t="s">
        <v>1138</v>
      </c>
      <c r="C783" s="33" t="s">
        <v>346</v>
      </c>
      <c r="D783" s="33" t="s">
        <v>50</v>
      </c>
      <c r="E783" s="33" t="s">
        <v>962</v>
      </c>
      <c r="F783" s="35">
        <v>0.5</v>
      </c>
      <c r="G783" s="40">
        <v>0</v>
      </c>
      <c r="H783" s="40">
        <v>0</v>
      </c>
      <c r="I783" s="40">
        <v>0</v>
      </c>
      <c r="J783" s="40">
        <v>0</v>
      </c>
      <c r="K783" s="40">
        <v>0</v>
      </c>
      <c r="L783" s="40">
        <v>0</v>
      </c>
      <c r="M783" s="40">
        <f t="shared" si="25"/>
        <v>0</v>
      </c>
      <c r="N783" s="40">
        <f t="shared" si="26"/>
        <v>0</v>
      </c>
    </row>
    <row r="784" spans="1:14" x14ac:dyDescent="0.35">
      <c r="A784" s="33">
        <v>781</v>
      </c>
      <c r="B784" s="34" t="s">
        <v>965</v>
      </c>
      <c r="C784" s="33" t="s">
        <v>297</v>
      </c>
      <c r="D784" s="33" t="s">
        <v>50</v>
      </c>
      <c r="E784" s="33" t="s">
        <v>966</v>
      </c>
      <c r="F784" s="35">
        <v>1</v>
      </c>
      <c r="G784" s="40">
        <v>0</v>
      </c>
      <c r="H784" s="40">
        <v>0</v>
      </c>
      <c r="I784" s="40">
        <v>0</v>
      </c>
      <c r="J784" s="40">
        <v>0</v>
      </c>
      <c r="K784" s="40">
        <v>0</v>
      </c>
      <c r="L784" s="40">
        <v>0</v>
      </c>
      <c r="M784" s="40">
        <f t="shared" si="25"/>
        <v>0</v>
      </c>
      <c r="N784" s="40">
        <f t="shared" si="26"/>
        <v>0</v>
      </c>
    </row>
    <row r="785" spans="1:14" x14ac:dyDescent="0.35">
      <c r="A785" s="33">
        <v>782</v>
      </c>
      <c r="B785" s="34" t="s">
        <v>967</v>
      </c>
      <c r="C785" s="33" t="s">
        <v>297</v>
      </c>
      <c r="D785" s="33" t="s">
        <v>50</v>
      </c>
      <c r="E785" s="33" t="s">
        <v>968</v>
      </c>
      <c r="F785" s="35">
        <v>1</v>
      </c>
      <c r="G785" s="40">
        <v>0</v>
      </c>
      <c r="H785" s="40">
        <v>0</v>
      </c>
      <c r="I785" s="40">
        <v>0</v>
      </c>
      <c r="J785" s="40">
        <v>0</v>
      </c>
      <c r="K785" s="40">
        <v>0</v>
      </c>
      <c r="L785" s="40">
        <v>0</v>
      </c>
      <c r="M785" s="40">
        <f t="shared" si="25"/>
        <v>0</v>
      </c>
      <c r="N785" s="40">
        <f t="shared" si="26"/>
        <v>0</v>
      </c>
    </row>
    <row r="786" spans="1:14" x14ac:dyDescent="0.35">
      <c r="A786" s="33">
        <v>783</v>
      </c>
      <c r="B786" s="34" t="s">
        <v>1139</v>
      </c>
      <c r="C786" s="33" t="s">
        <v>346</v>
      </c>
      <c r="D786" s="33" t="s">
        <v>50</v>
      </c>
      <c r="E786" s="33" t="s">
        <v>968</v>
      </c>
      <c r="F786" s="35">
        <v>0.3</v>
      </c>
      <c r="G786" s="40">
        <v>0</v>
      </c>
      <c r="H786" s="40">
        <v>0</v>
      </c>
      <c r="I786" s="40">
        <v>0</v>
      </c>
      <c r="J786" s="40">
        <v>0</v>
      </c>
      <c r="K786" s="40">
        <v>0</v>
      </c>
      <c r="L786" s="40">
        <v>0</v>
      </c>
      <c r="M786" s="40">
        <f t="shared" si="25"/>
        <v>0</v>
      </c>
      <c r="N786" s="40">
        <f t="shared" si="26"/>
        <v>0</v>
      </c>
    </row>
    <row r="787" spans="1:14" x14ac:dyDescent="0.35">
      <c r="A787" s="33">
        <v>784</v>
      </c>
      <c r="B787" s="34" t="s">
        <v>969</v>
      </c>
      <c r="C787" s="33" t="s">
        <v>297</v>
      </c>
      <c r="D787" s="33" t="s">
        <v>50</v>
      </c>
      <c r="E787" s="33" t="s">
        <v>970</v>
      </c>
      <c r="F787" s="35">
        <v>1</v>
      </c>
      <c r="G787" s="40">
        <v>0</v>
      </c>
      <c r="H787" s="40">
        <v>0</v>
      </c>
      <c r="I787" s="40">
        <v>0</v>
      </c>
      <c r="J787" s="40">
        <v>0</v>
      </c>
      <c r="K787" s="40">
        <v>0</v>
      </c>
      <c r="L787" s="40">
        <v>0</v>
      </c>
      <c r="M787" s="40">
        <f t="shared" si="25"/>
        <v>0</v>
      </c>
      <c r="N787" s="40">
        <f t="shared" si="26"/>
        <v>0</v>
      </c>
    </row>
    <row r="788" spans="1:14" x14ac:dyDescent="0.35">
      <c r="A788" s="33">
        <v>785</v>
      </c>
      <c r="B788" s="34" t="s">
        <v>971</v>
      </c>
      <c r="C788" s="33" t="s">
        <v>297</v>
      </c>
      <c r="D788" s="33" t="s">
        <v>50</v>
      </c>
      <c r="E788" s="33" t="s">
        <v>972</v>
      </c>
      <c r="F788" s="35">
        <v>1</v>
      </c>
      <c r="G788" s="40">
        <v>0</v>
      </c>
      <c r="H788" s="40">
        <v>0</v>
      </c>
      <c r="I788" s="40">
        <v>0</v>
      </c>
      <c r="J788" s="40">
        <v>0</v>
      </c>
      <c r="K788" s="40">
        <v>0</v>
      </c>
      <c r="L788" s="40">
        <v>0</v>
      </c>
      <c r="M788" s="40">
        <f t="shared" si="25"/>
        <v>0</v>
      </c>
      <c r="N788" s="40">
        <f t="shared" si="26"/>
        <v>0</v>
      </c>
    </row>
    <row r="789" spans="1:14" x14ac:dyDescent="0.35">
      <c r="A789" s="33">
        <v>786</v>
      </c>
      <c r="B789" s="34" t="s">
        <v>1140</v>
      </c>
      <c r="C789" s="33" t="s">
        <v>346</v>
      </c>
      <c r="D789" s="33" t="s">
        <v>50</v>
      </c>
      <c r="E789" s="33" t="s">
        <v>972</v>
      </c>
      <c r="F789" s="35">
        <v>0.5</v>
      </c>
      <c r="G789" s="40">
        <v>0</v>
      </c>
      <c r="H789" s="40">
        <v>0</v>
      </c>
      <c r="I789" s="40">
        <v>0</v>
      </c>
      <c r="J789" s="40">
        <v>0</v>
      </c>
      <c r="K789" s="40">
        <v>0</v>
      </c>
      <c r="L789" s="40">
        <v>0</v>
      </c>
      <c r="M789" s="40">
        <f t="shared" si="25"/>
        <v>0</v>
      </c>
      <c r="N789" s="40">
        <f t="shared" si="26"/>
        <v>0</v>
      </c>
    </row>
    <row r="790" spans="1:14" x14ac:dyDescent="0.35">
      <c r="A790" s="33">
        <v>787</v>
      </c>
      <c r="B790" s="34" t="s">
        <v>973</v>
      </c>
      <c r="C790" s="33" t="s">
        <v>297</v>
      </c>
      <c r="D790" s="33" t="s">
        <v>50</v>
      </c>
      <c r="E790" s="33" t="s">
        <v>974</v>
      </c>
      <c r="F790" s="35">
        <v>1</v>
      </c>
      <c r="G790" s="40">
        <v>0</v>
      </c>
      <c r="H790" s="40">
        <v>0</v>
      </c>
      <c r="I790" s="40">
        <v>0</v>
      </c>
      <c r="J790" s="40">
        <v>0</v>
      </c>
      <c r="K790" s="40">
        <v>0</v>
      </c>
      <c r="L790" s="40">
        <v>0</v>
      </c>
      <c r="M790" s="40">
        <f t="shared" si="25"/>
        <v>0</v>
      </c>
      <c r="N790" s="40">
        <f t="shared" si="26"/>
        <v>0</v>
      </c>
    </row>
    <row r="791" spans="1:14" x14ac:dyDescent="0.35">
      <c r="A791" s="33">
        <v>788</v>
      </c>
      <c r="B791" s="34" t="s">
        <v>1141</v>
      </c>
      <c r="C791" s="33" t="s">
        <v>346</v>
      </c>
      <c r="D791" s="33" t="s">
        <v>50</v>
      </c>
      <c r="E791" s="33" t="s">
        <v>974</v>
      </c>
      <c r="F791" s="35">
        <v>0.3</v>
      </c>
      <c r="G791" s="40">
        <v>0</v>
      </c>
      <c r="H791" s="40">
        <v>0</v>
      </c>
      <c r="I791" s="40">
        <v>0</v>
      </c>
      <c r="J791" s="40">
        <v>0</v>
      </c>
      <c r="K791" s="40">
        <v>0</v>
      </c>
      <c r="L791" s="40">
        <v>0</v>
      </c>
      <c r="M791" s="40">
        <f t="shared" si="25"/>
        <v>0</v>
      </c>
      <c r="N791" s="40">
        <f t="shared" si="26"/>
        <v>0</v>
      </c>
    </row>
    <row r="792" spans="1:14" x14ac:dyDescent="0.35">
      <c r="A792" s="33">
        <v>789</v>
      </c>
      <c r="B792" s="34" t="s">
        <v>204</v>
      </c>
      <c r="C792" s="33" t="s">
        <v>297</v>
      </c>
      <c r="D792" s="33" t="s">
        <v>50</v>
      </c>
      <c r="E792" s="33" t="s">
        <v>975</v>
      </c>
      <c r="F792" s="35">
        <v>1.1499999999999999</v>
      </c>
      <c r="G792" s="40">
        <v>0</v>
      </c>
      <c r="H792" s="40">
        <v>0</v>
      </c>
      <c r="I792" s="40">
        <v>0</v>
      </c>
      <c r="J792" s="40">
        <v>0</v>
      </c>
      <c r="K792" s="40">
        <v>0</v>
      </c>
      <c r="L792" s="40">
        <v>0</v>
      </c>
      <c r="M792" s="40">
        <f t="shared" si="25"/>
        <v>0</v>
      </c>
      <c r="N792" s="40">
        <f t="shared" si="26"/>
        <v>0</v>
      </c>
    </row>
    <row r="793" spans="1:14" x14ac:dyDescent="0.35">
      <c r="A793" s="33">
        <v>790</v>
      </c>
      <c r="B793" s="34" t="s">
        <v>976</v>
      </c>
      <c r="C793" s="33" t="s">
        <v>297</v>
      </c>
      <c r="D793" s="33" t="s">
        <v>50</v>
      </c>
      <c r="E793" s="33" t="s">
        <v>975</v>
      </c>
      <c r="F793" s="35">
        <v>1</v>
      </c>
      <c r="G793" s="40">
        <v>0</v>
      </c>
      <c r="H793" s="40">
        <v>0</v>
      </c>
      <c r="I793" s="40">
        <v>0</v>
      </c>
      <c r="J793" s="40">
        <v>0</v>
      </c>
      <c r="K793" s="40">
        <v>0</v>
      </c>
      <c r="L793" s="40">
        <v>0</v>
      </c>
      <c r="M793" s="40">
        <f t="shared" si="25"/>
        <v>0</v>
      </c>
      <c r="N793" s="40">
        <f t="shared" si="26"/>
        <v>0</v>
      </c>
    </row>
    <row r="794" spans="1:14" x14ac:dyDescent="0.35">
      <c r="A794" s="33">
        <v>791</v>
      </c>
      <c r="B794" s="34" t="s">
        <v>977</v>
      </c>
      <c r="C794" s="33" t="s">
        <v>297</v>
      </c>
      <c r="D794" s="33" t="s">
        <v>50</v>
      </c>
      <c r="E794" s="33" t="s">
        <v>975</v>
      </c>
      <c r="F794" s="35">
        <v>0.4</v>
      </c>
      <c r="G794" s="40">
        <v>0</v>
      </c>
      <c r="H794" s="40">
        <v>0</v>
      </c>
      <c r="I794" s="40">
        <v>0</v>
      </c>
      <c r="J794" s="40">
        <v>0</v>
      </c>
      <c r="K794" s="40">
        <v>0</v>
      </c>
      <c r="L794" s="40">
        <v>0</v>
      </c>
      <c r="M794" s="40">
        <f t="shared" si="25"/>
        <v>0</v>
      </c>
      <c r="N794" s="40">
        <f t="shared" si="26"/>
        <v>0</v>
      </c>
    </row>
    <row r="795" spans="1:14" x14ac:dyDescent="0.35">
      <c r="A795" s="33">
        <v>792</v>
      </c>
      <c r="B795" s="34" t="s">
        <v>978</v>
      </c>
      <c r="C795" s="33" t="s">
        <v>297</v>
      </c>
      <c r="D795" s="33" t="s">
        <v>50</v>
      </c>
      <c r="E795" s="33" t="s">
        <v>979</v>
      </c>
      <c r="F795" s="35">
        <v>1</v>
      </c>
      <c r="G795" s="40">
        <v>0</v>
      </c>
      <c r="H795" s="40">
        <v>0</v>
      </c>
      <c r="I795" s="40">
        <v>0</v>
      </c>
      <c r="J795" s="40">
        <v>0</v>
      </c>
      <c r="K795" s="40">
        <v>0</v>
      </c>
      <c r="L795" s="40">
        <v>0</v>
      </c>
      <c r="M795" s="40">
        <f t="shared" si="25"/>
        <v>0</v>
      </c>
      <c r="N795" s="40">
        <f t="shared" si="26"/>
        <v>0</v>
      </c>
    </row>
    <row r="796" spans="1:14" x14ac:dyDescent="0.35">
      <c r="A796" s="33">
        <v>793</v>
      </c>
      <c r="B796" s="34" t="s">
        <v>980</v>
      </c>
      <c r="C796" s="33" t="s">
        <v>297</v>
      </c>
      <c r="D796" s="33" t="s">
        <v>50</v>
      </c>
      <c r="E796" s="33" t="s">
        <v>979</v>
      </c>
      <c r="F796" s="35">
        <v>1</v>
      </c>
      <c r="G796" s="40">
        <v>0</v>
      </c>
      <c r="H796" s="40">
        <v>0</v>
      </c>
      <c r="I796" s="40">
        <v>0</v>
      </c>
      <c r="J796" s="40">
        <v>0</v>
      </c>
      <c r="K796" s="40">
        <v>0</v>
      </c>
      <c r="L796" s="40">
        <v>0</v>
      </c>
      <c r="M796" s="40">
        <f t="shared" si="25"/>
        <v>0</v>
      </c>
      <c r="N796" s="40">
        <f t="shared" si="26"/>
        <v>0</v>
      </c>
    </row>
    <row r="797" spans="1:14" x14ac:dyDescent="0.35">
      <c r="A797" s="33">
        <v>794</v>
      </c>
      <c r="B797" s="34" t="s">
        <v>981</v>
      </c>
      <c r="C797" s="33" t="s">
        <v>297</v>
      </c>
      <c r="D797" s="33" t="s">
        <v>50</v>
      </c>
      <c r="E797" s="33" t="s">
        <v>982</v>
      </c>
      <c r="F797" s="35">
        <v>1</v>
      </c>
      <c r="G797" s="40">
        <v>0</v>
      </c>
      <c r="H797" s="40">
        <v>0</v>
      </c>
      <c r="I797" s="40">
        <v>0</v>
      </c>
      <c r="J797" s="40">
        <v>0</v>
      </c>
      <c r="K797" s="40">
        <v>0</v>
      </c>
      <c r="L797" s="40">
        <v>0</v>
      </c>
      <c r="M797" s="40">
        <f t="shared" si="25"/>
        <v>0</v>
      </c>
      <c r="N797" s="40">
        <f t="shared" si="26"/>
        <v>0</v>
      </c>
    </row>
    <row r="798" spans="1:14" x14ac:dyDescent="0.35">
      <c r="A798" s="33">
        <v>795</v>
      </c>
      <c r="B798" s="34" t="s">
        <v>983</v>
      </c>
      <c r="C798" s="33" t="s">
        <v>297</v>
      </c>
      <c r="D798" s="33" t="s">
        <v>50</v>
      </c>
      <c r="E798" s="33" t="s">
        <v>982</v>
      </c>
      <c r="F798" s="35">
        <v>1</v>
      </c>
      <c r="G798" s="40">
        <v>0</v>
      </c>
      <c r="H798" s="40">
        <v>0</v>
      </c>
      <c r="I798" s="40">
        <v>0</v>
      </c>
      <c r="J798" s="40">
        <v>0</v>
      </c>
      <c r="K798" s="40">
        <v>0</v>
      </c>
      <c r="L798" s="40">
        <v>0</v>
      </c>
      <c r="M798" s="40">
        <f t="shared" si="25"/>
        <v>0</v>
      </c>
      <c r="N798" s="40">
        <f t="shared" si="26"/>
        <v>0</v>
      </c>
    </row>
    <row r="799" spans="1:14" x14ac:dyDescent="0.35">
      <c r="A799" s="33">
        <v>796</v>
      </c>
      <c r="B799" s="34" t="s">
        <v>984</v>
      </c>
      <c r="C799" s="33" t="s">
        <v>297</v>
      </c>
      <c r="D799" s="33" t="s">
        <v>50</v>
      </c>
      <c r="E799" s="33" t="s">
        <v>982</v>
      </c>
      <c r="F799" s="35">
        <v>1</v>
      </c>
      <c r="G799" s="40">
        <v>0</v>
      </c>
      <c r="H799" s="40">
        <v>0</v>
      </c>
      <c r="I799" s="40">
        <v>0</v>
      </c>
      <c r="J799" s="40">
        <v>0</v>
      </c>
      <c r="K799" s="40">
        <v>0</v>
      </c>
      <c r="L799" s="40">
        <v>0</v>
      </c>
      <c r="M799" s="40">
        <f t="shared" si="25"/>
        <v>0</v>
      </c>
      <c r="N799" s="40">
        <f t="shared" si="26"/>
        <v>0</v>
      </c>
    </row>
    <row r="800" spans="1:14" x14ac:dyDescent="0.35">
      <c r="A800" s="33">
        <v>797</v>
      </c>
      <c r="B800" s="34" t="s">
        <v>1142</v>
      </c>
      <c r="C800" s="33" t="s">
        <v>346</v>
      </c>
      <c r="D800" s="33" t="s">
        <v>50</v>
      </c>
      <c r="E800" s="33" t="s">
        <v>982</v>
      </c>
      <c r="F800" s="35">
        <v>0.5</v>
      </c>
      <c r="G800" s="40">
        <v>0</v>
      </c>
      <c r="H800" s="40">
        <v>0</v>
      </c>
      <c r="I800" s="40">
        <v>0</v>
      </c>
      <c r="J800" s="40">
        <v>0</v>
      </c>
      <c r="K800" s="40">
        <v>0</v>
      </c>
      <c r="L800" s="40">
        <v>0</v>
      </c>
      <c r="M800" s="40">
        <f t="shared" si="25"/>
        <v>0</v>
      </c>
      <c r="N800" s="40">
        <f t="shared" si="26"/>
        <v>0</v>
      </c>
    </row>
    <row r="801" spans="1:14" x14ac:dyDescent="0.35">
      <c r="A801" s="33">
        <v>798</v>
      </c>
      <c r="B801" s="34" t="s">
        <v>1143</v>
      </c>
      <c r="C801" s="33" t="s">
        <v>346</v>
      </c>
      <c r="D801" s="33" t="s">
        <v>50</v>
      </c>
      <c r="E801" s="33" t="s">
        <v>982</v>
      </c>
      <c r="F801" s="35">
        <v>0.5</v>
      </c>
      <c r="G801" s="40">
        <v>0</v>
      </c>
      <c r="H801" s="40">
        <v>0</v>
      </c>
      <c r="I801" s="40">
        <v>0</v>
      </c>
      <c r="J801" s="40">
        <v>0</v>
      </c>
      <c r="K801" s="40">
        <v>0</v>
      </c>
      <c r="L801" s="40">
        <v>0</v>
      </c>
      <c r="M801" s="40">
        <f t="shared" si="25"/>
        <v>0</v>
      </c>
      <c r="N801" s="40">
        <f t="shared" si="26"/>
        <v>0</v>
      </c>
    </row>
    <row r="802" spans="1:14" x14ac:dyDescent="0.35">
      <c r="A802" s="33">
        <v>799</v>
      </c>
      <c r="B802" s="34" t="s">
        <v>1144</v>
      </c>
      <c r="C802" s="33" t="s">
        <v>346</v>
      </c>
      <c r="D802" s="33" t="s">
        <v>50</v>
      </c>
      <c r="E802" s="33" t="s">
        <v>982</v>
      </c>
      <c r="F802" s="35">
        <v>1</v>
      </c>
      <c r="G802" s="40">
        <v>0</v>
      </c>
      <c r="H802" s="40">
        <v>0</v>
      </c>
      <c r="I802" s="40">
        <v>0</v>
      </c>
      <c r="J802" s="40">
        <v>0</v>
      </c>
      <c r="K802" s="40">
        <v>0</v>
      </c>
      <c r="L802" s="40">
        <v>0</v>
      </c>
      <c r="M802" s="40">
        <f t="shared" si="25"/>
        <v>0</v>
      </c>
      <c r="N802" s="40">
        <f t="shared" si="26"/>
        <v>0</v>
      </c>
    </row>
    <row r="803" spans="1:14" x14ac:dyDescent="0.35">
      <c r="A803" s="33">
        <v>800</v>
      </c>
      <c r="B803" s="34" t="s">
        <v>1145</v>
      </c>
      <c r="C803" s="33" t="s">
        <v>346</v>
      </c>
      <c r="D803" s="33" t="s">
        <v>50</v>
      </c>
      <c r="E803" s="33" t="s">
        <v>982</v>
      </c>
      <c r="F803" s="35">
        <v>0.9</v>
      </c>
      <c r="G803" s="40">
        <v>0</v>
      </c>
      <c r="H803" s="40">
        <v>0</v>
      </c>
      <c r="I803" s="40">
        <v>0</v>
      </c>
      <c r="J803" s="40">
        <v>0</v>
      </c>
      <c r="K803" s="40">
        <v>0</v>
      </c>
      <c r="L803" s="40">
        <v>0</v>
      </c>
      <c r="M803" s="40">
        <f t="shared" si="25"/>
        <v>0</v>
      </c>
      <c r="N803" s="40">
        <f t="shared" si="26"/>
        <v>0</v>
      </c>
    </row>
    <row r="804" spans="1:14" x14ac:dyDescent="0.35">
      <c r="A804" s="33">
        <v>801</v>
      </c>
      <c r="B804" s="34" t="s">
        <v>1146</v>
      </c>
      <c r="C804" s="33" t="s">
        <v>297</v>
      </c>
      <c r="D804" s="33" t="s">
        <v>111</v>
      </c>
      <c r="E804" s="33" t="s">
        <v>1147</v>
      </c>
      <c r="F804" s="35">
        <v>1</v>
      </c>
      <c r="G804" s="40">
        <v>0</v>
      </c>
      <c r="H804" s="40">
        <v>0</v>
      </c>
      <c r="I804" s="40">
        <v>0</v>
      </c>
      <c r="J804" s="40">
        <v>0</v>
      </c>
      <c r="K804" s="40">
        <v>0</v>
      </c>
      <c r="L804" s="40">
        <v>0</v>
      </c>
      <c r="M804" s="40">
        <f t="shared" si="25"/>
        <v>0</v>
      </c>
      <c r="N804" s="40">
        <f t="shared" si="26"/>
        <v>0</v>
      </c>
    </row>
    <row r="805" spans="1:14" x14ac:dyDescent="0.35">
      <c r="A805" s="33">
        <v>802</v>
      </c>
      <c r="B805" s="34" t="s">
        <v>1148</v>
      </c>
      <c r="C805" s="33" t="s">
        <v>297</v>
      </c>
      <c r="D805" s="33" t="s">
        <v>111</v>
      </c>
      <c r="E805" s="33" t="s">
        <v>1147</v>
      </c>
      <c r="F805" s="35">
        <v>1</v>
      </c>
      <c r="G805" s="40">
        <v>0</v>
      </c>
      <c r="H805" s="40">
        <v>0</v>
      </c>
      <c r="I805" s="40">
        <v>0</v>
      </c>
      <c r="J805" s="40">
        <v>0</v>
      </c>
      <c r="K805" s="40">
        <v>0</v>
      </c>
      <c r="L805" s="40">
        <v>0</v>
      </c>
      <c r="M805" s="40">
        <f t="shared" si="25"/>
        <v>0</v>
      </c>
      <c r="N805" s="40">
        <f t="shared" si="26"/>
        <v>0</v>
      </c>
    </row>
    <row r="806" spans="1:14" x14ac:dyDescent="0.35">
      <c r="A806" s="33">
        <v>803</v>
      </c>
      <c r="B806" s="34" t="s">
        <v>1198</v>
      </c>
      <c r="C806" s="33" t="s">
        <v>346</v>
      </c>
      <c r="D806" s="33" t="s">
        <v>111</v>
      </c>
      <c r="E806" s="33" t="s">
        <v>1147</v>
      </c>
      <c r="F806" s="35">
        <v>1</v>
      </c>
      <c r="G806" s="40">
        <v>0</v>
      </c>
      <c r="H806" s="40">
        <v>0</v>
      </c>
      <c r="I806" s="40">
        <v>0</v>
      </c>
      <c r="J806" s="40">
        <v>0</v>
      </c>
      <c r="K806" s="40">
        <v>0</v>
      </c>
      <c r="L806" s="40">
        <v>0</v>
      </c>
      <c r="M806" s="40">
        <f t="shared" si="25"/>
        <v>0</v>
      </c>
      <c r="N806" s="40">
        <f t="shared" si="26"/>
        <v>0</v>
      </c>
    </row>
    <row r="807" spans="1:14" x14ac:dyDescent="0.35">
      <c r="A807" s="33">
        <v>804</v>
      </c>
      <c r="B807" s="34" t="s">
        <v>1199</v>
      </c>
      <c r="C807" s="33" t="s">
        <v>346</v>
      </c>
      <c r="D807" s="33" t="s">
        <v>111</v>
      </c>
      <c r="E807" s="33" t="s">
        <v>1147</v>
      </c>
      <c r="F807" s="35">
        <v>0.2</v>
      </c>
      <c r="G807" s="40">
        <v>0</v>
      </c>
      <c r="H807" s="40">
        <v>0</v>
      </c>
      <c r="I807" s="40">
        <v>0</v>
      </c>
      <c r="J807" s="40">
        <v>0</v>
      </c>
      <c r="K807" s="40">
        <v>0</v>
      </c>
      <c r="L807" s="40">
        <v>0</v>
      </c>
      <c r="M807" s="40">
        <f t="shared" si="25"/>
        <v>0</v>
      </c>
      <c r="N807" s="40">
        <f t="shared" si="26"/>
        <v>0</v>
      </c>
    </row>
    <row r="808" spans="1:14" x14ac:dyDescent="0.35">
      <c r="A808" s="33">
        <v>805</v>
      </c>
      <c r="B808" s="34" t="s">
        <v>1149</v>
      </c>
      <c r="C808" s="33" t="s">
        <v>297</v>
      </c>
      <c r="D808" s="33" t="s">
        <v>111</v>
      </c>
      <c r="E808" s="33" t="s">
        <v>1150</v>
      </c>
      <c r="F808" s="35">
        <v>1</v>
      </c>
      <c r="G808" s="40">
        <v>0</v>
      </c>
      <c r="H808" s="40">
        <v>0</v>
      </c>
      <c r="I808" s="40">
        <v>0</v>
      </c>
      <c r="J808" s="40">
        <v>0</v>
      </c>
      <c r="K808" s="40">
        <v>0</v>
      </c>
      <c r="L808" s="40">
        <v>0</v>
      </c>
      <c r="M808" s="40">
        <f t="shared" si="25"/>
        <v>0</v>
      </c>
      <c r="N808" s="40">
        <f t="shared" si="26"/>
        <v>0</v>
      </c>
    </row>
    <row r="809" spans="1:14" x14ac:dyDescent="0.35">
      <c r="A809" s="33">
        <v>806</v>
      </c>
      <c r="B809" s="34" t="s">
        <v>1151</v>
      </c>
      <c r="C809" s="33" t="s">
        <v>297</v>
      </c>
      <c r="D809" s="33" t="s">
        <v>111</v>
      </c>
      <c r="E809" s="33" t="s">
        <v>1150</v>
      </c>
      <c r="F809" s="35">
        <v>1</v>
      </c>
      <c r="G809" s="40">
        <v>0</v>
      </c>
      <c r="H809" s="40">
        <v>0</v>
      </c>
      <c r="I809" s="40">
        <v>0</v>
      </c>
      <c r="J809" s="40">
        <v>0</v>
      </c>
      <c r="K809" s="40">
        <v>0</v>
      </c>
      <c r="L809" s="40">
        <v>0</v>
      </c>
      <c r="M809" s="40">
        <f t="shared" si="25"/>
        <v>0</v>
      </c>
      <c r="N809" s="40">
        <f t="shared" si="26"/>
        <v>0</v>
      </c>
    </row>
    <row r="810" spans="1:14" x14ac:dyDescent="0.35">
      <c r="A810" s="33">
        <v>807</v>
      </c>
      <c r="B810" s="34" t="s">
        <v>1152</v>
      </c>
      <c r="C810" s="33" t="s">
        <v>297</v>
      </c>
      <c r="D810" s="33" t="s">
        <v>111</v>
      </c>
      <c r="E810" s="33" t="s">
        <v>1150</v>
      </c>
      <c r="F810" s="35">
        <v>1</v>
      </c>
      <c r="G810" s="40">
        <v>0</v>
      </c>
      <c r="H810" s="40">
        <v>0</v>
      </c>
      <c r="I810" s="40">
        <v>0</v>
      </c>
      <c r="J810" s="40">
        <v>12</v>
      </c>
      <c r="K810" s="40">
        <v>0</v>
      </c>
      <c r="L810" s="40">
        <v>0</v>
      </c>
      <c r="M810" s="40">
        <f t="shared" si="25"/>
        <v>0</v>
      </c>
      <c r="N810" s="40">
        <f t="shared" si="26"/>
        <v>12</v>
      </c>
    </row>
    <row r="811" spans="1:14" x14ac:dyDescent="0.35">
      <c r="A811" s="33">
        <v>808</v>
      </c>
      <c r="B811" s="34" t="s">
        <v>1153</v>
      </c>
      <c r="C811" s="33" t="s">
        <v>297</v>
      </c>
      <c r="D811" s="33" t="s">
        <v>111</v>
      </c>
      <c r="E811" s="33" t="s">
        <v>1150</v>
      </c>
      <c r="F811" s="35">
        <v>1</v>
      </c>
      <c r="G811" s="40">
        <v>0</v>
      </c>
      <c r="H811" s="40">
        <v>0</v>
      </c>
      <c r="I811" s="40">
        <v>0</v>
      </c>
      <c r="J811" s="40">
        <v>0</v>
      </c>
      <c r="K811" s="40">
        <v>0</v>
      </c>
      <c r="L811" s="40">
        <v>0</v>
      </c>
      <c r="M811" s="40">
        <f t="shared" si="25"/>
        <v>0</v>
      </c>
      <c r="N811" s="40">
        <f t="shared" si="26"/>
        <v>0</v>
      </c>
    </row>
    <row r="812" spans="1:14" x14ac:dyDescent="0.35">
      <c r="A812" s="33">
        <v>809</v>
      </c>
      <c r="B812" s="34" t="s">
        <v>1154</v>
      </c>
      <c r="C812" s="33" t="s">
        <v>297</v>
      </c>
      <c r="D812" s="33" t="s">
        <v>111</v>
      </c>
      <c r="E812" s="33" t="s">
        <v>1150</v>
      </c>
      <c r="F812" s="35">
        <v>1</v>
      </c>
      <c r="G812" s="40">
        <v>0</v>
      </c>
      <c r="H812" s="40">
        <v>0</v>
      </c>
      <c r="I812" s="40">
        <v>0</v>
      </c>
      <c r="J812" s="40">
        <v>0</v>
      </c>
      <c r="K812" s="40">
        <v>0</v>
      </c>
      <c r="L812" s="40">
        <v>0</v>
      </c>
      <c r="M812" s="40">
        <f t="shared" si="25"/>
        <v>0</v>
      </c>
      <c r="N812" s="40">
        <f t="shared" si="26"/>
        <v>0</v>
      </c>
    </row>
    <row r="813" spans="1:14" x14ac:dyDescent="0.35">
      <c r="A813" s="33">
        <v>810</v>
      </c>
      <c r="B813" s="34" t="s">
        <v>1155</v>
      </c>
      <c r="C813" s="33" t="s">
        <v>297</v>
      </c>
      <c r="D813" s="33" t="s">
        <v>111</v>
      </c>
      <c r="E813" s="33" t="s">
        <v>1150</v>
      </c>
      <c r="F813" s="35">
        <v>1</v>
      </c>
      <c r="G813" s="40">
        <v>0</v>
      </c>
      <c r="H813" s="40">
        <v>0</v>
      </c>
      <c r="I813" s="40">
        <v>0</v>
      </c>
      <c r="J813" s="40">
        <v>0</v>
      </c>
      <c r="K813" s="40">
        <v>0</v>
      </c>
      <c r="L813" s="40">
        <v>0</v>
      </c>
      <c r="M813" s="40">
        <f t="shared" si="25"/>
        <v>0</v>
      </c>
      <c r="N813" s="40">
        <f t="shared" si="26"/>
        <v>0</v>
      </c>
    </row>
    <row r="814" spans="1:14" x14ac:dyDescent="0.35">
      <c r="A814" s="33">
        <v>811</v>
      </c>
      <c r="B814" s="34" t="s">
        <v>1156</v>
      </c>
      <c r="C814" s="33" t="s">
        <v>297</v>
      </c>
      <c r="D814" s="33" t="s">
        <v>111</v>
      </c>
      <c r="E814" s="33" t="s">
        <v>1150</v>
      </c>
      <c r="F814" s="35">
        <v>1</v>
      </c>
      <c r="G814" s="40">
        <v>0</v>
      </c>
      <c r="H814" s="40">
        <v>0</v>
      </c>
      <c r="I814" s="40">
        <v>0</v>
      </c>
      <c r="J814" s="40">
        <v>0</v>
      </c>
      <c r="K814" s="40">
        <v>0</v>
      </c>
      <c r="L814" s="40">
        <v>0</v>
      </c>
      <c r="M814" s="40">
        <f t="shared" si="25"/>
        <v>0</v>
      </c>
      <c r="N814" s="40">
        <f t="shared" si="26"/>
        <v>0</v>
      </c>
    </row>
    <row r="815" spans="1:14" x14ac:dyDescent="0.35">
      <c r="A815" s="33">
        <v>812</v>
      </c>
      <c r="B815" s="34" t="s">
        <v>1200</v>
      </c>
      <c r="C815" s="33" t="s">
        <v>346</v>
      </c>
      <c r="D815" s="33" t="s">
        <v>111</v>
      </c>
      <c r="E815" s="33" t="s">
        <v>1150</v>
      </c>
      <c r="F815" s="35">
        <v>0.2</v>
      </c>
      <c r="G815" s="40">
        <v>0</v>
      </c>
      <c r="H815" s="40">
        <v>0</v>
      </c>
      <c r="I815" s="40">
        <v>0</v>
      </c>
      <c r="J815" s="40">
        <v>0</v>
      </c>
      <c r="K815" s="40">
        <v>0</v>
      </c>
      <c r="L815" s="40">
        <v>0</v>
      </c>
      <c r="M815" s="40">
        <f t="shared" si="25"/>
        <v>0</v>
      </c>
      <c r="N815" s="40">
        <f t="shared" si="26"/>
        <v>0</v>
      </c>
    </row>
    <row r="816" spans="1:14" x14ac:dyDescent="0.35">
      <c r="A816" s="33">
        <v>813</v>
      </c>
      <c r="B816" s="34" t="s">
        <v>1201</v>
      </c>
      <c r="C816" s="33" t="s">
        <v>346</v>
      </c>
      <c r="D816" s="33" t="s">
        <v>111</v>
      </c>
      <c r="E816" s="33" t="s">
        <v>1150</v>
      </c>
      <c r="F816" s="35">
        <v>0.2</v>
      </c>
      <c r="G816" s="40">
        <v>0</v>
      </c>
      <c r="H816" s="40">
        <v>0</v>
      </c>
      <c r="I816" s="40">
        <v>0</v>
      </c>
      <c r="J816" s="40">
        <v>0</v>
      </c>
      <c r="K816" s="40">
        <v>0</v>
      </c>
      <c r="L816" s="40">
        <v>0</v>
      </c>
      <c r="M816" s="40">
        <f t="shared" si="25"/>
        <v>0</v>
      </c>
      <c r="N816" s="40">
        <f t="shared" si="26"/>
        <v>0</v>
      </c>
    </row>
    <row r="817" spans="1:14" x14ac:dyDescent="0.35">
      <c r="A817" s="33">
        <v>814</v>
      </c>
      <c r="B817" s="34" t="s">
        <v>1202</v>
      </c>
      <c r="C817" s="33" t="s">
        <v>346</v>
      </c>
      <c r="D817" s="33" t="s">
        <v>111</v>
      </c>
      <c r="E817" s="33" t="s">
        <v>1150</v>
      </c>
      <c r="F817" s="35">
        <v>1</v>
      </c>
      <c r="G817" s="40">
        <v>0</v>
      </c>
      <c r="H817" s="40">
        <v>0</v>
      </c>
      <c r="I817" s="40">
        <v>0</v>
      </c>
      <c r="J817" s="40">
        <v>0</v>
      </c>
      <c r="K817" s="40">
        <v>0</v>
      </c>
      <c r="L817" s="40">
        <v>0</v>
      </c>
      <c r="M817" s="40">
        <f t="shared" si="25"/>
        <v>0</v>
      </c>
      <c r="N817" s="40">
        <f t="shared" si="26"/>
        <v>0</v>
      </c>
    </row>
    <row r="818" spans="1:14" x14ac:dyDescent="0.35">
      <c r="A818" s="33">
        <v>815</v>
      </c>
      <c r="B818" s="34" t="s">
        <v>1203</v>
      </c>
      <c r="C818" s="33" t="s">
        <v>346</v>
      </c>
      <c r="D818" s="33" t="s">
        <v>111</v>
      </c>
      <c r="E818" s="33" t="s">
        <v>1150</v>
      </c>
      <c r="F818" s="35">
        <v>1</v>
      </c>
      <c r="G818" s="40">
        <v>0</v>
      </c>
      <c r="H818" s="40">
        <v>0</v>
      </c>
      <c r="I818" s="40">
        <v>0</v>
      </c>
      <c r="J818" s="40">
        <v>0</v>
      </c>
      <c r="K818" s="40">
        <v>0</v>
      </c>
      <c r="L818" s="40">
        <v>0</v>
      </c>
      <c r="M818" s="40">
        <f t="shared" si="25"/>
        <v>0</v>
      </c>
      <c r="N818" s="40">
        <f t="shared" si="26"/>
        <v>0</v>
      </c>
    </row>
    <row r="819" spans="1:14" x14ac:dyDescent="0.35">
      <c r="A819" s="33">
        <v>816</v>
      </c>
      <c r="B819" s="34" t="s">
        <v>1204</v>
      </c>
      <c r="C819" s="33" t="s">
        <v>346</v>
      </c>
      <c r="D819" s="33" t="s">
        <v>111</v>
      </c>
      <c r="E819" s="33" t="s">
        <v>1150</v>
      </c>
      <c r="F819" s="35">
        <v>1</v>
      </c>
      <c r="G819" s="40">
        <v>0</v>
      </c>
      <c r="H819" s="40">
        <v>0</v>
      </c>
      <c r="I819" s="40">
        <v>0</v>
      </c>
      <c r="J819" s="40">
        <v>0</v>
      </c>
      <c r="K819" s="40">
        <v>0</v>
      </c>
      <c r="L819" s="40">
        <v>0</v>
      </c>
      <c r="M819" s="40">
        <f t="shared" si="25"/>
        <v>0</v>
      </c>
      <c r="N819" s="40">
        <f t="shared" si="26"/>
        <v>0</v>
      </c>
    </row>
    <row r="820" spans="1:14" x14ac:dyDescent="0.35">
      <c r="A820" s="33">
        <v>817</v>
      </c>
      <c r="B820" s="34" t="s">
        <v>1157</v>
      </c>
      <c r="C820" s="33" t="s">
        <v>297</v>
      </c>
      <c r="D820" s="33" t="s">
        <v>111</v>
      </c>
      <c r="E820" s="33" t="s">
        <v>1158</v>
      </c>
      <c r="F820" s="35">
        <v>1</v>
      </c>
      <c r="G820" s="40">
        <v>0</v>
      </c>
      <c r="H820" s="40">
        <v>0</v>
      </c>
      <c r="I820" s="40">
        <v>0</v>
      </c>
      <c r="J820" s="40">
        <v>0</v>
      </c>
      <c r="K820" s="40">
        <v>0</v>
      </c>
      <c r="L820" s="40">
        <v>0</v>
      </c>
      <c r="M820" s="40">
        <f t="shared" si="25"/>
        <v>0</v>
      </c>
      <c r="N820" s="40">
        <f t="shared" si="26"/>
        <v>0</v>
      </c>
    </row>
    <row r="821" spans="1:14" x14ac:dyDescent="0.35">
      <c r="A821" s="33">
        <v>818</v>
      </c>
      <c r="B821" s="34" t="s">
        <v>1159</v>
      </c>
      <c r="C821" s="33" t="s">
        <v>297</v>
      </c>
      <c r="D821" s="33" t="s">
        <v>111</v>
      </c>
      <c r="E821" s="33" t="s">
        <v>1158</v>
      </c>
      <c r="F821" s="35">
        <v>1</v>
      </c>
      <c r="G821" s="40">
        <v>0</v>
      </c>
      <c r="H821" s="40">
        <v>0</v>
      </c>
      <c r="I821" s="40">
        <v>0</v>
      </c>
      <c r="J821" s="40">
        <v>0</v>
      </c>
      <c r="K821" s="40">
        <v>0</v>
      </c>
      <c r="L821" s="40">
        <v>0</v>
      </c>
      <c r="M821" s="40">
        <f t="shared" si="25"/>
        <v>0</v>
      </c>
      <c r="N821" s="40">
        <f t="shared" si="26"/>
        <v>0</v>
      </c>
    </row>
    <row r="822" spans="1:14" x14ac:dyDescent="0.35">
      <c r="A822" s="33">
        <v>819</v>
      </c>
      <c r="B822" s="34" t="s">
        <v>1160</v>
      </c>
      <c r="C822" s="33" t="s">
        <v>297</v>
      </c>
      <c r="D822" s="33" t="s">
        <v>111</v>
      </c>
      <c r="E822" s="33" t="s">
        <v>1158</v>
      </c>
      <c r="F822" s="35">
        <v>1</v>
      </c>
      <c r="G822" s="40">
        <v>0</v>
      </c>
      <c r="H822" s="40">
        <v>0</v>
      </c>
      <c r="I822" s="40">
        <v>0</v>
      </c>
      <c r="J822" s="40">
        <v>0</v>
      </c>
      <c r="K822" s="40">
        <v>0</v>
      </c>
      <c r="L822" s="40">
        <v>0</v>
      </c>
      <c r="M822" s="40">
        <f t="shared" si="25"/>
        <v>0</v>
      </c>
      <c r="N822" s="40">
        <f t="shared" si="26"/>
        <v>0</v>
      </c>
    </row>
    <row r="823" spans="1:14" x14ac:dyDescent="0.35">
      <c r="A823" s="33">
        <v>820</v>
      </c>
      <c r="B823" s="34" t="s">
        <v>1161</v>
      </c>
      <c r="C823" s="33" t="s">
        <v>297</v>
      </c>
      <c r="D823" s="33" t="s">
        <v>111</v>
      </c>
      <c r="E823" s="33" t="s">
        <v>1158</v>
      </c>
      <c r="F823" s="35">
        <v>1</v>
      </c>
      <c r="G823" s="40">
        <v>0</v>
      </c>
      <c r="H823" s="40">
        <v>0</v>
      </c>
      <c r="I823" s="40">
        <v>0</v>
      </c>
      <c r="J823" s="40">
        <v>0</v>
      </c>
      <c r="K823" s="40">
        <v>0</v>
      </c>
      <c r="L823" s="40">
        <v>0</v>
      </c>
      <c r="M823" s="40">
        <f t="shared" si="25"/>
        <v>0</v>
      </c>
      <c r="N823" s="40">
        <f t="shared" si="26"/>
        <v>0</v>
      </c>
    </row>
    <row r="824" spans="1:14" x14ac:dyDescent="0.35">
      <c r="A824" s="33">
        <v>821</v>
      </c>
      <c r="B824" s="34" t="s">
        <v>1205</v>
      </c>
      <c r="C824" s="33" t="s">
        <v>346</v>
      </c>
      <c r="D824" s="33" t="s">
        <v>111</v>
      </c>
      <c r="E824" s="33" t="s">
        <v>1158</v>
      </c>
      <c r="F824" s="35">
        <v>1</v>
      </c>
      <c r="G824" s="40">
        <v>0</v>
      </c>
      <c r="H824" s="40">
        <v>0</v>
      </c>
      <c r="I824" s="40">
        <v>0</v>
      </c>
      <c r="J824" s="40">
        <v>0</v>
      </c>
      <c r="K824" s="40">
        <v>0</v>
      </c>
      <c r="L824" s="40">
        <v>0</v>
      </c>
      <c r="M824" s="40">
        <f t="shared" si="25"/>
        <v>0</v>
      </c>
      <c r="N824" s="40">
        <f t="shared" si="26"/>
        <v>0</v>
      </c>
    </row>
    <row r="825" spans="1:14" x14ac:dyDescent="0.35">
      <c r="A825" s="33">
        <v>822</v>
      </c>
      <c r="B825" s="34" t="s">
        <v>1162</v>
      </c>
      <c r="C825" s="33" t="s">
        <v>297</v>
      </c>
      <c r="D825" s="33" t="s">
        <v>111</v>
      </c>
      <c r="E825" s="33" t="s">
        <v>1163</v>
      </c>
      <c r="F825" s="35">
        <v>1</v>
      </c>
      <c r="G825" s="40">
        <v>0</v>
      </c>
      <c r="H825" s="40">
        <v>0</v>
      </c>
      <c r="I825" s="40">
        <v>0</v>
      </c>
      <c r="J825" s="40">
        <v>0</v>
      </c>
      <c r="K825" s="40">
        <v>0</v>
      </c>
      <c r="L825" s="40">
        <v>0</v>
      </c>
      <c r="M825" s="40">
        <f t="shared" si="25"/>
        <v>0</v>
      </c>
      <c r="N825" s="40">
        <f t="shared" si="26"/>
        <v>0</v>
      </c>
    </row>
    <row r="826" spans="1:14" x14ac:dyDescent="0.35">
      <c r="A826" s="33">
        <v>823</v>
      </c>
      <c r="B826" s="34" t="s">
        <v>1206</v>
      </c>
      <c r="C826" s="33" t="s">
        <v>346</v>
      </c>
      <c r="D826" s="33" t="s">
        <v>111</v>
      </c>
      <c r="E826" s="33" t="s">
        <v>1163</v>
      </c>
      <c r="F826" s="35">
        <v>1</v>
      </c>
      <c r="G826" s="40">
        <v>0</v>
      </c>
      <c r="H826" s="40">
        <v>0</v>
      </c>
      <c r="I826" s="40">
        <v>0</v>
      </c>
      <c r="J826" s="40">
        <v>0</v>
      </c>
      <c r="K826" s="40">
        <v>0</v>
      </c>
      <c r="L826" s="40">
        <v>0</v>
      </c>
      <c r="M826" s="40">
        <f t="shared" si="25"/>
        <v>0</v>
      </c>
      <c r="N826" s="40">
        <f t="shared" si="26"/>
        <v>0</v>
      </c>
    </row>
    <row r="827" spans="1:14" x14ac:dyDescent="0.35">
      <c r="A827" s="33">
        <v>824</v>
      </c>
      <c r="B827" s="34" t="s">
        <v>1164</v>
      </c>
      <c r="C827" s="33" t="s">
        <v>297</v>
      </c>
      <c r="D827" s="33" t="s">
        <v>111</v>
      </c>
      <c r="E827" s="33" t="s">
        <v>1165</v>
      </c>
      <c r="F827" s="35">
        <v>1</v>
      </c>
      <c r="G827" s="40">
        <v>0</v>
      </c>
      <c r="H827" s="40">
        <v>0</v>
      </c>
      <c r="I827" s="40">
        <v>0</v>
      </c>
      <c r="J827" s="40">
        <v>0</v>
      </c>
      <c r="K827" s="40">
        <v>0</v>
      </c>
      <c r="L827" s="40">
        <v>0</v>
      </c>
      <c r="M827" s="40">
        <f t="shared" si="25"/>
        <v>0</v>
      </c>
      <c r="N827" s="40">
        <f t="shared" si="26"/>
        <v>0</v>
      </c>
    </row>
    <row r="828" spans="1:14" x14ac:dyDescent="0.35">
      <c r="A828" s="33">
        <v>825</v>
      </c>
      <c r="B828" s="34" t="s">
        <v>1207</v>
      </c>
      <c r="C828" s="33" t="s">
        <v>346</v>
      </c>
      <c r="D828" s="33" t="s">
        <v>111</v>
      </c>
      <c r="E828" s="33" t="s">
        <v>1165</v>
      </c>
      <c r="F828" s="35">
        <v>1</v>
      </c>
      <c r="G828" s="40">
        <v>0</v>
      </c>
      <c r="H828" s="40">
        <v>0</v>
      </c>
      <c r="I828" s="40">
        <v>0</v>
      </c>
      <c r="J828" s="40">
        <v>0</v>
      </c>
      <c r="K828" s="40">
        <v>0</v>
      </c>
      <c r="L828" s="40">
        <v>0</v>
      </c>
      <c r="M828" s="40">
        <f t="shared" si="25"/>
        <v>0</v>
      </c>
      <c r="N828" s="40">
        <f t="shared" si="26"/>
        <v>0</v>
      </c>
    </row>
    <row r="829" spans="1:14" x14ac:dyDescent="0.35">
      <c r="A829" s="33">
        <v>826</v>
      </c>
      <c r="B829" s="34" t="s">
        <v>1208</v>
      </c>
      <c r="C829" s="33" t="s">
        <v>346</v>
      </c>
      <c r="D829" s="33" t="s">
        <v>111</v>
      </c>
      <c r="E829" s="33" t="s">
        <v>1165</v>
      </c>
      <c r="F829" s="35">
        <v>0.2</v>
      </c>
      <c r="G829" s="40">
        <v>0</v>
      </c>
      <c r="H829" s="40">
        <v>0</v>
      </c>
      <c r="I829" s="40">
        <v>0</v>
      </c>
      <c r="J829" s="40">
        <v>0</v>
      </c>
      <c r="K829" s="40">
        <v>0</v>
      </c>
      <c r="L829" s="40">
        <v>0</v>
      </c>
      <c r="M829" s="40">
        <f t="shared" si="25"/>
        <v>0</v>
      </c>
      <c r="N829" s="40">
        <f t="shared" si="26"/>
        <v>0</v>
      </c>
    </row>
    <row r="830" spans="1:14" x14ac:dyDescent="0.35">
      <c r="A830" s="33">
        <v>827</v>
      </c>
      <c r="B830" s="34" t="s">
        <v>1209</v>
      </c>
      <c r="C830" s="33" t="s">
        <v>346</v>
      </c>
      <c r="D830" s="33" t="s">
        <v>111</v>
      </c>
      <c r="E830" s="33" t="s">
        <v>1165</v>
      </c>
      <c r="F830" s="35">
        <v>1</v>
      </c>
      <c r="G830" s="40">
        <v>0</v>
      </c>
      <c r="H830" s="40">
        <v>0</v>
      </c>
      <c r="I830" s="40">
        <v>0</v>
      </c>
      <c r="J830" s="40">
        <v>0</v>
      </c>
      <c r="K830" s="40">
        <v>0</v>
      </c>
      <c r="L830" s="40">
        <v>0</v>
      </c>
      <c r="M830" s="40">
        <f t="shared" si="25"/>
        <v>0</v>
      </c>
      <c r="N830" s="40">
        <f t="shared" si="26"/>
        <v>0</v>
      </c>
    </row>
    <row r="831" spans="1:14" x14ac:dyDescent="0.35">
      <c r="A831" s="33">
        <v>828</v>
      </c>
      <c r="B831" s="34" t="s">
        <v>1166</v>
      </c>
      <c r="C831" s="33" t="s">
        <v>297</v>
      </c>
      <c r="D831" s="33" t="s">
        <v>111</v>
      </c>
      <c r="E831" s="33" t="s">
        <v>1167</v>
      </c>
      <c r="F831" s="35">
        <v>1</v>
      </c>
      <c r="G831" s="40">
        <v>0</v>
      </c>
      <c r="H831" s="40">
        <v>0</v>
      </c>
      <c r="I831" s="40">
        <v>0</v>
      </c>
      <c r="J831" s="40">
        <v>0</v>
      </c>
      <c r="K831" s="40">
        <v>0</v>
      </c>
      <c r="L831" s="40">
        <v>0</v>
      </c>
      <c r="M831" s="40">
        <f t="shared" si="25"/>
        <v>0</v>
      </c>
      <c r="N831" s="40">
        <f t="shared" si="26"/>
        <v>0</v>
      </c>
    </row>
    <row r="832" spans="1:14" x14ac:dyDescent="0.35">
      <c r="A832" s="33">
        <v>829</v>
      </c>
      <c r="B832" s="34" t="s">
        <v>1168</v>
      </c>
      <c r="C832" s="33" t="s">
        <v>297</v>
      </c>
      <c r="D832" s="33" t="s">
        <v>111</v>
      </c>
      <c r="E832" s="33" t="s">
        <v>1167</v>
      </c>
      <c r="F832" s="35">
        <v>1</v>
      </c>
      <c r="G832" s="40">
        <v>0</v>
      </c>
      <c r="H832" s="40">
        <v>0</v>
      </c>
      <c r="I832" s="40">
        <v>0</v>
      </c>
      <c r="J832" s="40">
        <v>0</v>
      </c>
      <c r="K832" s="40">
        <v>0</v>
      </c>
      <c r="L832" s="40">
        <v>0</v>
      </c>
      <c r="M832" s="40">
        <f t="shared" si="25"/>
        <v>0</v>
      </c>
      <c r="N832" s="40">
        <f t="shared" si="26"/>
        <v>0</v>
      </c>
    </row>
    <row r="833" spans="1:14" x14ac:dyDescent="0.35">
      <c r="A833" s="33">
        <v>830</v>
      </c>
      <c r="B833" s="34" t="s">
        <v>1169</v>
      </c>
      <c r="C833" s="33" t="s">
        <v>297</v>
      </c>
      <c r="D833" s="33" t="s">
        <v>111</v>
      </c>
      <c r="E833" s="33" t="s">
        <v>1167</v>
      </c>
      <c r="F833" s="35">
        <v>1</v>
      </c>
      <c r="G833" s="40">
        <v>0</v>
      </c>
      <c r="H833" s="40">
        <v>0</v>
      </c>
      <c r="I833" s="40">
        <v>0</v>
      </c>
      <c r="J833" s="40">
        <v>0</v>
      </c>
      <c r="K833" s="40">
        <v>0</v>
      </c>
      <c r="L833" s="40">
        <v>0</v>
      </c>
      <c r="M833" s="40">
        <f t="shared" si="25"/>
        <v>0</v>
      </c>
      <c r="N833" s="40">
        <f t="shared" si="26"/>
        <v>0</v>
      </c>
    </row>
    <row r="834" spans="1:14" x14ac:dyDescent="0.35">
      <c r="A834" s="33">
        <v>831</v>
      </c>
      <c r="B834" s="34" t="s">
        <v>1170</v>
      </c>
      <c r="C834" s="33" t="s">
        <v>297</v>
      </c>
      <c r="D834" s="33" t="s">
        <v>111</v>
      </c>
      <c r="E834" s="33" t="s">
        <v>1167</v>
      </c>
      <c r="F834" s="35">
        <v>1</v>
      </c>
      <c r="G834" s="40">
        <v>0</v>
      </c>
      <c r="H834" s="40">
        <v>0</v>
      </c>
      <c r="I834" s="40">
        <v>0</v>
      </c>
      <c r="J834" s="40">
        <v>0</v>
      </c>
      <c r="K834" s="40">
        <v>0</v>
      </c>
      <c r="L834" s="40">
        <v>0</v>
      </c>
      <c r="M834" s="40">
        <f t="shared" si="25"/>
        <v>0</v>
      </c>
      <c r="N834" s="40">
        <f t="shared" si="26"/>
        <v>0</v>
      </c>
    </row>
    <row r="835" spans="1:14" x14ac:dyDescent="0.35">
      <c r="A835" s="33">
        <v>832</v>
      </c>
      <c r="B835" s="34" t="s">
        <v>1171</v>
      </c>
      <c r="C835" s="33" t="s">
        <v>297</v>
      </c>
      <c r="D835" s="33" t="s">
        <v>111</v>
      </c>
      <c r="E835" s="33" t="s">
        <v>1167</v>
      </c>
      <c r="F835" s="35">
        <v>1</v>
      </c>
      <c r="G835" s="40">
        <v>0</v>
      </c>
      <c r="H835" s="40">
        <v>0</v>
      </c>
      <c r="I835" s="40">
        <v>0</v>
      </c>
      <c r="J835" s="40">
        <v>0</v>
      </c>
      <c r="K835" s="40">
        <v>0</v>
      </c>
      <c r="L835" s="40">
        <v>0</v>
      </c>
      <c r="M835" s="40">
        <f t="shared" si="25"/>
        <v>0</v>
      </c>
      <c r="N835" s="40">
        <f t="shared" si="26"/>
        <v>0</v>
      </c>
    </row>
    <row r="836" spans="1:14" x14ac:dyDescent="0.35">
      <c r="A836" s="33">
        <v>833</v>
      </c>
      <c r="B836" s="34" t="s">
        <v>1172</v>
      </c>
      <c r="C836" s="33" t="s">
        <v>297</v>
      </c>
      <c r="D836" s="33" t="s">
        <v>111</v>
      </c>
      <c r="E836" s="33" t="s">
        <v>1167</v>
      </c>
      <c r="F836" s="35">
        <v>1</v>
      </c>
      <c r="G836" s="40">
        <v>0</v>
      </c>
      <c r="H836" s="40">
        <v>0</v>
      </c>
      <c r="I836" s="40">
        <v>0</v>
      </c>
      <c r="J836" s="40">
        <v>0</v>
      </c>
      <c r="K836" s="40">
        <v>0</v>
      </c>
      <c r="L836" s="40">
        <v>0</v>
      </c>
      <c r="M836" s="40">
        <f t="shared" si="25"/>
        <v>0</v>
      </c>
      <c r="N836" s="40">
        <f t="shared" si="26"/>
        <v>0</v>
      </c>
    </row>
    <row r="837" spans="1:14" x14ac:dyDescent="0.35">
      <c r="A837" s="33">
        <v>834</v>
      </c>
      <c r="B837" s="34" t="s">
        <v>2318</v>
      </c>
      <c r="C837" s="33" t="s">
        <v>297</v>
      </c>
      <c r="D837" s="33" t="s">
        <v>111</v>
      </c>
      <c r="E837" s="33" t="s">
        <v>1167</v>
      </c>
      <c r="F837" s="35">
        <v>1</v>
      </c>
      <c r="G837" s="40">
        <v>0</v>
      </c>
      <c r="H837" s="40">
        <v>0</v>
      </c>
      <c r="I837" s="40">
        <v>0</v>
      </c>
      <c r="J837" s="40">
        <v>0</v>
      </c>
      <c r="K837" s="40">
        <v>0</v>
      </c>
      <c r="L837" s="40">
        <v>0</v>
      </c>
      <c r="M837" s="40">
        <f t="shared" ref="M837:M900" si="27">G837+I837+K837</f>
        <v>0</v>
      </c>
      <c r="N837" s="40">
        <f t="shared" ref="N837:N900" si="28">H837+J837+L837</f>
        <v>0</v>
      </c>
    </row>
    <row r="838" spans="1:14" x14ac:dyDescent="0.35">
      <c r="A838" s="33">
        <v>835</v>
      </c>
      <c r="B838" s="34" t="s">
        <v>1210</v>
      </c>
      <c r="C838" s="33" t="s">
        <v>346</v>
      </c>
      <c r="D838" s="33" t="s">
        <v>111</v>
      </c>
      <c r="E838" s="33" t="s">
        <v>1167</v>
      </c>
      <c r="F838" s="35">
        <v>1</v>
      </c>
      <c r="G838" s="40">
        <v>0</v>
      </c>
      <c r="H838" s="40">
        <v>0</v>
      </c>
      <c r="I838" s="40">
        <v>0</v>
      </c>
      <c r="J838" s="40">
        <v>0</v>
      </c>
      <c r="K838" s="40">
        <v>0</v>
      </c>
      <c r="L838" s="40">
        <v>0</v>
      </c>
      <c r="M838" s="40">
        <f t="shared" si="27"/>
        <v>0</v>
      </c>
      <c r="N838" s="40">
        <f t="shared" si="28"/>
        <v>0</v>
      </c>
    </row>
    <row r="839" spans="1:14" x14ac:dyDescent="0.35">
      <c r="A839" s="33">
        <v>836</v>
      </c>
      <c r="B839" s="34" t="s">
        <v>1211</v>
      </c>
      <c r="C839" s="33" t="s">
        <v>346</v>
      </c>
      <c r="D839" s="33" t="s">
        <v>111</v>
      </c>
      <c r="E839" s="33" t="s">
        <v>1167</v>
      </c>
      <c r="F839" s="35">
        <v>1</v>
      </c>
      <c r="G839" s="40">
        <v>0</v>
      </c>
      <c r="H839" s="40">
        <v>0</v>
      </c>
      <c r="I839" s="40">
        <v>0</v>
      </c>
      <c r="J839" s="40">
        <v>0</v>
      </c>
      <c r="K839" s="40">
        <v>0</v>
      </c>
      <c r="L839" s="40">
        <v>0</v>
      </c>
      <c r="M839" s="40">
        <f t="shared" si="27"/>
        <v>0</v>
      </c>
      <c r="N839" s="40">
        <f t="shared" si="28"/>
        <v>0</v>
      </c>
    </row>
    <row r="840" spans="1:14" x14ac:dyDescent="0.35">
      <c r="A840" s="33">
        <v>837</v>
      </c>
      <c r="B840" s="34" t="s">
        <v>1173</v>
      </c>
      <c r="C840" s="33" t="s">
        <v>297</v>
      </c>
      <c r="D840" s="33" t="s">
        <v>111</v>
      </c>
      <c r="E840" s="33" t="s">
        <v>1174</v>
      </c>
      <c r="F840" s="35">
        <v>1</v>
      </c>
      <c r="G840" s="40">
        <v>0</v>
      </c>
      <c r="H840" s="40">
        <v>0</v>
      </c>
      <c r="I840" s="40">
        <v>0</v>
      </c>
      <c r="J840" s="40">
        <v>0</v>
      </c>
      <c r="K840" s="40">
        <v>0</v>
      </c>
      <c r="L840" s="40">
        <v>0</v>
      </c>
      <c r="M840" s="40">
        <f t="shared" si="27"/>
        <v>0</v>
      </c>
      <c r="N840" s="40">
        <f t="shared" si="28"/>
        <v>0</v>
      </c>
    </row>
    <row r="841" spans="1:14" x14ac:dyDescent="0.35">
      <c r="A841" s="33">
        <v>838</v>
      </c>
      <c r="B841" s="34" t="s">
        <v>1212</v>
      </c>
      <c r="C841" s="33" t="s">
        <v>346</v>
      </c>
      <c r="D841" s="33" t="s">
        <v>111</v>
      </c>
      <c r="E841" s="33" t="s">
        <v>1174</v>
      </c>
      <c r="F841" s="35">
        <v>1</v>
      </c>
      <c r="G841" s="40">
        <v>0</v>
      </c>
      <c r="H841" s="40">
        <v>0</v>
      </c>
      <c r="I841" s="40">
        <v>0</v>
      </c>
      <c r="J841" s="40">
        <v>0</v>
      </c>
      <c r="K841" s="40">
        <v>0</v>
      </c>
      <c r="L841" s="40">
        <v>0</v>
      </c>
      <c r="M841" s="40">
        <f t="shared" si="27"/>
        <v>0</v>
      </c>
      <c r="N841" s="40">
        <f t="shared" si="28"/>
        <v>0</v>
      </c>
    </row>
    <row r="842" spans="1:14" x14ac:dyDescent="0.35">
      <c r="A842" s="33">
        <v>839</v>
      </c>
      <c r="B842" s="34" t="s">
        <v>1175</v>
      </c>
      <c r="C842" s="33" t="s">
        <v>297</v>
      </c>
      <c r="D842" s="33" t="s">
        <v>111</v>
      </c>
      <c r="E842" s="33" t="s">
        <v>1176</v>
      </c>
      <c r="F842" s="35">
        <v>1</v>
      </c>
      <c r="G842" s="40">
        <v>0</v>
      </c>
      <c r="H842" s="40">
        <v>0</v>
      </c>
      <c r="I842" s="40">
        <v>0</v>
      </c>
      <c r="J842" s="40">
        <v>0</v>
      </c>
      <c r="K842" s="40">
        <v>0</v>
      </c>
      <c r="L842" s="40">
        <v>0</v>
      </c>
      <c r="M842" s="40">
        <f t="shared" si="27"/>
        <v>0</v>
      </c>
      <c r="N842" s="40">
        <f t="shared" si="28"/>
        <v>0</v>
      </c>
    </row>
    <row r="843" spans="1:14" x14ac:dyDescent="0.35">
      <c r="A843" s="33">
        <v>840</v>
      </c>
      <c r="B843" s="34" t="s">
        <v>1177</v>
      </c>
      <c r="C843" s="33" t="s">
        <v>297</v>
      </c>
      <c r="D843" s="33" t="s">
        <v>111</v>
      </c>
      <c r="E843" s="33" t="s">
        <v>1176</v>
      </c>
      <c r="F843" s="35">
        <v>1</v>
      </c>
      <c r="G843" s="40">
        <v>0</v>
      </c>
      <c r="H843" s="40">
        <v>0</v>
      </c>
      <c r="I843" s="40">
        <v>0</v>
      </c>
      <c r="J843" s="40">
        <v>0</v>
      </c>
      <c r="K843" s="40">
        <v>0</v>
      </c>
      <c r="L843" s="40">
        <v>0</v>
      </c>
      <c r="M843" s="40">
        <f t="shared" si="27"/>
        <v>0</v>
      </c>
      <c r="N843" s="40">
        <f t="shared" si="28"/>
        <v>0</v>
      </c>
    </row>
    <row r="844" spans="1:14" x14ac:dyDescent="0.35">
      <c r="A844" s="33">
        <v>841</v>
      </c>
      <c r="B844" s="34" t="s">
        <v>1178</v>
      </c>
      <c r="C844" s="33" t="s">
        <v>297</v>
      </c>
      <c r="D844" s="33" t="s">
        <v>111</v>
      </c>
      <c r="E844" s="33" t="s">
        <v>1176</v>
      </c>
      <c r="F844" s="35">
        <v>1</v>
      </c>
      <c r="G844" s="40">
        <v>0</v>
      </c>
      <c r="H844" s="40">
        <v>0</v>
      </c>
      <c r="I844" s="40">
        <v>0</v>
      </c>
      <c r="J844" s="40">
        <v>0</v>
      </c>
      <c r="K844" s="40">
        <v>0</v>
      </c>
      <c r="L844" s="40">
        <v>0</v>
      </c>
      <c r="M844" s="40">
        <f t="shared" si="27"/>
        <v>0</v>
      </c>
      <c r="N844" s="40">
        <f t="shared" si="28"/>
        <v>0</v>
      </c>
    </row>
    <row r="845" spans="1:14" x14ac:dyDescent="0.35">
      <c r="A845" s="33">
        <v>842</v>
      </c>
      <c r="B845" s="34" t="s">
        <v>1179</v>
      </c>
      <c r="C845" s="33" t="s">
        <v>297</v>
      </c>
      <c r="D845" s="33" t="s">
        <v>111</v>
      </c>
      <c r="E845" s="33" t="s">
        <v>1176</v>
      </c>
      <c r="F845" s="35">
        <v>1</v>
      </c>
      <c r="G845" s="40">
        <v>0</v>
      </c>
      <c r="H845" s="40">
        <v>0</v>
      </c>
      <c r="I845" s="40">
        <v>0</v>
      </c>
      <c r="J845" s="40">
        <v>0</v>
      </c>
      <c r="K845" s="40">
        <v>0</v>
      </c>
      <c r="L845" s="40">
        <v>0</v>
      </c>
      <c r="M845" s="40">
        <f t="shared" si="27"/>
        <v>0</v>
      </c>
      <c r="N845" s="40">
        <f t="shared" si="28"/>
        <v>0</v>
      </c>
    </row>
    <row r="846" spans="1:14" x14ac:dyDescent="0.35">
      <c r="A846" s="33">
        <v>843</v>
      </c>
      <c r="B846" s="34" t="s">
        <v>1180</v>
      </c>
      <c r="C846" s="33" t="s">
        <v>297</v>
      </c>
      <c r="D846" s="33" t="s">
        <v>111</v>
      </c>
      <c r="E846" s="33" t="s">
        <v>1176</v>
      </c>
      <c r="F846" s="35">
        <v>1</v>
      </c>
      <c r="G846" s="40">
        <v>0</v>
      </c>
      <c r="H846" s="40">
        <v>0</v>
      </c>
      <c r="I846" s="40">
        <v>0</v>
      </c>
      <c r="J846" s="40">
        <v>0</v>
      </c>
      <c r="K846" s="40">
        <v>0</v>
      </c>
      <c r="L846" s="40">
        <v>0</v>
      </c>
      <c r="M846" s="40">
        <f t="shared" si="27"/>
        <v>0</v>
      </c>
      <c r="N846" s="40">
        <f t="shared" si="28"/>
        <v>0</v>
      </c>
    </row>
    <row r="847" spans="1:14" x14ac:dyDescent="0.35">
      <c r="A847" s="33">
        <v>844</v>
      </c>
      <c r="B847" s="34" t="s">
        <v>1213</v>
      </c>
      <c r="C847" s="33" t="s">
        <v>346</v>
      </c>
      <c r="D847" s="33" t="s">
        <v>111</v>
      </c>
      <c r="E847" s="33" t="s">
        <v>1176</v>
      </c>
      <c r="F847" s="35">
        <v>1</v>
      </c>
      <c r="G847" s="40">
        <v>0</v>
      </c>
      <c r="H847" s="40">
        <v>0</v>
      </c>
      <c r="I847" s="40">
        <v>0</v>
      </c>
      <c r="J847" s="40">
        <v>0</v>
      </c>
      <c r="K847" s="40">
        <v>0</v>
      </c>
      <c r="L847" s="40">
        <v>0</v>
      </c>
      <c r="M847" s="40">
        <f t="shared" si="27"/>
        <v>0</v>
      </c>
      <c r="N847" s="40">
        <f t="shared" si="28"/>
        <v>0</v>
      </c>
    </row>
    <row r="848" spans="1:14" x14ac:dyDescent="0.35">
      <c r="A848" s="33">
        <v>845</v>
      </c>
      <c r="B848" s="34" t="s">
        <v>1181</v>
      </c>
      <c r="C848" s="33" t="s">
        <v>297</v>
      </c>
      <c r="D848" s="33" t="s">
        <v>111</v>
      </c>
      <c r="E848" s="33" t="s">
        <v>1182</v>
      </c>
      <c r="F848" s="35">
        <v>1</v>
      </c>
      <c r="G848" s="40">
        <v>0</v>
      </c>
      <c r="H848" s="40">
        <v>0</v>
      </c>
      <c r="I848" s="40">
        <v>0</v>
      </c>
      <c r="J848" s="40">
        <v>0</v>
      </c>
      <c r="K848" s="40">
        <v>0</v>
      </c>
      <c r="L848" s="40">
        <v>0</v>
      </c>
      <c r="M848" s="40">
        <f t="shared" si="27"/>
        <v>0</v>
      </c>
      <c r="N848" s="40">
        <f t="shared" si="28"/>
        <v>0</v>
      </c>
    </row>
    <row r="849" spans="1:14" x14ac:dyDescent="0.35">
      <c r="A849" s="33">
        <v>846</v>
      </c>
      <c r="B849" s="34" t="s">
        <v>1183</v>
      </c>
      <c r="C849" s="33" t="s">
        <v>297</v>
      </c>
      <c r="D849" s="33" t="s">
        <v>111</v>
      </c>
      <c r="E849" s="33" t="s">
        <v>1182</v>
      </c>
      <c r="F849" s="35">
        <v>1</v>
      </c>
      <c r="G849" s="40">
        <v>0</v>
      </c>
      <c r="H849" s="40">
        <v>0</v>
      </c>
      <c r="I849" s="40">
        <v>0</v>
      </c>
      <c r="J849" s="40">
        <v>0</v>
      </c>
      <c r="K849" s="40">
        <v>0</v>
      </c>
      <c r="L849" s="40">
        <v>0</v>
      </c>
      <c r="M849" s="40">
        <f t="shared" si="27"/>
        <v>0</v>
      </c>
      <c r="N849" s="40">
        <f t="shared" si="28"/>
        <v>0</v>
      </c>
    </row>
    <row r="850" spans="1:14" x14ac:dyDescent="0.35">
      <c r="A850" s="33">
        <v>847</v>
      </c>
      <c r="B850" s="34" t="s">
        <v>1184</v>
      </c>
      <c r="C850" s="33" t="s">
        <v>297</v>
      </c>
      <c r="D850" s="33" t="s">
        <v>111</v>
      </c>
      <c r="E850" s="33" t="s">
        <v>1182</v>
      </c>
      <c r="F850" s="35">
        <v>1</v>
      </c>
      <c r="G850" s="40">
        <v>0</v>
      </c>
      <c r="H850" s="40">
        <v>0</v>
      </c>
      <c r="I850" s="40">
        <v>0</v>
      </c>
      <c r="J850" s="40">
        <v>0</v>
      </c>
      <c r="K850" s="40">
        <v>0</v>
      </c>
      <c r="L850" s="40">
        <v>0</v>
      </c>
      <c r="M850" s="40">
        <f t="shared" si="27"/>
        <v>0</v>
      </c>
      <c r="N850" s="40">
        <f t="shared" si="28"/>
        <v>0</v>
      </c>
    </row>
    <row r="851" spans="1:14" x14ac:dyDescent="0.35">
      <c r="A851" s="33">
        <v>848</v>
      </c>
      <c r="B851" s="34" t="s">
        <v>1185</v>
      </c>
      <c r="C851" s="33" t="s">
        <v>297</v>
      </c>
      <c r="D851" s="33" t="s">
        <v>111</v>
      </c>
      <c r="E851" s="33" t="s">
        <v>1182</v>
      </c>
      <c r="F851" s="35">
        <v>1</v>
      </c>
      <c r="G851" s="40">
        <v>0</v>
      </c>
      <c r="H851" s="40">
        <v>0</v>
      </c>
      <c r="I851" s="40">
        <v>0</v>
      </c>
      <c r="J851" s="40">
        <v>0</v>
      </c>
      <c r="K851" s="40">
        <v>0</v>
      </c>
      <c r="L851" s="40">
        <v>0</v>
      </c>
      <c r="M851" s="40">
        <f t="shared" si="27"/>
        <v>0</v>
      </c>
      <c r="N851" s="40">
        <f t="shared" si="28"/>
        <v>0</v>
      </c>
    </row>
    <row r="852" spans="1:14" x14ac:dyDescent="0.35">
      <c r="A852" s="33">
        <v>849</v>
      </c>
      <c r="B852" s="34" t="s">
        <v>1186</v>
      </c>
      <c r="C852" s="33" t="s">
        <v>297</v>
      </c>
      <c r="D852" s="33" t="s">
        <v>111</v>
      </c>
      <c r="E852" s="33" t="s">
        <v>1182</v>
      </c>
      <c r="F852" s="35">
        <v>1</v>
      </c>
      <c r="G852" s="40">
        <v>0</v>
      </c>
      <c r="H852" s="40">
        <v>0</v>
      </c>
      <c r="I852" s="40">
        <v>0</v>
      </c>
      <c r="J852" s="40">
        <v>0</v>
      </c>
      <c r="K852" s="40">
        <v>0</v>
      </c>
      <c r="L852" s="40">
        <v>0</v>
      </c>
      <c r="M852" s="40">
        <f t="shared" si="27"/>
        <v>0</v>
      </c>
      <c r="N852" s="40">
        <f t="shared" si="28"/>
        <v>0</v>
      </c>
    </row>
    <row r="853" spans="1:14" x14ac:dyDescent="0.35">
      <c r="A853" s="33">
        <v>850</v>
      </c>
      <c r="B853" s="34" t="s">
        <v>1187</v>
      </c>
      <c r="C853" s="33" t="s">
        <v>297</v>
      </c>
      <c r="D853" s="33" t="s">
        <v>111</v>
      </c>
      <c r="E853" s="33" t="s">
        <v>1188</v>
      </c>
      <c r="F853" s="35">
        <v>1</v>
      </c>
      <c r="G853" s="40">
        <v>0</v>
      </c>
      <c r="H853" s="40">
        <v>0</v>
      </c>
      <c r="I853" s="40">
        <v>0</v>
      </c>
      <c r="J853" s="40">
        <v>0</v>
      </c>
      <c r="K853" s="40">
        <v>0</v>
      </c>
      <c r="L853" s="40">
        <v>0</v>
      </c>
      <c r="M853" s="40">
        <f t="shared" si="27"/>
        <v>0</v>
      </c>
      <c r="N853" s="40">
        <f t="shared" si="28"/>
        <v>0</v>
      </c>
    </row>
    <row r="854" spans="1:14" x14ac:dyDescent="0.35">
      <c r="A854" s="33">
        <v>851</v>
      </c>
      <c r="B854" s="34" t="s">
        <v>1189</v>
      </c>
      <c r="C854" s="33" t="s">
        <v>297</v>
      </c>
      <c r="D854" s="33" t="s">
        <v>111</v>
      </c>
      <c r="E854" s="33" t="s">
        <v>1190</v>
      </c>
      <c r="F854" s="35">
        <v>1</v>
      </c>
      <c r="G854" s="40">
        <v>0</v>
      </c>
      <c r="H854" s="40">
        <v>0</v>
      </c>
      <c r="I854" s="40">
        <v>0</v>
      </c>
      <c r="J854" s="40">
        <v>0</v>
      </c>
      <c r="K854" s="40">
        <v>0</v>
      </c>
      <c r="L854" s="40">
        <v>0</v>
      </c>
      <c r="M854" s="40">
        <f t="shared" si="27"/>
        <v>0</v>
      </c>
      <c r="N854" s="40">
        <f t="shared" si="28"/>
        <v>0</v>
      </c>
    </row>
    <row r="855" spans="1:14" x14ac:dyDescent="0.35">
      <c r="A855" s="33">
        <v>852</v>
      </c>
      <c r="B855" s="34" t="s">
        <v>1191</v>
      </c>
      <c r="C855" s="33" t="s">
        <v>297</v>
      </c>
      <c r="D855" s="33" t="s">
        <v>111</v>
      </c>
      <c r="E855" s="33" t="s">
        <v>1190</v>
      </c>
      <c r="F855" s="35">
        <v>1</v>
      </c>
      <c r="G855" s="40">
        <v>0</v>
      </c>
      <c r="H855" s="40">
        <v>0</v>
      </c>
      <c r="I855" s="40">
        <v>0</v>
      </c>
      <c r="J855" s="40">
        <v>0</v>
      </c>
      <c r="K855" s="40">
        <v>0</v>
      </c>
      <c r="L855" s="40">
        <v>0</v>
      </c>
      <c r="M855" s="40">
        <f t="shared" si="27"/>
        <v>0</v>
      </c>
      <c r="N855" s="40">
        <f t="shared" si="28"/>
        <v>0</v>
      </c>
    </row>
    <row r="856" spans="1:14" x14ac:dyDescent="0.35">
      <c r="A856" s="33">
        <v>853</v>
      </c>
      <c r="B856" s="34" t="s">
        <v>1192</v>
      </c>
      <c r="C856" s="33" t="s">
        <v>297</v>
      </c>
      <c r="D856" s="33" t="s">
        <v>111</v>
      </c>
      <c r="E856" s="33" t="s">
        <v>1190</v>
      </c>
      <c r="F856" s="35">
        <v>1</v>
      </c>
      <c r="G856" s="40">
        <v>0</v>
      </c>
      <c r="H856" s="40">
        <v>0</v>
      </c>
      <c r="I856" s="40">
        <v>0</v>
      </c>
      <c r="J856" s="40">
        <v>0</v>
      </c>
      <c r="K856" s="40">
        <v>0</v>
      </c>
      <c r="L856" s="40">
        <v>0</v>
      </c>
      <c r="M856" s="40">
        <f t="shared" si="27"/>
        <v>0</v>
      </c>
      <c r="N856" s="40">
        <f t="shared" si="28"/>
        <v>0</v>
      </c>
    </row>
    <row r="857" spans="1:14" x14ac:dyDescent="0.35">
      <c r="A857" s="33">
        <v>854</v>
      </c>
      <c r="B857" s="34" t="s">
        <v>1193</v>
      </c>
      <c r="C857" s="33" t="s">
        <v>297</v>
      </c>
      <c r="D857" s="33" t="s">
        <v>111</v>
      </c>
      <c r="E857" s="33" t="s">
        <v>1190</v>
      </c>
      <c r="F857" s="35">
        <v>1</v>
      </c>
      <c r="G857" s="40">
        <v>0</v>
      </c>
      <c r="H857" s="40">
        <v>0</v>
      </c>
      <c r="I857" s="40">
        <v>0</v>
      </c>
      <c r="J857" s="40">
        <v>0</v>
      </c>
      <c r="K857" s="40">
        <v>0</v>
      </c>
      <c r="L857" s="40">
        <v>0</v>
      </c>
      <c r="M857" s="40">
        <f t="shared" si="27"/>
        <v>0</v>
      </c>
      <c r="N857" s="40">
        <f t="shared" si="28"/>
        <v>0</v>
      </c>
    </row>
    <row r="858" spans="1:14" x14ac:dyDescent="0.35">
      <c r="A858" s="33">
        <v>855</v>
      </c>
      <c r="B858" s="34" t="s">
        <v>1214</v>
      </c>
      <c r="C858" s="33" t="s">
        <v>346</v>
      </c>
      <c r="D858" s="33" t="s">
        <v>111</v>
      </c>
      <c r="E858" s="33" t="s">
        <v>1190</v>
      </c>
      <c r="F858" s="35">
        <v>1</v>
      </c>
      <c r="G858" s="40">
        <v>0</v>
      </c>
      <c r="H858" s="40">
        <v>0</v>
      </c>
      <c r="I858" s="40">
        <v>0</v>
      </c>
      <c r="J858" s="40">
        <v>0</v>
      </c>
      <c r="K858" s="40">
        <v>0</v>
      </c>
      <c r="L858" s="40">
        <v>0</v>
      </c>
      <c r="M858" s="40">
        <f t="shared" si="27"/>
        <v>0</v>
      </c>
      <c r="N858" s="40">
        <f t="shared" si="28"/>
        <v>0</v>
      </c>
    </row>
    <row r="859" spans="1:14" x14ac:dyDescent="0.35">
      <c r="A859" s="33">
        <v>856</v>
      </c>
      <c r="B859" s="34" t="s">
        <v>1215</v>
      </c>
      <c r="C859" s="33" t="s">
        <v>346</v>
      </c>
      <c r="D859" s="33" t="s">
        <v>111</v>
      </c>
      <c r="E859" s="33" t="s">
        <v>1190</v>
      </c>
      <c r="F859" s="35">
        <v>1</v>
      </c>
      <c r="G859" s="40">
        <v>0</v>
      </c>
      <c r="H859" s="40">
        <v>0</v>
      </c>
      <c r="I859" s="40">
        <v>0</v>
      </c>
      <c r="J859" s="40">
        <v>0</v>
      </c>
      <c r="K859" s="40">
        <v>0</v>
      </c>
      <c r="L859" s="40">
        <v>0</v>
      </c>
      <c r="M859" s="40">
        <f t="shared" si="27"/>
        <v>0</v>
      </c>
      <c r="N859" s="40">
        <f t="shared" si="28"/>
        <v>0</v>
      </c>
    </row>
    <row r="860" spans="1:14" x14ac:dyDescent="0.35">
      <c r="A860" s="33">
        <v>857</v>
      </c>
      <c r="B860" s="34" t="s">
        <v>1216</v>
      </c>
      <c r="C860" s="33" t="s">
        <v>346</v>
      </c>
      <c r="D860" s="33" t="s">
        <v>111</v>
      </c>
      <c r="E860" s="33" t="s">
        <v>1190</v>
      </c>
      <c r="F860" s="35">
        <v>1</v>
      </c>
      <c r="G860" s="40">
        <v>0</v>
      </c>
      <c r="H860" s="40">
        <v>0</v>
      </c>
      <c r="I860" s="40">
        <v>0</v>
      </c>
      <c r="J860" s="40">
        <v>0</v>
      </c>
      <c r="K860" s="40">
        <v>0</v>
      </c>
      <c r="L860" s="40">
        <v>0</v>
      </c>
      <c r="M860" s="40">
        <f t="shared" si="27"/>
        <v>0</v>
      </c>
      <c r="N860" s="40">
        <f t="shared" si="28"/>
        <v>0</v>
      </c>
    </row>
    <row r="861" spans="1:14" x14ac:dyDescent="0.35">
      <c r="A861" s="33">
        <v>858</v>
      </c>
      <c r="B861" s="34" t="s">
        <v>1194</v>
      </c>
      <c r="C861" s="33" t="s">
        <v>297</v>
      </c>
      <c r="D861" s="33" t="s">
        <v>111</v>
      </c>
      <c r="E861" s="33" t="s">
        <v>1195</v>
      </c>
      <c r="F861" s="35">
        <v>1</v>
      </c>
      <c r="G861" s="40">
        <v>0</v>
      </c>
      <c r="H861" s="40">
        <v>0</v>
      </c>
      <c r="I861" s="40">
        <v>0</v>
      </c>
      <c r="J861" s="40">
        <v>0</v>
      </c>
      <c r="K861" s="40">
        <v>0</v>
      </c>
      <c r="L861" s="40">
        <v>0</v>
      </c>
      <c r="M861" s="40">
        <f t="shared" si="27"/>
        <v>0</v>
      </c>
      <c r="N861" s="40">
        <f t="shared" si="28"/>
        <v>0</v>
      </c>
    </row>
    <row r="862" spans="1:14" x14ac:dyDescent="0.35">
      <c r="A862" s="33">
        <v>859</v>
      </c>
      <c r="B862" s="34" t="s">
        <v>1196</v>
      </c>
      <c r="C862" s="33" t="s">
        <v>297</v>
      </c>
      <c r="D862" s="33" t="s">
        <v>111</v>
      </c>
      <c r="E862" s="33" t="s">
        <v>1195</v>
      </c>
      <c r="F862" s="35">
        <v>1</v>
      </c>
      <c r="G862" s="40">
        <v>0</v>
      </c>
      <c r="H862" s="40">
        <v>0</v>
      </c>
      <c r="I862" s="40">
        <v>0</v>
      </c>
      <c r="J862" s="40">
        <v>0</v>
      </c>
      <c r="K862" s="40">
        <v>0</v>
      </c>
      <c r="L862" s="40">
        <v>0</v>
      </c>
      <c r="M862" s="40">
        <f t="shared" si="27"/>
        <v>0</v>
      </c>
      <c r="N862" s="40">
        <f t="shared" si="28"/>
        <v>0</v>
      </c>
    </row>
    <row r="863" spans="1:14" x14ac:dyDescent="0.35">
      <c r="A863" s="33">
        <v>860</v>
      </c>
      <c r="B863" s="34" t="s">
        <v>1197</v>
      </c>
      <c r="C863" s="33" t="s">
        <v>297</v>
      </c>
      <c r="D863" s="33" t="s">
        <v>111</v>
      </c>
      <c r="E863" s="33" t="s">
        <v>1195</v>
      </c>
      <c r="F863" s="35">
        <v>1</v>
      </c>
      <c r="G863" s="40">
        <v>0</v>
      </c>
      <c r="H863" s="40">
        <v>0</v>
      </c>
      <c r="I863" s="40">
        <v>0</v>
      </c>
      <c r="J863" s="40">
        <v>0</v>
      </c>
      <c r="K863" s="40">
        <v>0</v>
      </c>
      <c r="L863" s="40">
        <v>0</v>
      </c>
      <c r="M863" s="40">
        <f t="shared" si="27"/>
        <v>0</v>
      </c>
      <c r="N863" s="40">
        <f t="shared" si="28"/>
        <v>0</v>
      </c>
    </row>
    <row r="864" spans="1:14" x14ac:dyDescent="0.35">
      <c r="A864" s="33">
        <v>861</v>
      </c>
      <c r="B864" s="34" t="s">
        <v>1217</v>
      </c>
      <c r="C864" s="33" t="s">
        <v>346</v>
      </c>
      <c r="D864" s="33" t="s">
        <v>111</v>
      </c>
      <c r="E864" s="33" t="s">
        <v>1195</v>
      </c>
      <c r="F864" s="35">
        <v>1</v>
      </c>
      <c r="G864" s="40">
        <v>0</v>
      </c>
      <c r="H864" s="40">
        <v>0</v>
      </c>
      <c r="I864" s="40">
        <v>0</v>
      </c>
      <c r="J864" s="40">
        <v>0</v>
      </c>
      <c r="K864" s="40">
        <v>0</v>
      </c>
      <c r="L864" s="40">
        <v>0</v>
      </c>
      <c r="M864" s="40">
        <f t="shared" si="27"/>
        <v>0</v>
      </c>
      <c r="N864" s="40">
        <f t="shared" si="28"/>
        <v>0</v>
      </c>
    </row>
    <row r="865" spans="1:14" x14ac:dyDescent="0.35">
      <c r="A865" s="33">
        <v>862</v>
      </c>
      <c r="B865" s="34" t="s">
        <v>1218</v>
      </c>
      <c r="C865" s="33" t="s">
        <v>346</v>
      </c>
      <c r="D865" s="33" t="s">
        <v>111</v>
      </c>
      <c r="E865" s="33" t="s">
        <v>1195</v>
      </c>
      <c r="F865" s="35">
        <v>0.2</v>
      </c>
      <c r="G865" s="40">
        <v>0</v>
      </c>
      <c r="H865" s="40">
        <v>0</v>
      </c>
      <c r="I865" s="40">
        <v>0</v>
      </c>
      <c r="J865" s="40">
        <v>0</v>
      </c>
      <c r="K865" s="40">
        <v>0</v>
      </c>
      <c r="L865" s="40">
        <v>0</v>
      </c>
      <c r="M865" s="40">
        <f t="shared" si="27"/>
        <v>0</v>
      </c>
      <c r="N865" s="40">
        <f t="shared" si="28"/>
        <v>0</v>
      </c>
    </row>
    <row r="866" spans="1:14" x14ac:dyDescent="0.35">
      <c r="A866" s="33">
        <v>863</v>
      </c>
      <c r="B866" s="34" t="s">
        <v>1219</v>
      </c>
      <c r="C866" s="33" t="s">
        <v>346</v>
      </c>
      <c r="D866" s="33" t="s">
        <v>111</v>
      </c>
      <c r="E866" s="33" t="s">
        <v>1195</v>
      </c>
      <c r="F866" s="35">
        <v>1</v>
      </c>
      <c r="G866" s="40">
        <v>0</v>
      </c>
      <c r="H866" s="40">
        <v>0</v>
      </c>
      <c r="I866" s="40">
        <v>0</v>
      </c>
      <c r="J866" s="40">
        <v>0</v>
      </c>
      <c r="K866" s="40">
        <v>0</v>
      </c>
      <c r="L866" s="40">
        <v>0</v>
      </c>
      <c r="M866" s="40">
        <f t="shared" si="27"/>
        <v>0</v>
      </c>
      <c r="N866" s="40">
        <f t="shared" si="28"/>
        <v>0</v>
      </c>
    </row>
    <row r="867" spans="1:14" x14ac:dyDescent="0.35">
      <c r="A867" s="33">
        <v>864</v>
      </c>
      <c r="B867" s="34" t="s">
        <v>1220</v>
      </c>
      <c r="C867" s="33" t="s">
        <v>346</v>
      </c>
      <c r="D867" s="33" t="s">
        <v>111</v>
      </c>
      <c r="E867" s="33" t="s">
        <v>1195</v>
      </c>
      <c r="F867" s="35">
        <v>1</v>
      </c>
      <c r="G867" s="40">
        <v>0</v>
      </c>
      <c r="H867" s="40">
        <v>0</v>
      </c>
      <c r="I867" s="40">
        <v>0</v>
      </c>
      <c r="J867" s="40">
        <v>0</v>
      </c>
      <c r="K867" s="40">
        <v>0</v>
      </c>
      <c r="L867" s="40">
        <v>0</v>
      </c>
      <c r="M867" s="40">
        <f t="shared" si="27"/>
        <v>0</v>
      </c>
      <c r="N867" s="40">
        <f t="shared" si="28"/>
        <v>0</v>
      </c>
    </row>
    <row r="868" spans="1:14" x14ac:dyDescent="0.35">
      <c r="A868" s="33">
        <v>865</v>
      </c>
      <c r="B868" s="34" t="s">
        <v>2319</v>
      </c>
      <c r="C868" s="33" t="s">
        <v>297</v>
      </c>
      <c r="D868" s="33" t="s">
        <v>111</v>
      </c>
      <c r="E868" s="33" t="s">
        <v>2320</v>
      </c>
      <c r="F868" s="35">
        <v>1</v>
      </c>
      <c r="G868" s="40">
        <v>0</v>
      </c>
      <c r="H868" s="40">
        <v>0</v>
      </c>
      <c r="I868" s="40">
        <v>0</v>
      </c>
      <c r="J868" s="40">
        <v>0</v>
      </c>
      <c r="K868" s="40">
        <v>0</v>
      </c>
      <c r="L868" s="40">
        <v>0</v>
      </c>
      <c r="M868" s="40">
        <f t="shared" si="27"/>
        <v>0</v>
      </c>
      <c r="N868" s="40">
        <f t="shared" si="28"/>
        <v>0</v>
      </c>
    </row>
    <row r="869" spans="1:14" x14ac:dyDescent="0.35">
      <c r="A869" s="33">
        <v>866</v>
      </c>
      <c r="B869" s="34" t="s">
        <v>1221</v>
      </c>
      <c r="C869" s="33" t="s">
        <v>346</v>
      </c>
      <c r="D869" s="33" t="s">
        <v>1222</v>
      </c>
      <c r="E869" s="33" t="s">
        <v>1223</v>
      </c>
      <c r="F869" s="35">
        <v>0.68</v>
      </c>
      <c r="G869" s="40">
        <v>0</v>
      </c>
      <c r="H869" s="40">
        <v>0</v>
      </c>
      <c r="I869" s="40">
        <v>0</v>
      </c>
      <c r="J869" s="40">
        <v>0</v>
      </c>
      <c r="K869" s="40">
        <v>0</v>
      </c>
      <c r="L869" s="40">
        <v>0</v>
      </c>
      <c r="M869" s="40">
        <f t="shared" si="27"/>
        <v>0</v>
      </c>
      <c r="N869" s="40">
        <f t="shared" si="28"/>
        <v>0</v>
      </c>
    </row>
    <row r="870" spans="1:14" x14ac:dyDescent="0.35">
      <c r="A870" s="33">
        <v>867</v>
      </c>
      <c r="B870" s="34" t="s">
        <v>1224</v>
      </c>
      <c r="C870" s="33" t="s">
        <v>346</v>
      </c>
      <c r="D870" s="33" t="s">
        <v>1222</v>
      </c>
      <c r="E870" s="33" t="s">
        <v>1223</v>
      </c>
      <c r="F870" s="35">
        <v>0.4</v>
      </c>
      <c r="G870" s="40">
        <v>0</v>
      </c>
      <c r="H870" s="40">
        <v>0</v>
      </c>
      <c r="I870" s="40">
        <v>0</v>
      </c>
      <c r="J870" s="40">
        <v>0</v>
      </c>
      <c r="K870" s="40">
        <v>0</v>
      </c>
      <c r="L870" s="40">
        <v>0</v>
      </c>
      <c r="M870" s="40">
        <f t="shared" si="27"/>
        <v>0</v>
      </c>
      <c r="N870" s="40">
        <f t="shared" si="28"/>
        <v>0</v>
      </c>
    </row>
    <row r="871" spans="1:14" x14ac:dyDescent="0.35">
      <c r="A871" s="33">
        <v>868</v>
      </c>
      <c r="B871" s="34" t="s">
        <v>1225</v>
      </c>
      <c r="C871" s="33" t="s">
        <v>346</v>
      </c>
      <c r="D871" s="33" t="s">
        <v>1222</v>
      </c>
      <c r="E871" s="33" t="s">
        <v>1223</v>
      </c>
      <c r="F871" s="35">
        <v>0.4</v>
      </c>
      <c r="G871" s="40">
        <v>0</v>
      </c>
      <c r="H871" s="40">
        <v>0</v>
      </c>
      <c r="I871" s="40">
        <v>0</v>
      </c>
      <c r="J871" s="40">
        <v>0</v>
      </c>
      <c r="K871" s="40">
        <v>0</v>
      </c>
      <c r="L871" s="40">
        <v>0</v>
      </c>
      <c r="M871" s="40">
        <f t="shared" si="27"/>
        <v>0</v>
      </c>
      <c r="N871" s="40">
        <f t="shared" si="28"/>
        <v>0</v>
      </c>
    </row>
    <row r="872" spans="1:14" x14ac:dyDescent="0.35">
      <c r="A872" s="33">
        <v>869</v>
      </c>
      <c r="B872" s="34" t="s">
        <v>1226</v>
      </c>
      <c r="C872" s="33" t="s">
        <v>346</v>
      </c>
      <c r="D872" s="33" t="s">
        <v>1222</v>
      </c>
      <c r="E872" s="33" t="s">
        <v>1223</v>
      </c>
      <c r="F872" s="35">
        <v>0.3</v>
      </c>
      <c r="G872" s="40">
        <v>0</v>
      </c>
      <c r="H872" s="40">
        <v>0</v>
      </c>
      <c r="I872" s="40">
        <v>0</v>
      </c>
      <c r="J872" s="40">
        <v>0</v>
      </c>
      <c r="K872" s="40">
        <v>0</v>
      </c>
      <c r="L872" s="40">
        <v>0</v>
      </c>
      <c r="M872" s="40">
        <f t="shared" si="27"/>
        <v>0</v>
      </c>
      <c r="N872" s="40">
        <f t="shared" si="28"/>
        <v>0</v>
      </c>
    </row>
    <row r="873" spans="1:14" x14ac:dyDescent="0.35">
      <c r="A873" s="33">
        <v>870</v>
      </c>
      <c r="B873" s="34" t="s">
        <v>1227</v>
      </c>
      <c r="C873" s="33" t="s">
        <v>346</v>
      </c>
      <c r="D873" s="33" t="s">
        <v>1222</v>
      </c>
      <c r="E873" s="33" t="s">
        <v>1223</v>
      </c>
      <c r="F873" s="35">
        <v>0.36</v>
      </c>
      <c r="G873" s="40">
        <v>0</v>
      </c>
      <c r="H873" s="40">
        <v>0</v>
      </c>
      <c r="I873" s="40">
        <v>0</v>
      </c>
      <c r="J873" s="40">
        <v>0</v>
      </c>
      <c r="K873" s="40">
        <v>0</v>
      </c>
      <c r="L873" s="40">
        <v>0</v>
      </c>
      <c r="M873" s="40">
        <f t="shared" si="27"/>
        <v>0</v>
      </c>
      <c r="N873" s="40">
        <f t="shared" si="28"/>
        <v>0</v>
      </c>
    </row>
    <row r="874" spans="1:14" x14ac:dyDescent="0.35">
      <c r="A874" s="33">
        <v>871</v>
      </c>
      <c r="B874" s="34" t="s">
        <v>1228</v>
      </c>
      <c r="C874" s="33" t="s">
        <v>346</v>
      </c>
      <c r="D874" s="33" t="s">
        <v>1222</v>
      </c>
      <c r="E874" s="33" t="s">
        <v>1223</v>
      </c>
      <c r="F874" s="35">
        <v>0.3</v>
      </c>
      <c r="G874" s="40">
        <v>0</v>
      </c>
      <c r="H874" s="40">
        <v>0</v>
      </c>
      <c r="I874" s="40">
        <v>0</v>
      </c>
      <c r="J874" s="40">
        <v>0</v>
      </c>
      <c r="K874" s="40">
        <v>0</v>
      </c>
      <c r="L874" s="40">
        <v>0</v>
      </c>
      <c r="M874" s="40">
        <f t="shared" si="27"/>
        <v>0</v>
      </c>
      <c r="N874" s="40">
        <f t="shared" si="28"/>
        <v>0</v>
      </c>
    </row>
    <row r="875" spans="1:14" x14ac:dyDescent="0.35">
      <c r="A875" s="33">
        <v>872</v>
      </c>
      <c r="B875" s="34" t="s">
        <v>1229</v>
      </c>
      <c r="C875" s="33" t="s">
        <v>346</v>
      </c>
      <c r="D875" s="33" t="s">
        <v>1222</v>
      </c>
      <c r="E875" s="33" t="s">
        <v>1223</v>
      </c>
      <c r="F875" s="35">
        <v>0.24199999999999999</v>
      </c>
      <c r="G875" s="40">
        <v>0</v>
      </c>
      <c r="H875" s="40">
        <v>0</v>
      </c>
      <c r="I875" s="40">
        <v>0</v>
      </c>
      <c r="J875" s="40">
        <v>0</v>
      </c>
      <c r="K875" s="40">
        <v>0</v>
      </c>
      <c r="L875" s="40">
        <v>0</v>
      </c>
      <c r="M875" s="40">
        <f t="shared" si="27"/>
        <v>0</v>
      </c>
      <c r="N875" s="40">
        <f t="shared" si="28"/>
        <v>0</v>
      </c>
    </row>
    <row r="876" spans="1:14" x14ac:dyDescent="0.35">
      <c r="A876" s="33">
        <v>873</v>
      </c>
      <c r="B876" s="34" t="s">
        <v>1230</v>
      </c>
      <c r="C876" s="33" t="s">
        <v>346</v>
      </c>
      <c r="D876" s="33" t="s">
        <v>1222</v>
      </c>
      <c r="E876" s="33" t="s">
        <v>1223</v>
      </c>
      <c r="F876" s="35">
        <v>0.4</v>
      </c>
      <c r="G876" s="40">
        <v>0</v>
      </c>
      <c r="H876" s="40">
        <v>0</v>
      </c>
      <c r="I876" s="40">
        <v>0</v>
      </c>
      <c r="J876" s="40">
        <v>0</v>
      </c>
      <c r="K876" s="40">
        <v>0</v>
      </c>
      <c r="L876" s="40">
        <v>0</v>
      </c>
      <c r="M876" s="40">
        <f t="shared" si="27"/>
        <v>0</v>
      </c>
      <c r="N876" s="40">
        <f t="shared" si="28"/>
        <v>0</v>
      </c>
    </row>
    <row r="877" spans="1:14" x14ac:dyDescent="0.35">
      <c r="A877" s="33">
        <v>874</v>
      </c>
      <c r="B877" s="34" t="s">
        <v>1231</v>
      </c>
      <c r="C877" s="33" t="s">
        <v>346</v>
      </c>
      <c r="D877" s="33" t="s">
        <v>1222</v>
      </c>
      <c r="E877" s="33" t="s">
        <v>1223</v>
      </c>
      <c r="F877" s="35">
        <v>0.6</v>
      </c>
      <c r="G877" s="40">
        <v>0</v>
      </c>
      <c r="H877" s="40">
        <v>0</v>
      </c>
      <c r="I877" s="40">
        <v>0</v>
      </c>
      <c r="J877" s="40">
        <v>0</v>
      </c>
      <c r="K877" s="40">
        <v>0</v>
      </c>
      <c r="L877" s="40">
        <v>0</v>
      </c>
      <c r="M877" s="40">
        <f t="shared" si="27"/>
        <v>0</v>
      </c>
      <c r="N877" s="40">
        <f t="shared" si="28"/>
        <v>0</v>
      </c>
    </row>
    <row r="878" spans="1:14" x14ac:dyDescent="0.35">
      <c r="A878" s="33">
        <v>875</v>
      </c>
      <c r="B878" s="34" t="s">
        <v>1232</v>
      </c>
      <c r="C878" s="33" t="s">
        <v>346</v>
      </c>
      <c r="D878" s="33" t="s">
        <v>1222</v>
      </c>
      <c r="E878" s="33" t="s">
        <v>1223</v>
      </c>
      <c r="F878" s="35">
        <v>0.6</v>
      </c>
      <c r="G878" s="40">
        <v>0</v>
      </c>
      <c r="H878" s="40">
        <v>0</v>
      </c>
      <c r="I878" s="40">
        <v>0</v>
      </c>
      <c r="J878" s="40">
        <v>0</v>
      </c>
      <c r="K878" s="40">
        <v>0</v>
      </c>
      <c r="L878" s="40">
        <v>0</v>
      </c>
      <c r="M878" s="40">
        <f t="shared" si="27"/>
        <v>0</v>
      </c>
      <c r="N878" s="40">
        <f t="shared" si="28"/>
        <v>0</v>
      </c>
    </row>
    <row r="879" spans="1:14" x14ac:dyDescent="0.35">
      <c r="A879" s="33">
        <v>876</v>
      </c>
      <c r="B879" s="34" t="s">
        <v>1233</v>
      </c>
      <c r="C879" s="33" t="s">
        <v>346</v>
      </c>
      <c r="D879" s="33" t="s">
        <v>1222</v>
      </c>
      <c r="E879" s="33" t="s">
        <v>1223</v>
      </c>
      <c r="F879" s="35">
        <v>0.52</v>
      </c>
      <c r="G879" s="40">
        <v>0</v>
      </c>
      <c r="H879" s="40">
        <v>0</v>
      </c>
      <c r="I879" s="40">
        <v>0</v>
      </c>
      <c r="J879" s="40">
        <v>0</v>
      </c>
      <c r="K879" s="40">
        <v>0</v>
      </c>
      <c r="L879" s="40">
        <v>0</v>
      </c>
      <c r="M879" s="40">
        <f t="shared" si="27"/>
        <v>0</v>
      </c>
      <c r="N879" s="40">
        <f t="shared" si="28"/>
        <v>0</v>
      </c>
    </row>
    <row r="880" spans="1:14" x14ac:dyDescent="0.35">
      <c r="A880" s="33">
        <v>877</v>
      </c>
      <c r="B880" s="34" t="s">
        <v>1234</v>
      </c>
      <c r="C880" s="33" t="s">
        <v>346</v>
      </c>
      <c r="D880" s="33" t="s">
        <v>1222</v>
      </c>
      <c r="E880" s="33" t="s">
        <v>1223</v>
      </c>
      <c r="F880" s="35">
        <v>0.52</v>
      </c>
      <c r="G880" s="40">
        <v>0</v>
      </c>
      <c r="H880" s="40">
        <v>0</v>
      </c>
      <c r="I880" s="40">
        <v>0</v>
      </c>
      <c r="J880" s="40">
        <v>0</v>
      </c>
      <c r="K880" s="40">
        <v>0</v>
      </c>
      <c r="L880" s="40">
        <v>0</v>
      </c>
      <c r="M880" s="40">
        <f t="shared" si="27"/>
        <v>0</v>
      </c>
      <c r="N880" s="40">
        <f t="shared" si="28"/>
        <v>0</v>
      </c>
    </row>
    <row r="881" spans="1:14" x14ac:dyDescent="0.35">
      <c r="A881" s="33">
        <v>878</v>
      </c>
      <c r="B881" s="34" t="s">
        <v>1235</v>
      </c>
      <c r="C881" s="33" t="s">
        <v>346</v>
      </c>
      <c r="D881" s="33" t="s">
        <v>1222</v>
      </c>
      <c r="E881" s="33" t="s">
        <v>1223</v>
      </c>
      <c r="F881" s="35">
        <v>0.36</v>
      </c>
      <c r="G881" s="40">
        <v>0</v>
      </c>
      <c r="H881" s="40">
        <v>0</v>
      </c>
      <c r="I881" s="40">
        <v>0</v>
      </c>
      <c r="J881" s="40">
        <v>0</v>
      </c>
      <c r="K881" s="40">
        <v>0</v>
      </c>
      <c r="L881" s="40">
        <v>0</v>
      </c>
      <c r="M881" s="40">
        <f t="shared" si="27"/>
        <v>0</v>
      </c>
      <c r="N881" s="40">
        <f t="shared" si="28"/>
        <v>0</v>
      </c>
    </row>
    <row r="882" spans="1:14" x14ac:dyDescent="0.35">
      <c r="A882" s="33">
        <v>879</v>
      </c>
      <c r="B882" s="34" t="s">
        <v>1236</v>
      </c>
      <c r="C882" s="33" t="s">
        <v>346</v>
      </c>
      <c r="D882" s="33" t="s">
        <v>1222</v>
      </c>
      <c r="E882" s="33" t="s">
        <v>1223</v>
      </c>
      <c r="F882" s="35">
        <v>0.36</v>
      </c>
      <c r="G882" s="40">
        <v>0</v>
      </c>
      <c r="H882" s="40">
        <v>0</v>
      </c>
      <c r="I882" s="40">
        <v>0</v>
      </c>
      <c r="J882" s="40">
        <v>0</v>
      </c>
      <c r="K882" s="40">
        <v>0</v>
      </c>
      <c r="L882" s="40">
        <v>0</v>
      </c>
      <c r="M882" s="40">
        <f t="shared" si="27"/>
        <v>0</v>
      </c>
      <c r="N882" s="40">
        <f t="shared" si="28"/>
        <v>0</v>
      </c>
    </row>
    <row r="883" spans="1:14" x14ac:dyDescent="0.35">
      <c r="A883" s="33">
        <v>880</v>
      </c>
      <c r="B883" s="34" t="s">
        <v>1237</v>
      </c>
      <c r="C883" s="33" t="s">
        <v>346</v>
      </c>
      <c r="D883" s="33" t="s">
        <v>1222</v>
      </c>
      <c r="E883" s="33" t="s">
        <v>1223</v>
      </c>
      <c r="F883" s="35">
        <v>0.6</v>
      </c>
      <c r="G883" s="40">
        <v>0</v>
      </c>
      <c r="H883" s="40">
        <v>0</v>
      </c>
      <c r="I883" s="40">
        <v>0</v>
      </c>
      <c r="J883" s="40">
        <v>0</v>
      </c>
      <c r="K883" s="40">
        <v>0</v>
      </c>
      <c r="L883" s="40">
        <v>0</v>
      </c>
      <c r="M883" s="40">
        <f t="shared" si="27"/>
        <v>0</v>
      </c>
      <c r="N883" s="40">
        <f t="shared" si="28"/>
        <v>0</v>
      </c>
    </row>
    <row r="884" spans="1:14" x14ac:dyDescent="0.35">
      <c r="A884" s="33">
        <v>881</v>
      </c>
      <c r="B884" s="34" t="s">
        <v>1238</v>
      </c>
      <c r="C884" s="33" t="s">
        <v>346</v>
      </c>
      <c r="D884" s="33" t="s">
        <v>1222</v>
      </c>
      <c r="E884" s="33" t="s">
        <v>1223</v>
      </c>
      <c r="F884" s="35">
        <v>0.4</v>
      </c>
      <c r="G884" s="40">
        <v>0</v>
      </c>
      <c r="H884" s="40">
        <v>0</v>
      </c>
      <c r="I884" s="40">
        <v>0</v>
      </c>
      <c r="J884" s="40">
        <v>0</v>
      </c>
      <c r="K884" s="40">
        <v>0</v>
      </c>
      <c r="L884" s="40">
        <v>0</v>
      </c>
      <c r="M884" s="40">
        <f t="shared" si="27"/>
        <v>0</v>
      </c>
      <c r="N884" s="40">
        <f t="shared" si="28"/>
        <v>0</v>
      </c>
    </row>
    <row r="885" spans="1:14" x14ac:dyDescent="0.35">
      <c r="A885" s="33">
        <v>882</v>
      </c>
      <c r="B885" s="34" t="s">
        <v>1239</v>
      </c>
      <c r="C885" s="33" t="s">
        <v>346</v>
      </c>
      <c r="D885" s="33" t="s">
        <v>1222</v>
      </c>
      <c r="E885" s="33" t="s">
        <v>1223</v>
      </c>
      <c r="F885" s="35">
        <v>0.55000000000000004</v>
      </c>
      <c r="G885" s="40">
        <v>0</v>
      </c>
      <c r="H885" s="40">
        <v>0</v>
      </c>
      <c r="I885" s="40">
        <v>0</v>
      </c>
      <c r="J885" s="40">
        <v>0</v>
      </c>
      <c r="K885" s="40">
        <v>0</v>
      </c>
      <c r="L885" s="40">
        <v>0</v>
      </c>
      <c r="M885" s="40">
        <f t="shared" si="27"/>
        <v>0</v>
      </c>
      <c r="N885" s="40">
        <f t="shared" si="28"/>
        <v>0</v>
      </c>
    </row>
    <row r="886" spans="1:14" x14ac:dyDescent="0.35">
      <c r="A886" s="33">
        <v>883</v>
      </c>
      <c r="B886" s="34" t="s">
        <v>1240</v>
      </c>
      <c r="C886" s="33" t="s">
        <v>346</v>
      </c>
      <c r="D886" s="33" t="s">
        <v>1222</v>
      </c>
      <c r="E886" s="33" t="s">
        <v>1223</v>
      </c>
      <c r="F886" s="35">
        <v>0.3</v>
      </c>
      <c r="G886" s="40">
        <v>0</v>
      </c>
      <c r="H886" s="40">
        <v>0</v>
      </c>
      <c r="I886" s="40">
        <v>0</v>
      </c>
      <c r="J886" s="40">
        <v>0</v>
      </c>
      <c r="K886" s="40">
        <v>0</v>
      </c>
      <c r="L886" s="40">
        <v>0</v>
      </c>
      <c r="M886" s="40">
        <f t="shared" si="27"/>
        <v>0</v>
      </c>
      <c r="N886" s="40">
        <f t="shared" si="28"/>
        <v>0</v>
      </c>
    </row>
    <row r="887" spans="1:14" x14ac:dyDescent="0.35">
      <c r="A887" s="33">
        <v>884</v>
      </c>
      <c r="B887" s="34" t="s">
        <v>1241</v>
      </c>
      <c r="C887" s="33" t="s">
        <v>346</v>
      </c>
      <c r="D887" s="33" t="s">
        <v>1222</v>
      </c>
      <c r="E887" s="33" t="s">
        <v>1223</v>
      </c>
      <c r="F887" s="35">
        <v>0.7</v>
      </c>
      <c r="G887" s="40">
        <v>0</v>
      </c>
      <c r="H887" s="40">
        <v>0</v>
      </c>
      <c r="I887" s="40">
        <v>0</v>
      </c>
      <c r="J887" s="40">
        <v>0</v>
      </c>
      <c r="K887" s="40">
        <v>0</v>
      </c>
      <c r="L887" s="40">
        <v>0</v>
      </c>
      <c r="M887" s="40">
        <f t="shared" si="27"/>
        <v>0</v>
      </c>
      <c r="N887" s="40">
        <f t="shared" si="28"/>
        <v>0</v>
      </c>
    </row>
    <row r="888" spans="1:14" x14ac:dyDescent="0.35">
      <c r="A888" s="33">
        <v>885</v>
      </c>
      <c r="B888" s="34" t="s">
        <v>1242</v>
      </c>
      <c r="C888" s="33" t="s">
        <v>346</v>
      </c>
      <c r="D888" s="33" t="s">
        <v>1222</v>
      </c>
      <c r="E888" s="33" t="s">
        <v>1223</v>
      </c>
      <c r="F888" s="35">
        <v>0.3</v>
      </c>
      <c r="G888" s="40">
        <v>0</v>
      </c>
      <c r="H888" s="40">
        <v>0</v>
      </c>
      <c r="I888" s="40">
        <v>0</v>
      </c>
      <c r="J888" s="40">
        <v>0</v>
      </c>
      <c r="K888" s="40">
        <v>0</v>
      </c>
      <c r="L888" s="40">
        <v>0</v>
      </c>
      <c r="M888" s="40">
        <f t="shared" si="27"/>
        <v>0</v>
      </c>
      <c r="N888" s="40">
        <f t="shared" si="28"/>
        <v>0</v>
      </c>
    </row>
    <row r="889" spans="1:14" x14ac:dyDescent="0.35">
      <c r="A889" s="33">
        <v>886</v>
      </c>
      <c r="B889" s="34" t="s">
        <v>1243</v>
      </c>
      <c r="C889" s="33" t="s">
        <v>346</v>
      </c>
      <c r="D889" s="33" t="s">
        <v>1222</v>
      </c>
      <c r="E889" s="33" t="s">
        <v>1223</v>
      </c>
      <c r="F889" s="35">
        <v>0.8</v>
      </c>
      <c r="G889" s="40">
        <v>0</v>
      </c>
      <c r="H889" s="40">
        <v>0</v>
      </c>
      <c r="I889" s="40">
        <v>0</v>
      </c>
      <c r="J889" s="40">
        <v>0</v>
      </c>
      <c r="K889" s="40">
        <v>0</v>
      </c>
      <c r="L889" s="40">
        <v>0</v>
      </c>
      <c r="M889" s="40">
        <f t="shared" si="27"/>
        <v>0</v>
      </c>
      <c r="N889" s="40">
        <f t="shared" si="28"/>
        <v>0</v>
      </c>
    </row>
    <row r="890" spans="1:14" x14ac:dyDescent="0.35">
      <c r="A890" s="33">
        <v>887</v>
      </c>
      <c r="B890" s="34" t="s">
        <v>1244</v>
      </c>
      <c r="C890" s="33" t="s">
        <v>346</v>
      </c>
      <c r="D890" s="33" t="s">
        <v>1222</v>
      </c>
      <c r="E890" s="33" t="s">
        <v>1223</v>
      </c>
      <c r="F890" s="35">
        <v>0.2</v>
      </c>
      <c r="G890" s="40">
        <v>0</v>
      </c>
      <c r="H890" s="40">
        <v>0</v>
      </c>
      <c r="I890" s="40">
        <v>0</v>
      </c>
      <c r="J890" s="40">
        <v>0</v>
      </c>
      <c r="K890" s="40">
        <v>0</v>
      </c>
      <c r="L890" s="40">
        <v>0</v>
      </c>
      <c r="M890" s="40">
        <f t="shared" si="27"/>
        <v>0</v>
      </c>
      <c r="N890" s="40">
        <f t="shared" si="28"/>
        <v>0</v>
      </c>
    </row>
    <row r="891" spans="1:14" x14ac:dyDescent="0.35">
      <c r="A891" s="33">
        <v>888</v>
      </c>
      <c r="B891" s="34" t="s">
        <v>1245</v>
      </c>
      <c r="C891" s="33" t="s">
        <v>346</v>
      </c>
      <c r="D891" s="33" t="s">
        <v>1222</v>
      </c>
      <c r="E891" s="33" t="s">
        <v>1223</v>
      </c>
      <c r="F891" s="35">
        <v>0.3</v>
      </c>
      <c r="G891" s="40">
        <v>0</v>
      </c>
      <c r="H891" s="40">
        <v>0</v>
      </c>
      <c r="I891" s="40">
        <v>0</v>
      </c>
      <c r="J891" s="40">
        <v>0</v>
      </c>
      <c r="K891" s="40">
        <v>0</v>
      </c>
      <c r="L891" s="40">
        <v>0</v>
      </c>
      <c r="M891" s="40">
        <f t="shared" si="27"/>
        <v>0</v>
      </c>
      <c r="N891" s="40">
        <f t="shared" si="28"/>
        <v>0</v>
      </c>
    </row>
    <row r="892" spans="1:14" x14ac:dyDescent="0.35">
      <c r="A892" s="33">
        <v>889</v>
      </c>
      <c r="B892" s="34" t="s">
        <v>1246</v>
      </c>
      <c r="C892" s="33" t="s">
        <v>346</v>
      </c>
      <c r="D892" s="33" t="s">
        <v>1222</v>
      </c>
      <c r="E892" s="33" t="s">
        <v>1223</v>
      </c>
      <c r="F892" s="35">
        <v>0.3</v>
      </c>
      <c r="G892" s="40">
        <v>0</v>
      </c>
      <c r="H892" s="40">
        <v>0</v>
      </c>
      <c r="I892" s="40">
        <v>0</v>
      </c>
      <c r="J892" s="40">
        <v>0</v>
      </c>
      <c r="K892" s="40">
        <v>0</v>
      </c>
      <c r="L892" s="40">
        <v>0</v>
      </c>
      <c r="M892" s="40">
        <f t="shared" si="27"/>
        <v>0</v>
      </c>
      <c r="N892" s="40">
        <f t="shared" si="28"/>
        <v>0</v>
      </c>
    </row>
    <row r="893" spans="1:14" x14ac:dyDescent="0.35">
      <c r="A893" s="33">
        <v>890</v>
      </c>
      <c r="B893" s="34" t="s">
        <v>1247</v>
      </c>
      <c r="C893" s="33" t="s">
        <v>346</v>
      </c>
      <c r="D893" s="33" t="s">
        <v>1222</v>
      </c>
      <c r="E893" s="33" t="s">
        <v>1223</v>
      </c>
      <c r="F893" s="35">
        <v>0.38</v>
      </c>
      <c r="G893" s="40">
        <v>0</v>
      </c>
      <c r="H893" s="40">
        <v>0</v>
      </c>
      <c r="I893" s="40">
        <v>0</v>
      </c>
      <c r="J893" s="40">
        <v>0</v>
      </c>
      <c r="K893" s="40">
        <v>0</v>
      </c>
      <c r="L893" s="40">
        <v>0</v>
      </c>
      <c r="M893" s="40">
        <f t="shared" si="27"/>
        <v>0</v>
      </c>
      <c r="N893" s="40">
        <f t="shared" si="28"/>
        <v>0</v>
      </c>
    </row>
    <row r="894" spans="1:14" x14ac:dyDescent="0.35">
      <c r="A894" s="33">
        <v>891</v>
      </c>
      <c r="B894" s="34" t="s">
        <v>1248</v>
      </c>
      <c r="C894" s="33" t="s">
        <v>346</v>
      </c>
      <c r="D894" s="33" t="s">
        <v>1222</v>
      </c>
      <c r="E894" s="33" t="s">
        <v>1223</v>
      </c>
      <c r="F894" s="35">
        <v>0.55000000000000004</v>
      </c>
      <c r="G894" s="40">
        <v>0</v>
      </c>
      <c r="H894" s="40">
        <v>0</v>
      </c>
      <c r="I894" s="40">
        <v>0</v>
      </c>
      <c r="J894" s="40">
        <v>0</v>
      </c>
      <c r="K894" s="40">
        <v>0</v>
      </c>
      <c r="L894" s="40">
        <v>0</v>
      </c>
      <c r="M894" s="40">
        <f t="shared" si="27"/>
        <v>0</v>
      </c>
      <c r="N894" s="40">
        <f t="shared" si="28"/>
        <v>0</v>
      </c>
    </row>
    <row r="895" spans="1:14" x14ac:dyDescent="0.35">
      <c r="A895" s="33">
        <v>892</v>
      </c>
      <c r="B895" s="34" t="s">
        <v>1249</v>
      </c>
      <c r="C895" s="33" t="s">
        <v>346</v>
      </c>
      <c r="D895" s="33" t="s">
        <v>1222</v>
      </c>
      <c r="E895" s="33" t="s">
        <v>1223</v>
      </c>
      <c r="F895" s="35">
        <v>0.48</v>
      </c>
      <c r="G895" s="40">
        <v>0</v>
      </c>
      <c r="H895" s="40">
        <v>0</v>
      </c>
      <c r="I895" s="40">
        <v>0</v>
      </c>
      <c r="J895" s="40">
        <v>0</v>
      </c>
      <c r="K895" s="40">
        <v>0</v>
      </c>
      <c r="L895" s="40">
        <v>0</v>
      </c>
      <c r="M895" s="40">
        <f t="shared" si="27"/>
        <v>0</v>
      </c>
      <c r="N895" s="40">
        <f t="shared" si="28"/>
        <v>0</v>
      </c>
    </row>
    <row r="896" spans="1:14" x14ac:dyDescent="0.35">
      <c r="A896" s="33">
        <v>893</v>
      </c>
      <c r="B896" s="34" t="s">
        <v>1250</v>
      </c>
      <c r="C896" s="33" t="s">
        <v>346</v>
      </c>
      <c r="D896" s="33" t="s">
        <v>1222</v>
      </c>
      <c r="E896" s="33" t="s">
        <v>1223</v>
      </c>
      <c r="F896" s="35">
        <v>0.5</v>
      </c>
      <c r="G896" s="40">
        <v>0</v>
      </c>
      <c r="H896" s="40">
        <v>0</v>
      </c>
      <c r="I896" s="40">
        <v>0</v>
      </c>
      <c r="J896" s="40">
        <v>0</v>
      </c>
      <c r="K896" s="40">
        <v>0</v>
      </c>
      <c r="L896" s="40">
        <v>0</v>
      </c>
      <c r="M896" s="40">
        <f t="shared" si="27"/>
        <v>0</v>
      </c>
      <c r="N896" s="40">
        <f t="shared" si="28"/>
        <v>0</v>
      </c>
    </row>
    <row r="897" spans="1:14" x14ac:dyDescent="0.35">
      <c r="A897" s="33">
        <v>894</v>
      </c>
      <c r="B897" s="34" t="s">
        <v>1251</v>
      </c>
      <c r="C897" s="33" t="s">
        <v>346</v>
      </c>
      <c r="D897" s="33" t="s">
        <v>1222</v>
      </c>
      <c r="E897" s="33" t="s">
        <v>1223</v>
      </c>
      <c r="F897" s="35">
        <v>0.93</v>
      </c>
      <c r="G897" s="40">
        <v>0</v>
      </c>
      <c r="H897" s="40">
        <v>0</v>
      </c>
      <c r="I897" s="40">
        <v>0</v>
      </c>
      <c r="J897" s="40">
        <v>0</v>
      </c>
      <c r="K897" s="40">
        <v>0</v>
      </c>
      <c r="L897" s="40">
        <v>0</v>
      </c>
      <c r="M897" s="40">
        <f t="shared" si="27"/>
        <v>0</v>
      </c>
      <c r="N897" s="40">
        <f t="shared" si="28"/>
        <v>0</v>
      </c>
    </row>
    <row r="898" spans="1:14" x14ac:dyDescent="0.35">
      <c r="A898" s="33">
        <v>895</v>
      </c>
      <c r="B898" s="34" t="s">
        <v>1252</v>
      </c>
      <c r="C898" s="33" t="s">
        <v>346</v>
      </c>
      <c r="D898" s="33" t="s">
        <v>1222</v>
      </c>
      <c r="E898" s="33" t="s">
        <v>1223</v>
      </c>
      <c r="F898" s="35">
        <v>0.3</v>
      </c>
      <c r="G898" s="40">
        <v>0</v>
      </c>
      <c r="H898" s="40">
        <v>0</v>
      </c>
      <c r="I898" s="40">
        <v>0</v>
      </c>
      <c r="J898" s="40">
        <v>0</v>
      </c>
      <c r="K898" s="40">
        <v>0</v>
      </c>
      <c r="L898" s="40">
        <v>0</v>
      </c>
      <c r="M898" s="40">
        <f t="shared" si="27"/>
        <v>0</v>
      </c>
      <c r="N898" s="40">
        <f t="shared" si="28"/>
        <v>0</v>
      </c>
    </row>
    <row r="899" spans="1:14" x14ac:dyDescent="0.35">
      <c r="A899" s="33">
        <v>896</v>
      </c>
      <c r="B899" s="34" t="s">
        <v>1253</v>
      </c>
      <c r="C899" s="33" t="s">
        <v>346</v>
      </c>
      <c r="D899" s="33" t="s">
        <v>1222</v>
      </c>
      <c r="E899" s="33" t="s">
        <v>1223</v>
      </c>
      <c r="F899" s="35">
        <v>0.6</v>
      </c>
      <c r="G899" s="40">
        <v>0</v>
      </c>
      <c r="H899" s="40">
        <v>0</v>
      </c>
      <c r="I899" s="40">
        <v>0</v>
      </c>
      <c r="J899" s="40">
        <v>0</v>
      </c>
      <c r="K899" s="40">
        <v>0</v>
      </c>
      <c r="L899" s="40">
        <v>0</v>
      </c>
      <c r="M899" s="40">
        <f t="shared" si="27"/>
        <v>0</v>
      </c>
      <c r="N899" s="40">
        <f t="shared" si="28"/>
        <v>0</v>
      </c>
    </row>
    <row r="900" spans="1:14" x14ac:dyDescent="0.35">
      <c r="A900" s="33">
        <v>897</v>
      </c>
      <c r="B900" s="34" t="s">
        <v>1254</v>
      </c>
      <c r="C900" s="33" t="s">
        <v>346</v>
      </c>
      <c r="D900" s="33" t="s">
        <v>1222</v>
      </c>
      <c r="E900" s="33" t="s">
        <v>1223</v>
      </c>
      <c r="F900" s="35">
        <v>1</v>
      </c>
      <c r="G900" s="40">
        <v>0</v>
      </c>
      <c r="H900" s="40">
        <v>0</v>
      </c>
      <c r="I900" s="40">
        <v>0</v>
      </c>
      <c r="J900" s="40">
        <v>0</v>
      </c>
      <c r="K900" s="40">
        <v>0</v>
      </c>
      <c r="L900" s="40">
        <v>0</v>
      </c>
      <c r="M900" s="40">
        <f t="shared" si="27"/>
        <v>0</v>
      </c>
      <c r="N900" s="40">
        <f t="shared" si="28"/>
        <v>0</v>
      </c>
    </row>
    <row r="901" spans="1:14" x14ac:dyDescent="0.35">
      <c r="A901" s="33">
        <v>898</v>
      </c>
      <c r="B901" s="34" t="s">
        <v>1255</v>
      </c>
      <c r="C901" s="33" t="s">
        <v>346</v>
      </c>
      <c r="D901" s="33" t="s">
        <v>1222</v>
      </c>
      <c r="E901" s="33" t="s">
        <v>1223</v>
      </c>
      <c r="F901" s="35">
        <v>0.56000000000000005</v>
      </c>
      <c r="G901" s="40">
        <v>0</v>
      </c>
      <c r="H901" s="40">
        <v>0</v>
      </c>
      <c r="I901" s="40">
        <v>0</v>
      </c>
      <c r="J901" s="40">
        <v>0</v>
      </c>
      <c r="K901" s="40">
        <v>0</v>
      </c>
      <c r="L901" s="40">
        <v>0</v>
      </c>
      <c r="M901" s="40">
        <f t="shared" ref="M901:M964" si="29">G901+I901+K901</f>
        <v>0</v>
      </c>
      <c r="N901" s="40">
        <f t="shared" ref="N901:N964" si="30">H901+J901+L901</f>
        <v>0</v>
      </c>
    </row>
    <row r="902" spans="1:14" x14ac:dyDescent="0.35">
      <c r="A902" s="33">
        <v>899</v>
      </c>
      <c r="B902" s="34" t="s">
        <v>1256</v>
      </c>
      <c r="C902" s="33" t="s">
        <v>346</v>
      </c>
      <c r="D902" s="33" t="s">
        <v>1222</v>
      </c>
      <c r="E902" s="33" t="s">
        <v>1223</v>
      </c>
      <c r="F902" s="35">
        <v>1.26</v>
      </c>
      <c r="G902" s="40">
        <v>0</v>
      </c>
      <c r="H902" s="40">
        <v>0</v>
      </c>
      <c r="I902" s="40">
        <v>0</v>
      </c>
      <c r="J902" s="40">
        <v>0</v>
      </c>
      <c r="K902" s="40">
        <v>0</v>
      </c>
      <c r="L902" s="40">
        <v>0</v>
      </c>
      <c r="M902" s="40">
        <f t="shared" si="29"/>
        <v>0</v>
      </c>
      <c r="N902" s="40">
        <f t="shared" si="30"/>
        <v>0</v>
      </c>
    </row>
    <row r="903" spans="1:14" x14ac:dyDescent="0.35">
      <c r="A903" s="33">
        <v>900</v>
      </c>
      <c r="B903" s="34" t="s">
        <v>1257</v>
      </c>
      <c r="C903" s="33" t="s">
        <v>346</v>
      </c>
      <c r="D903" s="33" t="s">
        <v>1222</v>
      </c>
      <c r="E903" s="33" t="s">
        <v>1223</v>
      </c>
      <c r="F903" s="35">
        <v>0.46</v>
      </c>
      <c r="G903" s="40">
        <v>0</v>
      </c>
      <c r="H903" s="40">
        <v>0</v>
      </c>
      <c r="I903" s="40">
        <v>0</v>
      </c>
      <c r="J903" s="40">
        <v>0</v>
      </c>
      <c r="K903" s="40">
        <v>0</v>
      </c>
      <c r="L903" s="40">
        <v>0</v>
      </c>
      <c r="M903" s="40">
        <f t="shared" si="29"/>
        <v>0</v>
      </c>
      <c r="N903" s="40">
        <f t="shared" si="30"/>
        <v>0</v>
      </c>
    </row>
    <row r="904" spans="1:14" x14ac:dyDescent="0.35">
      <c r="A904" s="33">
        <v>901</v>
      </c>
      <c r="B904" s="34" t="s">
        <v>1258</v>
      </c>
      <c r="C904" s="33" t="s">
        <v>346</v>
      </c>
      <c r="D904" s="33" t="s">
        <v>1222</v>
      </c>
      <c r="E904" s="33" t="s">
        <v>1223</v>
      </c>
      <c r="F904" s="35">
        <v>0.71</v>
      </c>
      <c r="G904" s="40">
        <v>0</v>
      </c>
      <c r="H904" s="40">
        <v>0</v>
      </c>
      <c r="I904" s="40">
        <v>0</v>
      </c>
      <c r="J904" s="40">
        <v>0</v>
      </c>
      <c r="K904" s="40">
        <v>0</v>
      </c>
      <c r="L904" s="40">
        <v>0</v>
      </c>
      <c r="M904" s="40">
        <f t="shared" si="29"/>
        <v>0</v>
      </c>
      <c r="N904" s="40">
        <f t="shared" si="30"/>
        <v>0</v>
      </c>
    </row>
    <row r="905" spans="1:14" x14ac:dyDescent="0.35">
      <c r="A905" s="33">
        <v>902</v>
      </c>
      <c r="B905" s="34" t="s">
        <v>1259</v>
      </c>
      <c r="C905" s="33" t="s">
        <v>346</v>
      </c>
      <c r="D905" s="33" t="s">
        <v>1222</v>
      </c>
      <c r="E905" s="33" t="s">
        <v>1223</v>
      </c>
      <c r="F905" s="35">
        <v>0.8</v>
      </c>
      <c r="G905" s="40">
        <v>0</v>
      </c>
      <c r="H905" s="40">
        <v>0</v>
      </c>
      <c r="I905" s="40">
        <v>0</v>
      </c>
      <c r="J905" s="40">
        <v>0</v>
      </c>
      <c r="K905" s="40">
        <v>0</v>
      </c>
      <c r="L905" s="40">
        <v>0</v>
      </c>
      <c r="M905" s="40">
        <f t="shared" si="29"/>
        <v>0</v>
      </c>
      <c r="N905" s="40">
        <f t="shared" si="30"/>
        <v>0</v>
      </c>
    </row>
    <row r="906" spans="1:14" x14ac:dyDescent="0.35">
      <c r="A906" s="33">
        <v>903</v>
      </c>
      <c r="B906" s="34" t="s">
        <v>1260</v>
      </c>
      <c r="C906" s="33" t="s">
        <v>346</v>
      </c>
      <c r="D906" s="33" t="s">
        <v>1222</v>
      </c>
      <c r="E906" s="33" t="s">
        <v>1223</v>
      </c>
      <c r="F906" s="35">
        <v>0.69</v>
      </c>
      <c r="G906" s="40">
        <v>0</v>
      </c>
      <c r="H906" s="40">
        <v>0</v>
      </c>
      <c r="I906" s="40">
        <v>0</v>
      </c>
      <c r="J906" s="40">
        <v>0</v>
      </c>
      <c r="K906" s="40">
        <v>0</v>
      </c>
      <c r="L906" s="40">
        <v>0</v>
      </c>
      <c r="M906" s="40">
        <f t="shared" si="29"/>
        <v>0</v>
      </c>
      <c r="N906" s="40">
        <f t="shared" si="30"/>
        <v>0</v>
      </c>
    </row>
    <row r="907" spans="1:14" x14ac:dyDescent="0.35">
      <c r="A907" s="33">
        <v>904</v>
      </c>
      <c r="B907" s="34" t="s">
        <v>1261</v>
      </c>
      <c r="C907" s="33" t="s">
        <v>346</v>
      </c>
      <c r="D907" s="33" t="s">
        <v>1222</v>
      </c>
      <c r="E907" s="33" t="s">
        <v>1223</v>
      </c>
      <c r="F907" s="35">
        <v>0.55000000000000004</v>
      </c>
      <c r="G907" s="40">
        <v>0</v>
      </c>
      <c r="H907" s="40">
        <v>0</v>
      </c>
      <c r="I907" s="40">
        <v>0</v>
      </c>
      <c r="J907" s="40">
        <v>0</v>
      </c>
      <c r="K907" s="40">
        <v>0</v>
      </c>
      <c r="L907" s="40">
        <v>0</v>
      </c>
      <c r="M907" s="40">
        <f t="shared" si="29"/>
        <v>0</v>
      </c>
      <c r="N907" s="40">
        <f t="shared" si="30"/>
        <v>0</v>
      </c>
    </row>
    <row r="908" spans="1:14" x14ac:dyDescent="0.35">
      <c r="A908" s="33">
        <v>905</v>
      </c>
      <c r="B908" s="34" t="s">
        <v>1262</v>
      </c>
      <c r="C908" s="33" t="s">
        <v>346</v>
      </c>
      <c r="D908" s="33" t="s">
        <v>1222</v>
      </c>
      <c r="E908" s="33" t="s">
        <v>1223</v>
      </c>
      <c r="F908" s="35">
        <v>2.09</v>
      </c>
      <c r="G908" s="40">
        <v>0</v>
      </c>
      <c r="H908" s="40">
        <v>0</v>
      </c>
      <c r="I908" s="40">
        <v>0</v>
      </c>
      <c r="J908" s="40">
        <v>0</v>
      </c>
      <c r="K908" s="40">
        <v>0</v>
      </c>
      <c r="L908" s="40">
        <v>0</v>
      </c>
      <c r="M908" s="40">
        <f t="shared" si="29"/>
        <v>0</v>
      </c>
      <c r="N908" s="40">
        <f t="shared" si="30"/>
        <v>0</v>
      </c>
    </row>
    <row r="909" spans="1:14" x14ac:dyDescent="0.35">
      <c r="A909" s="33">
        <v>906</v>
      </c>
      <c r="B909" s="34" t="s">
        <v>1263</v>
      </c>
      <c r="C909" s="33" t="s">
        <v>346</v>
      </c>
      <c r="D909" s="33" t="s">
        <v>1222</v>
      </c>
      <c r="E909" s="33" t="s">
        <v>1223</v>
      </c>
      <c r="F909" s="35">
        <v>0.55500000000000005</v>
      </c>
      <c r="G909" s="40">
        <v>0</v>
      </c>
      <c r="H909" s="40">
        <v>0</v>
      </c>
      <c r="I909" s="40">
        <v>0</v>
      </c>
      <c r="J909" s="40">
        <v>0</v>
      </c>
      <c r="K909" s="40">
        <v>0</v>
      </c>
      <c r="L909" s="40">
        <v>0</v>
      </c>
      <c r="M909" s="40">
        <f t="shared" si="29"/>
        <v>0</v>
      </c>
      <c r="N909" s="40">
        <f t="shared" si="30"/>
        <v>0</v>
      </c>
    </row>
    <row r="910" spans="1:14" x14ac:dyDescent="0.35">
      <c r="A910" s="33">
        <v>907</v>
      </c>
      <c r="B910" s="34" t="s">
        <v>1264</v>
      </c>
      <c r="C910" s="33" t="s">
        <v>346</v>
      </c>
      <c r="D910" s="33" t="s">
        <v>1222</v>
      </c>
      <c r="E910" s="33" t="s">
        <v>1223</v>
      </c>
      <c r="F910" s="35">
        <v>0.28000000000000003</v>
      </c>
      <c r="G910" s="40">
        <v>0</v>
      </c>
      <c r="H910" s="40">
        <v>0</v>
      </c>
      <c r="I910" s="40">
        <v>0</v>
      </c>
      <c r="J910" s="40">
        <v>0</v>
      </c>
      <c r="K910" s="40">
        <v>0</v>
      </c>
      <c r="L910" s="40">
        <v>0</v>
      </c>
      <c r="M910" s="40">
        <f t="shared" si="29"/>
        <v>0</v>
      </c>
      <c r="N910" s="40">
        <f t="shared" si="30"/>
        <v>0</v>
      </c>
    </row>
    <row r="911" spans="1:14" x14ac:dyDescent="0.35">
      <c r="A911" s="33">
        <v>908</v>
      </c>
      <c r="B911" s="34" t="s">
        <v>1265</v>
      </c>
      <c r="C911" s="33" t="s">
        <v>346</v>
      </c>
      <c r="D911" s="33" t="s">
        <v>1222</v>
      </c>
      <c r="E911" s="33" t="s">
        <v>1223</v>
      </c>
      <c r="F911" s="35">
        <v>0.19</v>
      </c>
      <c r="G911" s="40">
        <v>0</v>
      </c>
      <c r="H911" s="40">
        <v>0</v>
      </c>
      <c r="I911" s="40">
        <v>0</v>
      </c>
      <c r="J911" s="40">
        <v>0</v>
      </c>
      <c r="K911" s="40">
        <v>0</v>
      </c>
      <c r="L911" s="40">
        <v>0</v>
      </c>
      <c r="M911" s="40">
        <f t="shared" si="29"/>
        <v>0</v>
      </c>
      <c r="N911" s="40">
        <f t="shared" si="30"/>
        <v>0</v>
      </c>
    </row>
    <row r="912" spans="1:14" x14ac:dyDescent="0.35">
      <c r="A912" s="33">
        <v>909</v>
      </c>
      <c r="B912" s="34" t="s">
        <v>1266</v>
      </c>
      <c r="C912" s="33" t="s">
        <v>346</v>
      </c>
      <c r="D912" s="33" t="s">
        <v>1222</v>
      </c>
      <c r="E912" s="33" t="s">
        <v>1223</v>
      </c>
      <c r="F912" s="35">
        <v>0.26800000000000002</v>
      </c>
      <c r="G912" s="40">
        <v>0</v>
      </c>
      <c r="H912" s="40">
        <v>0</v>
      </c>
      <c r="I912" s="40">
        <v>0</v>
      </c>
      <c r="J912" s="40">
        <v>0</v>
      </c>
      <c r="K912" s="40">
        <v>0</v>
      </c>
      <c r="L912" s="40">
        <v>0</v>
      </c>
      <c r="M912" s="40">
        <f t="shared" si="29"/>
        <v>0</v>
      </c>
      <c r="N912" s="40">
        <f t="shared" si="30"/>
        <v>0</v>
      </c>
    </row>
    <row r="913" spans="1:14" x14ac:dyDescent="0.35">
      <c r="A913" s="33">
        <v>910</v>
      </c>
      <c r="B913" s="34" t="s">
        <v>1267</v>
      </c>
      <c r="C913" s="33" t="s">
        <v>346</v>
      </c>
      <c r="D913" s="33" t="s">
        <v>1222</v>
      </c>
      <c r="E913" s="33" t="s">
        <v>1223</v>
      </c>
      <c r="F913" s="35">
        <v>0.3</v>
      </c>
      <c r="G913" s="40">
        <v>0</v>
      </c>
      <c r="H913" s="40">
        <v>0</v>
      </c>
      <c r="I913" s="40">
        <v>0</v>
      </c>
      <c r="J913" s="40">
        <v>0</v>
      </c>
      <c r="K913" s="40">
        <v>0</v>
      </c>
      <c r="L913" s="40">
        <v>0</v>
      </c>
      <c r="M913" s="40">
        <f t="shared" si="29"/>
        <v>0</v>
      </c>
      <c r="N913" s="40">
        <f t="shared" si="30"/>
        <v>0</v>
      </c>
    </row>
    <row r="914" spans="1:14" x14ac:dyDescent="0.35">
      <c r="A914" s="33">
        <v>911</v>
      </c>
      <c r="B914" s="34" t="s">
        <v>1268</v>
      </c>
      <c r="C914" s="33" t="s">
        <v>346</v>
      </c>
      <c r="D914" s="33" t="s">
        <v>1222</v>
      </c>
      <c r="E914" s="33" t="s">
        <v>1223</v>
      </c>
      <c r="F914" s="35">
        <v>0.96</v>
      </c>
      <c r="G914" s="40">
        <v>0</v>
      </c>
      <c r="H914" s="40">
        <v>0</v>
      </c>
      <c r="I914" s="40">
        <v>0</v>
      </c>
      <c r="J914" s="40">
        <v>0</v>
      </c>
      <c r="K914" s="40">
        <v>0</v>
      </c>
      <c r="L914" s="40">
        <v>0</v>
      </c>
      <c r="M914" s="40">
        <f t="shared" si="29"/>
        <v>0</v>
      </c>
      <c r="N914" s="40">
        <f t="shared" si="30"/>
        <v>0</v>
      </c>
    </row>
    <row r="915" spans="1:14" x14ac:dyDescent="0.35">
      <c r="A915" s="33">
        <v>912</v>
      </c>
      <c r="B915" s="34" t="s">
        <v>1269</v>
      </c>
      <c r="C915" s="33" t="s">
        <v>346</v>
      </c>
      <c r="D915" s="33" t="s">
        <v>1222</v>
      </c>
      <c r="E915" s="33" t="s">
        <v>1223</v>
      </c>
      <c r="F915" s="35">
        <v>0.54</v>
      </c>
      <c r="G915" s="40">
        <v>0</v>
      </c>
      <c r="H915" s="40">
        <v>0</v>
      </c>
      <c r="I915" s="40">
        <v>0</v>
      </c>
      <c r="J915" s="40">
        <v>0</v>
      </c>
      <c r="K915" s="40">
        <v>0</v>
      </c>
      <c r="L915" s="40">
        <v>0</v>
      </c>
      <c r="M915" s="40">
        <f t="shared" si="29"/>
        <v>0</v>
      </c>
      <c r="N915" s="40">
        <f t="shared" si="30"/>
        <v>0</v>
      </c>
    </row>
    <row r="916" spans="1:14" x14ac:dyDescent="0.35">
      <c r="A916" s="33">
        <v>913</v>
      </c>
      <c r="B916" s="34" t="s">
        <v>1270</v>
      </c>
      <c r="C916" s="33" t="s">
        <v>346</v>
      </c>
      <c r="D916" s="33" t="s">
        <v>1222</v>
      </c>
      <c r="E916" s="33" t="s">
        <v>1223</v>
      </c>
      <c r="F916" s="35">
        <v>0.5</v>
      </c>
      <c r="G916" s="40">
        <v>0</v>
      </c>
      <c r="H916" s="40">
        <v>0</v>
      </c>
      <c r="I916" s="40">
        <v>0</v>
      </c>
      <c r="J916" s="40">
        <v>0</v>
      </c>
      <c r="K916" s="40">
        <v>0</v>
      </c>
      <c r="L916" s="40">
        <v>0</v>
      </c>
      <c r="M916" s="40">
        <f t="shared" si="29"/>
        <v>0</v>
      </c>
      <c r="N916" s="40">
        <f t="shared" si="30"/>
        <v>0</v>
      </c>
    </row>
    <row r="917" spans="1:14" x14ac:dyDescent="0.35">
      <c r="A917" s="33">
        <v>914</v>
      </c>
      <c r="B917" s="34" t="s">
        <v>1271</v>
      </c>
      <c r="C917" s="33" t="s">
        <v>346</v>
      </c>
      <c r="D917" s="33" t="s">
        <v>1222</v>
      </c>
      <c r="E917" s="33" t="s">
        <v>1223</v>
      </c>
      <c r="F917" s="35">
        <v>0.3</v>
      </c>
      <c r="G917" s="40">
        <v>0</v>
      </c>
      <c r="H917" s="40">
        <v>0</v>
      </c>
      <c r="I917" s="40">
        <v>0</v>
      </c>
      <c r="J917" s="40">
        <v>0</v>
      </c>
      <c r="K917" s="40">
        <v>0</v>
      </c>
      <c r="L917" s="40">
        <v>0</v>
      </c>
      <c r="M917" s="40">
        <f t="shared" si="29"/>
        <v>0</v>
      </c>
      <c r="N917" s="40">
        <f t="shared" si="30"/>
        <v>0</v>
      </c>
    </row>
    <row r="918" spans="1:14" x14ac:dyDescent="0.35">
      <c r="A918" s="33">
        <v>915</v>
      </c>
      <c r="B918" s="34" t="s">
        <v>1272</v>
      </c>
      <c r="C918" s="33" t="s">
        <v>346</v>
      </c>
      <c r="D918" s="33" t="s">
        <v>1222</v>
      </c>
      <c r="E918" s="33" t="s">
        <v>1223</v>
      </c>
      <c r="F918" s="35">
        <v>0.4</v>
      </c>
      <c r="G918" s="40">
        <v>0</v>
      </c>
      <c r="H918" s="40">
        <v>0</v>
      </c>
      <c r="I918" s="40">
        <v>0</v>
      </c>
      <c r="J918" s="40">
        <v>0</v>
      </c>
      <c r="K918" s="40">
        <v>0</v>
      </c>
      <c r="L918" s="40">
        <v>0</v>
      </c>
      <c r="M918" s="40">
        <f t="shared" si="29"/>
        <v>0</v>
      </c>
      <c r="N918" s="40">
        <f t="shared" si="30"/>
        <v>0</v>
      </c>
    </row>
    <row r="919" spans="1:14" x14ac:dyDescent="0.35">
      <c r="A919" s="33">
        <v>916</v>
      </c>
      <c r="B919" s="34" t="s">
        <v>1273</v>
      </c>
      <c r="C919" s="33" t="s">
        <v>346</v>
      </c>
      <c r="D919" s="33" t="s">
        <v>1222</v>
      </c>
      <c r="E919" s="33" t="s">
        <v>1223</v>
      </c>
      <c r="F919" s="35">
        <v>0.3</v>
      </c>
      <c r="G919" s="40">
        <v>0</v>
      </c>
      <c r="H919" s="40">
        <v>0</v>
      </c>
      <c r="I919" s="40">
        <v>0</v>
      </c>
      <c r="J919" s="40">
        <v>0</v>
      </c>
      <c r="K919" s="40">
        <v>0</v>
      </c>
      <c r="L919" s="40">
        <v>0</v>
      </c>
      <c r="M919" s="40">
        <f t="shared" si="29"/>
        <v>0</v>
      </c>
      <c r="N919" s="40">
        <f t="shared" si="30"/>
        <v>0</v>
      </c>
    </row>
    <row r="920" spans="1:14" x14ac:dyDescent="0.35">
      <c r="A920" s="33">
        <v>917</v>
      </c>
      <c r="B920" s="34" t="s">
        <v>1274</v>
      </c>
      <c r="C920" s="33" t="s">
        <v>346</v>
      </c>
      <c r="D920" s="33" t="s">
        <v>1222</v>
      </c>
      <c r="E920" s="33" t="s">
        <v>1223</v>
      </c>
      <c r="F920" s="35">
        <v>0.3</v>
      </c>
      <c r="G920" s="40">
        <v>0</v>
      </c>
      <c r="H920" s="40">
        <v>0</v>
      </c>
      <c r="I920" s="40">
        <v>0</v>
      </c>
      <c r="J920" s="40">
        <v>0</v>
      </c>
      <c r="K920" s="40">
        <v>0</v>
      </c>
      <c r="L920" s="40">
        <v>0</v>
      </c>
      <c r="M920" s="40">
        <f t="shared" si="29"/>
        <v>0</v>
      </c>
      <c r="N920" s="40">
        <f t="shared" si="30"/>
        <v>0</v>
      </c>
    </row>
    <row r="921" spans="1:14" x14ac:dyDescent="0.35">
      <c r="A921" s="33">
        <v>918</v>
      </c>
      <c r="B921" s="34" t="s">
        <v>1275</v>
      </c>
      <c r="C921" s="33" t="s">
        <v>346</v>
      </c>
      <c r="D921" s="33" t="s">
        <v>1222</v>
      </c>
      <c r="E921" s="33" t="s">
        <v>1223</v>
      </c>
      <c r="F921" s="35">
        <v>0.18</v>
      </c>
      <c r="G921" s="40">
        <v>0</v>
      </c>
      <c r="H921" s="40">
        <v>0</v>
      </c>
      <c r="I921" s="40">
        <v>0</v>
      </c>
      <c r="J921" s="40">
        <v>0</v>
      </c>
      <c r="K921" s="40">
        <v>0</v>
      </c>
      <c r="L921" s="40">
        <v>0</v>
      </c>
      <c r="M921" s="40">
        <f t="shared" si="29"/>
        <v>0</v>
      </c>
      <c r="N921" s="40">
        <f t="shared" si="30"/>
        <v>0</v>
      </c>
    </row>
    <row r="922" spans="1:14" x14ac:dyDescent="0.35">
      <c r="A922" s="33">
        <v>919</v>
      </c>
      <c r="B922" s="34" t="s">
        <v>1276</v>
      </c>
      <c r="C922" s="33" t="s">
        <v>346</v>
      </c>
      <c r="D922" s="33" t="s">
        <v>1222</v>
      </c>
      <c r="E922" s="33" t="s">
        <v>1223</v>
      </c>
      <c r="F922" s="35">
        <v>0.6</v>
      </c>
      <c r="G922" s="40">
        <v>0</v>
      </c>
      <c r="H922" s="40">
        <v>0</v>
      </c>
      <c r="I922" s="40">
        <v>0</v>
      </c>
      <c r="J922" s="40">
        <v>0</v>
      </c>
      <c r="K922" s="40">
        <v>0</v>
      </c>
      <c r="L922" s="40">
        <v>0</v>
      </c>
      <c r="M922" s="40">
        <f t="shared" si="29"/>
        <v>0</v>
      </c>
      <c r="N922" s="40">
        <f t="shared" si="30"/>
        <v>0</v>
      </c>
    </row>
    <row r="923" spans="1:14" x14ac:dyDescent="0.35">
      <c r="A923" s="33">
        <v>920</v>
      </c>
      <c r="B923" s="34" t="s">
        <v>1277</v>
      </c>
      <c r="C923" s="33" t="s">
        <v>346</v>
      </c>
      <c r="D923" s="33" t="s">
        <v>1222</v>
      </c>
      <c r="E923" s="33" t="s">
        <v>1223</v>
      </c>
      <c r="F923" s="35">
        <v>0.4</v>
      </c>
      <c r="G923" s="40">
        <v>0</v>
      </c>
      <c r="H923" s="40">
        <v>0</v>
      </c>
      <c r="I923" s="40">
        <v>0</v>
      </c>
      <c r="J923" s="40">
        <v>0</v>
      </c>
      <c r="K923" s="40">
        <v>0</v>
      </c>
      <c r="L923" s="40">
        <v>0</v>
      </c>
      <c r="M923" s="40">
        <f t="shared" si="29"/>
        <v>0</v>
      </c>
      <c r="N923" s="40">
        <f t="shared" si="30"/>
        <v>0</v>
      </c>
    </row>
    <row r="924" spans="1:14" x14ac:dyDescent="0.35">
      <c r="A924" s="33">
        <v>921</v>
      </c>
      <c r="B924" s="34" t="s">
        <v>1278</v>
      </c>
      <c r="C924" s="33" t="s">
        <v>346</v>
      </c>
      <c r="D924" s="33" t="s">
        <v>1222</v>
      </c>
      <c r="E924" s="33" t="s">
        <v>1223</v>
      </c>
      <c r="F924" s="35">
        <v>0.8</v>
      </c>
      <c r="G924" s="40">
        <v>0</v>
      </c>
      <c r="H924" s="40">
        <v>0</v>
      </c>
      <c r="I924" s="40">
        <v>0</v>
      </c>
      <c r="J924" s="40">
        <v>0</v>
      </c>
      <c r="K924" s="40">
        <v>0</v>
      </c>
      <c r="L924" s="40">
        <v>0</v>
      </c>
      <c r="M924" s="40">
        <f t="shared" si="29"/>
        <v>0</v>
      </c>
      <c r="N924" s="40">
        <f t="shared" si="30"/>
        <v>0</v>
      </c>
    </row>
    <row r="925" spans="1:14" x14ac:dyDescent="0.35">
      <c r="A925" s="33">
        <v>922</v>
      </c>
      <c r="B925" s="34" t="s">
        <v>1279</v>
      </c>
      <c r="C925" s="33" t="s">
        <v>346</v>
      </c>
      <c r="D925" s="33" t="s">
        <v>1222</v>
      </c>
      <c r="E925" s="33" t="s">
        <v>1223</v>
      </c>
      <c r="F925" s="35">
        <v>0.8</v>
      </c>
      <c r="G925" s="40">
        <v>0</v>
      </c>
      <c r="H925" s="40">
        <v>0</v>
      </c>
      <c r="I925" s="40">
        <v>0</v>
      </c>
      <c r="J925" s="40">
        <v>0</v>
      </c>
      <c r="K925" s="40">
        <v>0</v>
      </c>
      <c r="L925" s="40">
        <v>0</v>
      </c>
      <c r="M925" s="40">
        <f t="shared" si="29"/>
        <v>0</v>
      </c>
      <c r="N925" s="40">
        <f t="shared" si="30"/>
        <v>0</v>
      </c>
    </row>
    <row r="926" spans="1:14" x14ac:dyDescent="0.35">
      <c r="A926" s="33">
        <v>923</v>
      </c>
      <c r="B926" s="34" t="s">
        <v>1280</v>
      </c>
      <c r="C926" s="33" t="s">
        <v>346</v>
      </c>
      <c r="D926" s="33" t="s">
        <v>1222</v>
      </c>
      <c r="E926" s="33" t="s">
        <v>1223</v>
      </c>
      <c r="F926" s="35">
        <v>1</v>
      </c>
      <c r="G926" s="40">
        <v>0</v>
      </c>
      <c r="H926" s="40">
        <v>0</v>
      </c>
      <c r="I926" s="40">
        <v>0</v>
      </c>
      <c r="J926" s="40">
        <v>0</v>
      </c>
      <c r="K926" s="40">
        <v>0</v>
      </c>
      <c r="L926" s="40">
        <v>0</v>
      </c>
      <c r="M926" s="40">
        <f t="shared" si="29"/>
        <v>0</v>
      </c>
      <c r="N926" s="40">
        <f t="shared" si="30"/>
        <v>0</v>
      </c>
    </row>
    <row r="927" spans="1:14" x14ac:dyDescent="0.35">
      <c r="A927" s="33">
        <v>924</v>
      </c>
      <c r="B927" s="34" t="s">
        <v>1281</v>
      </c>
      <c r="C927" s="33" t="s">
        <v>346</v>
      </c>
      <c r="D927" s="33" t="s">
        <v>1222</v>
      </c>
      <c r="E927" s="33" t="s">
        <v>1223</v>
      </c>
      <c r="F927" s="35">
        <v>0.5</v>
      </c>
      <c r="G927" s="40">
        <v>0</v>
      </c>
      <c r="H927" s="40">
        <v>0</v>
      </c>
      <c r="I927" s="40">
        <v>0</v>
      </c>
      <c r="J927" s="40">
        <v>0</v>
      </c>
      <c r="K927" s="40">
        <v>0</v>
      </c>
      <c r="L927" s="40">
        <v>0</v>
      </c>
      <c r="M927" s="40">
        <f t="shared" si="29"/>
        <v>0</v>
      </c>
      <c r="N927" s="40">
        <f t="shared" si="30"/>
        <v>0</v>
      </c>
    </row>
    <row r="928" spans="1:14" x14ac:dyDescent="0.35">
      <c r="A928" s="33">
        <v>925</v>
      </c>
      <c r="B928" s="34" t="s">
        <v>1282</v>
      </c>
      <c r="C928" s="33" t="s">
        <v>297</v>
      </c>
      <c r="D928" s="33" t="s">
        <v>265</v>
      </c>
      <c r="E928" s="33" t="s">
        <v>1283</v>
      </c>
      <c r="F928" s="35">
        <v>1</v>
      </c>
      <c r="G928" s="40">
        <v>0</v>
      </c>
      <c r="H928" s="40">
        <v>0</v>
      </c>
      <c r="I928" s="40">
        <v>0</v>
      </c>
      <c r="J928" s="40">
        <v>0</v>
      </c>
      <c r="K928" s="40">
        <v>0</v>
      </c>
      <c r="L928" s="40">
        <v>0</v>
      </c>
      <c r="M928" s="40">
        <f t="shared" si="29"/>
        <v>0</v>
      </c>
      <c r="N928" s="40">
        <f t="shared" si="30"/>
        <v>0</v>
      </c>
    </row>
    <row r="929" spans="1:14" x14ac:dyDescent="0.35">
      <c r="A929" s="33">
        <v>926</v>
      </c>
      <c r="B929" s="34" t="s">
        <v>1284</v>
      </c>
      <c r="C929" s="33" t="s">
        <v>297</v>
      </c>
      <c r="D929" s="33" t="s">
        <v>265</v>
      </c>
      <c r="E929" s="33" t="s">
        <v>1283</v>
      </c>
      <c r="F929" s="35">
        <v>1</v>
      </c>
      <c r="G929" s="40">
        <v>0</v>
      </c>
      <c r="H929" s="40">
        <v>0</v>
      </c>
      <c r="I929" s="40">
        <v>0</v>
      </c>
      <c r="J929" s="40">
        <v>0</v>
      </c>
      <c r="K929" s="40">
        <v>0</v>
      </c>
      <c r="L929" s="40">
        <v>0</v>
      </c>
      <c r="M929" s="40">
        <f t="shared" si="29"/>
        <v>0</v>
      </c>
      <c r="N929" s="40">
        <f t="shared" si="30"/>
        <v>0</v>
      </c>
    </row>
    <row r="930" spans="1:14" x14ac:dyDescent="0.35">
      <c r="A930" s="33">
        <v>927</v>
      </c>
      <c r="B930" s="34" t="s">
        <v>1285</v>
      </c>
      <c r="C930" s="33" t="s">
        <v>297</v>
      </c>
      <c r="D930" s="33" t="s">
        <v>265</v>
      </c>
      <c r="E930" s="33" t="s">
        <v>1283</v>
      </c>
      <c r="F930" s="35">
        <v>1</v>
      </c>
      <c r="G930" s="40">
        <v>0</v>
      </c>
      <c r="H930" s="40">
        <v>0</v>
      </c>
      <c r="I930" s="40">
        <v>0</v>
      </c>
      <c r="J930" s="40">
        <v>0</v>
      </c>
      <c r="K930" s="40">
        <v>0</v>
      </c>
      <c r="L930" s="40">
        <v>0</v>
      </c>
      <c r="M930" s="40">
        <f t="shared" si="29"/>
        <v>0</v>
      </c>
      <c r="N930" s="40">
        <f t="shared" si="30"/>
        <v>0</v>
      </c>
    </row>
    <row r="931" spans="1:14" x14ac:dyDescent="0.35">
      <c r="A931" s="33">
        <v>928</v>
      </c>
      <c r="B931" s="34" t="s">
        <v>1287</v>
      </c>
      <c r="C931" s="33" t="s">
        <v>346</v>
      </c>
      <c r="D931" s="33" t="s">
        <v>265</v>
      </c>
      <c r="E931" s="33" t="s">
        <v>1283</v>
      </c>
      <c r="F931" s="35">
        <v>1</v>
      </c>
      <c r="G931" s="40">
        <v>0</v>
      </c>
      <c r="H931" s="40">
        <v>0</v>
      </c>
      <c r="I931" s="40">
        <v>0</v>
      </c>
      <c r="J931" s="40">
        <v>0</v>
      </c>
      <c r="K931" s="40">
        <v>0</v>
      </c>
      <c r="L931" s="40">
        <v>0</v>
      </c>
      <c r="M931" s="40">
        <f t="shared" si="29"/>
        <v>0</v>
      </c>
      <c r="N931" s="40">
        <f t="shared" si="30"/>
        <v>0</v>
      </c>
    </row>
    <row r="932" spans="1:14" x14ac:dyDescent="0.35">
      <c r="A932" s="33">
        <v>929</v>
      </c>
      <c r="B932" s="34" t="s">
        <v>1288</v>
      </c>
      <c r="C932" s="33" t="s">
        <v>346</v>
      </c>
      <c r="D932" s="33" t="s">
        <v>265</v>
      </c>
      <c r="E932" s="33" t="s">
        <v>1283</v>
      </c>
      <c r="F932" s="35">
        <v>0.125</v>
      </c>
      <c r="G932" s="40">
        <v>0</v>
      </c>
      <c r="H932" s="40">
        <v>0</v>
      </c>
      <c r="I932" s="40">
        <v>0</v>
      </c>
      <c r="J932" s="40">
        <v>0</v>
      </c>
      <c r="K932" s="40">
        <v>0</v>
      </c>
      <c r="L932" s="40">
        <v>0</v>
      </c>
      <c r="M932" s="40">
        <f t="shared" si="29"/>
        <v>0</v>
      </c>
      <c r="N932" s="40">
        <f t="shared" si="30"/>
        <v>0</v>
      </c>
    </row>
    <row r="933" spans="1:14" x14ac:dyDescent="0.35">
      <c r="A933" s="33">
        <v>930</v>
      </c>
      <c r="B933" s="34" t="s">
        <v>1289</v>
      </c>
      <c r="C933" s="33" t="s">
        <v>346</v>
      </c>
      <c r="D933" s="33" t="s">
        <v>265</v>
      </c>
      <c r="E933" s="33" t="s">
        <v>1283</v>
      </c>
      <c r="F933" s="35">
        <v>5.5E-2</v>
      </c>
      <c r="G933" s="40">
        <v>0</v>
      </c>
      <c r="H933" s="40">
        <v>0</v>
      </c>
      <c r="I933" s="40">
        <v>0</v>
      </c>
      <c r="J933" s="40">
        <v>0</v>
      </c>
      <c r="K933" s="40">
        <v>0</v>
      </c>
      <c r="L933" s="40">
        <v>0</v>
      </c>
      <c r="M933" s="40">
        <f t="shared" si="29"/>
        <v>0</v>
      </c>
      <c r="N933" s="40">
        <f t="shared" si="30"/>
        <v>0</v>
      </c>
    </row>
    <row r="934" spans="1:14" x14ac:dyDescent="0.35">
      <c r="A934" s="33">
        <v>931</v>
      </c>
      <c r="B934" s="34" t="s">
        <v>1290</v>
      </c>
      <c r="C934" s="33" t="s">
        <v>346</v>
      </c>
      <c r="D934" s="33" t="s">
        <v>265</v>
      </c>
      <c r="E934" s="33" t="s">
        <v>1283</v>
      </c>
      <c r="F934" s="35">
        <v>0.125</v>
      </c>
      <c r="G934" s="40">
        <v>0</v>
      </c>
      <c r="H934" s="40">
        <v>0</v>
      </c>
      <c r="I934" s="40">
        <v>0</v>
      </c>
      <c r="J934" s="40">
        <v>0</v>
      </c>
      <c r="K934" s="40">
        <v>0</v>
      </c>
      <c r="L934" s="40">
        <v>0</v>
      </c>
      <c r="M934" s="40">
        <f t="shared" si="29"/>
        <v>0</v>
      </c>
      <c r="N934" s="40">
        <f t="shared" si="30"/>
        <v>0</v>
      </c>
    </row>
    <row r="935" spans="1:14" x14ac:dyDescent="0.35">
      <c r="A935" s="33">
        <v>932</v>
      </c>
      <c r="B935" s="34" t="s">
        <v>1291</v>
      </c>
      <c r="C935" s="33" t="s">
        <v>346</v>
      </c>
      <c r="D935" s="33" t="s">
        <v>265</v>
      </c>
      <c r="E935" s="33" t="s">
        <v>1283</v>
      </c>
      <c r="F935" s="35">
        <v>5.5E-2</v>
      </c>
      <c r="G935" s="40">
        <v>0</v>
      </c>
      <c r="H935" s="40">
        <v>0</v>
      </c>
      <c r="I935" s="40">
        <v>0</v>
      </c>
      <c r="J935" s="40">
        <v>0</v>
      </c>
      <c r="K935" s="40">
        <v>0</v>
      </c>
      <c r="L935" s="40">
        <v>0</v>
      </c>
      <c r="M935" s="40">
        <f t="shared" si="29"/>
        <v>0</v>
      </c>
      <c r="N935" s="40">
        <f t="shared" si="30"/>
        <v>0</v>
      </c>
    </row>
    <row r="936" spans="1:14" x14ac:dyDescent="0.35">
      <c r="A936" s="33">
        <v>933</v>
      </c>
      <c r="B936" s="34" t="s">
        <v>1292</v>
      </c>
      <c r="C936" s="33" t="s">
        <v>346</v>
      </c>
      <c r="D936" s="33" t="s">
        <v>265</v>
      </c>
      <c r="E936" s="33" t="s">
        <v>1283</v>
      </c>
      <c r="F936" s="35">
        <v>0.125</v>
      </c>
      <c r="G936" s="40">
        <v>0</v>
      </c>
      <c r="H936" s="40">
        <v>0</v>
      </c>
      <c r="I936" s="40">
        <v>0</v>
      </c>
      <c r="J936" s="40">
        <v>0</v>
      </c>
      <c r="K936" s="40">
        <v>0</v>
      </c>
      <c r="L936" s="40">
        <v>0</v>
      </c>
      <c r="M936" s="40">
        <f t="shared" si="29"/>
        <v>0</v>
      </c>
      <c r="N936" s="40">
        <f t="shared" si="30"/>
        <v>0</v>
      </c>
    </row>
    <row r="937" spans="1:14" x14ac:dyDescent="0.35">
      <c r="A937" s="33">
        <v>934</v>
      </c>
      <c r="B937" s="34" t="s">
        <v>1293</v>
      </c>
      <c r="C937" s="33" t="s">
        <v>346</v>
      </c>
      <c r="D937" s="33" t="s">
        <v>265</v>
      </c>
      <c r="E937" s="33" t="s">
        <v>1283</v>
      </c>
      <c r="F937" s="35">
        <v>5.5E-2</v>
      </c>
      <c r="G937" s="40">
        <v>0</v>
      </c>
      <c r="H937" s="40">
        <v>0</v>
      </c>
      <c r="I937" s="40">
        <v>0</v>
      </c>
      <c r="J937" s="40">
        <v>0</v>
      </c>
      <c r="K937" s="40">
        <v>0</v>
      </c>
      <c r="L937" s="40">
        <v>0</v>
      </c>
      <c r="M937" s="40">
        <f t="shared" si="29"/>
        <v>0</v>
      </c>
      <c r="N937" s="40">
        <f t="shared" si="30"/>
        <v>0</v>
      </c>
    </row>
    <row r="938" spans="1:14" x14ac:dyDescent="0.35">
      <c r="A938" s="33">
        <v>935</v>
      </c>
      <c r="B938" s="34" t="s">
        <v>1294</v>
      </c>
      <c r="C938" s="33" t="s">
        <v>346</v>
      </c>
      <c r="D938" s="33" t="s">
        <v>265</v>
      </c>
      <c r="E938" s="33" t="s">
        <v>1283</v>
      </c>
      <c r="F938" s="35">
        <v>0.25</v>
      </c>
      <c r="G938" s="40">
        <v>0</v>
      </c>
      <c r="H938" s="40">
        <v>0</v>
      </c>
      <c r="I938" s="40">
        <v>0</v>
      </c>
      <c r="J938" s="40">
        <v>0</v>
      </c>
      <c r="K938" s="40">
        <v>0</v>
      </c>
      <c r="L938" s="40">
        <v>0</v>
      </c>
      <c r="M938" s="40">
        <f t="shared" si="29"/>
        <v>0</v>
      </c>
      <c r="N938" s="40">
        <f t="shared" si="30"/>
        <v>0</v>
      </c>
    </row>
    <row r="939" spans="1:14" x14ac:dyDescent="0.35">
      <c r="A939" s="33">
        <v>936</v>
      </c>
      <c r="B939" s="34" t="s">
        <v>1295</v>
      </c>
      <c r="C939" s="33" t="s">
        <v>346</v>
      </c>
      <c r="D939" s="33" t="s">
        <v>265</v>
      </c>
      <c r="E939" s="33" t="s">
        <v>1283</v>
      </c>
      <c r="F939" s="35">
        <v>0.125</v>
      </c>
      <c r="G939" s="40">
        <v>0</v>
      </c>
      <c r="H939" s="40">
        <v>0</v>
      </c>
      <c r="I939" s="40">
        <v>0</v>
      </c>
      <c r="J939" s="40">
        <v>0</v>
      </c>
      <c r="K939" s="40">
        <v>0</v>
      </c>
      <c r="L939" s="40">
        <v>0</v>
      </c>
      <c r="M939" s="40">
        <f t="shared" si="29"/>
        <v>0</v>
      </c>
      <c r="N939" s="40">
        <f t="shared" si="30"/>
        <v>0</v>
      </c>
    </row>
    <row r="940" spans="1:14" x14ac:dyDescent="0.35">
      <c r="A940" s="33">
        <v>937</v>
      </c>
      <c r="B940" s="34" t="s">
        <v>1296</v>
      </c>
      <c r="C940" s="33" t="s">
        <v>346</v>
      </c>
      <c r="D940" s="33" t="s">
        <v>265</v>
      </c>
      <c r="E940" s="33" t="s">
        <v>1283</v>
      </c>
      <c r="F940" s="35">
        <v>5.5E-2</v>
      </c>
      <c r="G940" s="40">
        <v>0</v>
      </c>
      <c r="H940" s="40">
        <v>0</v>
      </c>
      <c r="I940" s="40">
        <v>0</v>
      </c>
      <c r="J940" s="40">
        <v>0</v>
      </c>
      <c r="K940" s="40">
        <v>0</v>
      </c>
      <c r="L940" s="40">
        <v>0</v>
      </c>
      <c r="M940" s="40">
        <f t="shared" si="29"/>
        <v>0</v>
      </c>
      <c r="N940" s="40">
        <f t="shared" si="30"/>
        <v>0</v>
      </c>
    </row>
    <row r="941" spans="1:14" x14ac:dyDescent="0.35">
      <c r="A941" s="33">
        <v>938</v>
      </c>
      <c r="B941" s="34" t="s">
        <v>1297</v>
      </c>
      <c r="C941" s="33" t="s">
        <v>346</v>
      </c>
      <c r="D941" s="33" t="s">
        <v>265</v>
      </c>
      <c r="E941" s="33" t="s">
        <v>1283</v>
      </c>
      <c r="F941" s="35">
        <v>0.125</v>
      </c>
      <c r="G941" s="40">
        <v>0</v>
      </c>
      <c r="H941" s="40">
        <v>0</v>
      </c>
      <c r="I941" s="40">
        <v>0</v>
      </c>
      <c r="J941" s="40">
        <v>0</v>
      </c>
      <c r="K941" s="40">
        <v>0</v>
      </c>
      <c r="L941" s="40">
        <v>0</v>
      </c>
      <c r="M941" s="40">
        <f t="shared" si="29"/>
        <v>0</v>
      </c>
      <c r="N941" s="40">
        <f t="shared" si="30"/>
        <v>0</v>
      </c>
    </row>
    <row r="942" spans="1:14" x14ac:dyDescent="0.35">
      <c r="A942" s="33">
        <v>939</v>
      </c>
      <c r="B942" s="34" t="s">
        <v>1298</v>
      </c>
      <c r="C942" s="33" t="s">
        <v>346</v>
      </c>
      <c r="D942" s="33" t="s">
        <v>265</v>
      </c>
      <c r="E942" s="33" t="s">
        <v>1283</v>
      </c>
      <c r="F942" s="35">
        <v>5.5E-2</v>
      </c>
      <c r="G942" s="40">
        <v>0</v>
      </c>
      <c r="H942" s="40">
        <v>0</v>
      </c>
      <c r="I942" s="40">
        <v>0</v>
      </c>
      <c r="J942" s="40">
        <v>0</v>
      </c>
      <c r="K942" s="40">
        <v>0</v>
      </c>
      <c r="L942" s="40">
        <v>0</v>
      </c>
      <c r="M942" s="40">
        <f t="shared" si="29"/>
        <v>0</v>
      </c>
      <c r="N942" s="40">
        <f t="shared" si="30"/>
        <v>0</v>
      </c>
    </row>
    <row r="943" spans="1:14" x14ac:dyDescent="0.35">
      <c r="A943" s="33">
        <v>940</v>
      </c>
      <c r="B943" s="34" t="s">
        <v>1299</v>
      </c>
      <c r="C943" s="33" t="s">
        <v>346</v>
      </c>
      <c r="D943" s="33" t="s">
        <v>265</v>
      </c>
      <c r="E943" s="33" t="s">
        <v>1283</v>
      </c>
      <c r="F943" s="35">
        <v>0.125</v>
      </c>
      <c r="G943" s="40">
        <v>0</v>
      </c>
      <c r="H943" s="40">
        <v>0</v>
      </c>
      <c r="I943" s="40">
        <v>0</v>
      </c>
      <c r="J943" s="40">
        <v>0</v>
      </c>
      <c r="K943" s="40">
        <v>0</v>
      </c>
      <c r="L943" s="40">
        <v>0</v>
      </c>
      <c r="M943" s="40">
        <f t="shared" si="29"/>
        <v>0</v>
      </c>
      <c r="N943" s="40">
        <f t="shared" si="30"/>
        <v>0</v>
      </c>
    </row>
    <row r="944" spans="1:14" x14ac:dyDescent="0.35">
      <c r="A944" s="33">
        <v>941</v>
      </c>
      <c r="B944" s="34" t="s">
        <v>1300</v>
      </c>
      <c r="C944" s="33" t="s">
        <v>346</v>
      </c>
      <c r="D944" s="33" t="s">
        <v>265</v>
      </c>
      <c r="E944" s="33" t="s">
        <v>1283</v>
      </c>
      <c r="F944" s="35">
        <v>5.5E-2</v>
      </c>
      <c r="G944" s="40">
        <v>0</v>
      </c>
      <c r="H944" s="40">
        <v>0</v>
      </c>
      <c r="I944" s="40">
        <v>0</v>
      </c>
      <c r="J944" s="40">
        <v>0</v>
      </c>
      <c r="K944" s="40">
        <v>0</v>
      </c>
      <c r="L944" s="40">
        <v>0</v>
      </c>
      <c r="M944" s="40">
        <f t="shared" si="29"/>
        <v>0</v>
      </c>
      <c r="N944" s="40">
        <f t="shared" si="30"/>
        <v>0</v>
      </c>
    </row>
    <row r="945" spans="1:14" x14ac:dyDescent="0.35">
      <c r="A945" s="33">
        <v>942</v>
      </c>
      <c r="B945" s="34" t="s">
        <v>1301</v>
      </c>
      <c r="C945" s="33" t="s">
        <v>346</v>
      </c>
      <c r="D945" s="33" t="s">
        <v>265</v>
      </c>
      <c r="E945" s="33" t="s">
        <v>1283</v>
      </c>
      <c r="F945" s="35">
        <v>1</v>
      </c>
      <c r="G945" s="40">
        <v>0</v>
      </c>
      <c r="H945" s="40">
        <v>0</v>
      </c>
      <c r="I945" s="40">
        <v>0</v>
      </c>
      <c r="J945" s="40">
        <v>0</v>
      </c>
      <c r="K945" s="40">
        <v>0</v>
      </c>
      <c r="L945" s="40">
        <v>1.4</v>
      </c>
      <c r="M945" s="40">
        <f t="shared" si="29"/>
        <v>0</v>
      </c>
      <c r="N945" s="40">
        <f t="shared" si="30"/>
        <v>1.4</v>
      </c>
    </row>
    <row r="946" spans="1:14" x14ac:dyDescent="0.35">
      <c r="A946" s="33">
        <v>943</v>
      </c>
      <c r="B946" s="34" t="s">
        <v>1302</v>
      </c>
      <c r="C946" s="33" t="s">
        <v>346</v>
      </c>
      <c r="D946" s="33" t="s">
        <v>265</v>
      </c>
      <c r="E946" s="33" t="s">
        <v>1283</v>
      </c>
      <c r="F946" s="35">
        <v>0.1</v>
      </c>
      <c r="G946" s="40">
        <v>0</v>
      </c>
      <c r="H946" s="40">
        <v>0</v>
      </c>
      <c r="I946" s="40">
        <v>0</v>
      </c>
      <c r="J946" s="40">
        <v>0</v>
      </c>
      <c r="K946" s="40">
        <v>0</v>
      </c>
      <c r="L946" s="40">
        <v>0</v>
      </c>
      <c r="M946" s="40">
        <f t="shared" si="29"/>
        <v>0</v>
      </c>
      <c r="N946" s="40">
        <f t="shared" si="30"/>
        <v>0</v>
      </c>
    </row>
    <row r="947" spans="1:14" x14ac:dyDescent="0.35">
      <c r="A947" s="33">
        <v>944</v>
      </c>
      <c r="B947" s="34" t="s">
        <v>1303</v>
      </c>
      <c r="C947" s="33" t="s">
        <v>346</v>
      </c>
      <c r="D947" s="33" t="s">
        <v>265</v>
      </c>
      <c r="E947" s="33" t="s">
        <v>1283</v>
      </c>
      <c r="F947" s="35">
        <v>0.1</v>
      </c>
      <c r="G947" s="40">
        <v>0</v>
      </c>
      <c r="H947" s="40">
        <v>0</v>
      </c>
      <c r="I947" s="40">
        <v>0</v>
      </c>
      <c r="J947" s="40">
        <v>0</v>
      </c>
      <c r="K947" s="40">
        <v>0</v>
      </c>
      <c r="L947" s="40">
        <v>0</v>
      </c>
      <c r="M947" s="40">
        <f t="shared" si="29"/>
        <v>0</v>
      </c>
      <c r="N947" s="40">
        <f t="shared" si="30"/>
        <v>0</v>
      </c>
    </row>
    <row r="948" spans="1:14" x14ac:dyDescent="0.35">
      <c r="A948" s="33">
        <v>945</v>
      </c>
      <c r="B948" s="34" t="s">
        <v>1304</v>
      </c>
      <c r="C948" s="33" t="s">
        <v>346</v>
      </c>
      <c r="D948" s="33" t="s">
        <v>265</v>
      </c>
      <c r="E948" s="33" t="s">
        <v>1283</v>
      </c>
      <c r="F948" s="35">
        <v>0.1</v>
      </c>
      <c r="G948" s="40">
        <v>0</v>
      </c>
      <c r="H948" s="40">
        <v>0</v>
      </c>
      <c r="I948" s="40">
        <v>0</v>
      </c>
      <c r="J948" s="40">
        <v>0</v>
      </c>
      <c r="K948" s="40">
        <v>0</v>
      </c>
      <c r="L948" s="40">
        <v>0</v>
      </c>
      <c r="M948" s="40">
        <f t="shared" si="29"/>
        <v>0</v>
      </c>
      <c r="N948" s="40">
        <f t="shared" si="30"/>
        <v>0</v>
      </c>
    </row>
    <row r="949" spans="1:14" x14ac:dyDescent="0.35">
      <c r="A949" s="33">
        <v>946</v>
      </c>
      <c r="B949" s="34" t="s">
        <v>1305</v>
      </c>
      <c r="C949" s="33" t="s">
        <v>346</v>
      </c>
      <c r="D949" s="33" t="s">
        <v>265</v>
      </c>
      <c r="E949" s="33" t="s">
        <v>1283</v>
      </c>
      <c r="F949" s="35">
        <v>0.1</v>
      </c>
      <c r="G949" s="40">
        <v>0</v>
      </c>
      <c r="H949" s="40">
        <v>0</v>
      </c>
      <c r="I949" s="40">
        <v>0</v>
      </c>
      <c r="J949" s="40">
        <v>0</v>
      </c>
      <c r="K949" s="40">
        <v>0</v>
      </c>
      <c r="L949" s="40">
        <v>0</v>
      </c>
      <c r="M949" s="40">
        <f t="shared" si="29"/>
        <v>0</v>
      </c>
      <c r="N949" s="40">
        <f t="shared" si="30"/>
        <v>0</v>
      </c>
    </row>
    <row r="950" spans="1:14" x14ac:dyDescent="0.35">
      <c r="A950" s="33">
        <v>947</v>
      </c>
      <c r="B950" s="34" t="s">
        <v>1306</v>
      </c>
      <c r="C950" s="33" t="s">
        <v>346</v>
      </c>
      <c r="D950" s="33" t="s">
        <v>265</v>
      </c>
      <c r="E950" s="33" t="s">
        <v>1283</v>
      </c>
      <c r="F950" s="35">
        <v>2.5000000000000001E-2</v>
      </c>
      <c r="G950" s="40">
        <v>0</v>
      </c>
      <c r="H950" s="40">
        <v>0</v>
      </c>
      <c r="I950" s="40">
        <v>0</v>
      </c>
      <c r="J950" s="40">
        <v>0</v>
      </c>
      <c r="K950" s="40">
        <v>0</v>
      </c>
      <c r="L950" s="40">
        <v>0</v>
      </c>
      <c r="M950" s="40">
        <f t="shared" si="29"/>
        <v>0</v>
      </c>
      <c r="N950" s="40">
        <f t="shared" si="30"/>
        <v>0</v>
      </c>
    </row>
    <row r="951" spans="1:14" x14ac:dyDescent="0.35">
      <c r="A951" s="33">
        <v>948</v>
      </c>
      <c r="B951" s="34" t="s">
        <v>1307</v>
      </c>
      <c r="C951" s="33" t="s">
        <v>346</v>
      </c>
      <c r="D951" s="33" t="s">
        <v>265</v>
      </c>
      <c r="E951" s="33" t="s">
        <v>1283</v>
      </c>
      <c r="F951" s="35">
        <v>2.5000000000000001E-2</v>
      </c>
      <c r="G951" s="40">
        <v>0</v>
      </c>
      <c r="H951" s="40">
        <v>0</v>
      </c>
      <c r="I951" s="40">
        <v>0</v>
      </c>
      <c r="J951" s="40">
        <v>0</v>
      </c>
      <c r="K951" s="40">
        <v>0</v>
      </c>
      <c r="L951" s="40">
        <v>0</v>
      </c>
      <c r="M951" s="40">
        <f t="shared" si="29"/>
        <v>0</v>
      </c>
      <c r="N951" s="40">
        <f t="shared" si="30"/>
        <v>0</v>
      </c>
    </row>
    <row r="952" spans="1:14" x14ac:dyDescent="0.35">
      <c r="A952" s="33">
        <v>949</v>
      </c>
      <c r="B952" s="34" t="s">
        <v>1308</v>
      </c>
      <c r="C952" s="33" t="s">
        <v>346</v>
      </c>
      <c r="D952" s="33" t="s">
        <v>265</v>
      </c>
      <c r="E952" s="33" t="s">
        <v>1283</v>
      </c>
      <c r="F952" s="35">
        <v>2.5000000000000001E-2</v>
      </c>
      <c r="G952" s="40">
        <v>0</v>
      </c>
      <c r="H952" s="40">
        <v>0</v>
      </c>
      <c r="I952" s="40">
        <v>0</v>
      </c>
      <c r="J952" s="40">
        <v>0</v>
      </c>
      <c r="K952" s="40">
        <v>0</v>
      </c>
      <c r="L952" s="40">
        <v>0</v>
      </c>
      <c r="M952" s="40">
        <f t="shared" si="29"/>
        <v>0</v>
      </c>
      <c r="N952" s="40">
        <f t="shared" si="30"/>
        <v>0</v>
      </c>
    </row>
    <row r="953" spans="1:14" x14ac:dyDescent="0.35">
      <c r="A953" s="33">
        <v>950</v>
      </c>
      <c r="B953" s="34" t="s">
        <v>1309</v>
      </c>
      <c r="C953" s="33" t="s">
        <v>346</v>
      </c>
      <c r="D953" s="33" t="s">
        <v>265</v>
      </c>
      <c r="E953" s="33" t="s">
        <v>1283</v>
      </c>
      <c r="F953" s="35">
        <v>2.5000000000000001E-2</v>
      </c>
      <c r="G953" s="40">
        <v>0</v>
      </c>
      <c r="H953" s="40">
        <v>0</v>
      </c>
      <c r="I953" s="40">
        <v>0</v>
      </c>
      <c r="J953" s="40">
        <v>0</v>
      </c>
      <c r="K953" s="40">
        <v>0</v>
      </c>
      <c r="L953" s="40">
        <v>0</v>
      </c>
      <c r="M953" s="40">
        <f t="shared" si="29"/>
        <v>0</v>
      </c>
      <c r="N953" s="40">
        <f t="shared" si="30"/>
        <v>0</v>
      </c>
    </row>
    <row r="954" spans="1:14" x14ac:dyDescent="0.35">
      <c r="A954" s="33">
        <v>951</v>
      </c>
      <c r="B954" s="34" t="s">
        <v>1310</v>
      </c>
      <c r="C954" s="33" t="s">
        <v>346</v>
      </c>
      <c r="D954" s="33" t="s">
        <v>265</v>
      </c>
      <c r="E954" s="33" t="s">
        <v>1283</v>
      </c>
      <c r="F954" s="35">
        <v>1</v>
      </c>
      <c r="G954" s="40">
        <v>0</v>
      </c>
      <c r="H954" s="40">
        <v>0</v>
      </c>
      <c r="I954" s="40">
        <v>0</v>
      </c>
      <c r="J954" s="40">
        <v>0</v>
      </c>
      <c r="K954" s="40">
        <v>0</v>
      </c>
      <c r="L954" s="40">
        <v>0</v>
      </c>
      <c r="M954" s="40">
        <f t="shared" si="29"/>
        <v>0</v>
      </c>
      <c r="N954" s="40">
        <f t="shared" si="30"/>
        <v>0</v>
      </c>
    </row>
    <row r="955" spans="1:14" x14ac:dyDescent="0.35">
      <c r="A955" s="33">
        <v>952</v>
      </c>
      <c r="B955" s="34" t="s">
        <v>1311</v>
      </c>
      <c r="C955" s="33" t="s">
        <v>346</v>
      </c>
      <c r="D955" s="33" t="s">
        <v>265</v>
      </c>
      <c r="E955" s="33" t="s">
        <v>1283</v>
      </c>
      <c r="F955" s="35">
        <v>7.4999999999999997E-2</v>
      </c>
      <c r="G955" s="40">
        <v>0</v>
      </c>
      <c r="H955" s="40">
        <v>0</v>
      </c>
      <c r="I955" s="40">
        <v>0</v>
      </c>
      <c r="J955" s="40">
        <v>0</v>
      </c>
      <c r="K955" s="40">
        <v>0</v>
      </c>
      <c r="L955" s="40">
        <v>0</v>
      </c>
      <c r="M955" s="40">
        <f t="shared" si="29"/>
        <v>0</v>
      </c>
      <c r="N955" s="40">
        <f t="shared" si="30"/>
        <v>0</v>
      </c>
    </row>
    <row r="956" spans="1:14" x14ac:dyDescent="0.35">
      <c r="A956" s="33">
        <v>953</v>
      </c>
      <c r="B956" s="34" t="s">
        <v>1312</v>
      </c>
      <c r="C956" s="33" t="s">
        <v>346</v>
      </c>
      <c r="D956" s="33" t="s">
        <v>265</v>
      </c>
      <c r="E956" s="33" t="s">
        <v>1283</v>
      </c>
      <c r="F956" s="35">
        <v>7.4999999999999997E-2</v>
      </c>
      <c r="G956" s="40">
        <v>0</v>
      </c>
      <c r="H956" s="40">
        <v>0</v>
      </c>
      <c r="I956" s="40">
        <v>0</v>
      </c>
      <c r="J956" s="40">
        <v>0</v>
      </c>
      <c r="K956" s="40">
        <v>0</v>
      </c>
      <c r="L956" s="40">
        <v>0</v>
      </c>
      <c r="M956" s="40">
        <f t="shared" si="29"/>
        <v>0</v>
      </c>
      <c r="N956" s="40">
        <f t="shared" si="30"/>
        <v>0</v>
      </c>
    </row>
    <row r="957" spans="1:14" x14ac:dyDescent="0.35">
      <c r="A957" s="33">
        <v>954</v>
      </c>
      <c r="B957" s="34" t="s">
        <v>1313</v>
      </c>
      <c r="C957" s="33" t="s">
        <v>346</v>
      </c>
      <c r="D957" s="33" t="s">
        <v>265</v>
      </c>
      <c r="E957" s="33" t="s">
        <v>1283</v>
      </c>
      <c r="F957" s="35">
        <v>1</v>
      </c>
      <c r="G957" s="40">
        <v>0</v>
      </c>
      <c r="H957" s="40">
        <v>0</v>
      </c>
      <c r="I957" s="40">
        <v>0</v>
      </c>
      <c r="J957" s="40">
        <v>0</v>
      </c>
      <c r="K957" s="40">
        <v>0</v>
      </c>
      <c r="L957" s="40">
        <v>2.8</v>
      </c>
      <c r="M957" s="40">
        <f t="shared" si="29"/>
        <v>0</v>
      </c>
      <c r="N957" s="40">
        <f t="shared" si="30"/>
        <v>2.8</v>
      </c>
    </row>
    <row r="958" spans="1:14" x14ac:dyDescent="0.35">
      <c r="A958" s="33">
        <v>955</v>
      </c>
      <c r="B958" s="34" t="s">
        <v>1314</v>
      </c>
      <c r="C958" s="33" t="s">
        <v>346</v>
      </c>
      <c r="D958" s="33" t="s">
        <v>265</v>
      </c>
      <c r="E958" s="33" t="s">
        <v>1283</v>
      </c>
      <c r="F958" s="35">
        <v>7.4999999999999997E-2</v>
      </c>
      <c r="G958" s="40">
        <v>0</v>
      </c>
      <c r="H958" s="40">
        <v>0</v>
      </c>
      <c r="I958" s="40">
        <v>0</v>
      </c>
      <c r="J958" s="40">
        <v>0</v>
      </c>
      <c r="K958" s="40">
        <v>0</v>
      </c>
      <c r="L958" s="40">
        <v>0</v>
      </c>
      <c r="M958" s="40">
        <f t="shared" si="29"/>
        <v>0</v>
      </c>
      <c r="N958" s="40">
        <f t="shared" si="30"/>
        <v>0</v>
      </c>
    </row>
    <row r="959" spans="1:14" x14ac:dyDescent="0.35">
      <c r="A959" s="33">
        <v>956</v>
      </c>
      <c r="B959" s="34" t="s">
        <v>1315</v>
      </c>
      <c r="C959" s="33" t="s">
        <v>346</v>
      </c>
      <c r="D959" s="33" t="s">
        <v>265</v>
      </c>
      <c r="E959" s="33" t="s">
        <v>1283</v>
      </c>
      <c r="F959" s="35">
        <v>1</v>
      </c>
      <c r="G959" s="40">
        <v>0</v>
      </c>
      <c r="H959" s="40">
        <v>0</v>
      </c>
      <c r="I959" s="40">
        <v>0</v>
      </c>
      <c r="J959" s="40">
        <v>0</v>
      </c>
      <c r="K959" s="40">
        <v>0</v>
      </c>
      <c r="L959" s="40">
        <v>0.9</v>
      </c>
      <c r="M959" s="40">
        <f t="shared" si="29"/>
        <v>0</v>
      </c>
      <c r="N959" s="40">
        <f t="shared" si="30"/>
        <v>0.9</v>
      </c>
    </row>
    <row r="960" spans="1:14" x14ac:dyDescent="0.35">
      <c r="A960" s="33">
        <v>957</v>
      </c>
      <c r="B960" s="34" t="s">
        <v>1316</v>
      </c>
      <c r="C960" s="33" t="s">
        <v>346</v>
      </c>
      <c r="D960" s="33" t="s">
        <v>265</v>
      </c>
      <c r="E960" s="33" t="s">
        <v>1283</v>
      </c>
      <c r="F960" s="35">
        <v>1</v>
      </c>
      <c r="G960" s="40">
        <v>0</v>
      </c>
      <c r="H960" s="40">
        <v>0</v>
      </c>
      <c r="I960" s="40">
        <v>0</v>
      </c>
      <c r="J960" s="40">
        <v>0</v>
      </c>
      <c r="K960" s="40">
        <v>0</v>
      </c>
      <c r="L960" s="40">
        <v>0.8</v>
      </c>
      <c r="M960" s="40">
        <f t="shared" si="29"/>
        <v>0</v>
      </c>
      <c r="N960" s="40">
        <f t="shared" si="30"/>
        <v>0.8</v>
      </c>
    </row>
    <row r="961" spans="1:14" x14ac:dyDescent="0.35">
      <c r="A961" s="33">
        <v>958</v>
      </c>
      <c r="B961" s="34" t="s">
        <v>1317</v>
      </c>
      <c r="C961" s="33" t="s">
        <v>346</v>
      </c>
      <c r="D961" s="33" t="s">
        <v>265</v>
      </c>
      <c r="E961" s="33" t="s">
        <v>1283</v>
      </c>
      <c r="F961" s="35">
        <v>0.05</v>
      </c>
      <c r="G961" s="40">
        <v>0</v>
      </c>
      <c r="H961" s="40">
        <v>0</v>
      </c>
      <c r="I961" s="40">
        <v>0</v>
      </c>
      <c r="J961" s="40">
        <v>0</v>
      </c>
      <c r="K961" s="40">
        <v>0</v>
      </c>
      <c r="L961" s="40">
        <v>0</v>
      </c>
      <c r="M961" s="40">
        <f t="shared" si="29"/>
        <v>0</v>
      </c>
      <c r="N961" s="40">
        <f t="shared" si="30"/>
        <v>0</v>
      </c>
    </row>
    <row r="962" spans="1:14" x14ac:dyDescent="0.35">
      <c r="A962" s="33">
        <v>959</v>
      </c>
      <c r="B962" s="34" t="s">
        <v>1318</v>
      </c>
      <c r="C962" s="33" t="s">
        <v>346</v>
      </c>
      <c r="D962" s="33" t="s">
        <v>265</v>
      </c>
      <c r="E962" s="33" t="s">
        <v>1283</v>
      </c>
      <c r="F962" s="35">
        <v>7.4999999999999997E-2</v>
      </c>
      <c r="G962" s="40">
        <v>0</v>
      </c>
      <c r="H962" s="40">
        <v>0</v>
      </c>
      <c r="I962" s="40">
        <v>0</v>
      </c>
      <c r="J962" s="40">
        <v>0</v>
      </c>
      <c r="K962" s="40">
        <v>0</v>
      </c>
      <c r="L962" s="40">
        <v>0</v>
      </c>
      <c r="M962" s="40">
        <f t="shared" si="29"/>
        <v>0</v>
      </c>
      <c r="N962" s="40">
        <f t="shared" si="30"/>
        <v>0</v>
      </c>
    </row>
    <row r="963" spans="1:14" x14ac:dyDescent="0.35">
      <c r="A963" s="33">
        <v>960</v>
      </c>
      <c r="B963" s="34" t="s">
        <v>1319</v>
      </c>
      <c r="C963" s="33" t="s">
        <v>346</v>
      </c>
      <c r="D963" s="33" t="s">
        <v>265</v>
      </c>
      <c r="E963" s="33" t="s">
        <v>1283</v>
      </c>
      <c r="F963" s="35">
        <v>1</v>
      </c>
      <c r="G963" s="40">
        <v>0</v>
      </c>
      <c r="H963" s="40">
        <v>0</v>
      </c>
      <c r="I963" s="40">
        <v>0</v>
      </c>
      <c r="J963" s="40">
        <v>0</v>
      </c>
      <c r="K963" s="40">
        <v>0</v>
      </c>
      <c r="L963" s="40">
        <v>1.8</v>
      </c>
      <c r="M963" s="40">
        <f t="shared" si="29"/>
        <v>0</v>
      </c>
      <c r="N963" s="40">
        <f t="shared" si="30"/>
        <v>1.8</v>
      </c>
    </row>
    <row r="964" spans="1:14" x14ac:dyDescent="0.35">
      <c r="A964" s="33">
        <v>961</v>
      </c>
      <c r="B964" s="34" t="s">
        <v>1320</v>
      </c>
      <c r="C964" s="33" t="s">
        <v>346</v>
      </c>
      <c r="D964" s="33" t="s">
        <v>265</v>
      </c>
      <c r="E964" s="33" t="s">
        <v>1283</v>
      </c>
      <c r="F964" s="35">
        <v>0.05</v>
      </c>
      <c r="G964" s="40">
        <v>0</v>
      </c>
      <c r="H964" s="40">
        <v>0</v>
      </c>
      <c r="I964" s="40">
        <v>0</v>
      </c>
      <c r="J964" s="40">
        <v>0</v>
      </c>
      <c r="K964" s="40">
        <v>0</v>
      </c>
      <c r="L964" s="40">
        <v>0</v>
      </c>
      <c r="M964" s="40">
        <f t="shared" si="29"/>
        <v>0</v>
      </c>
      <c r="N964" s="40">
        <f t="shared" si="30"/>
        <v>0</v>
      </c>
    </row>
    <row r="965" spans="1:14" x14ac:dyDescent="0.35">
      <c r="A965" s="33">
        <v>962</v>
      </c>
      <c r="B965" s="34" t="s">
        <v>1321</v>
      </c>
      <c r="C965" s="33" t="s">
        <v>346</v>
      </c>
      <c r="D965" s="33" t="s">
        <v>265</v>
      </c>
      <c r="E965" s="33" t="s">
        <v>1283</v>
      </c>
      <c r="F965" s="35">
        <v>1</v>
      </c>
      <c r="G965" s="40">
        <v>0</v>
      </c>
      <c r="H965" s="40">
        <v>0</v>
      </c>
      <c r="I965" s="40">
        <v>0</v>
      </c>
      <c r="J965" s="40">
        <v>0</v>
      </c>
      <c r="K965" s="40">
        <v>0</v>
      </c>
      <c r="L965" s="40">
        <v>0</v>
      </c>
      <c r="M965" s="40">
        <f t="shared" ref="M965:M1028" si="31">G965+I965+K965</f>
        <v>0</v>
      </c>
      <c r="N965" s="40">
        <f t="shared" ref="N965:N1028" si="32">H965+J965+L965</f>
        <v>0</v>
      </c>
    </row>
    <row r="966" spans="1:14" x14ac:dyDescent="0.35">
      <c r="A966" s="33">
        <v>963</v>
      </c>
      <c r="B966" s="34" t="s">
        <v>1322</v>
      </c>
      <c r="C966" s="33" t="s">
        <v>346</v>
      </c>
      <c r="D966" s="33" t="s">
        <v>265</v>
      </c>
      <c r="E966" s="33" t="s">
        <v>1283</v>
      </c>
      <c r="F966" s="35">
        <v>5.5E-2</v>
      </c>
      <c r="G966" s="40">
        <v>0</v>
      </c>
      <c r="H966" s="40">
        <v>0</v>
      </c>
      <c r="I966" s="40">
        <v>0</v>
      </c>
      <c r="J966" s="40">
        <v>0</v>
      </c>
      <c r="K966" s="40">
        <v>0</v>
      </c>
      <c r="L966" s="40">
        <v>0</v>
      </c>
      <c r="M966" s="40">
        <f t="shared" si="31"/>
        <v>0</v>
      </c>
      <c r="N966" s="40">
        <f t="shared" si="32"/>
        <v>0</v>
      </c>
    </row>
    <row r="967" spans="1:14" x14ac:dyDescent="0.35">
      <c r="A967" s="33">
        <v>964</v>
      </c>
      <c r="B967" s="34" t="s">
        <v>1323</v>
      </c>
      <c r="C967" s="33" t="s">
        <v>346</v>
      </c>
      <c r="D967" s="33" t="s">
        <v>265</v>
      </c>
      <c r="E967" s="33" t="s">
        <v>1283</v>
      </c>
      <c r="F967" s="35">
        <v>2.5000000000000001E-2</v>
      </c>
      <c r="G967" s="40">
        <v>0</v>
      </c>
      <c r="H967" s="40">
        <v>0</v>
      </c>
      <c r="I967" s="40">
        <v>0</v>
      </c>
      <c r="J967" s="40">
        <v>0</v>
      </c>
      <c r="K967" s="40">
        <v>0</v>
      </c>
      <c r="L967" s="40">
        <v>0</v>
      </c>
      <c r="M967" s="40">
        <f t="shared" si="31"/>
        <v>0</v>
      </c>
      <c r="N967" s="40">
        <f t="shared" si="32"/>
        <v>0</v>
      </c>
    </row>
    <row r="968" spans="1:14" x14ac:dyDescent="0.35">
      <c r="A968" s="33">
        <v>965</v>
      </c>
      <c r="B968" s="34" t="s">
        <v>1324</v>
      </c>
      <c r="C968" s="33" t="s">
        <v>346</v>
      </c>
      <c r="D968" s="33" t="s">
        <v>265</v>
      </c>
      <c r="E968" s="33" t="s">
        <v>1283</v>
      </c>
      <c r="F968" s="35">
        <v>2.5000000000000001E-2</v>
      </c>
      <c r="G968" s="40">
        <v>0</v>
      </c>
      <c r="H968" s="40">
        <v>0</v>
      </c>
      <c r="I968" s="40">
        <v>0</v>
      </c>
      <c r="J968" s="40">
        <v>0</v>
      </c>
      <c r="K968" s="40">
        <v>0</v>
      </c>
      <c r="L968" s="40">
        <v>0</v>
      </c>
      <c r="M968" s="40">
        <f t="shared" si="31"/>
        <v>0</v>
      </c>
      <c r="N968" s="40">
        <f t="shared" si="32"/>
        <v>0</v>
      </c>
    </row>
    <row r="969" spans="1:14" x14ac:dyDescent="0.35">
      <c r="A969" s="33">
        <v>966</v>
      </c>
      <c r="B969" s="34" t="s">
        <v>1325</v>
      </c>
      <c r="C969" s="33" t="s">
        <v>346</v>
      </c>
      <c r="D969" s="33" t="s">
        <v>265</v>
      </c>
      <c r="E969" s="33" t="s">
        <v>1283</v>
      </c>
      <c r="F969" s="35">
        <v>2.5000000000000001E-2</v>
      </c>
      <c r="G969" s="40">
        <v>0</v>
      </c>
      <c r="H969" s="40">
        <v>0</v>
      </c>
      <c r="I969" s="40">
        <v>0</v>
      </c>
      <c r="J969" s="40">
        <v>0</v>
      </c>
      <c r="K969" s="40">
        <v>0</v>
      </c>
      <c r="L969" s="40">
        <v>0</v>
      </c>
      <c r="M969" s="40">
        <f t="shared" si="31"/>
        <v>0</v>
      </c>
      <c r="N969" s="40">
        <f t="shared" si="32"/>
        <v>0</v>
      </c>
    </row>
    <row r="970" spans="1:14" x14ac:dyDescent="0.35">
      <c r="A970" s="33">
        <v>967</v>
      </c>
      <c r="B970" s="34" t="s">
        <v>1326</v>
      </c>
      <c r="C970" s="33" t="s">
        <v>346</v>
      </c>
      <c r="D970" s="33" t="s">
        <v>265</v>
      </c>
      <c r="E970" s="33" t="s">
        <v>1283</v>
      </c>
      <c r="F970" s="35">
        <v>2.5000000000000001E-2</v>
      </c>
      <c r="G970" s="40">
        <v>0</v>
      </c>
      <c r="H970" s="40">
        <v>0</v>
      </c>
      <c r="I970" s="40">
        <v>0</v>
      </c>
      <c r="J970" s="40">
        <v>0</v>
      </c>
      <c r="K970" s="40">
        <v>0</v>
      </c>
      <c r="L970" s="40">
        <v>0</v>
      </c>
      <c r="M970" s="40">
        <f t="shared" si="31"/>
        <v>0</v>
      </c>
      <c r="N970" s="40">
        <f t="shared" si="32"/>
        <v>0</v>
      </c>
    </row>
    <row r="971" spans="1:14" x14ac:dyDescent="0.35">
      <c r="A971" s="33">
        <v>968</v>
      </c>
      <c r="B971" s="34" t="s">
        <v>1327</v>
      </c>
      <c r="C971" s="33" t="s">
        <v>346</v>
      </c>
      <c r="D971" s="33" t="s">
        <v>265</v>
      </c>
      <c r="E971" s="33" t="s">
        <v>1283</v>
      </c>
      <c r="F971" s="35">
        <v>1</v>
      </c>
      <c r="G971" s="40">
        <v>0</v>
      </c>
      <c r="H971" s="40">
        <v>0</v>
      </c>
      <c r="I971" s="40">
        <v>0</v>
      </c>
      <c r="J971" s="40">
        <v>0</v>
      </c>
      <c r="K971" s="40">
        <v>0</v>
      </c>
      <c r="L971" s="40">
        <v>0</v>
      </c>
      <c r="M971" s="40">
        <f t="shared" si="31"/>
        <v>0</v>
      </c>
      <c r="N971" s="40">
        <f t="shared" si="32"/>
        <v>0</v>
      </c>
    </row>
    <row r="972" spans="1:14" x14ac:dyDescent="0.35">
      <c r="A972" s="33">
        <v>969</v>
      </c>
      <c r="B972" s="34" t="s">
        <v>1286</v>
      </c>
      <c r="C972" s="33" t="s">
        <v>297</v>
      </c>
      <c r="D972" s="33" t="s">
        <v>265</v>
      </c>
      <c r="E972" s="33" t="s">
        <v>1286</v>
      </c>
      <c r="F972" s="35">
        <v>1</v>
      </c>
      <c r="G972" s="40">
        <v>0</v>
      </c>
      <c r="H972" s="40">
        <v>0</v>
      </c>
      <c r="I972" s="40">
        <v>0</v>
      </c>
      <c r="J972" s="40">
        <v>0</v>
      </c>
      <c r="K972" s="40">
        <v>0</v>
      </c>
      <c r="L972" s="40">
        <v>0</v>
      </c>
      <c r="M972" s="40">
        <f t="shared" si="31"/>
        <v>0</v>
      </c>
      <c r="N972" s="40">
        <f t="shared" si="32"/>
        <v>0</v>
      </c>
    </row>
    <row r="973" spans="1:14" x14ac:dyDescent="0.35">
      <c r="A973" s="33">
        <v>970</v>
      </c>
      <c r="B973" s="34" t="s">
        <v>1328</v>
      </c>
      <c r="C973" s="33" t="s">
        <v>297</v>
      </c>
      <c r="D973" s="33" t="s">
        <v>22</v>
      </c>
      <c r="E973" s="33" t="s">
        <v>561</v>
      </c>
      <c r="F973" s="35">
        <v>1</v>
      </c>
      <c r="G973" s="40">
        <v>0</v>
      </c>
      <c r="H973" s="40">
        <v>0</v>
      </c>
      <c r="I973" s="40">
        <v>0</v>
      </c>
      <c r="J973" s="40">
        <v>0</v>
      </c>
      <c r="K973" s="40">
        <v>0</v>
      </c>
      <c r="L973" s="40">
        <v>0</v>
      </c>
      <c r="M973" s="40">
        <f t="shared" si="31"/>
        <v>0</v>
      </c>
      <c r="N973" s="40">
        <f t="shared" si="32"/>
        <v>0</v>
      </c>
    </row>
    <row r="974" spans="1:14" x14ac:dyDescent="0.35">
      <c r="A974" s="33">
        <v>971</v>
      </c>
      <c r="B974" s="34" t="s">
        <v>1329</v>
      </c>
      <c r="C974" s="33" t="s">
        <v>297</v>
      </c>
      <c r="D974" s="33" t="s">
        <v>22</v>
      </c>
      <c r="E974" s="33" t="s">
        <v>561</v>
      </c>
      <c r="F974" s="35">
        <v>1</v>
      </c>
      <c r="G974" s="40">
        <v>0</v>
      </c>
      <c r="H974" s="40">
        <v>0</v>
      </c>
      <c r="I974" s="40">
        <v>0</v>
      </c>
      <c r="J974" s="40">
        <v>0</v>
      </c>
      <c r="K974" s="40">
        <v>0</v>
      </c>
      <c r="L974" s="40">
        <v>0</v>
      </c>
      <c r="M974" s="40">
        <f t="shared" si="31"/>
        <v>0</v>
      </c>
      <c r="N974" s="40">
        <f t="shared" si="32"/>
        <v>0</v>
      </c>
    </row>
    <row r="975" spans="1:14" x14ac:dyDescent="0.35">
      <c r="A975" s="33">
        <v>972</v>
      </c>
      <c r="B975" s="34" t="s">
        <v>1330</v>
      </c>
      <c r="C975" s="33" t="s">
        <v>297</v>
      </c>
      <c r="D975" s="33" t="s">
        <v>22</v>
      </c>
      <c r="E975" s="33" t="s">
        <v>561</v>
      </c>
      <c r="F975" s="35">
        <v>1</v>
      </c>
      <c r="G975" s="40">
        <v>0</v>
      </c>
      <c r="H975" s="40">
        <v>0</v>
      </c>
      <c r="I975" s="40">
        <v>0</v>
      </c>
      <c r="J975" s="40">
        <v>0</v>
      </c>
      <c r="K975" s="40">
        <v>0</v>
      </c>
      <c r="L975" s="40">
        <v>0</v>
      </c>
      <c r="M975" s="40">
        <f t="shared" si="31"/>
        <v>0</v>
      </c>
      <c r="N975" s="40">
        <f t="shared" si="32"/>
        <v>0</v>
      </c>
    </row>
    <row r="976" spans="1:14" x14ac:dyDescent="0.35">
      <c r="A976" s="33">
        <v>973</v>
      </c>
      <c r="B976" s="34" t="s">
        <v>1331</v>
      </c>
      <c r="C976" s="33" t="s">
        <v>297</v>
      </c>
      <c r="D976" s="33" t="s">
        <v>22</v>
      </c>
      <c r="E976" s="33" t="s">
        <v>561</v>
      </c>
      <c r="F976" s="35">
        <v>1</v>
      </c>
      <c r="G976" s="40">
        <v>0</v>
      </c>
      <c r="H976" s="40">
        <v>0</v>
      </c>
      <c r="I976" s="40">
        <v>0</v>
      </c>
      <c r="J976" s="40">
        <v>0</v>
      </c>
      <c r="K976" s="40">
        <v>0</v>
      </c>
      <c r="L976" s="40">
        <v>0</v>
      </c>
      <c r="M976" s="40">
        <f t="shared" si="31"/>
        <v>0</v>
      </c>
      <c r="N976" s="40">
        <f t="shared" si="32"/>
        <v>0</v>
      </c>
    </row>
    <row r="977" spans="1:14" x14ac:dyDescent="0.35">
      <c r="A977" s="33">
        <v>974</v>
      </c>
      <c r="B977" s="34" t="s">
        <v>1332</v>
      </c>
      <c r="C977" s="33" t="s">
        <v>297</v>
      </c>
      <c r="D977" s="33" t="s">
        <v>22</v>
      </c>
      <c r="E977" s="33" t="s">
        <v>561</v>
      </c>
      <c r="F977" s="35">
        <v>1</v>
      </c>
      <c r="G977" s="40">
        <v>0</v>
      </c>
      <c r="H977" s="40">
        <v>0</v>
      </c>
      <c r="I977" s="40">
        <v>0</v>
      </c>
      <c r="J977" s="40">
        <v>0</v>
      </c>
      <c r="K977" s="40">
        <v>0</v>
      </c>
      <c r="L977" s="40">
        <v>0</v>
      </c>
      <c r="M977" s="40">
        <f t="shared" si="31"/>
        <v>0</v>
      </c>
      <c r="N977" s="40">
        <f t="shared" si="32"/>
        <v>0</v>
      </c>
    </row>
    <row r="978" spans="1:14" x14ac:dyDescent="0.35">
      <c r="A978" s="33">
        <v>975</v>
      </c>
      <c r="B978" s="34" t="s">
        <v>1333</v>
      </c>
      <c r="C978" s="33" t="s">
        <v>297</v>
      </c>
      <c r="D978" s="33" t="s">
        <v>22</v>
      </c>
      <c r="E978" s="33" t="s">
        <v>561</v>
      </c>
      <c r="F978" s="35">
        <v>1</v>
      </c>
      <c r="G978" s="40">
        <v>0</v>
      </c>
      <c r="H978" s="40">
        <v>0</v>
      </c>
      <c r="I978" s="40">
        <v>0</v>
      </c>
      <c r="J978" s="40">
        <v>0</v>
      </c>
      <c r="K978" s="40">
        <v>0</v>
      </c>
      <c r="L978" s="40">
        <v>0</v>
      </c>
      <c r="M978" s="40">
        <f t="shared" si="31"/>
        <v>0</v>
      </c>
      <c r="N978" s="40">
        <f t="shared" si="32"/>
        <v>0</v>
      </c>
    </row>
    <row r="979" spans="1:14" x14ac:dyDescent="0.35">
      <c r="A979" s="33">
        <v>976</v>
      </c>
      <c r="B979" s="34" t="s">
        <v>1334</v>
      </c>
      <c r="C979" s="33" t="s">
        <v>297</v>
      </c>
      <c r="D979" s="33" t="s">
        <v>22</v>
      </c>
      <c r="E979" s="33" t="s">
        <v>561</v>
      </c>
      <c r="F979" s="35">
        <v>1</v>
      </c>
      <c r="G979" s="40">
        <v>0</v>
      </c>
      <c r="H979" s="40">
        <v>0</v>
      </c>
      <c r="I979" s="40">
        <v>0</v>
      </c>
      <c r="J979" s="40">
        <v>0</v>
      </c>
      <c r="K979" s="40">
        <v>0</v>
      </c>
      <c r="L979" s="40">
        <v>0</v>
      </c>
      <c r="M979" s="40">
        <f t="shared" si="31"/>
        <v>0</v>
      </c>
      <c r="N979" s="40">
        <f t="shared" si="32"/>
        <v>0</v>
      </c>
    </row>
    <row r="980" spans="1:14" x14ac:dyDescent="0.35">
      <c r="A980" s="33">
        <v>977</v>
      </c>
      <c r="B980" s="34" t="s">
        <v>1335</v>
      </c>
      <c r="C980" s="33" t="s">
        <v>297</v>
      </c>
      <c r="D980" s="33" t="s">
        <v>22</v>
      </c>
      <c r="E980" s="33" t="s">
        <v>561</v>
      </c>
      <c r="F980" s="35">
        <v>1</v>
      </c>
      <c r="G980" s="40">
        <v>0</v>
      </c>
      <c r="H980" s="40">
        <v>0</v>
      </c>
      <c r="I980" s="40">
        <v>0</v>
      </c>
      <c r="J980" s="40">
        <v>0</v>
      </c>
      <c r="K980" s="40">
        <v>0</v>
      </c>
      <c r="L980" s="40">
        <v>0</v>
      </c>
      <c r="M980" s="40">
        <f t="shared" si="31"/>
        <v>0</v>
      </c>
      <c r="N980" s="40">
        <f t="shared" si="32"/>
        <v>0</v>
      </c>
    </row>
    <row r="981" spans="1:14" x14ac:dyDescent="0.35">
      <c r="A981" s="33">
        <v>978</v>
      </c>
      <c r="B981" s="34" t="s">
        <v>1336</v>
      </c>
      <c r="C981" s="33" t="s">
        <v>297</v>
      </c>
      <c r="D981" s="33" t="s">
        <v>22</v>
      </c>
      <c r="E981" s="33" t="s">
        <v>561</v>
      </c>
      <c r="F981" s="35">
        <v>1</v>
      </c>
      <c r="G981" s="40">
        <v>0</v>
      </c>
      <c r="H981" s="40">
        <v>0</v>
      </c>
      <c r="I981" s="40">
        <v>0</v>
      </c>
      <c r="J981" s="40">
        <v>0</v>
      </c>
      <c r="K981" s="40">
        <v>0</v>
      </c>
      <c r="L981" s="40">
        <v>0</v>
      </c>
      <c r="M981" s="40">
        <f t="shared" si="31"/>
        <v>0</v>
      </c>
      <c r="N981" s="40">
        <f t="shared" si="32"/>
        <v>0</v>
      </c>
    </row>
    <row r="982" spans="1:14" x14ac:dyDescent="0.35">
      <c r="A982" s="33">
        <v>979</v>
      </c>
      <c r="B982" s="34" t="s">
        <v>1337</v>
      </c>
      <c r="C982" s="33" t="s">
        <v>297</v>
      </c>
      <c r="D982" s="33" t="s">
        <v>22</v>
      </c>
      <c r="E982" s="33" t="s">
        <v>561</v>
      </c>
      <c r="F982" s="35">
        <v>1</v>
      </c>
      <c r="G982" s="40">
        <v>0</v>
      </c>
      <c r="H982" s="40">
        <v>0</v>
      </c>
      <c r="I982" s="40">
        <v>0</v>
      </c>
      <c r="J982" s="40">
        <v>0</v>
      </c>
      <c r="K982" s="40">
        <v>0</v>
      </c>
      <c r="L982" s="40">
        <v>0</v>
      </c>
      <c r="M982" s="40">
        <f t="shared" si="31"/>
        <v>0</v>
      </c>
      <c r="N982" s="40">
        <f t="shared" si="32"/>
        <v>0</v>
      </c>
    </row>
    <row r="983" spans="1:14" x14ac:dyDescent="0.35">
      <c r="A983" s="33">
        <v>980</v>
      </c>
      <c r="B983" s="34" t="s">
        <v>1338</v>
      </c>
      <c r="C983" s="33" t="s">
        <v>297</v>
      </c>
      <c r="D983" s="33" t="s">
        <v>22</v>
      </c>
      <c r="E983" s="33" t="s">
        <v>561</v>
      </c>
      <c r="F983" s="35">
        <v>1</v>
      </c>
      <c r="G983" s="40">
        <v>0</v>
      </c>
      <c r="H983" s="40">
        <v>0</v>
      </c>
      <c r="I983" s="40">
        <v>0</v>
      </c>
      <c r="J983" s="40">
        <v>0</v>
      </c>
      <c r="K983" s="40">
        <v>0</v>
      </c>
      <c r="L983" s="40">
        <v>0</v>
      </c>
      <c r="M983" s="40">
        <f t="shared" si="31"/>
        <v>0</v>
      </c>
      <c r="N983" s="40">
        <f t="shared" si="32"/>
        <v>0</v>
      </c>
    </row>
    <row r="984" spans="1:14" x14ac:dyDescent="0.35">
      <c r="A984" s="33">
        <v>981</v>
      </c>
      <c r="B984" s="34" t="s">
        <v>1339</v>
      </c>
      <c r="C984" s="33" t="s">
        <v>297</v>
      </c>
      <c r="D984" s="33" t="s">
        <v>22</v>
      </c>
      <c r="E984" s="33" t="s">
        <v>561</v>
      </c>
      <c r="F984" s="35">
        <v>1</v>
      </c>
      <c r="G984" s="40">
        <v>0</v>
      </c>
      <c r="H984" s="40">
        <v>0</v>
      </c>
      <c r="I984" s="40">
        <v>0</v>
      </c>
      <c r="J984" s="40">
        <v>0</v>
      </c>
      <c r="K984" s="40">
        <v>0</v>
      </c>
      <c r="L984" s="40">
        <v>0</v>
      </c>
      <c r="M984" s="40">
        <f t="shared" si="31"/>
        <v>0</v>
      </c>
      <c r="N984" s="40">
        <f t="shared" si="32"/>
        <v>0</v>
      </c>
    </row>
    <row r="985" spans="1:14" x14ac:dyDescent="0.35">
      <c r="A985" s="33">
        <v>982</v>
      </c>
      <c r="B985" s="34" t="s">
        <v>1340</v>
      </c>
      <c r="C985" s="33" t="s">
        <v>297</v>
      </c>
      <c r="D985" s="33" t="s">
        <v>22</v>
      </c>
      <c r="E985" s="33" t="s">
        <v>561</v>
      </c>
      <c r="F985" s="35">
        <v>1</v>
      </c>
      <c r="G985" s="40">
        <v>0</v>
      </c>
      <c r="H985" s="40">
        <v>0</v>
      </c>
      <c r="I985" s="40">
        <v>0</v>
      </c>
      <c r="J985" s="40">
        <v>0</v>
      </c>
      <c r="K985" s="40">
        <v>0</v>
      </c>
      <c r="L985" s="40">
        <v>0</v>
      </c>
      <c r="M985" s="40">
        <f t="shared" si="31"/>
        <v>0</v>
      </c>
      <c r="N985" s="40">
        <f t="shared" si="32"/>
        <v>0</v>
      </c>
    </row>
    <row r="986" spans="1:14" x14ac:dyDescent="0.35">
      <c r="A986" s="33">
        <v>983</v>
      </c>
      <c r="B986" s="34" t="s">
        <v>1341</v>
      </c>
      <c r="C986" s="33" t="s">
        <v>297</v>
      </c>
      <c r="D986" s="33" t="s">
        <v>22</v>
      </c>
      <c r="E986" s="33" t="s">
        <v>561</v>
      </c>
      <c r="F986" s="35">
        <v>1</v>
      </c>
      <c r="G986" s="40">
        <v>0</v>
      </c>
      <c r="H986" s="40">
        <v>0</v>
      </c>
      <c r="I986" s="40">
        <v>0</v>
      </c>
      <c r="J986" s="40">
        <v>0</v>
      </c>
      <c r="K986" s="40">
        <v>0</v>
      </c>
      <c r="L986" s="40">
        <v>0</v>
      </c>
      <c r="M986" s="40">
        <f t="shared" si="31"/>
        <v>0</v>
      </c>
      <c r="N986" s="40">
        <f t="shared" si="32"/>
        <v>0</v>
      </c>
    </row>
    <row r="987" spans="1:14" x14ac:dyDescent="0.35">
      <c r="A987" s="33">
        <v>984</v>
      </c>
      <c r="B987" s="34" t="s">
        <v>1342</v>
      </c>
      <c r="C987" s="33" t="s">
        <v>297</v>
      </c>
      <c r="D987" s="33" t="s">
        <v>22</v>
      </c>
      <c r="E987" s="33" t="s">
        <v>561</v>
      </c>
      <c r="F987" s="35">
        <v>1</v>
      </c>
      <c r="G987" s="40">
        <v>0</v>
      </c>
      <c r="H987" s="40">
        <v>0</v>
      </c>
      <c r="I987" s="40">
        <v>0</v>
      </c>
      <c r="J987" s="40">
        <v>0</v>
      </c>
      <c r="K987" s="40">
        <v>0</v>
      </c>
      <c r="L987" s="40">
        <v>0</v>
      </c>
      <c r="M987" s="40">
        <f t="shared" si="31"/>
        <v>0</v>
      </c>
      <c r="N987" s="40">
        <f t="shared" si="32"/>
        <v>0</v>
      </c>
    </row>
    <row r="988" spans="1:14" x14ac:dyDescent="0.35">
      <c r="A988" s="33">
        <v>985</v>
      </c>
      <c r="B988" s="34" t="s">
        <v>1343</v>
      </c>
      <c r="C988" s="33" t="s">
        <v>297</v>
      </c>
      <c r="D988" s="33" t="s">
        <v>22</v>
      </c>
      <c r="E988" s="33" t="s">
        <v>1344</v>
      </c>
      <c r="F988" s="35">
        <v>1</v>
      </c>
      <c r="G988" s="40">
        <v>0</v>
      </c>
      <c r="H988" s="40">
        <v>0</v>
      </c>
      <c r="I988" s="40">
        <v>0</v>
      </c>
      <c r="J988" s="40">
        <v>0</v>
      </c>
      <c r="K988" s="40">
        <v>0</v>
      </c>
      <c r="L988" s="40">
        <v>0</v>
      </c>
      <c r="M988" s="40">
        <f t="shared" si="31"/>
        <v>0</v>
      </c>
      <c r="N988" s="40">
        <f t="shared" si="32"/>
        <v>0</v>
      </c>
    </row>
    <row r="989" spans="1:14" x14ac:dyDescent="0.35">
      <c r="A989" s="33">
        <v>986</v>
      </c>
      <c r="B989" s="34" t="s">
        <v>1345</v>
      </c>
      <c r="C989" s="33" t="s">
        <v>297</v>
      </c>
      <c r="D989" s="33" t="s">
        <v>22</v>
      </c>
      <c r="E989" s="33" t="s">
        <v>1344</v>
      </c>
      <c r="F989" s="35">
        <v>1</v>
      </c>
      <c r="G989" s="40">
        <v>0</v>
      </c>
      <c r="H989" s="40">
        <v>0</v>
      </c>
      <c r="I989" s="40">
        <v>0</v>
      </c>
      <c r="J989" s="40">
        <v>0</v>
      </c>
      <c r="K989" s="40">
        <v>0</v>
      </c>
      <c r="L989" s="40">
        <v>0</v>
      </c>
      <c r="M989" s="40">
        <f t="shared" si="31"/>
        <v>0</v>
      </c>
      <c r="N989" s="40">
        <f t="shared" si="32"/>
        <v>0</v>
      </c>
    </row>
    <row r="990" spans="1:14" x14ac:dyDescent="0.35">
      <c r="A990" s="33">
        <v>987</v>
      </c>
      <c r="B990" s="34" t="s">
        <v>1346</v>
      </c>
      <c r="C990" s="33" t="s">
        <v>297</v>
      </c>
      <c r="D990" s="33" t="s">
        <v>22</v>
      </c>
      <c r="E990" s="33" t="s">
        <v>1344</v>
      </c>
      <c r="F990" s="35">
        <v>1</v>
      </c>
      <c r="G990" s="40">
        <v>0</v>
      </c>
      <c r="H990" s="40">
        <v>0</v>
      </c>
      <c r="I990" s="40">
        <v>0</v>
      </c>
      <c r="J990" s="40">
        <v>0</v>
      </c>
      <c r="K990" s="40">
        <v>0</v>
      </c>
      <c r="L990" s="40">
        <v>0</v>
      </c>
      <c r="M990" s="40">
        <f t="shared" si="31"/>
        <v>0</v>
      </c>
      <c r="N990" s="40">
        <f t="shared" si="32"/>
        <v>0</v>
      </c>
    </row>
    <row r="991" spans="1:14" x14ac:dyDescent="0.35">
      <c r="A991" s="33">
        <v>988</v>
      </c>
      <c r="B991" s="34" t="s">
        <v>1347</v>
      </c>
      <c r="C991" s="33" t="s">
        <v>297</v>
      </c>
      <c r="D991" s="33" t="s">
        <v>22</v>
      </c>
      <c r="E991" s="33" t="s">
        <v>1344</v>
      </c>
      <c r="F991" s="35">
        <v>1</v>
      </c>
      <c r="G991" s="40">
        <v>0</v>
      </c>
      <c r="H991" s="40">
        <v>0</v>
      </c>
      <c r="I991" s="40">
        <v>0</v>
      </c>
      <c r="J991" s="40">
        <v>0</v>
      </c>
      <c r="K991" s="40">
        <v>0</v>
      </c>
      <c r="L991" s="40">
        <v>0</v>
      </c>
      <c r="M991" s="40">
        <f t="shared" si="31"/>
        <v>0</v>
      </c>
      <c r="N991" s="40">
        <f t="shared" si="32"/>
        <v>0</v>
      </c>
    </row>
    <row r="992" spans="1:14" x14ac:dyDescent="0.35">
      <c r="A992" s="33">
        <v>989</v>
      </c>
      <c r="B992" s="34" t="s">
        <v>1348</v>
      </c>
      <c r="C992" s="33" t="s">
        <v>297</v>
      </c>
      <c r="D992" s="33" t="s">
        <v>22</v>
      </c>
      <c r="E992" s="33" t="s">
        <v>1344</v>
      </c>
      <c r="F992" s="35">
        <v>1</v>
      </c>
      <c r="G992" s="40">
        <v>0</v>
      </c>
      <c r="H992" s="40">
        <v>0</v>
      </c>
      <c r="I992" s="40">
        <v>0</v>
      </c>
      <c r="J992" s="40">
        <v>0</v>
      </c>
      <c r="K992" s="40">
        <v>0</v>
      </c>
      <c r="L992" s="40">
        <v>0</v>
      </c>
      <c r="M992" s="40">
        <f t="shared" si="31"/>
        <v>0</v>
      </c>
      <c r="N992" s="40">
        <f t="shared" si="32"/>
        <v>0</v>
      </c>
    </row>
    <row r="993" spans="1:14" x14ac:dyDescent="0.35">
      <c r="A993" s="33">
        <v>990</v>
      </c>
      <c r="B993" s="34" t="s">
        <v>1349</v>
      </c>
      <c r="C993" s="33" t="s">
        <v>297</v>
      </c>
      <c r="D993" s="33" t="s">
        <v>22</v>
      </c>
      <c r="E993" s="33" t="s">
        <v>1350</v>
      </c>
      <c r="F993" s="35">
        <v>1</v>
      </c>
      <c r="G993" s="40">
        <v>0</v>
      </c>
      <c r="H993" s="40">
        <v>0</v>
      </c>
      <c r="I993" s="40">
        <v>0</v>
      </c>
      <c r="J993" s="40">
        <v>0</v>
      </c>
      <c r="K993" s="40">
        <v>0</v>
      </c>
      <c r="L993" s="40">
        <v>0</v>
      </c>
      <c r="M993" s="40">
        <f t="shared" si="31"/>
        <v>0</v>
      </c>
      <c r="N993" s="40">
        <f t="shared" si="32"/>
        <v>0</v>
      </c>
    </row>
    <row r="994" spans="1:14" x14ac:dyDescent="0.35">
      <c r="A994" s="33">
        <v>991</v>
      </c>
      <c r="B994" s="34" t="s">
        <v>1351</v>
      </c>
      <c r="C994" s="33" t="s">
        <v>297</v>
      </c>
      <c r="D994" s="33" t="s">
        <v>22</v>
      </c>
      <c r="E994" s="33" t="s">
        <v>1350</v>
      </c>
      <c r="F994" s="35">
        <v>1</v>
      </c>
      <c r="G994" s="40">
        <v>0</v>
      </c>
      <c r="H994" s="40">
        <v>0</v>
      </c>
      <c r="I994" s="40">
        <v>0</v>
      </c>
      <c r="J994" s="40">
        <v>0</v>
      </c>
      <c r="K994" s="40">
        <v>0</v>
      </c>
      <c r="L994" s="40">
        <v>0</v>
      </c>
      <c r="M994" s="40">
        <f t="shared" si="31"/>
        <v>0</v>
      </c>
      <c r="N994" s="40">
        <f t="shared" si="32"/>
        <v>0</v>
      </c>
    </row>
    <row r="995" spans="1:14" x14ac:dyDescent="0.35">
      <c r="A995" s="33">
        <v>992</v>
      </c>
      <c r="B995" s="34" t="s">
        <v>1352</v>
      </c>
      <c r="C995" s="33" t="s">
        <v>297</v>
      </c>
      <c r="D995" s="33" t="s">
        <v>22</v>
      </c>
      <c r="E995" s="33" t="s">
        <v>1350</v>
      </c>
      <c r="F995" s="35">
        <v>1</v>
      </c>
      <c r="G995" s="40">
        <v>0</v>
      </c>
      <c r="H995" s="40">
        <v>0</v>
      </c>
      <c r="I995" s="40">
        <v>0</v>
      </c>
      <c r="J995" s="40">
        <v>0</v>
      </c>
      <c r="K995" s="40">
        <v>0</v>
      </c>
      <c r="L995" s="40">
        <v>0</v>
      </c>
      <c r="M995" s="40">
        <f t="shared" si="31"/>
        <v>0</v>
      </c>
      <c r="N995" s="40">
        <f t="shared" si="32"/>
        <v>0</v>
      </c>
    </row>
    <row r="996" spans="1:14" x14ac:dyDescent="0.35">
      <c r="A996" s="33">
        <v>993</v>
      </c>
      <c r="B996" s="34" t="s">
        <v>1353</v>
      </c>
      <c r="C996" s="33" t="s">
        <v>297</v>
      </c>
      <c r="D996" s="33" t="s">
        <v>22</v>
      </c>
      <c r="E996" s="33" t="s">
        <v>1350</v>
      </c>
      <c r="F996" s="35">
        <v>1</v>
      </c>
      <c r="G996" s="40">
        <v>0</v>
      </c>
      <c r="H996" s="40">
        <v>30</v>
      </c>
      <c r="I996" s="40">
        <v>0</v>
      </c>
      <c r="J996" s="40">
        <v>0</v>
      </c>
      <c r="K996" s="40">
        <v>0</v>
      </c>
      <c r="L996" s="40">
        <v>0</v>
      </c>
      <c r="M996" s="40">
        <f t="shared" si="31"/>
        <v>0</v>
      </c>
      <c r="N996" s="40">
        <f t="shared" si="32"/>
        <v>30</v>
      </c>
    </row>
    <row r="997" spans="1:14" x14ac:dyDescent="0.35">
      <c r="A997" s="33">
        <v>994</v>
      </c>
      <c r="B997" s="34" t="s">
        <v>1354</v>
      </c>
      <c r="C997" s="33" t="s">
        <v>297</v>
      </c>
      <c r="D997" s="33" t="s">
        <v>22</v>
      </c>
      <c r="E997" s="33" t="s">
        <v>1350</v>
      </c>
      <c r="F997" s="35">
        <v>1</v>
      </c>
      <c r="G997" s="40">
        <v>0</v>
      </c>
      <c r="H997" s="40">
        <v>0</v>
      </c>
      <c r="I997" s="40">
        <v>0</v>
      </c>
      <c r="J997" s="40">
        <v>0</v>
      </c>
      <c r="K997" s="40">
        <v>0</v>
      </c>
      <c r="L997" s="40">
        <v>0</v>
      </c>
      <c r="M997" s="40">
        <f t="shared" si="31"/>
        <v>0</v>
      </c>
      <c r="N997" s="40">
        <f t="shared" si="32"/>
        <v>0</v>
      </c>
    </row>
    <row r="998" spans="1:14" x14ac:dyDescent="0.35">
      <c r="A998" s="33">
        <v>995</v>
      </c>
      <c r="B998" s="34" t="s">
        <v>1355</v>
      </c>
      <c r="C998" s="33" t="s">
        <v>297</v>
      </c>
      <c r="D998" s="33" t="s">
        <v>22</v>
      </c>
      <c r="E998" s="33" t="s">
        <v>1350</v>
      </c>
      <c r="F998" s="35">
        <v>1</v>
      </c>
      <c r="G998" s="40">
        <v>0</v>
      </c>
      <c r="H998" s="40">
        <v>400</v>
      </c>
      <c r="I998" s="40">
        <v>0</v>
      </c>
      <c r="J998" s="40">
        <v>50</v>
      </c>
      <c r="K998" s="40">
        <v>0</v>
      </c>
      <c r="L998" s="40">
        <v>0</v>
      </c>
      <c r="M998" s="40">
        <f t="shared" si="31"/>
        <v>0</v>
      </c>
      <c r="N998" s="40">
        <f t="shared" si="32"/>
        <v>450</v>
      </c>
    </row>
    <row r="999" spans="1:14" x14ac:dyDescent="0.35">
      <c r="A999" s="33">
        <v>996</v>
      </c>
      <c r="B999" s="34" t="s">
        <v>1356</v>
      </c>
      <c r="C999" s="33" t="s">
        <v>297</v>
      </c>
      <c r="D999" s="33" t="s">
        <v>22</v>
      </c>
      <c r="E999" s="33" t="s">
        <v>2321</v>
      </c>
      <c r="F999" s="35">
        <v>1</v>
      </c>
      <c r="G999" s="40">
        <v>0</v>
      </c>
      <c r="H999" s="40">
        <v>0</v>
      </c>
      <c r="I999" s="40">
        <v>0</v>
      </c>
      <c r="J999" s="40">
        <v>0</v>
      </c>
      <c r="K999" s="40">
        <v>0</v>
      </c>
      <c r="L999" s="40">
        <v>0</v>
      </c>
      <c r="M999" s="40">
        <f t="shared" si="31"/>
        <v>0</v>
      </c>
      <c r="N999" s="40">
        <f t="shared" si="32"/>
        <v>0</v>
      </c>
    </row>
    <row r="1000" spans="1:14" x14ac:dyDescent="0.35">
      <c r="A1000" s="33">
        <v>997</v>
      </c>
      <c r="B1000" s="34" t="s">
        <v>1357</v>
      </c>
      <c r="C1000" s="33" t="s">
        <v>297</v>
      </c>
      <c r="D1000" s="33" t="s">
        <v>22</v>
      </c>
      <c r="E1000" s="33" t="s">
        <v>2322</v>
      </c>
      <c r="F1000" s="35">
        <v>1</v>
      </c>
      <c r="G1000" s="40">
        <v>0</v>
      </c>
      <c r="H1000" s="40">
        <v>0</v>
      </c>
      <c r="I1000" s="40">
        <v>0</v>
      </c>
      <c r="J1000" s="40">
        <v>0</v>
      </c>
      <c r="K1000" s="40">
        <v>0</v>
      </c>
      <c r="L1000" s="40">
        <v>0</v>
      </c>
      <c r="M1000" s="40">
        <f t="shared" si="31"/>
        <v>0</v>
      </c>
      <c r="N1000" s="40">
        <f t="shared" si="32"/>
        <v>0</v>
      </c>
    </row>
    <row r="1001" spans="1:14" x14ac:dyDescent="0.35">
      <c r="A1001" s="33">
        <v>998</v>
      </c>
      <c r="B1001" s="34" t="s">
        <v>1358</v>
      </c>
      <c r="C1001" s="33" t="s">
        <v>297</v>
      </c>
      <c r="D1001" s="33" t="s">
        <v>22</v>
      </c>
      <c r="E1001" s="33" t="s">
        <v>1359</v>
      </c>
      <c r="F1001" s="35">
        <v>1</v>
      </c>
      <c r="G1001" s="40">
        <v>0</v>
      </c>
      <c r="H1001" s="40">
        <v>0</v>
      </c>
      <c r="I1001" s="40">
        <v>0</v>
      </c>
      <c r="J1001" s="40">
        <v>0</v>
      </c>
      <c r="K1001" s="40">
        <v>0</v>
      </c>
      <c r="L1001" s="40">
        <v>0</v>
      </c>
      <c r="M1001" s="40">
        <f t="shared" si="31"/>
        <v>0</v>
      </c>
      <c r="N1001" s="40">
        <f t="shared" si="32"/>
        <v>0</v>
      </c>
    </row>
    <row r="1002" spans="1:14" x14ac:dyDescent="0.35">
      <c r="A1002" s="33">
        <v>999</v>
      </c>
      <c r="B1002" s="34" t="s">
        <v>1360</v>
      </c>
      <c r="C1002" s="33" t="s">
        <v>297</v>
      </c>
      <c r="D1002" s="33" t="s">
        <v>22</v>
      </c>
      <c r="E1002" s="33" t="s">
        <v>1359</v>
      </c>
      <c r="F1002" s="35">
        <v>1</v>
      </c>
      <c r="G1002" s="40">
        <v>0</v>
      </c>
      <c r="H1002" s="40">
        <v>0</v>
      </c>
      <c r="I1002" s="40">
        <v>0</v>
      </c>
      <c r="J1002" s="40">
        <v>0</v>
      </c>
      <c r="K1002" s="40">
        <v>0</v>
      </c>
      <c r="L1002" s="40">
        <v>0</v>
      </c>
      <c r="M1002" s="40">
        <f t="shared" si="31"/>
        <v>0</v>
      </c>
      <c r="N1002" s="40">
        <f t="shared" si="32"/>
        <v>0</v>
      </c>
    </row>
    <row r="1003" spans="1:14" x14ac:dyDescent="0.35">
      <c r="A1003" s="33">
        <v>1000</v>
      </c>
      <c r="B1003" s="34" t="s">
        <v>1361</v>
      </c>
      <c r="C1003" s="33" t="s">
        <v>297</v>
      </c>
      <c r="D1003" s="33" t="s">
        <v>22</v>
      </c>
      <c r="E1003" s="33" t="s">
        <v>1359</v>
      </c>
      <c r="F1003" s="35">
        <v>1</v>
      </c>
      <c r="G1003" s="40">
        <v>0</v>
      </c>
      <c r="H1003" s="40">
        <v>0</v>
      </c>
      <c r="I1003" s="40">
        <v>0</v>
      </c>
      <c r="J1003" s="40">
        <v>0</v>
      </c>
      <c r="K1003" s="40">
        <v>0</v>
      </c>
      <c r="L1003" s="40">
        <v>0</v>
      </c>
      <c r="M1003" s="40">
        <f t="shared" si="31"/>
        <v>0</v>
      </c>
      <c r="N1003" s="40">
        <f t="shared" si="32"/>
        <v>0</v>
      </c>
    </row>
    <row r="1004" spans="1:14" x14ac:dyDescent="0.35">
      <c r="A1004" s="33">
        <v>1001</v>
      </c>
      <c r="B1004" s="34" t="s">
        <v>1362</v>
      </c>
      <c r="C1004" s="33" t="s">
        <v>297</v>
      </c>
      <c r="D1004" s="33" t="s">
        <v>22</v>
      </c>
      <c r="E1004" s="33" t="s">
        <v>1359</v>
      </c>
      <c r="F1004" s="35">
        <v>1</v>
      </c>
      <c r="G1004" s="40">
        <v>0</v>
      </c>
      <c r="H1004" s="40">
        <v>0</v>
      </c>
      <c r="I1004" s="40">
        <v>0</v>
      </c>
      <c r="J1004" s="40">
        <v>0</v>
      </c>
      <c r="K1004" s="40">
        <v>0</v>
      </c>
      <c r="L1004" s="40">
        <v>0</v>
      </c>
      <c r="M1004" s="40">
        <f t="shared" si="31"/>
        <v>0</v>
      </c>
      <c r="N1004" s="40">
        <f t="shared" si="32"/>
        <v>0</v>
      </c>
    </row>
    <row r="1005" spans="1:14" x14ac:dyDescent="0.35">
      <c r="A1005" s="33">
        <v>1002</v>
      </c>
      <c r="B1005" s="34" t="s">
        <v>1363</v>
      </c>
      <c r="C1005" s="33" t="s">
        <v>297</v>
      </c>
      <c r="D1005" s="33" t="s">
        <v>22</v>
      </c>
      <c r="E1005" s="33" t="s">
        <v>1359</v>
      </c>
      <c r="F1005" s="35">
        <v>1</v>
      </c>
      <c r="G1005" s="40">
        <v>0</v>
      </c>
      <c r="H1005" s="40">
        <v>0</v>
      </c>
      <c r="I1005" s="40">
        <v>0</v>
      </c>
      <c r="J1005" s="40">
        <v>0</v>
      </c>
      <c r="K1005" s="40">
        <v>0</v>
      </c>
      <c r="L1005" s="40">
        <v>0</v>
      </c>
      <c r="M1005" s="40">
        <f t="shared" si="31"/>
        <v>0</v>
      </c>
      <c r="N1005" s="40">
        <f t="shared" si="32"/>
        <v>0</v>
      </c>
    </row>
    <row r="1006" spans="1:14" x14ac:dyDescent="0.35">
      <c r="A1006" s="33">
        <v>1003</v>
      </c>
      <c r="B1006" s="34" t="s">
        <v>1364</v>
      </c>
      <c r="C1006" s="33" t="s">
        <v>297</v>
      </c>
      <c r="D1006" s="33" t="s">
        <v>22</v>
      </c>
      <c r="E1006" s="33" t="s">
        <v>1359</v>
      </c>
      <c r="F1006" s="35">
        <v>1</v>
      </c>
      <c r="G1006" s="40">
        <v>0</v>
      </c>
      <c r="H1006" s="40">
        <v>0</v>
      </c>
      <c r="I1006" s="40">
        <v>0</v>
      </c>
      <c r="J1006" s="40">
        <v>0</v>
      </c>
      <c r="K1006" s="40">
        <v>0</v>
      </c>
      <c r="L1006" s="40">
        <v>0</v>
      </c>
      <c r="M1006" s="40">
        <f t="shared" si="31"/>
        <v>0</v>
      </c>
      <c r="N1006" s="40">
        <f t="shared" si="32"/>
        <v>0</v>
      </c>
    </row>
    <row r="1007" spans="1:14" x14ac:dyDescent="0.35">
      <c r="A1007" s="33">
        <v>1004</v>
      </c>
      <c r="B1007" s="34" t="s">
        <v>1365</v>
      </c>
      <c r="C1007" s="33" t="s">
        <v>297</v>
      </c>
      <c r="D1007" s="33" t="s">
        <v>22</v>
      </c>
      <c r="E1007" s="33" t="s">
        <v>1359</v>
      </c>
      <c r="F1007" s="35">
        <v>1</v>
      </c>
      <c r="G1007" s="40">
        <v>0</v>
      </c>
      <c r="H1007" s="40">
        <v>0</v>
      </c>
      <c r="I1007" s="40">
        <v>0</v>
      </c>
      <c r="J1007" s="40">
        <v>0</v>
      </c>
      <c r="K1007" s="40">
        <v>0</v>
      </c>
      <c r="L1007" s="40">
        <v>0</v>
      </c>
      <c r="M1007" s="40">
        <f t="shared" si="31"/>
        <v>0</v>
      </c>
      <c r="N1007" s="40">
        <f t="shared" si="32"/>
        <v>0</v>
      </c>
    </row>
    <row r="1008" spans="1:14" x14ac:dyDescent="0.35">
      <c r="A1008" s="33">
        <v>1005</v>
      </c>
      <c r="B1008" s="34" t="s">
        <v>1366</v>
      </c>
      <c r="C1008" s="33" t="s">
        <v>297</v>
      </c>
      <c r="D1008" s="33" t="s">
        <v>22</v>
      </c>
      <c r="E1008" s="33" t="s">
        <v>1359</v>
      </c>
      <c r="F1008" s="35">
        <v>1</v>
      </c>
      <c r="G1008" s="40">
        <v>0</v>
      </c>
      <c r="H1008" s="40">
        <v>0</v>
      </c>
      <c r="I1008" s="40">
        <v>0</v>
      </c>
      <c r="J1008" s="40">
        <v>0</v>
      </c>
      <c r="K1008" s="40">
        <v>0</v>
      </c>
      <c r="L1008" s="40">
        <v>0</v>
      </c>
      <c r="M1008" s="40">
        <f t="shared" si="31"/>
        <v>0</v>
      </c>
      <c r="N1008" s="40">
        <f t="shared" si="32"/>
        <v>0</v>
      </c>
    </row>
    <row r="1009" spans="1:14" x14ac:dyDescent="0.35">
      <c r="A1009" s="33">
        <v>1006</v>
      </c>
      <c r="B1009" s="34" t="s">
        <v>1367</v>
      </c>
      <c r="C1009" s="33" t="s">
        <v>297</v>
      </c>
      <c r="D1009" s="33" t="s">
        <v>22</v>
      </c>
      <c r="E1009" s="33" t="s">
        <v>1359</v>
      </c>
      <c r="F1009" s="35">
        <v>1</v>
      </c>
      <c r="G1009" s="40">
        <v>0</v>
      </c>
      <c r="H1009" s="40">
        <v>185</v>
      </c>
      <c r="I1009" s="40">
        <v>0</v>
      </c>
      <c r="J1009" s="40">
        <v>0</v>
      </c>
      <c r="K1009" s="40">
        <v>0</v>
      </c>
      <c r="L1009" s="40">
        <v>0</v>
      </c>
      <c r="M1009" s="40">
        <f t="shared" si="31"/>
        <v>0</v>
      </c>
      <c r="N1009" s="40">
        <f t="shared" si="32"/>
        <v>185</v>
      </c>
    </row>
    <row r="1010" spans="1:14" x14ac:dyDescent="0.35">
      <c r="A1010" s="33">
        <v>1007</v>
      </c>
      <c r="B1010" s="34" t="s">
        <v>1368</v>
      </c>
      <c r="C1010" s="33" t="s">
        <v>297</v>
      </c>
      <c r="D1010" s="33" t="s">
        <v>22</v>
      </c>
      <c r="E1010" s="33" t="s">
        <v>1359</v>
      </c>
      <c r="F1010" s="35">
        <v>1</v>
      </c>
      <c r="G1010" s="40">
        <v>0</v>
      </c>
      <c r="H1010" s="40">
        <v>0</v>
      </c>
      <c r="I1010" s="40">
        <v>0</v>
      </c>
      <c r="J1010" s="40">
        <v>0</v>
      </c>
      <c r="K1010" s="40">
        <v>0</v>
      </c>
      <c r="L1010" s="40">
        <v>0</v>
      </c>
      <c r="M1010" s="40">
        <f t="shared" si="31"/>
        <v>0</v>
      </c>
      <c r="N1010" s="40">
        <f t="shared" si="32"/>
        <v>0</v>
      </c>
    </row>
    <row r="1011" spans="1:14" x14ac:dyDescent="0.35">
      <c r="A1011" s="33">
        <v>1008</v>
      </c>
      <c r="B1011" s="34" t="s">
        <v>1369</v>
      </c>
      <c r="C1011" s="33" t="s">
        <v>297</v>
      </c>
      <c r="D1011" s="33" t="s">
        <v>22</v>
      </c>
      <c r="E1011" s="33" t="s">
        <v>1359</v>
      </c>
      <c r="F1011" s="35">
        <v>1</v>
      </c>
      <c r="G1011" s="40">
        <v>0</v>
      </c>
      <c r="H1011" s="40">
        <v>0</v>
      </c>
      <c r="I1011" s="40">
        <v>0</v>
      </c>
      <c r="J1011" s="40">
        <v>0</v>
      </c>
      <c r="K1011" s="40">
        <v>0</v>
      </c>
      <c r="L1011" s="40">
        <v>0</v>
      </c>
      <c r="M1011" s="40">
        <f t="shared" si="31"/>
        <v>0</v>
      </c>
      <c r="N1011" s="40">
        <f t="shared" si="32"/>
        <v>0</v>
      </c>
    </row>
    <row r="1012" spans="1:14" x14ac:dyDescent="0.35">
      <c r="A1012" s="33">
        <v>1009</v>
      </c>
      <c r="B1012" s="34" t="s">
        <v>1370</v>
      </c>
      <c r="C1012" s="33" t="s">
        <v>297</v>
      </c>
      <c r="D1012" s="33" t="s">
        <v>22</v>
      </c>
      <c r="E1012" s="33" t="s">
        <v>1359</v>
      </c>
      <c r="F1012" s="35">
        <v>1</v>
      </c>
      <c r="G1012" s="40">
        <v>0</v>
      </c>
      <c r="H1012" s="40">
        <v>0</v>
      </c>
      <c r="I1012" s="40">
        <v>0</v>
      </c>
      <c r="J1012" s="40">
        <v>0</v>
      </c>
      <c r="K1012" s="40">
        <v>0</v>
      </c>
      <c r="L1012" s="40">
        <v>0</v>
      </c>
      <c r="M1012" s="40">
        <f t="shared" si="31"/>
        <v>0</v>
      </c>
      <c r="N1012" s="40">
        <f t="shared" si="32"/>
        <v>0</v>
      </c>
    </row>
    <row r="1013" spans="1:14" x14ac:dyDescent="0.35">
      <c r="A1013" s="33">
        <v>1010</v>
      </c>
      <c r="B1013" s="34" t="s">
        <v>1371</v>
      </c>
      <c r="C1013" s="33" t="s">
        <v>297</v>
      </c>
      <c r="D1013" s="33" t="s">
        <v>22</v>
      </c>
      <c r="E1013" s="33" t="s">
        <v>1359</v>
      </c>
      <c r="F1013" s="35">
        <v>1</v>
      </c>
      <c r="G1013" s="40">
        <v>0</v>
      </c>
      <c r="H1013" s="40">
        <v>0</v>
      </c>
      <c r="I1013" s="40">
        <v>0</v>
      </c>
      <c r="J1013" s="40">
        <v>0</v>
      </c>
      <c r="K1013" s="40">
        <v>0</v>
      </c>
      <c r="L1013" s="40">
        <v>0</v>
      </c>
      <c r="M1013" s="40">
        <f t="shared" si="31"/>
        <v>0</v>
      </c>
      <c r="N1013" s="40">
        <f t="shared" si="32"/>
        <v>0</v>
      </c>
    </row>
    <row r="1014" spans="1:14" x14ac:dyDescent="0.35">
      <c r="A1014" s="33">
        <v>1011</v>
      </c>
      <c r="B1014" s="34" t="s">
        <v>1372</v>
      </c>
      <c r="C1014" s="33" t="s">
        <v>297</v>
      </c>
      <c r="D1014" s="33" t="s">
        <v>22</v>
      </c>
      <c r="E1014" s="33" t="s">
        <v>1359</v>
      </c>
      <c r="F1014" s="35">
        <v>1</v>
      </c>
      <c r="G1014" s="40">
        <v>0</v>
      </c>
      <c r="H1014" s="40">
        <v>0</v>
      </c>
      <c r="I1014" s="40">
        <v>0</v>
      </c>
      <c r="J1014" s="40">
        <v>0</v>
      </c>
      <c r="K1014" s="40">
        <v>0</v>
      </c>
      <c r="L1014" s="40">
        <v>0</v>
      </c>
      <c r="M1014" s="40">
        <f t="shared" si="31"/>
        <v>0</v>
      </c>
      <c r="N1014" s="40">
        <f t="shared" si="32"/>
        <v>0</v>
      </c>
    </row>
    <row r="1015" spans="1:14" x14ac:dyDescent="0.35">
      <c r="A1015" s="33">
        <v>1012</v>
      </c>
      <c r="B1015" s="34" t="s">
        <v>1373</v>
      </c>
      <c r="C1015" s="33" t="s">
        <v>297</v>
      </c>
      <c r="D1015" s="33" t="s">
        <v>22</v>
      </c>
      <c r="E1015" s="33" t="s">
        <v>1359</v>
      </c>
      <c r="F1015" s="35">
        <v>1</v>
      </c>
      <c r="G1015" s="40">
        <v>0</v>
      </c>
      <c r="H1015" s="40">
        <v>25</v>
      </c>
      <c r="I1015" s="40">
        <v>0</v>
      </c>
      <c r="J1015" s="40">
        <v>0</v>
      </c>
      <c r="K1015" s="40">
        <v>0</v>
      </c>
      <c r="L1015" s="40">
        <v>0</v>
      </c>
      <c r="M1015" s="40">
        <f t="shared" si="31"/>
        <v>0</v>
      </c>
      <c r="N1015" s="40">
        <f t="shared" si="32"/>
        <v>25</v>
      </c>
    </row>
    <row r="1016" spans="1:14" x14ac:dyDescent="0.35">
      <c r="A1016" s="33">
        <v>1013</v>
      </c>
      <c r="B1016" s="34" t="s">
        <v>1374</v>
      </c>
      <c r="C1016" s="33" t="s">
        <v>297</v>
      </c>
      <c r="D1016" s="33" t="s">
        <v>22</v>
      </c>
      <c r="E1016" s="33" t="s">
        <v>1359</v>
      </c>
      <c r="F1016" s="35">
        <v>1</v>
      </c>
      <c r="G1016" s="40">
        <v>0</v>
      </c>
      <c r="H1016" s="40">
        <v>0</v>
      </c>
      <c r="I1016" s="40">
        <v>0</v>
      </c>
      <c r="J1016" s="40">
        <v>0</v>
      </c>
      <c r="K1016" s="40">
        <v>0</v>
      </c>
      <c r="L1016" s="40">
        <v>0</v>
      </c>
      <c r="M1016" s="40">
        <f t="shared" si="31"/>
        <v>0</v>
      </c>
      <c r="N1016" s="40">
        <f t="shared" si="32"/>
        <v>0</v>
      </c>
    </row>
    <row r="1017" spans="1:14" x14ac:dyDescent="0.35">
      <c r="A1017" s="33">
        <v>1014</v>
      </c>
      <c r="B1017" s="34" t="s">
        <v>1375</v>
      </c>
      <c r="C1017" s="33" t="s">
        <v>297</v>
      </c>
      <c r="D1017" s="33" t="s">
        <v>22</v>
      </c>
      <c r="E1017" s="33" t="s">
        <v>1359</v>
      </c>
      <c r="F1017" s="35">
        <v>1</v>
      </c>
      <c r="G1017" s="40">
        <v>0</v>
      </c>
      <c r="H1017" s="40">
        <v>0</v>
      </c>
      <c r="I1017" s="40">
        <v>0</v>
      </c>
      <c r="J1017" s="40">
        <v>0</v>
      </c>
      <c r="K1017" s="40">
        <v>0</v>
      </c>
      <c r="L1017" s="40">
        <v>0</v>
      </c>
      <c r="M1017" s="40">
        <f t="shared" si="31"/>
        <v>0</v>
      </c>
      <c r="N1017" s="40">
        <f t="shared" si="32"/>
        <v>0</v>
      </c>
    </row>
    <row r="1018" spans="1:14" x14ac:dyDescent="0.35">
      <c r="A1018" s="33">
        <v>1015</v>
      </c>
      <c r="B1018" s="34" t="s">
        <v>1376</v>
      </c>
      <c r="C1018" s="33" t="s">
        <v>297</v>
      </c>
      <c r="D1018" s="33" t="s">
        <v>22</v>
      </c>
      <c r="E1018" s="33" t="s">
        <v>1359</v>
      </c>
      <c r="F1018" s="35">
        <v>1</v>
      </c>
      <c r="G1018" s="40">
        <v>0</v>
      </c>
      <c r="H1018" s="40">
        <v>0</v>
      </c>
      <c r="I1018" s="40">
        <v>0</v>
      </c>
      <c r="J1018" s="40">
        <v>0</v>
      </c>
      <c r="K1018" s="40">
        <v>0</v>
      </c>
      <c r="L1018" s="40">
        <v>0</v>
      </c>
      <c r="M1018" s="40">
        <f t="shared" si="31"/>
        <v>0</v>
      </c>
      <c r="N1018" s="40">
        <f t="shared" si="32"/>
        <v>0</v>
      </c>
    </row>
    <row r="1019" spans="1:14" x14ac:dyDescent="0.35">
      <c r="A1019" s="33">
        <v>1016</v>
      </c>
      <c r="B1019" s="34" t="s">
        <v>1377</v>
      </c>
      <c r="C1019" s="33" t="s">
        <v>297</v>
      </c>
      <c r="D1019" s="33" t="s">
        <v>22</v>
      </c>
      <c r="E1019" s="33" t="s">
        <v>1359</v>
      </c>
      <c r="F1019" s="35">
        <v>1</v>
      </c>
      <c r="G1019" s="40">
        <v>0</v>
      </c>
      <c r="H1019" s="40">
        <v>0</v>
      </c>
      <c r="I1019" s="40">
        <v>0</v>
      </c>
      <c r="J1019" s="40">
        <v>0</v>
      </c>
      <c r="K1019" s="40">
        <v>0</v>
      </c>
      <c r="L1019" s="40">
        <v>0</v>
      </c>
      <c r="M1019" s="40">
        <f t="shared" si="31"/>
        <v>0</v>
      </c>
      <c r="N1019" s="40">
        <f t="shared" si="32"/>
        <v>0</v>
      </c>
    </row>
    <row r="1020" spans="1:14" x14ac:dyDescent="0.35">
      <c r="A1020" s="33">
        <v>1017</v>
      </c>
      <c r="B1020" s="34" t="s">
        <v>1378</v>
      </c>
      <c r="C1020" s="33" t="s">
        <v>297</v>
      </c>
      <c r="D1020" s="33" t="s">
        <v>22</v>
      </c>
      <c r="E1020" s="33" t="s">
        <v>1359</v>
      </c>
      <c r="F1020" s="35">
        <v>1</v>
      </c>
      <c r="G1020" s="40">
        <v>0</v>
      </c>
      <c r="H1020" s="40">
        <v>0</v>
      </c>
      <c r="I1020" s="40">
        <v>0</v>
      </c>
      <c r="J1020" s="40">
        <v>0</v>
      </c>
      <c r="K1020" s="40">
        <v>0</v>
      </c>
      <c r="L1020" s="40">
        <v>0</v>
      </c>
      <c r="M1020" s="40">
        <f t="shared" si="31"/>
        <v>0</v>
      </c>
      <c r="N1020" s="40">
        <f t="shared" si="32"/>
        <v>0</v>
      </c>
    </row>
    <row r="1021" spans="1:14" x14ac:dyDescent="0.35">
      <c r="A1021" s="33">
        <v>1018</v>
      </c>
      <c r="B1021" s="34" t="s">
        <v>1379</v>
      </c>
      <c r="C1021" s="33" t="s">
        <v>297</v>
      </c>
      <c r="D1021" s="33" t="s">
        <v>22</v>
      </c>
      <c r="E1021" s="33" t="s">
        <v>1359</v>
      </c>
      <c r="F1021" s="35">
        <v>1</v>
      </c>
      <c r="G1021" s="40">
        <v>0</v>
      </c>
      <c r="H1021" s="40">
        <v>0</v>
      </c>
      <c r="I1021" s="40">
        <v>0</v>
      </c>
      <c r="J1021" s="40">
        <v>0</v>
      </c>
      <c r="K1021" s="40">
        <v>0</v>
      </c>
      <c r="L1021" s="40">
        <v>0</v>
      </c>
      <c r="M1021" s="40">
        <f t="shared" si="31"/>
        <v>0</v>
      </c>
      <c r="N1021" s="40">
        <f t="shared" si="32"/>
        <v>0</v>
      </c>
    </row>
    <row r="1022" spans="1:14" x14ac:dyDescent="0.35">
      <c r="A1022" s="33">
        <v>1019</v>
      </c>
      <c r="B1022" s="34" t="s">
        <v>1380</v>
      </c>
      <c r="C1022" s="33" t="s">
        <v>297</v>
      </c>
      <c r="D1022" s="33" t="s">
        <v>22</v>
      </c>
      <c r="E1022" s="33" t="s">
        <v>1359</v>
      </c>
      <c r="F1022" s="35">
        <v>1</v>
      </c>
      <c r="G1022" s="40">
        <v>0</v>
      </c>
      <c r="H1022" s="40">
        <v>50</v>
      </c>
      <c r="I1022" s="40">
        <v>0</v>
      </c>
      <c r="J1022" s="40">
        <v>0</v>
      </c>
      <c r="K1022" s="40">
        <v>0</v>
      </c>
      <c r="L1022" s="40">
        <v>0</v>
      </c>
      <c r="M1022" s="40">
        <f t="shared" si="31"/>
        <v>0</v>
      </c>
      <c r="N1022" s="40">
        <f t="shared" si="32"/>
        <v>50</v>
      </c>
    </row>
    <row r="1023" spans="1:14" x14ac:dyDescent="0.35">
      <c r="A1023" s="33">
        <v>1020</v>
      </c>
      <c r="B1023" s="34" t="s">
        <v>1381</v>
      </c>
      <c r="C1023" s="33" t="s">
        <v>297</v>
      </c>
      <c r="D1023" s="33" t="s">
        <v>22</v>
      </c>
      <c r="E1023" s="33" t="s">
        <v>1359</v>
      </c>
      <c r="F1023" s="35">
        <v>1</v>
      </c>
      <c r="G1023" s="40">
        <v>0</v>
      </c>
      <c r="H1023" s="40">
        <v>0</v>
      </c>
      <c r="I1023" s="40">
        <v>0</v>
      </c>
      <c r="J1023" s="40">
        <v>0</v>
      </c>
      <c r="K1023" s="40">
        <v>0</v>
      </c>
      <c r="L1023" s="40">
        <v>0</v>
      </c>
      <c r="M1023" s="40">
        <f t="shared" si="31"/>
        <v>0</v>
      </c>
      <c r="N1023" s="40">
        <f t="shared" si="32"/>
        <v>0</v>
      </c>
    </row>
    <row r="1024" spans="1:14" x14ac:dyDescent="0.35">
      <c r="A1024" s="33">
        <v>1021</v>
      </c>
      <c r="B1024" s="34" t="s">
        <v>1382</v>
      </c>
      <c r="C1024" s="33" t="s">
        <v>297</v>
      </c>
      <c r="D1024" s="33" t="s">
        <v>22</v>
      </c>
      <c r="E1024" s="33" t="s">
        <v>1359</v>
      </c>
      <c r="F1024" s="35">
        <v>1</v>
      </c>
      <c r="G1024" s="40">
        <v>0</v>
      </c>
      <c r="H1024" s="40">
        <v>0</v>
      </c>
      <c r="I1024" s="40">
        <v>0</v>
      </c>
      <c r="J1024" s="40">
        <v>0</v>
      </c>
      <c r="K1024" s="40">
        <v>0</v>
      </c>
      <c r="L1024" s="40">
        <v>0</v>
      </c>
      <c r="M1024" s="40">
        <f t="shared" si="31"/>
        <v>0</v>
      </c>
      <c r="N1024" s="40">
        <f t="shared" si="32"/>
        <v>0</v>
      </c>
    </row>
    <row r="1025" spans="1:14" x14ac:dyDescent="0.35">
      <c r="A1025" s="33">
        <v>1022</v>
      </c>
      <c r="B1025" s="34" t="s">
        <v>1383</v>
      </c>
      <c r="C1025" s="33" t="s">
        <v>297</v>
      </c>
      <c r="D1025" s="33" t="s">
        <v>22</v>
      </c>
      <c r="E1025" s="33" t="s">
        <v>1359</v>
      </c>
      <c r="F1025" s="35">
        <v>1</v>
      </c>
      <c r="G1025" s="40">
        <v>0</v>
      </c>
      <c r="H1025" s="40">
        <v>0</v>
      </c>
      <c r="I1025" s="40">
        <v>0</v>
      </c>
      <c r="J1025" s="40">
        <v>0</v>
      </c>
      <c r="K1025" s="40">
        <v>0</v>
      </c>
      <c r="L1025" s="40">
        <v>0</v>
      </c>
      <c r="M1025" s="40">
        <f t="shared" si="31"/>
        <v>0</v>
      </c>
      <c r="N1025" s="40">
        <f t="shared" si="32"/>
        <v>0</v>
      </c>
    </row>
    <row r="1026" spans="1:14" x14ac:dyDescent="0.35">
      <c r="A1026" s="33">
        <v>1023</v>
      </c>
      <c r="B1026" s="34" t="s">
        <v>1384</v>
      </c>
      <c r="C1026" s="33" t="s">
        <v>297</v>
      </c>
      <c r="D1026" s="33" t="s">
        <v>22</v>
      </c>
      <c r="E1026" s="33" t="s">
        <v>1359</v>
      </c>
      <c r="F1026" s="35">
        <v>1</v>
      </c>
      <c r="G1026" s="40">
        <v>0</v>
      </c>
      <c r="H1026" s="40">
        <v>0</v>
      </c>
      <c r="I1026" s="40">
        <v>0</v>
      </c>
      <c r="J1026" s="40">
        <v>0</v>
      </c>
      <c r="K1026" s="40">
        <v>0</v>
      </c>
      <c r="L1026" s="40">
        <v>0</v>
      </c>
      <c r="M1026" s="40">
        <f t="shared" si="31"/>
        <v>0</v>
      </c>
      <c r="N1026" s="40">
        <f t="shared" si="32"/>
        <v>0</v>
      </c>
    </row>
    <row r="1027" spans="1:14" x14ac:dyDescent="0.35">
      <c r="A1027" s="33">
        <v>1024</v>
      </c>
      <c r="B1027" s="34" t="s">
        <v>1385</v>
      </c>
      <c r="C1027" s="33" t="s">
        <v>297</v>
      </c>
      <c r="D1027" s="33" t="s">
        <v>22</v>
      </c>
      <c r="E1027" s="33" t="s">
        <v>1359</v>
      </c>
      <c r="F1027" s="35">
        <v>1</v>
      </c>
      <c r="G1027" s="40">
        <v>0</v>
      </c>
      <c r="H1027" s="40">
        <v>0</v>
      </c>
      <c r="I1027" s="40">
        <v>0</v>
      </c>
      <c r="J1027" s="40">
        <v>0</v>
      </c>
      <c r="K1027" s="40">
        <v>0</v>
      </c>
      <c r="L1027" s="40">
        <v>0</v>
      </c>
      <c r="M1027" s="40">
        <f t="shared" si="31"/>
        <v>0</v>
      </c>
      <c r="N1027" s="40">
        <f t="shared" si="32"/>
        <v>0</v>
      </c>
    </row>
    <row r="1028" spans="1:14" x14ac:dyDescent="0.35">
      <c r="A1028" s="33">
        <v>1025</v>
      </c>
      <c r="B1028" s="34" t="s">
        <v>1386</v>
      </c>
      <c r="C1028" s="33" t="s">
        <v>297</v>
      </c>
      <c r="D1028" s="33" t="s">
        <v>22</v>
      </c>
      <c r="E1028" s="33" t="s">
        <v>1359</v>
      </c>
      <c r="F1028" s="35">
        <v>1</v>
      </c>
      <c r="G1028" s="40">
        <v>0</v>
      </c>
      <c r="H1028" s="40">
        <v>0</v>
      </c>
      <c r="I1028" s="40">
        <v>0</v>
      </c>
      <c r="J1028" s="40">
        <v>0</v>
      </c>
      <c r="K1028" s="40">
        <v>0</v>
      </c>
      <c r="L1028" s="40">
        <v>0</v>
      </c>
      <c r="M1028" s="40">
        <f t="shared" si="31"/>
        <v>0</v>
      </c>
      <c r="N1028" s="40">
        <f t="shared" si="32"/>
        <v>0</v>
      </c>
    </row>
    <row r="1029" spans="1:14" x14ac:dyDescent="0.35">
      <c r="A1029" s="33">
        <v>1026</v>
      </c>
      <c r="B1029" s="34" t="s">
        <v>1387</v>
      </c>
      <c r="C1029" s="33" t="s">
        <v>297</v>
      </c>
      <c r="D1029" s="33" t="s">
        <v>22</v>
      </c>
      <c r="E1029" s="33" t="s">
        <v>1359</v>
      </c>
      <c r="F1029" s="35">
        <v>1</v>
      </c>
      <c r="G1029" s="40">
        <v>0</v>
      </c>
      <c r="H1029" s="40">
        <v>0</v>
      </c>
      <c r="I1029" s="40">
        <v>0</v>
      </c>
      <c r="J1029" s="40">
        <v>0</v>
      </c>
      <c r="K1029" s="40">
        <v>0</v>
      </c>
      <c r="L1029" s="40">
        <v>0</v>
      </c>
      <c r="M1029" s="40">
        <f t="shared" ref="M1029:M1092" si="33">G1029+I1029+K1029</f>
        <v>0</v>
      </c>
      <c r="N1029" s="40">
        <f t="shared" ref="N1029:N1092" si="34">H1029+J1029+L1029</f>
        <v>0</v>
      </c>
    </row>
    <row r="1030" spans="1:14" x14ac:dyDescent="0.35">
      <c r="A1030" s="33">
        <v>1027</v>
      </c>
      <c r="B1030" s="34" t="s">
        <v>1388</v>
      </c>
      <c r="C1030" s="33" t="s">
        <v>297</v>
      </c>
      <c r="D1030" s="33" t="s">
        <v>22</v>
      </c>
      <c r="E1030" s="33" t="s">
        <v>1359</v>
      </c>
      <c r="F1030" s="35">
        <v>1</v>
      </c>
      <c r="G1030" s="40">
        <v>0</v>
      </c>
      <c r="H1030" s="40">
        <v>0</v>
      </c>
      <c r="I1030" s="40">
        <v>0</v>
      </c>
      <c r="J1030" s="40">
        <v>0</v>
      </c>
      <c r="K1030" s="40">
        <v>0</v>
      </c>
      <c r="L1030" s="40">
        <v>0</v>
      </c>
      <c r="M1030" s="40">
        <f t="shared" si="33"/>
        <v>0</v>
      </c>
      <c r="N1030" s="40">
        <f t="shared" si="34"/>
        <v>0</v>
      </c>
    </row>
    <row r="1031" spans="1:14" x14ac:dyDescent="0.35">
      <c r="A1031" s="33">
        <v>1028</v>
      </c>
      <c r="B1031" s="34" t="s">
        <v>1389</v>
      </c>
      <c r="C1031" s="33" t="s">
        <v>297</v>
      </c>
      <c r="D1031" s="33" t="s">
        <v>22</v>
      </c>
      <c r="E1031" s="33" t="s">
        <v>1359</v>
      </c>
      <c r="F1031" s="35">
        <v>1</v>
      </c>
      <c r="G1031" s="40">
        <v>0</v>
      </c>
      <c r="H1031" s="40">
        <v>300</v>
      </c>
      <c r="I1031" s="40">
        <v>0</v>
      </c>
      <c r="J1031" s="40">
        <v>100</v>
      </c>
      <c r="K1031" s="40">
        <v>0</v>
      </c>
      <c r="L1031" s="40">
        <v>0</v>
      </c>
      <c r="M1031" s="40">
        <f t="shared" si="33"/>
        <v>0</v>
      </c>
      <c r="N1031" s="40">
        <f t="shared" si="34"/>
        <v>400</v>
      </c>
    </row>
    <row r="1032" spans="1:14" x14ac:dyDescent="0.35">
      <c r="A1032" s="33">
        <v>1029</v>
      </c>
      <c r="B1032" s="34" t="s">
        <v>1390</v>
      </c>
      <c r="C1032" s="33" t="s">
        <v>297</v>
      </c>
      <c r="D1032" s="33" t="s">
        <v>22</v>
      </c>
      <c r="E1032" s="33" t="s">
        <v>1359</v>
      </c>
      <c r="F1032" s="35">
        <v>1</v>
      </c>
      <c r="G1032" s="40">
        <v>0</v>
      </c>
      <c r="H1032" s="40">
        <v>0</v>
      </c>
      <c r="I1032" s="40">
        <v>0</v>
      </c>
      <c r="J1032" s="40">
        <v>0</v>
      </c>
      <c r="K1032" s="40">
        <v>0</v>
      </c>
      <c r="L1032" s="40">
        <v>0</v>
      </c>
      <c r="M1032" s="40">
        <f t="shared" si="33"/>
        <v>0</v>
      </c>
      <c r="N1032" s="40">
        <f t="shared" si="34"/>
        <v>0</v>
      </c>
    </row>
    <row r="1033" spans="1:14" x14ac:dyDescent="0.35">
      <c r="A1033" s="33">
        <v>1030</v>
      </c>
      <c r="B1033" s="34" t="s">
        <v>1391</v>
      </c>
      <c r="C1033" s="33" t="s">
        <v>297</v>
      </c>
      <c r="D1033" s="33" t="s">
        <v>22</v>
      </c>
      <c r="E1033" s="33" t="s">
        <v>1359</v>
      </c>
      <c r="F1033" s="35">
        <v>1</v>
      </c>
      <c r="G1033" s="40">
        <v>0</v>
      </c>
      <c r="H1033" s="40">
        <v>0</v>
      </c>
      <c r="I1033" s="40">
        <v>0</v>
      </c>
      <c r="J1033" s="40">
        <v>0</v>
      </c>
      <c r="K1033" s="40">
        <v>0</v>
      </c>
      <c r="L1033" s="40">
        <v>0</v>
      </c>
      <c r="M1033" s="40">
        <f t="shared" si="33"/>
        <v>0</v>
      </c>
      <c r="N1033" s="40">
        <f t="shared" si="34"/>
        <v>0</v>
      </c>
    </row>
    <row r="1034" spans="1:14" x14ac:dyDescent="0.35">
      <c r="A1034" s="33">
        <v>1031</v>
      </c>
      <c r="B1034" s="34" t="s">
        <v>1392</v>
      </c>
      <c r="C1034" s="33" t="s">
        <v>297</v>
      </c>
      <c r="D1034" s="33" t="s">
        <v>22</v>
      </c>
      <c r="E1034" s="33" t="s">
        <v>1359</v>
      </c>
      <c r="F1034" s="35">
        <v>1</v>
      </c>
      <c r="G1034" s="40">
        <v>0</v>
      </c>
      <c r="H1034" s="40">
        <v>0</v>
      </c>
      <c r="I1034" s="40">
        <v>0</v>
      </c>
      <c r="J1034" s="40">
        <v>0</v>
      </c>
      <c r="K1034" s="40">
        <v>0</v>
      </c>
      <c r="L1034" s="40">
        <v>0</v>
      </c>
      <c r="M1034" s="40">
        <f t="shared" si="33"/>
        <v>0</v>
      </c>
      <c r="N1034" s="40">
        <f t="shared" si="34"/>
        <v>0</v>
      </c>
    </row>
    <row r="1035" spans="1:14" x14ac:dyDescent="0.35">
      <c r="A1035" s="33">
        <v>1032</v>
      </c>
      <c r="B1035" s="34" t="s">
        <v>1393</v>
      </c>
      <c r="C1035" s="33" t="s">
        <v>297</v>
      </c>
      <c r="D1035" s="33" t="s">
        <v>22</v>
      </c>
      <c r="E1035" s="33" t="s">
        <v>1359</v>
      </c>
      <c r="F1035" s="35">
        <v>1</v>
      </c>
      <c r="G1035" s="40">
        <v>0</v>
      </c>
      <c r="H1035" s="40">
        <v>0</v>
      </c>
      <c r="I1035" s="40">
        <v>0</v>
      </c>
      <c r="J1035" s="40">
        <v>0</v>
      </c>
      <c r="K1035" s="40">
        <v>0</v>
      </c>
      <c r="L1035" s="40">
        <v>0</v>
      </c>
      <c r="M1035" s="40">
        <f t="shared" si="33"/>
        <v>0</v>
      </c>
      <c r="N1035" s="40">
        <f t="shared" si="34"/>
        <v>0</v>
      </c>
    </row>
    <row r="1036" spans="1:14" x14ac:dyDescent="0.35">
      <c r="A1036" s="33">
        <v>1033</v>
      </c>
      <c r="B1036" s="34" t="s">
        <v>1394</v>
      </c>
      <c r="C1036" s="33" t="s">
        <v>297</v>
      </c>
      <c r="D1036" s="33" t="s">
        <v>22</v>
      </c>
      <c r="E1036" s="33" t="s">
        <v>1359</v>
      </c>
      <c r="F1036" s="35">
        <v>1</v>
      </c>
      <c r="G1036" s="40">
        <v>0</v>
      </c>
      <c r="H1036" s="40">
        <v>0</v>
      </c>
      <c r="I1036" s="40">
        <v>0</v>
      </c>
      <c r="J1036" s="40">
        <v>0</v>
      </c>
      <c r="K1036" s="40">
        <v>0</v>
      </c>
      <c r="L1036" s="40">
        <v>0</v>
      </c>
      <c r="M1036" s="40">
        <f t="shared" si="33"/>
        <v>0</v>
      </c>
      <c r="N1036" s="40">
        <f t="shared" si="34"/>
        <v>0</v>
      </c>
    </row>
    <row r="1037" spans="1:14" x14ac:dyDescent="0.35">
      <c r="A1037" s="33">
        <v>1034</v>
      </c>
      <c r="B1037" s="34" t="s">
        <v>1395</v>
      </c>
      <c r="C1037" s="33" t="s">
        <v>297</v>
      </c>
      <c r="D1037" s="33" t="s">
        <v>22</v>
      </c>
      <c r="E1037" s="33" t="s">
        <v>1359</v>
      </c>
      <c r="F1037" s="35">
        <v>1</v>
      </c>
      <c r="G1037" s="40">
        <v>0</v>
      </c>
      <c r="H1037" s="40">
        <v>0</v>
      </c>
      <c r="I1037" s="40">
        <v>0</v>
      </c>
      <c r="J1037" s="40">
        <v>0</v>
      </c>
      <c r="K1037" s="40">
        <v>0</v>
      </c>
      <c r="L1037" s="40">
        <v>0</v>
      </c>
      <c r="M1037" s="40">
        <f t="shared" si="33"/>
        <v>0</v>
      </c>
      <c r="N1037" s="40">
        <f t="shared" si="34"/>
        <v>0</v>
      </c>
    </row>
    <row r="1038" spans="1:14" x14ac:dyDescent="0.35">
      <c r="A1038" s="33">
        <v>1035</v>
      </c>
      <c r="B1038" s="34" t="s">
        <v>1396</v>
      </c>
      <c r="C1038" s="33" t="s">
        <v>297</v>
      </c>
      <c r="D1038" s="33" t="s">
        <v>22</v>
      </c>
      <c r="E1038" s="33" t="s">
        <v>1359</v>
      </c>
      <c r="F1038" s="35">
        <v>1</v>
      </c>
      <c r="G1038" s="40">
        <v>0</v>
      </c>
      <c r="H1038" s="40">
        <v>0</v>
      </c>
      <c r="I1038" s="40">
        <v>0</v>
      </c>
      <c r="J1038" s="40">
        <v>0</v>
      </c>
      <c r="K1038" s="40">
        <v>0</v>
      </c>
      <c r="L1038" s="40">
        <v>0</v>
      </c>
      <c r="M1038" s="40">
        <f t="shared" si="33"/>
        <v>0</v>
      </c>
      <c r="N1038" s="40">
        <f t="shared" si="34"/>
        <v>0</v>
      </c>
    </row>
    <row r="1039" spans="1:14" x14ac:dyDescent="0.35">
      <c r="A1039" s="33">
        <v>1036</v>
      </c>
      <c r="B1039" s="34" t="s">
        <v>1397</v>
      </c>
      <c r="C1039" s="33" t="s">
        <v>297</v>
      </c>
      <c r="D1039" s="33" t="s">
        <v>22</v>
      </c>
      <c r="E1039" s="33" t="s">
        <v>1359</v>
      </c>
      <c r="F1039" s="35">
        <v>1</v>
      </c>
      <c r="G1039" s="40">
        <v>0</v>
      </c>
      <c r="H1039" s="40">
        <v>0</v>
      </c>
      <c r="I1039" s="40">
        <v>0</v>
      </c>
      <c r="J1039" s="40">
        <v>0</v>
      </c>
      <c r="K1039" s="40">
        <v>0</v>
      </c>
      <c r="L1039" s="40">
        <v>0</v>
      </c>
      <c r="M1039" s="40">
        <f t="shared" si="33"/>
        <v>0</v>
      </c>
      <c r="N1039" s="40">
        <f t="shared" si="34"/>
        <v>0</v>
      </c>
    </row>
    <row r="1040" spans="1:14" x14ac:dyDescent="0.35">
      <c r="A1040" s="33">
        <v>1037</v>
      </c>
      <c r="B1040" s="34" t="s">
        <v>1398</v>
      </c>
      <c r="C1040" s="33" t="s">
        <v>297</v>
      </c>
      <c r="D1040" s="33" t="s">
        <v>22</v>
      </c>
      <c r="E1040" s="33" t="s">
        <v>1359</v>
      </c>
      <c r="F1040" s="35">
        <v>1</v>
      </c>
      <c r="G1040" s="40">
        <v>0</v>
      </c>
      <c r="H1040" s="40">
        <v>0</v>
      </c>
      <c r="I1040" s="40">
        <v>0</v>
      </c>
      <c r="J1040" s="40">
        <v>0</v>
      </c>
      <c r="K1040" s="40">
        <v>0</v>
      </c>
      <c r="L1040" s="40">
        <v>0</v>
      </c>
      <c r="M1040" s="40">
        <f t="shared" si="33"/>
        <v>0</v>
      </c>
      <c r="N1040" s="40">
        <f t="shared" si="34"/>
        <v>0</v>
      </c>
    </row>
    <row r="1041" spans="1:14" x14ac:dyDescent="0.35">
      <c r="A1041" s="33">
        <v>1038</v>
      </c>
      <c r="B1041" s="34" t="s">
        <v>1399</v>
      </c>
      <c r="C1041" s="33" t="s">
        <v>297</v>
      </c>
      <c r="D1041" s="33" t="s">
        <v>22</v>
      </c>
      <c r="E1041" s="33" t="s">
        <v>1359</v>
      </c>
      <c r="F1041" s="35">
        <v>1</v>
      </c>
      <c r="G1041" s="40">
        <v>0</v>
      </c>
      <c r="H1041" s="40">
        <v>0</v>
      </c>
      <c r="I1041" s="40">
        <v>0</v>
      </c>
      <c r="J1041" s="40">
        <v>0</v>
      </c>
      <c r="K1041" s="40">
        <v>0</v>
      </c>
      <c r="L1041" s="40">
        <v>0</v>
      </c>
      <c r="M1041" s="40">
        <f t="shared" si="33"/>
        <v>0</v>
      </c>
      <c r="N1041" s="40">
        <f t="shared" si="34"/>
        <v>0</v>
      </c>
    </row>
    <row r="1042" spans="1:14" x14ac:dyDescent="0.35">
      <c r="A1042" s="33">
        <v>1039</v>
      </c>
      <c r="B1042" s="34" t="s">
        <v>1400</v>
      </c>
      <c r="C1042" s="33" t="s">
        <v>297</v>
      </c>
      <c r="D1042" s="33" t="s">
        <v>22</v>
      </c>
      <c r="E1042" s="33" t="s">
        <v>1359</v>
      </c>
      <c r="F1042" s="35">
        <v>1</v>
      </c>
      <c r="G1042" s="40">
        <v>0</v>
      </c>
      <c r="H1042" s="40">
        <v>0</v>
      </c>
      <c r="I1042" s="40">
        <v>0</v>
      </c>
      <c r="J1042" s="40">
        <v>0</v>
      </c>
      <c r="K1042" s="40">
        <v>0</v>
      </c>
      <c r="L1042" s="40">
        <v>0</v>
      </c>
      <c r="M1042" s="40">
        <f t="shared" si="33"/>
        <v>0</v>
      </c>
      <c r="N1042" s="40">
        <f t="shared" si="34"/>
        <v>0</v>
      </c>
    </row>
    <row r="1043" spans="1:14" x14ac:dyDescent="0.35">
      <c r="A1043" s="33">
        <v>1040</v>
      </c>
      <c r="B1043" s="34" t="s">
        <v>1401</v>
      </c>
      <c r="C1043" s="33" t="s">
        <v>297</v>
      </c>
      <c r="D1043" s="33" t="s">
        <v>22</v>
      </c>
      <c r="E1043" s="33" t="s">
        <v>1359</v>
      </c>
      <c r="F1043" s="35">
        <v>1</v>
      </c>
      <c r="G1043" s="40">
        <v>0</v>
      </c>
      <c r="H1043" s="40">
        <v>0</v>
      </c>
      <c r="I1043" s="40">
        <v>0</v>
      </c>
      <c r="J1043" s="40">
        <v>0</v>
      </c>
      <c r="K1043" s="40">
        <v>0</v>
      </c>
      <c r="L1043" s="40">
        <v>0</v>
      </c>
      <c r="M1043" s="40">
        <f t="shared" si="33"/>
        <v>0</v>
      </c>
      <c r="N1043" s="40">
        <f t="shared" si="34"/>
        <v>0</v>
      </c>
    </row>
    <row r="1044" spans="1:14" x14ac:dyDescent="0.35">
      <c r="A1044" s="33">
        <v>1041</v>
      </c>
      <c r="B1044" s="34" t="s">
        <v>1402</v>
      </c>
      <c r="C1044" s="33" t="s">
        <v>297</v>
      </c>
      <c r="D1044" s="33" t="s">
        <v>22</v>
      </c>
      <c r="E1044" s="33" t="s">
        <v>1359</v>
      </c>
      <c r="F1044" s="35">
        <v>1</v>
      </c>
      <c r="G1044" s="40">
        <v>0</v>
      </c>
      <c r="H1044" s="40">
        <v>0</v>
      </c>
      <c r="I1044" s="40">
        <v>0</v>
      </c>
      <c r="J1044" s="40">
        <v>0</v>
      </c>
      <c r="K1044" s="40">
        <v>0</v>
      </c>
      <c r="L1044" s="40">
        <v>0</v>
      </c>
      <c r="M1044" s="40">
        <f t="shared" si="33"/>
        <v>0</v>
      </c>
      <c r="N1044" s="40">
        <f t="shared" si="34"/>
        <v>0</v>
      </c>
    </row>
    <row r="1045" spans="1:14" x14ac:dyDescent="0.35">
      <c r="A1045" s="33">
        <v>1042</v>
      </c>
      <c r="B1045" s="34" t="s">
        <v>1403</v>
      </c>
      <c r="C1045" s="33" t="s">
        <v>297</v>
      </c>
      <c r="D1045" s="33" t="s">
        <v>22</v>
      </c>
      <c r="E1045" s="33" t="s">
        <v>1359</v>
      </c>
      <c r="F1045" s="35">
        <v>1</v>
      </c>
      <c r="G1045" s="40">
        <v>0</v>
      </c>
      <c r="H1045" s="40">
        <v>0</v>
      </c>
      <c r="I1045" s="40">
        <v>0</v>
      </c>
      <c r="J1045" s="40">
        <v>0</v>
      </c>
      <c r="K1045" s="40">
        <v>0</v>
      </c>
      <c r="L1045" s="40">
        <v>0</v>
      </c>
      <c r="M1045" s="40">
        <f t="shared" si="33"/>
        <v>0</v>
      </c>
      <c r="N1045" s="40">
        <f t="shared" si="34"/>
        <v>0</v>
      </c>
    </row>
    <row r="1046" spans="1:14" x14ac:dyDescent="0.35">
      <c r="A1046" s="33">
        <v>1043</v>
      </c>
      <c r="B1046" s="34" t="s">
        <v>1404</v>
      </c>
      <c r="C1046" s="33" t="s">
        <v>297</v>
      </c>
      <c r="D1046" s="33" t="s">
        <v>22</v>
      </c>
      <c r="E1046" s="33" t="s">
        <v>1359</v>
      </c>
      <c r="F1046" s="35">
        <v>1</v>
      </c>
      <c r="G1046" s="40">
        <v>0</v>
      </c>
      <c r="H1046" s="40">
        <v>0</v>
      </c>
      <c r="I1046" s="40">
        <v>0</v>
      </c>
      <c r="J1046" s="40">
        <v>0</v>
      </c>
      <c r="K1046" s="40">
        <v>0</v>
      </c>
      <c r="L1046" s="40">
        <v>0</v>
      </c>
      <c r="M1046" s="40">
        <f t="shared" si="33"/>
        <v>0</v>
      </c>
      <c r="N1046" s="40">
        <f t="shared" si="34"/>
        <v>0</v>
      </c>
    </row>
    <row r="1047" spans="1:14" x14ac:dyDescent="0.35">
      <c r="A1047" s="33">
        <v>1044</v>
      </c>
      <c r="B1047" s="34" t="s">
        <v>1405</v>
      </c>
      <c r="C1047" s="33" t="s">
        <v>297</v>
      </c>
      <c r="D1047" s="33" t="s">
        <v>22</v>
      </c>
      <c r="E1047" s="33" t="s">
        <v>1359</v>
      </c>
      <c r="F1047" s="35">
        <v>0.5</v>
      </c>
      <c r="G1047" s="40">
        <v>0</v>
      </c>
      <c r="H1047" s="40">
        <v>0</v>
      </c>
      <c r="I1047" s="40">
        <v>0</v>
      </c>
      <c r="J1047" s="40">
        <v>0</v>
      </c>
      <c r="K1047" s="40">
        <v>0</v>
      </c>
      <c r="L1047" s="40">
        <v>0</v>
      </c>
      <c r="M1047" s="40">
        <f t="shared" si="33"/>
        <v>0</v>
      </c>
      <c r="N1047" s="40">
        <f t="shared" si="34"/>
        <v>0</v>
      </c>
    </row>
    <row r="1048" spans="1:14" x14ac:dyDescent="0.35">
      <c r="A1048" s="33">
        <v>1045</v>
      </c>
      <c r="B1048" s="34" t="s">
        <v>1406</v>
      </c>
      <c r="C1048" s="33" t="s">
        <v>297</v>
      </c>
      <c r="D1048" s="33" t="s">
        <v>22</v>
      </c>
      <c r="E1048" s="33" t="s">
        <v>1359</v>
      </c>
      <c r="F1048" s="35">
        <v>1</v>
      </c>
      <c r="G1048" s="40">
        <v>0</v>
      </c>
      <c r="H1048" s="40">
        <v>0</v>
      </c>
      <c r="I1048" s="40">
        <v>0</v>
      </c>
      <c r="J1048" s="40">
        <v>0</v>
      </c>
      <c r="K1048" s="40">
        <v>0</v>
      </c>
      <c r="L1048" s="40">
        <v>0</v>
      </c>
      <c r="M1048" s="40">
        <f t="shared" si="33"/>
        <v>0</v>
      </c>
      <c r="N1048" s="40">
        <f t="shared" si="34"/>
        <v>0</v>
      </c>
    </row>
    <row r="1049" spans="1:14" x14ac:dyDescent="0.35">
      <c r="A1049" s="33">
        <v>1046</v>
      </c>
      <c r="B1049" s="34" t="s">
        <v>1407</v>
      </c>
      <c r="C1049" s="33" t="s">
        <v>297</v>
      </c>
      <c r="D1049" s="33" t="s">
        <v>22</v>
      </c>
      <c r="E1049" s="33" t="s">
        <v>1359</v>
      </c>
      <c r="F1049" s="35">
        <v>1</v>
      </c>
      <c r="G1049" s="40">
        <v>0</v>
      </c>
      <c r="H1049" s="40">
        <v>0</v>
      </c>
      <c r="I1049" s="40">
        <v>0</v>
      </c>
      <c r="J1049" s="40">
        <v>0</v>
      </c>
      <c r="K1049" s="40">
        <v>0</v>
      </c>
      <c r="L1049" s="40">
        <v>0</v>
      </c>
      <c r="M1049" s="40">
        <f t="shared" si="33"/>
        <v>0</v>
      </c>
      <c r="N1049" s="40">
        <f t="shared" si="34"/>
        <v>0</v>
      </c>
    </row>
    <row r="1050" spans="1:14" x14ac:dyDescent="0.35">
      <c r="A1050" s="33">
        <v>1047</v>
      </c>
      <c r="B1050" s="34" t="s">
        <v>1408</v>
      </c>
      <c r="C1050" s="33" t="s">
        <v>297</v>
      </c>
      <c r="D1050" s="33" t="s">
        <v>22</v>
      </c>
      <c r="E1050" s="33" t="s">
        <v>1359</v>
      </c>
      <c r="F1050" s="35">
        <v>1</v>
      </c>
      <c r="G1050" s="40">
        <v>0</v>
      </c>
      <c r="H1050" s="40">
        <v>0</v>
      </c>
      <c r="I1050" s="40">
        <v>0</v>
      </c>
      <c r="J1050" s="40">
        <v>0</v>
      </c>
      <c r="K1050" s="40">
        <v>0</v>
      </c>
      <c r="L1050" s="40">
        <v>0</v>
      </c>
      <c r="M1050" s="40">
        <f t="shared" si="33"/>
        <v>0</v>
      </c>
      <c r="N1050" s="40">
        <f t="shared" si="34"/>
        <v>0</v>
      </c>
    </row>
    <row r="1051" spans="1:14" x14ac:dyDescent="0.35">
      <c r="A1051" s="33">
        <v>1048</v>
      </c>
      <c r="B1051" s="34" t="s">
        <v>1409</v>
      </c>
      <c r="C1051" s="33" t="s">
        <v>297</v>
      </c>
      <c r="D1051" s="33" t="s">
        <v>22</v>
      </c>
      <c r="E1051" s="33" t="s">
        <v>1359</v>
      </c>
      <c r="F1051" s="35">
        <v>1</v>
      </c>
      <c r="G1051" s="40">
        <v>0</v>
      </c>
      <c r="H1051" s="40">
        <v>0</v>
      </c>
      <c r="I1051" s="40">
        <v>0</v>
      </c>
      <c r="J1051" s="40">
        <v>0</v>
      </c>
      <c r="K1051" s="40">
        <v>0</v>
      </c>
      <c r="L1051" s="40">
        <v>0</v>
      </c>
      <c r="M1051" s="40">
        <f t="shared" si="33"/>
        <v>0</v>
      </c>
      <c r="N1051" s="40">
        <f t="shared" si="34"/>
        <v>0</v>
      </c>
    </row>
    <row r="1052" spans="1:14" x14ac:dyDescent="0.35">
      <c r="A1052" s="33">
        <v>1049</v>
      </c>
      <c r="B1052" s="34" t="s">
        <v>1410</v>
      </c>
      <c r="C1052" s="33" t="s">
        <v>297</v>
      </c>
      <c r="D1052" s="33" t="s">
        <v>22</v>
      </c>
      <c r="E1052" s="33" t="s">
        <v>1359</v>
      </c>
      <c r="F1052" s="35">
        <v>1</v>
      </c>
      <c r="G1052" s="40">
        <v>0</v>
      </c>
      <c r="H1052" s="40">
        <v>0</v>
      </c>
      <c r="I1052" s="40">
        <v>0</v>
      </c>
      <c r="J1052" s="40">
        <v>0</v>
      </c>
      <c r="K1052" s="40">
        <v>0</v>
      </c>
      <c r="L1052" s="40">
        <v>0</v>
      </c>
      <c r="M1052" s="40">
        <f t="shared" si="33"/>
        <v>0</v>
      </c>
      <c r="N1052" s="40">
        <f t="shared" si="34"/>
        <v>0</v>
      </c>
    </row>
    <row r="1053" spans="1:14" x14ac:dyDescent="0.35">
      <c r="A1053" s="33">
        <v>1050</v>
      </c>
      <c r="B1053" s="34" t="s">
        <v>1411</v>
      </c>
      <c r="C1053" s="33" t="s">
        <v>297</v>
      </c>
      <c r="D1053" s="33" t="s">
        <v>22</v>
      </c>
      <c r="E1053" s="33" t="s">
        <v>1359</v>
      </c>
      <c r="F1053" s="35">
        <v>1</v>
      </c>
      <c r="G1053" s="40">
        <v>0</v>
      </c>
      <c r="H1053" s="40">
        <v>0</v>
      </c>
      <c r="I1053" s="40">
        <v>0</v>
      </c>
      <c r="J1053" s="40">
        <v>0</v>
      </c>
      <c r="K1053" s="40">
        <v>0</v>
      </c>
      <c r="L1053" s="40">
        <v>0</v>
      </c>
      <c r="M1053" s="40">
        <f t="shared" si="33"/>
        <v>0</v>
      </c>
      <c r="N1053" s="40">
        <f t="shared" si="34"/>
        <v>0</v>
      </c>
    </row>
    <row r="1054" spans="1:14" x14ac:dyDescent="0.35">
      <c r="A1054" s="33">
        <v>1051</v>
      </c>
      <c r="B1054" s="34" t="s">
        <v>1412</v>
      </c>
      <c r="C1054" s="33" t="s">
        <v>297</v>
      </c>
      <c r="D1054" s="33" t="s">
        <v>22</v>
      </c>
      <c r="E1054" s="33" t="s">
        <v>1359</v>
      </c>
      <c r="F1054" s="35">
        <v>1</v>
      </c>
      <c r="G1054" s="40">
        <v>0</v>
      </c>
      <c r="H1054" s="40">
        <v>0</v>
      </c>
      <c r="I1054" s="40">
        <v>0</v>
      </c>
      <c r="J1054" s="40">
        <v>0</v>
      </c>
      <c r="K1054" s="40">
        <v>0</v>
      </c>
      <c r="L1054" s="40">
        <v>0</v>
      </c>
      <c r="M1054" s="40">
        <f t="shared" si="33"/>
        <v>0</v>
      </c>
      <c r="N1054" s="40">
        <f t="shared" si="34"/>
        <v>0</v>
      </c>
    </row>
    <row r="1055" spans="1:14" x14ac:dyDescent="0.35">
      <c r="A1055" s="33">
        <v>1052</v>
      </c>
      <c r="B1055" s="34" t="s">
        <v>1413</v>
      </c>
      <c r="C1055" s="33" t="s">
        <v>297</v>
      </c>
      <c r="D1055" s="33" t="s">
        <v>22</v>
      </c>
      <c r="E1055" s="33" t="s">
        <v>1359</v>
      </c>
      <c r="F1055" s="35">
        <v>1</v>
      </c>
      <c r="G1055" s="40">
        <v>0</v>
      </c>
      <c r="H1055" s="40">
        <v>0</v>
      </c>
      <c r="I1055" s="40">
        <v>0</v>
      </c>
      <c r="J1055" s="40">
        <v>0</v>
      </c>
      <c r="K1055" s="40">
        <v>0</v>
      </c>
      <c r="L1055" s="40">
        <v>0</v>
      </c>
      <c r="M1055" s="40">
        <f t="shared" si="33"/>
        <v>0</v>
      </c>
      <c r="N1055" s="40">
        <f t="shared" si="34"/>
        <v>0</v>
      </c>
    </row>
    <row r="1056" spans="1:14" x14ac:dyDescent="0.35">
      <c r="A1056" s="33">
        <v>1053</v>
      </c>
      <c r="B1056" s="34" t="s">
        <v>1414</v>
      </c>
      <c r="C1056" s="33" t="s">
        <v>297</v>
      </c>
      <c r="D1056" s="33" t="s">
        <v>22</v>
      </c>
      <c r="E1056" s="33" t="s">
        <v>1359</v>
      </c>
      <c r="F1056" s="35">
        <v>1</v>
      </c>
      <c r="G1056" s="40">
        <v>0</v>
      </c>
      <c r="H1056" s="40">
        <v>0</v>
      </c>
      <c r="I1056" s="40">
        <v>0</v>
      </c>
      <c r="J1056" s="40">
        <v>0</v>
      </c>
      <c r="K1056" s="40">
        <v>0</v>
      </c>
      <c r="L1056" s="40">
        <v>0</v>
      </c>
      <c r="M1056" s="40">
        <f t="shared" si="33"/>
        <v>0</v>
      </c>
      <c r="N1056" s="40">
        <f t="shared" si="34"/>
        <v>0</v>
      </c>
    </row>
    <row r="1057" spans="1:14" x14ac:dyDescent="0.35">
      <c r="A1057" s="33">
        <v>1054</v>
      </c>
      <c r="B1057" s="34" t="s">
        <v>200</v>
      </c>
      <c r="C1057" s="33" t="s">
        <v>297</v>
      </c>
      <c r="D1057" s="33" t="s">
        <v>22</v>
      </c>
      <c r="E1057" s="33" t="s">
        <v>1359</v>
      </c>
      <c r="F1057" s="35">
        <v>1</v>
      </c>
      <c r="G1057" s="40">
        <v>0</v>
      </c>
      <c r="H1057" s="40">
        <v>0</v>
      </c>
      <c r="I1057" s="40">
        <v>0</v>
      </c>
      <c r="J1057" s="40">
        <v>0</v>
      </c>
      <c r="K1057" s="40">
        <v>0</v>
      </c>
      <c r="L1057" s="40">
        <v>0</v>
      </c>
      <c r="M1057" s="40">
        <f t="shared" si="33"/>
        <v>0</v>
      </c>
      <c r="N1057" s="40">
        <f t="shared" si="34"/>
        <v>0</v>
      </c>
    </row>
    <row r="1058" spans="1:14" x14ac:dyDescent="0.35">
      <c r="A1058" s="33">
        <v>1055</v>
      </c>
      <c r="B1058" s="34" t="s">
        <v>1415</v>
      </c>
      <c r="C1058" s="33" t="s">
        <v>297</v>
      </c>
      <c r="D1058" s="33" t="s">
        <v>22</v>
      </c>
      <c r="E1058" s="33" t="s">
        <v>1359</v>
      </c>
      <c r="F1058" s="35">
        <v>1</v>
      </c>
      <c r="G1058" s="40">
        <v>0</v>
      </c>
      <c r="H1058" s="40">
        <v>0</v>
      </c>
      <c r="I1058" s="40">
        <v>0</v>
      </c>
      <c r="J1058" s="40">
        <v>0</v>
      </c>
      <c r="K1058" s="40">
        <v>0</v>
      </c>
      <c r="L1058" s="40">
        <v>0</v>
      </c>
      <c r="M1058" s="40">
        <f t="shared" si="33"/>
        <v>0</v>
      </c>
      <c r="N1058" s="40">
        <f t="shared" si="34"/>
        <v>0</v>
      </c>
    </row>
    <row r="1059" spans="1:14" x14ac:dyDescent="0.35">
      <c r="A1059" s="33">
        <v>1056</v>
      </c>
      <c r="B1059" s="34" t="s">
        <v>1416</v>
      </c>
      <c r="C1059" s="33" t="s">
        <v>297</v>
      </c>
      <c r="D1059" s="33" t="s">
        <v>22</v>
      </c>
      <c r="E1059" s="33" t="s">
        <v>1359</v>
      </c>
      <c r="F1059" s="35">
        <v>1</v>
      </c>
      <c r="G1059" s="40">
        <v>0</v>
      </c>
      <c r="H1059" s="40">
        <v>0</v>
      </c>
      <c r="I1059" s="40">
        <v>0</v>
      </c>
      <c r="J1059" s="40">
        <v>0</v>
      </c>
      <c r="K1059" s="40">
        <v>0</v>
      </c>
      <c r="L1059" s="40">
        <v>0</v>
      </c>
      <c r="M1059" s="40">
        <f t="shared" si="33"/>
        <v>0</v>
      </c>
      <c r="N1059" s="40">
        <f t="shared" si="34"/>
        <v>0</v>
      </c>
    </row>
    <row r="1060" spans="1:14" x14ac:dyDescent="0.35">
      <c r="A1060" s="33">
        <v>1057</v>
      </c>
      <c r="B1060" s="34" t="s">
        <v>1417</v>
      </c>
      <c r="C1060" s="33" t="s">
        <v>297</v>
      </c>
      <c r="D1060" s="33" t="s">
        <v>22</v>
      </c>
      <c r="E1060" s="33" t="s">
        <v>1359</v>
      </c>
      <c r="F1060" s="35">
        <v>1</v>
      </c>
      <c r="G1060" s="40">
        <v>0</v>
      </c>
      <c r="H1060" s="40">
        <v>0</v>
      </c>
      <c r="I1060" s="40">
        <v>0</v>
      </c>
      <c r="J1060" s="40">
        <v>0</v>
      </c>
      <c r="K1060" s="40">
        <v>0</v>
      </c>
      <c r="L1060" s="40">
        <v>0</v>
      </c>
      <c r="M1060" s="40">
        <f t="shared" si="33"/>
        <v>0</v>
      </c>
      <c r="N1060" s="40">
        <f t="shared" si="34"/>
        <v>0</v>
      </c>
    </row>
    <row r="1061" spans="1:14" x14ac:dyDescent="0.35">
      <c r="A1061" s="33">
        <v>1058</v>
      </c>
      <c r="B1061" s="34" t="s">
        <v>1418</v>
      </c>
      <c r="C1061" s="33" t="s">
        <v>297</v>
      </c>
      <c r="D1061" s="33" t="s">
        <v>22</v>
      </c>
      <c r="E1061" s="33" t="s">
        <v>1359</v>
      </c>
      <c r="F1061" s="35">
        <v>1</v>
      </c>
      <c r="G1061" s="40">
        <v>0</v>
      </c>
      <c r="H1061" s="40">
        <v>0</v>
      </c>
      <c r="I1061" s="40">
        <v>0</v>
      </c>
      <c r="J1061" s="40">
        <v>0</v>
      </c>
      <c r="K1061" s="40">
        <v>0</v>
      </c>
      <c r="L1061" s="40">
        <v>0</v>
      </c>
      <c r="M1061" s="40">
        <f t="shared" si="33"/>
        <v>0</v>
      </c>
      <c r="N1061" s="40">
        <f t="shared" si="34"/>
        <v>0</v>
      </c>
    </row>
    <row r="1062" spans="1:14" x14ac:dyDescent="0.35">
      <c r="A1062" s="33">
        <v>1059</v>
      </c>
      <c r="B1062" s="34" t="s">
        <v>1419</v>
      </c>
      <c r="C1062" s="33" t="s">
        <v>297</v>
      </c>
      <c r="D1062" s="33" t="s">
        <v>22</v>
      </c>
      <c r="E1062" s="33" t="s">
        <v>1359</v>
      </c>
      <c r="F1062" s="35">
        <v>1</v>
      </c>
      <c r="G1062" s="40">
        <v>0</v>
      </c>
      <c r="H1062" s="40">
        <v>0</v>
      </c>
      <c r="I1062" s="40">
        <v>0</v>
      </c>
      <c r="J1062" s="40">
        <v>0</v>
      </c>
      <c r="K1062" s="40">
        <v>0</v>
      </c>
      <c r="L1062" s="40">
        <v>0</v>
      </c>
      <c r="M1062" s="40">
        <f t="shared" si="33"/>
        <v>0</v>
      </c>
      <c r="N1062" s="40">
        <f t="shared" si="34"/>
        <v>0</v>
      </c>
    </row>
    <row r="1063" spans="1:14" x14ac:dyDescent="0.35">
      <c r="A1063" s="33">
        <v>1060</v>
      </c>
      <c r="B1063" s="34" t="s">
        <v>1420</v>
      </c>
      <c r="C1063" s="33" t="s">
        <v>297</v>
      </c>
      <c r="D1063" s="33" t="s">
        <v>22</v>
      </c>
      <c r="E1063" s="33" t="s">
        <v>1359</v>
      </c>
      <c r="F1063" s="35">
        <v>1</v>
      </c>
      <c r="G1063" s="40">
        <v>0</v>
      </c>
      <c r="H1063" s="40">
        <v>13</v>
      </c>
      <c r="I1063" s="40">
        <v>0</v>
      </c>
      <c r="J1063" s="40">
        <v>0</v>
      </c>
      <c r="K1063" s="40">
        <v>0</v>
      </c>
      <c r="L1063" s="40">
        <v>0</v>
      </c>
      <c r="M1063" s="40">
        <f t="shared" si="33"/>
        <v>0</v>
      </c>
      <c r="N1063" s="40">
        <f t="shared" si="34"/>
        <v>13</v>
      </c>
    </row>
    <row r="1064" spans="1:14" x14ac:dyDescent="0.35">
      <c r="A1064" s="33">
        <v>1061</v>
      </c>
      <c r="B1064" s="34" t="s">
        <v>1421</v>
      </c>
      <c r="C1064" s="33" t="s">
        <v>297</v>
      </c>
      <c r="D1064" s="33" t="s">
        <v>22</v>
      </c>
      <c r="E1064" s="33" t="s">
        <v>1359</v>
      </c>
      <c r="F1064" s="35">
        <v>1</v>
      </c>
      <c r="G1064" s="40">
        <v>0</v>
      </c>
      <c r="H1064" s="40">
        <v>0</v>
      </c>
      <c r="I1064" s="40">
        <v>0</v>
      </c>
      <c r="J1064" s="40">
        <v>0</v>
      </c>
      <c r="K1064" s="40">
        <v>0</v>
      </c>
      <c r="L1064" s="40">
        <v>0</v>
      </c>
      <c r="M1064" s="40">
        <f t="shared" si="33"/>
        <v>0</v>
      </c>
      <c r="N1064" s="40">
        <f t="shared" si="34"/>
        <v>0</v>
      </c>
    </row>
    <row r="1065" spans="1:14" x14ac:dyDescent="0.35">
      <c r="A1065" s="33">
        <v>1062</v>
      </c>
      <c r="B1065" s="34" t="s">
        <v>1422</v>
      </c>
      <c r="C1065" s="33" t="s">
        <v>297</v>
      </c>
      <c r="D1065" s="33" t="s">
        <v>22</v>
      </c>
      <c r="E1065" s="33" t="s">
        <v>1359</v>
      </c>
      <c r="F1065" s="35">
        <v>1</v>
      </c>
      <c r="G1065" s="40">
        <v>0</v>
      </c>
      <c r="H1065" s="40">
        <v>0</v>
      </c>
      <c r="I1065" s="40">
        <v>0</v>
      </c>
      <c r="J1065" s="40">
        <v>0</v>
      </c>
      <c r="K1065" s="40">
        <v>0</v>
      </c>
      <c r="L1065" s="40">
        <v>0</v>
      </c>
      <c r="M1065" s="40">
        <f t="shared" si="33"/>
        <v>0</v>
      </c>
      <c r="N1065" s="40">
        <f t="shared" si="34"/>
        <v>0</v>
      </c>
    </row>
    <row r="1066" spans="1:14" x14ac:dyDescent="0.35">
      <c r="A1066" s="33">
        <v>1063</v>
      </c>
      <c r="B1066" s="34" t="s">
        <v>1423</v>
      </c>
      <c r="C1066" s="33" t="s">
        <v>297</v>
      </c>
      <c r="D1066" s="33" t="s">
        <v>22</v>
      </c>
      <c r="E1066" s="33" t="s">
        <v>1359</v>
      </c>
      <c r="F1066" s="35">
        <v>0.3</v>
      </c>
      <c r="G1066" s="40">
        <v>0</v>
      </c>
      <c r="H1066" s="40">
        <v>0</v>
      </c>
      <c r="I1066" s="40">
        <v>0</v>
      </c>
      <c r="J1066" s="40">
        <v>0</v>
      </c>
      <c r="K1066" s="40">
        <v>0</v>
      </c>
      <c r="L1066" s="40">
        <v>0</v>
      </c>
      <c r="M1066" s="40">
        <f t="shared" si="33"/>
        <v>0</v>
      </c>
      <c r="N1066" s="40">
        <f t="shared" si="34"/>
        <v>0</v>
      </c>
    </row>
    <row r="1067" spans="1:14" x14ac:dyDescent="0.35">
      <c r="A1067" s="33">
        <v>1064</v>
      </c>
      <c r="B1067" s="34" t="s">
        <v>1424</v>
      </c>
      <c r="C1067" s="33" t="s">
        <v>297</v>
      </c>
      <c r="D1067" s="33" t="s">
        <v>22</v>
      </c>
      <c r="E1067" s="33" t="s">
        <v>1359</v>
      </c>
      <c r="F1067" s="35">
        <v>1</v>
      </c>
      <c r="G1067" s="40">
        <v>0</v>
      </c>
      <c r="H1067" s="40">
        <v>0</v>
      </c>
      <c r="I1067" s="40">
        <v>0</v>
      </c>
      <c r="J1067" s="40">
        <v>0</v>
      </c>
      <c r="K1067" s="40">
        <v>0</v>
      </c>
      <c r="L1067" s="40">
        <v>0</v>
      </c>
      <c r="M1067" s="40">
        <f t="shared" si="33"/>
        <v>0</v>
      </c>
      <c r="N1067" s="40">
        <f t="shared" si="34"/>
        <v>0</v>
      </c>
    </row>
    <row r="1068" spans="1:14" x14ac:dyDescent="0.35">
      <c r="A1068" s="33">
        <v>1065</v>
      </c>
      <c r="B1068" s="34" t="s">
        <v>1425</v>
      </c>
      <c r="C1068" s="33" t="s">
        <v>297</v>
      </c>
      <c r="D1068" s="33" t="s">
        <v>22</v>
      </c>
      <c r="E1068" s="33" t="s">
        <v>1359</v>
      </c>
      <c r="F1068" s="35">
        <v>1</v>
      </c>
      <c r="G1068" s="40">
        <v>0</v>
      </c>
      <c r="H1068" s="40">
        <v>0</v>
      </c>
      <c r="I1068" s="40">
        <v>0</v>
      </c>
      <c r="J1068" s="40">
        <v>0</v>
      </c>
      <c r="K1068" s="40">
        <v>0</v>
      </c>
      <c r="L1068" s="40">
        <v>0</v>
      </c>
      <c r="M1068" s="40">
        <f t="shared" si="33"/>
        <v>0</v>
      </c>
      <c r="N1068" s="40">
        <f t="shared" si="34"/>
        <v>0</v>
      </c>
    </row>
    <row r="1069" spans="1:14" x14ac:dyDescent="0.35">
      <c r="A1069" s="33">
        <v>1066</v>
      </c>
      <c r="B1069" s="34" t="s">
        <v>1426</v>
      </c>
      <c r="C1069" s="33" t="s">
        <v>297</v>
      </c>
      <c r="D1069" s="33" t="s">
        <v>22</v>
      </c>
      <c r="E1069" s="33" t="s">
        <v>1359</v>
      </c>
      <c r="F1069" s="35">
        <v>1</v>
      </c>
      <c r="G1069" s="40">
        <v>0</v>
      </c>
      <c r="H1069" s="40">
        <v>0</v>
      </c>
      <c r="I1069" s="40">
        <v>0</v>
      </c>
      <c r="J1069" s="40">
        <v>0</v>
      </c>
      <c r="K1069" s="40">
        <v>0</v>
      </c>
      <c r="L1069" s="40">
        <v>0</v>
      </c>
      <c r="M1069" s="40">
        <f t="shared" si="33"/>
        <v>0</v>
      </c>
      <c r="N1069" s="40">
        <f t="shared" si="34"/>
        <v>0</v>
      </c>
    </row>
    <row r="1070" spans="1:14" x14ac:dyDescent="0.35">
      <c r="A1070" s="33">
        <v>1067</v>
      </c>
      <c r="B1070" s="34" t="s">
        <v>193</v>
      </c>
      <c r="C1070" s="33" t="s">
        <v>297</v>
      </c>
      <c r="D1070" s="33" t="s">
        <v>22</v>
      </c>
      <c r="E1070" s="33" t="s">
        <v>1359</v>
      </c>
      <c r="F1070" s="35">
        <v>1</v>
      </c>
      <c r="G1070" s="40">
        <v>0</v>
      </c>
      <c r="H1070" s="40">
        <v>0</v>
      </c>
      <c r="I1070" s="40">
        <v>0</v>
      </c>
      <c r="J1070" s="40">
        <v>20</v>
      </c>
      <c r="K1070" s="40">
        <v>0</v>
      </c>
      <c r="L1070" s="40">
        <v>0</v>
      </c>
      <c r="M1070" s="40">
        <f t="shared" si="33"/>
        <v>0</v>
      </c>
      <c r="N1070" s="40">
        <f t="shared" si="34"/>
        <v>20</v>
      </c>
    </row>
    <row r="1071" spans="1:14" x14ac:dyDescent="0.35">
      <c r="A1071" s="33">
        <v>1068</v>
      </c>
      <c r="B1071" s="34" t="s">
        <v>1427</v>
      </c>
      <c r="C1071" s="33" t="s">
        <v>297</v>
      </c>
      <c r="D1071" s="33" t="s">
        <v>22</v>
      </c>
      <c r="E1071" s="33" t="s">
        <v>1359</v>
      </c>
      <c r="F1071" s="35">
        <v>1</v>
      </c>
      <c r="G1071" s="40">
        <v>0</v>
      </c>
      <c r="H1071" s="40">
        <v>0</v>
      </c>
      <c r="I1071" s="40">
        <v>0</v>
      </c>
      <c r="J1071" s="40">
        <v>0</v>
      </c>
      <c r="K1071" s="40">
        <v>0</v>
      </c>
      <c r="L1071" s="40">
        <v>0</v>
      </c>
      <c r="M1071" s="40">
        <f t="shared" si="33"/>
        <v>0</v>
      </c>
      <c r="N1071" s="40">
        <f t="shared" si="34"/>
        <v>0</v>
      </c>
    </row>
    <row r="1072" spans="1:14" x14ac:dyDescent="0.35">
      <c r="A1072" s="33">
        <v>1069</v>
      </c>
      <c r="B1072" s="34" t="s">
        <v>1428</v>
      </c>
      <c r="C1072" s="33" t="s">
        <v>297</v>
      </c>
      <c r="D1072" s="33" t="s">
        <v>22</v>
      </c>
      <c r="E1072" s="33" t="s">
        <v>1359</v>
      </c>
      <c r="F1072" s="35">
        <v>1</v>
      </c>
      <c r="G1072" s="40">
        <v>0</v>
      </c>
      <c r="H1072" s="40">
        <v>0</v>
      </c>
      <c r="I1072" s="40">
        <v>0</v>
      </c>
      <c r="J1072" s="40">
        <v>0</v>
      </c>
      <c r="K1072" s="40">
        <v>0</v>
      </c>
      <c r="L1072" s="40">
        <v>0</v>
      </c>
      <c r="M1072" s="40">
        <f t="shared" si="33"/>
        <v>0</v>
      </c>
      <c r="N1072" s="40">
        <f t="shared" si="34"/>
        <v>0</v>
      </c>
    </row>
    <row r="1073" spans="1:14" x14ac:dyDescent="0.35">
      <c r="A1073" s="33">
        <v>1070</v>
      </c>
      <c r="B1073" s="34" t="s">
        <v>1429</v>
      </c>
      <c r="C1073" s="33" t="s">
        <v>297</v>
      </c>
      <c r="D1073" s="33" t="s">
        <v>22</v>
      </c>
      <c r="E1073" s="33" t="s">
        <v>1359</v>
      </c>
      <c r="F1073" s="35">
        <v>1</v>
      </c>
      <c r="G1073" s="40">
        <v>0</v>
      </c>
      <c r="H1073" s="40">
        <v>0</v>
      </c>
      <c r="I1073" s="40">
        <v>0</v>
      </c>
      <c r="J1073" s="40">
        <v>0</v>
      </c>
      <c r="K1073" s="40">
        <v>0</v>
      </c>
      <c r="L1073" s="40">
        <v>0</v>
      </c>
      <c r="M1073" s="40">
        <f t="shared" si="33"/>
        <v>0</v>
      </c>
      <c r="N1073" s="40">
        <f t="shared" si="34"/>
        <v>0</v>
      </c>
    </row>
    <row r="1074" spans="1:14" x14ac:dyDescent="0.35">
      <c r="A1074" s="33">
        <v>1071</v>
      </c>
      <c r="B1074" s="34" t="s">
        <v>1430</v>
      </c>
      <c r="C1074" s="33" t="s">
        <v>297</v>
      </c>
      <c r="D1074" s="33" t="s">
        <v>22</v>
      </c>
      <c r="E1074" s="33" t="s">
        <v>1359</v>
      </c>
      <c r="F1074" s="35">
        <v>1</v>
      </c>
      <c r="G1074" s="40">
        <v>0</v>
      </c>
      <c r="H1074" s="40">
        <v>0</v>
      </c>
      <c r="I1074" s="40">
        <v>0</v>
      </c>
      <c r="J1074" s="40">
        <v>0</v>
      </c>
      <c r="K1074" s="40">
        <v>0</v>
      </c>
      <c r="L1074" s="40">
        <v>0</v>
      </c>
      <c r="M1074" s="40">
        <f t="shared" si="33"/>
        <v>0</v>
      </c>
      <c r="N1074" s="40">
        <f t="shared" si="34"/>
        <v>0</v>
      </c>
    </row>
    <row r="1075" spans="1:14" x14ac:dyDescent="0.35">
      <c r="A1075" s="33">
        <v>1072</v>
      </c>
      <c r="B1075" s="34" t="s">
        <v>1431</v>
      </c>
      <c r="C1075" s="33" t="s">
        <v>297</v>
      </c>
      <c r="D1075" s="33" t="s">
        <v>22</v>
      </c>
      <c r="E1075" s="33" t="s">
        <v>1359</v>
      </c>
      <c r="F1075" s="35">
        <v>1</v>
      </c>
      <c r="G1075" s="40">
        <v>0</v>
      </c>
      <c r="H1075" s="40">
        <v>0</v>
      </c>
      <c r="I1075" s="40">
        <v>0</v>
      </c>
      <c r="J1075" s="40">
        <v>0</v>
      </c>
      <c r="K1075" s="40">
        <v>0</v>
      </c>
      <c r="L1075" s="40">
        <v>0</v>
      </c>
      <c r="M1075" s="40">
        <f t="shared" si="33"/>
        <v>0</v>
      </c>
      <c r="N1075" s="40">
        <f t="shared" si="34"/>
        <v>0</v>
      </c>
    </row>
    <row r="1076" spans="1:14" x14ac:dyDescent="0.35">
      <c r="A1076" s="33">
        <v>1073</v>
      </c>
      <c r="B1076" s="34" t="s">
        <v>1432</v>
      </c>
      <c r="C1076" s="33" t="s">
        <v>297</v>
      </c>
      <c r="D1076" s="33" t="s">
        <v>22</v>
      </c>
      <c r="E1076" s="33" t="s">
        <v>1359</v>
      </c>
      <c r="F1076" s="35">
        <v>1</v>
      </c>
      <c r="G1076" s="40">
        <v>0</v>
      </c>
      <c r="H1076" s="40">
        <v>0</v>
      </c>
      <c r="I1076" s="40">
        <v>0</v>
      </c>
      <c r="J1076" s="40">
        <v>0</v>
      </c>
      <c r="K1076" s="40">
        <v>0</v>
      </c>
      <c r="L1076" s="40">
        <v>0</v>
      </c>
      <c r="M1076" s="40">
        <f t="shared" si="33"/>
        <v>0</v>
      </c>
      <c r="N1076" s="40">
        <f t="shared" si="34"/>
        <v>0</v>
      </c>
    </row>
    <row r="1077" spans="1:14" x14ac:dyDescent="0.35">
      <c r="A1077" s="33">
        <v>1074</v>
      </c>
      <c r="B1077" s="34" t="s">
        <v>1433</v>
      </c>
      <c r="C1077" s="33" t="s">
        <v>297</v>
      </c>
      <c r="D1077" s="33" t="s">
        <v>22</v>
      </c>
      <c r="E1077" s="33" t="s">
        <v>1359</v>
      </c>
      <c r="F1077" s="35">
        <v>1</v>
      </c>
      <c r="G1077" s="40">
        <v>0</v>
      </c>
      <c r="H1077" s="40">
        <v>0</v>
      </c>
      <c r="I1077" s="40">
        <v>0</v>
      </c>
      <c r="J1077" s="40">
        <v>0</v>
      </c>
      <c r="K1077" s="40">
        <v>0</v>
      </c>
      <c r="L1077" s="40">
        <v>0</v>
      </c>
      <c r="M1077" s="40">
        <f t="shared" si="33"/>
        <v>0</v>
      </c>
      <c r="N1077" s="40">
        <f t="shared" si="34"/>
        <v>0</v>
      </c>
    </row>
    <row r="1078" spans="1:14" x14ac:dyDescent="0.35">
      <c r="A1078" s="33">
        <v>1075</v>
      </c>
      <c r="B1078" s="34" t="s">
        <v>1434</v>
      </c>
      <c r="C1078" s="33" t="s">
        <v>297</v>
      </c>
      <c r="D1078" s="33" t="s">
        <v>22</v>
      </c>
      <c r="E1078" s="33" t="s">
        <v>1359</v>
      </c>
      <c r="F1078" s="35">
        <v>1</v>
      </c>
      <c r="G1078" s="40">
        <v>0</v>
      </c>
      <c r="H1078" s="40">
        <v>0</v>
      </c>
      <c r="I1078" s="40">
        <v>0</v>
      </c>
      <c r="J1078" s="40">
        <v>0</v>
      </c>
      <c r="K1078" s="40">
        <v>0</v>
      </c>
      <c r="L1078" s="40">
        <v>0</v>
      </c>
      <c r="M1078" s="40">
        <f t="shared" si="33"/>
        <v>0</v>
      </c>
      <c r="N1078" s="40">
        <f t="shared" si="34"/>
        <v>0</v>
      </c>
    </row>
    <row r="1079" spans="1:14" x14ac:dyDescent="0.35">
      <c r="A1079" s="33">
        <v>1076</v>
      </c>
      <c r="B1079" s="34" t="s">
        <v>1435</v>
      </c>
      <c r="C1079" s="33" t="s">
        <v>297</v>
      </c>
      <c r="D1079" s="33" t="s">
        <v>22</v>
      </c>
      <c r="E1079" s="33" t="s">
        <v>1359</v>
      </c>
      <c r="F1079" s="35">
        <v>1</v>
      </c>
      <c r="G1079" s="40">
        <v>0</v>
      </c>
      <c r="H1079" s="40">
        <v>0</v>
      </c>
      <c r="I1079" s="40">
        <v>0</v>
      </c>
      <c r="J1079" s="40">
        <v>0</v>
      </c>
      <c r="K1079" s="40">
        <v>0</v>
      </c>
      <c r="L1079" s="40">
        <v>0</v>
      </c>
      <c r="M1079" s="40">
        <f t="shared" si="33"/>
        <v>0</v>
      </c>
      <c r="N1079" s="40">
        <f t="shared" si="34"/>
        <v>0</v>
      </c>
    </row>
    <row r="1080" spans="1:14" x14ac:dyDescent="0.35">
      <c r="A1080" s="33">
        <v>1077</v>
      </c>
      <c r="B1080" s="34" t="s">
        <v>1436</v>
      </c>
      <c r="C1080" s="33" t="s">
        <v>297</v>
      </c>
      <c r="D1080" s="33" t="s">
        <v>22</v>
      </c>
      <c r="E1080" s="33" t="s">
        <v>1359</v>
      </c>
      <c r="F1080" s="35">
        <v>1</v>
      </c>
      <c r="G1080" s="40">
        <v>0</v>
      </c>
      <c r="H1080" s="40">
        <v>0</v>
      </c>
      <c r="I1080" s="40">
        <v>0</v>
      </c>
      <c r="J1080" s="40">
        <v>0</v>
      </c>
      <c r="K1080" s="40">
        <v>0</v>
      </c>
      <c r="L1080" s="40">
        <v>0</v>
      </c>
      <c r="M1080" s="40">
        <f t="shared" si="33"/>
        <v>0</v>
      </c>
      <c r="N1080" s="40">
        <f t="shared" si="34"/>
        <v>0</v>
      </c>
    </row>
    <row r="1081" spans="1:14" x14ac:dyDescent="0.35">
      <c r="A1081" s="33">
        <v>1078</v>
      </c>
      <c r="B1081" s="34" t="s">
        <v>1437</v>
      </c>
      <c r="C1081" s="33" t="s">
        <v>297</v>
      </c>
      <c r="D1081" s="33" t="s">
        <v>22</v>
      </c>
      <c r="E1081" s="33" t="s">
        <v>1359</v>
      </c>
      <c r="F1081" s="35">
        <v>1</v>
      </c>
      <c r="G1081" s="40">
        <v>0</v>
      </c>
      <c r="H1081" s="40">
        <v>0</v>
      </c>
      <c r="I1081" s="40">
        <v>0</v>
      </c>
      <c r="J1081" s="40">
        <v>0</v>
      </c>
      <c r="K1081" s="40">
        <v>0</v>
      </c>
      <c r="L1081" s="40">
        <v>0</v>
      </c>
      <c r="M1081" s="40">
        <f t="shared" si="33"/>
        <v>0</v>
      </c>
      <c r="N1081" s="40">
        <f t="shared" si="34"/>
        <v>0</v>
      </c>
    </row>
    <row r="1082" spans="1:14" x14ac:dyDescent="0.35">
      <c r="A1082" s="33">
        <v>1079</v>
      </c>
      <c r="B1082" s="34" t="s">
        <v>1438</v>
      </c>
      <c r="C1082" s="33" t="s">
        <v>297</v>
      </c>
      <c r="D1082" s="33" t="s">
        <v>22</v>
      </c>
      <c r="E1082" s="33" t="s">
        <v>1359</v>
      </c>
      <c r="F1082" s="35">
        <v>1</v>
      </c>
      <c r="G1082" s="40">
        <v>0</v>
      </c>
      <c r="H1082" s="40">
        <v>0</v>
      </c>
      <c r="I1082" s="40">
        <v>0</v>
      </c>
      <c r="J1082" s="40">
        <v>0</v>
      </c>
      <c r="K1082" s="40">
        <v>0</v>
      </c>
      <c r="L1082" s="40">
        <v>0</v>
      </c>
      <c r="M1082" s="40">
        <f t="shared" si="33"/>
        <v>0</v>
      </c>
      <c r="N1082" s="40">
        <f t="shared" si="34"/>
        <v>0</v>
      </c>
    </row>
    <row r="1083" spans="1:14" x14ac:dyDescent="0.35">
      <c r="A1083" s="33">
        <v>1080</v>
      </c>
      <c r="B1083" s="34" t="s">
        <v>1439</v>
      </c>
      <c r="C1083" s="33" t="s">
        <v>297</v>
      </c>
      <c r="D1083" s="33" t="s">
        <v>22</v>
      </c>
      <c r="E1083" s="33" t="s">
        <v>1359</v>
      </c>
      <c r="F1083" s="35">
        <v>1</v>
      </c>
      <c r="G1083" s="40">
        <v>0</v>
      </c>
      <c r="H1083" s="40">
        <v>0</v>
      </c>
      <c r="I1083" s="40">
        <v>0</v>
      </c>
      <c r="J1083" s="40">
        <v>0</v>
      </c>
      <c r="K1083" s="40">
        <v>0</v>
      </c>
      <c r="L1083" s="40">
        <v>0</v>
      </c>
      <c r="M1083" s="40">
        <f t="shared" si="33"/>
        <v>0</v>
      </c>
      <c r="N1083" s="40">
        <f t="shared" si="34"/>
        <v>0</v>
      </c>
    </row>
    <row r="1084" spans="1:14" x14ac:dyDescent="0.35">
      <c r="A1084" s="33">
        <v>1081</v>
      </c>
      <c r="B1084" s="34" t="s">
        <v>1440</v>
      </c>
      <c r="C1084" s="33" t="s">
        <v>297</v>
      </c>
      <c r="D1084" s="33" t="s">
        <v>22</v>
      </c>
      <c r="E1084" s="33" t="s">
        <v>1359</v>
      </c>
      <c r="F1084" s="35">
        <v>1</v>
      </c>
      <c r="G1084" s="40">
        <v>0</v>
      </c>
      <c r="H1084" s="40">
        <v>0</v>
      </c>
      <c r="I1084" s="40">
        <v>0</v>
      </c>
      <c r="J1084" s="40">
        <v>0</v>
      </c>
      <c r="K1084" s="40">
        <v>0</v>
      </c>
      <c r="L1084" s="40">
        <v>0</v>
      </c>
      <c r="M1084" s="40">
        <f t="shared" si="33"/>
        <v>0</v>
      </c>
      <c r="N1084" s="40">
        <f t="shared" si="34"/>
        <v>0</v>
      </c>
    </row>
    <row r="1085" spans="1:14" x14ac:dyDescent="0.35">
      <c r="A1085" s="33">
        <v>1082</v>
      </c>
      <c r="B1085" s="34" t="s">
        <v>1441</v>
      </c>
      <c r="C1085" s="33" t="s">
        <v>297</v>
      </c>
      <c r="D1085" s="33" t="s">
        <v>22</v>
      </c>
      <c r="E1085" s="33" t="s">
        <v>1359</v>
      </c>
      <c r="F1085" s="35">
        <v>1</v>
      </c>
      <c r="G1085" s="40">
        <v>0</v>
      </c>
      <c r="H1085" s="40">
        <v>0</v>
      </c>
      <c r="I1085" s="40">
        <v>0</v>
      </c>
      <c r="J1085" s="40">
        <v>0</v>
      </c>
      <c r="K1085" s="40">
        <v>0</v>
      </c>
      <c r="L1085" s="40">
        <v>0</v>
      </c>
      <c r="M1085" s="40">
        <f t="shared" si="33"/>
        <v>0</v>
      </c>
      <c r="N1085" s="40">
        <f t="shared" si="34"/>
        <v>0</v>
      </c>
    </row>
    <row r="1086" spans="1:14" x14ac:dyDescent="0.35">
      <c r="A1086" s="33">
        <v>1083</v>
      </c>
      <c r="B1086" s="34" t="s">
        <v>1442</v>
      </c>
      <c r="C1086" s="33" t="s">
        <v>297</v>
      </c>
      <c r="D1086" s="33" t="s">
        <v>22</v>
      </c>
      <c r="E1086" s="33" t="s">
        <v>1359</v>
      </c>
      <c r="F1086" s="35">
        <v>1E-3</v>
      </c>
      <c r="G1086" s="40">
        <v>0</v>
      </c>
      <c r="H1086" s="40">
        <v>0</v>
      </c>
      <c r="I1086" s="40">
        <v>0</v>
      </c>
      <c r="J1086" s="40">
        <v>0</v>
      </c>
      <c r="K1086" s="40">
        <v>0</v>
      </c>
      <c r="L1086" s="40">
        <v>0</v>
      </c>
      <c r="M1086" s="40">
        <f t="shared" si="33"/>
        <v>0</v>
      </c>
      <c r="N1086" s="40">
        <f t="shared" si="34"/>
        <v>0</v>
      </c>
    </row>
    <row r="1087" spans="1:14" x14ac:dyDescent="0.35">
      <c r="A1087" s="33">
        <v>1084</v>
      </c>
      <c r="B1087" s="34" t="s">
        <v>1443</v>
      </c>
      <c r="C1087" s="33" t="s">
        <v>297</v>
      </c>
      <c r="D1087" s="33" t="s">
        <v>22</v>
      </c>
      <c r="E1087" s="33" t="s">
        <v>1359</v>
      </c>
      <c r="F1087" s="35">
        <v>1</v>
      </c>
      <c r="G1087" s="40">
        <v>0</v>
      </c>
      <c r="H1087" s="40">
        <v>0</v>
      </c>
      <c r="I1087" s="40">
        <v>0</v>
      </c>
      <c r="J1087" s="40">
        <v>0</v>
      </c>
      <c r="K1087" s="40">
        <v>0</v>
      </c>
      <c r="L1087" s="40">
        <v>0</v>
      </c>
      <c r="M1087" s="40">
        <f t="shared" si="33"/>
        <v>0</v>
      </c>
      <c r="N1087" s="40">
        <f t="shared" si="34"/>
        <v>0</v>
      </c>
    </row>
    <row r="1088" spans="1:14" x14ac:dyDescent="0.35">
      <c r="A1088" s="33">
        <v>1085</v>
      </c>
      <c r="B1088" s="34" t="s">
        <v>1444</v>
      </c>
      <c r="C1088" s="33" t="s">
        <v>297</v>
      </c>
      <c r="D1088" s="33" t="s">
        <v>22</v>
      </c>
      <c r="E1088" s="33" t="s">
        <v>1359</v>
      </c>
      <c r="F1088" s="35">
        <v>1</v>
      </c>
      <c r="G1088" s="40">
        <v>0</v>
      </c>
      <c r="H1088" s="40">
        <v>0</v>
      </c>
      <c r="I1088" s="40">
        <v>0</v>
      </c>
      <c r="J1088" s="40">
        <v>0</v>
      </c>
      <c r="K1088" s="40">
        <v>0</v>
      </c>
      <c r="L1088" s="40">
        <v>0</v>
      </c>
      <c r="M1088" s="40">
        <f t="shared" si="33"/>
        <v>0</v>
      </c>
      <c r="N1088" s="40">
        <f t="shared" si="34"/>
        <v>0</v>
      </c>
    </row>
    <row r="1089" spans="1:14" x14ac:dyDescent="0.35">
      <c r="A1089" s="33">
        <v>1086</v>
      </c>
      <c r="B1089" s="34" t="s">
        <v>1445</v>
      </c>
      <c r="C1089" s="33" t="s">
        <v>297</v>
      </c>
      <c r="D1089" s="33" t="s">
        <v>22</v>
      </c>
      <c r="E1089" s="33" t="s">
        <v>1359</v>
      </c>
      <c r="F1089" s="35">
        <v>1</v>
      </c>
      <c r="G1089" s="40">
        <v>0</v>
      </c>
      <c r="H1089" s="40">
        <v>0</v>
      </c>
      <c r="I1089" s="40">
        <v>0</v>
      </c>
      <c r="J1089" s="40">
        <v>0</v>
      </c>
      <c r="K1089" s="40">
        <v>0</v>
      </c>
      <c r="L1089" s="40">
        <v>0</v>
      </c>
      <c r="M1089" s="40">
        <f t="shared" si="33"/>
        <v>0</v>
      </c>
      <c r="N1089" s="40">
        <f t="shared" si="34"/>
        <v>0</v>
      </c>
    </row>
    <row r="1090" spans="1:14" x14ac:dyDescent="0.35">
      <c r="A1090" s="33">
        <v>1087</v>
      </c>
      <c r="B1090" s="34" t="s">
        <v>194</v>
      </c>
      <c r="C1090" s="33" t="s">
        <v>297</v>
      </c>
      <c r="D1090" s="33" t="s">
        <v>22</v>
      </c>
      <c r="E1090" s="33" t="s">
        <v>1359</v>
      </c>
      <c r="F1090" s="35">
        <v>1</v>
      </c>
      <c r="G1090" s="40">
        <v>0</v>
      </c>
      <c r="H1090" s="40">
        <v>0</v>
      </c>
      <c r="I1090" s="40">
        <v>0</v>
      </c>
      <c r="J1090" s="40">
        <v>25</v>
      </c>
      <c r="K1090" s="40">
        <v>0</v>
      </c>
      <c r="L1090" s="40">
        <v>0</v>
      </c>
      <c r="M1090" s="40">
        <f t="shared" si="33"/>
        <v>0</v>
      </c>
      <c r="N1090" s="40">
        <f t="shared" si="34"/>
        <v>25</v>
      </c>
    </row>
    <row r="1091" spans="1:14" x14ac:dyDescent="0.35">
      <c r="A1091" s="33">
        <v>1088</v>
      </c>
      <c r="B1091" s="34" t="s">
        <v>1446</v>
      </c>
      <c r="C1091" s="33" t="s">
        <v>297</v>
      </c>
      <c r="D1091" s="33" t="s">
        <v>22</v>
      </c>
      <c r="E1091" s="33" t="s">
        <v>1359</v>
      </c>
      <c r="F1091" s="35">
        <v>1</v>
      </c>
      <c r="G1091" s="40">
        <v>0</v>
      </c>
      <c r="H1091" s="40">
        <v>0</v>
      </c>
      <c r="I1091" s="40">
        <v>0</v>
      </c>
      <c r="J1091" s="40">
        <v>0</v>
      </c>
      <c r="K1091" s="40">
        <v>0</v>
      </c>
      <c r="L1091" s="40">
        <v>0</v>
      </c>
      <c r="M1091" s="40">
        <f t="shared" si="33"/>
        <v>0</v>
      </c>
      <c r="N1091" s="40">
        <f t="shared" si="34"/>
        <v>0</v>
      </c>
    </row>
    <row r="1092" spans="1:14" x14ac:dyDescent="0.35">
      <c r="A1092" s="33">
        <v>1089</v>
      </c>
      <c r="B1092" s="34" t="s">
        <v>1447</v>
      </c>
      <c r="C1092" s="33" t="s">
        <v>297</v>
      </c>
      <c r="D1092" s="33" t="s">
        <v>22</v>
      </c>
      <c r="E1092" s="33" t="s">
        <v>1359</v>
      </c>
      <c r="F1092" s="35">
        <v>1</v>
      </c>
      <c r="G1092" s="40">
        <v>0</v>
      </c>
      <c r="H1092" s="40">
        <v>0</v>
      </c>
      <c r="I1092" s="40">
        <v>0</v>
      </c>
      <c r="J1092" s="40">
        <v>0</v>
      </c>
      <c r="K1092" s="40">
        <v>0</v>
      </c>
      <c r="L1092" s="40">
        <v>0</v>
      </c>
      <c r="M1092" s="40">
        <f t="shared" si="33"/>
        <v>0</v>
      </c>
      <c r="N1092" s="40">
        <f t="shared" si="34"/>
        <v>0</v>
      </c>
    </row>
    <row r="1093" spans="1:14" x14ac:dyDescent="0.35">
      <c r="A1093" s="33">
        <v>1090</v>
      </c>
      <c r="B1093" s="34" t="s">
        <v>1448</v>
      </c>
      <c r="C1093" s="33" t="s">
        <v>297</v>
      </c>
      <c r="D1093" s="33" t="s">
        <v>22</v>
      </c>
      <c r="E1093" s="33" t="s">
        <v>1359</v>
      </c>
      <c r="F1093" s="35">
        <v>1</v>
      </c>
      <c r="G1093" s="40">
        <v>0</v>
      </c>
      <c r="H1093" s="40">
        <v>0</v>
      </c>
      <c r="I1093" s="40">
        <v>0</v>
      </c>
      <c r="J1093" s="40">
        <v>0</v>
      </c>
      <c r="K1093" s="40">
        <v>0</v>
      </c>
      <c r="L1093" s="40">
        <v>0</v>
      </c>
      <c r="M1093" s="40">
        <f t="shared" ref="M1093:M1156" si="35">G1093+I1093+K1093</f>
        <v>0</v>
      </c>
      <c r="N1093" s="40">
        <f t="shared" ref="N1093:N1156" si="36">H1093+J1093+L1093</f>
        <v>0</v>
      </c>
    </row>
    <row r="1094" spans="1:14" x14ac:dyDescent="0.35">
      <c r="A1094" s="33">
        <v>1091</v>
      </c>
      <c r="B1094" s="34" t="s">
        <v>1449</v>
      </c>
      <c r="C1094" s="33" t="s">
        <v>297</v>
      </c>
      <c r="D1094" s="33" t="s">
        <v>22</v>
      </c>
      <c r="E1094" s="33" t="s">
        <v>1359</v>
      </c>
      <c r="F1094" s="35">
        <v>1</v>
      </c>
      <c r="G1094" s="40">
        <v>0</v>
      </c>
      <c r="H1094" s="40">
        <v>0</v>
      </c>
      <c r="I1094" s="40">
        <v>0</v>
      </c>
      <c r="J1094" s="40">
        <v>0</v>
      </c>
      <c r="K1094" s="40">
        <v>0</v>
      </c>
      <c r="L1094" s="40">
        <v>0</v>
      </c>
      <c r="M1094" s="40">
        <f t="shared" si="35"/>
        <v>0</v>
      </c>
      <c r="N1094" s="40">
        <f t="shared" si="36"/>
        <v>0</v>
      </c>
    </row>
    <row r="1095" spans="1:14" x14ac:dyDescent="0.35">
      <c r="A1095" s="33">
        <v>1092</v>
      </c>
      <c r="B1095" s="34" t="s">
        <v>1450</v>
      </c>
      <c r="C1095" s="33" t="s">
        <v>297</v>
      </c>
      <c r="D1095" s="33" t="s">
        <v>22</v>
      </c>
      <c r="E1095" s="33" t="s">
        <v>1359</v>
      </c>
      <c r="F1095" s="35">
        <v>1</v>
      </c>
      <c r="G1095" s="40">
        <v>0</v>
      </c>
      <c r="H1095" s="40">
        <v>0</v>
      </c>
      <c r="I1095" s="40">
        <v>0</v>
      </c>
      <c r="J1095" s="40">
        <v>0</v>
      </c>
      <c r="K1095" s="40">
        <v>0</v>
      </c>
      <c r="L1095" s="40">
        <v>0</v>
      </c>
      <c r="M1095" s="40">
        <f t="shared" si="35"/>
        <v>0</v>
      </c>
      <c r="N1095" s="40">
        <f t="shared" si="36"/>
        <v>0</v>
      </c>
    </row>
    <row r="1096" spans="1:14" x14ac:dyDescent="0.35">
      <c r="A1096" s="33">
        <v>1093</v>
      </c>
      <c r="B1096" s="34" t="s">
        <v>1451</v>
      </c>
      <c r="C1096" s="33" t="s">
        <v>297</v>
      </c>
      <c r="D1096" s="33" t="s">
        <v>22</v>
      </c>
      <c r="E1096" s="33" t="s">
        <v>1359</v>
      </c>
      <c r="F1096" s="35">
        <v>1</v>
      </c>
      <c r="G1096" s="40">
        <v>0</v>
      </c>
      <c r="H1096" s="40">
        <v>0</v>
      </c>
      <c r="I1096" s="40">
        <v>0</v>
      </c>
      <c r="J1096" s="40">
        <v>0</v>
      </c>
      <c r="K1096" s="40">
        <v>0</v>
      </c>
      <c r="L1096" s="40">
        <v>0</v>
      </c>
      <c r="M1096" s="40">
        <f t="shared" si="35"/>
        <v>0</v>
      </c>
      <c r="N1096" s="40">
        <f t="shared" si="36"/>
        <v>0</v>
      </c>
    </row>
    <row r="1097" spans="1:14" x14ac:dyDescent="0.35">
      <c r="A1097" s="33">
        <v>1094</v>
      </c>
      <c r="B1097" s="34" t="s">
        <v>1452</v>
      </c>
      <c r="C1097" s="33" t="s">
        <v>297</v>
      </c>
      <c r="D1097" s="33" t="s">
        <v>22</v>
      </c>
      <c r="E1097" s="33" t="s">
        <v>1359</v>
      </c>
      <c r="F1097" s="35">
        <v>1</v>
      </c>
      <c r="G1097" s="40">
        <v>0</v>
      </c>
      <c r="H1097" s="40">
        <v>0</v>
      </c>
      <c r="I1097" s="40">
        <v>0</v>
      </c>
      <c r="J1097" s="40">
        <v>0</v>
      </c>
      <c r="K1097" s="40">
        <v>0</v>
      </c>
      <c r="L1097" s="40">
        <v>0</v>
      </c>
      <c r="M1097" s="40">
        <f t="shared" si="35"/>
        <v>0</v>
      </c>
      <c r="N1097" s="40">
        <f t="shared" si="36"/>
        <v>0</v>
      </c>
    </row>
    <row r="1098" spans="1:14" x14ac:dyDescent="0.35">
      <c r="A1098" s="33">
        <v>1095</v>
      </c>
      <c r="B1098" s="34" t="s">
        <v>1453</v>
      </c>
      <c r="C1098" s="33" t="s">
        <v>297</v>
      </c>
      <c r="D1098" s="33" t="s">
        <v>22</v>
      </c>
      <c r="E1098" s="33" t="s">
        <v>1359</v>
      </c>
      <c r="F1098" s="35">
        <v>1</v>
      </c>
      <c r="G1098" s="40">
        <v>0</v>
      </c>
      <c r="H1098" s="40">
        <v>0</v>
      </c>
      <c r="I1098" s="40">
        <v>0</v>
      </c>
      <c r="J1098" s="40">
        <v>0</v>
      </c>
      <c r="K1098" s="40">
        <v>0</v>
      </c>
      <c r="L1098" s="40">
        <v>0</v>
      </c>
      <c r="M1098" s="40">
        <f t="shared" si="35"/>
        <v>0</v>
      </c>
      <c r="N1098" s="40">
        <f t="shared" si="36"/>
        <v>0</v>
      </c>
    </row>
    <row r="1099" spans="1:14" x14ac:dyDescent="0.35">
      <c r="A1099" s="33">
        <v>1096</v>
      </c>
      <c r="B1099" s="34" t="s">
        <v>1454</v>
      </c>
      <c r="C1099" s="33" t="s">
        <v>297</v>
      </c>
      <c r="D1099" s="33" t="s">
        <v>22</v>
      </c>
      <c r="E1099" s="33" t="s">
        <v>1359</v>
      </c>
      <c r="F1099" s="35">
        <v>1</v>
      </c>
      <c r="G1099" s="40">
        <v>0</v>
      </c>
      <c r="H1099" s="40">
        <v>0</v>
      </c>
      <c r="I1099" s="40">
        <v>0</v>
      </c>
      <c r="J1099" s="40">
        <v>0</v>
      </c>
      <c r="K1099" s="40">
        <v>0</v>
      </c>
      <c r="L1099" s="40">
        <v>0</v>
      </c>
      <c r="M1099" s="40">
        <f t="shared" si="35"/>
        <v>0</v>
      </c>
      <c r="N1099" s="40">
        <f t="shared" si="36"/>
        <v>0</v>
      </c>
    </row>
    <row r="1100" spans="1:14" x14ac:dyDescent="0.35">
      <c r="A1100" s="33">
        <v>1097</v>
      </c>
      <c r="B1100" s="34" t="s">
        <v>1455</v>
      </c>
      <c r="C1100" s="33" t="s">
        <v>297</v>
      </c>
      <c r="D1100" s="33" t="s">
        <v>22</v>
      </c>
      <c r="E1100" s="33" t="s">
        <v>1359</v>
      </c>
      <c r="F1100" s="35">
        <v>1</v>
      </c>
      <c r="G1100" s="40">
        <v>0</v>
      </c>
      <c r="H1100" s="40">
        <v>350</v>
      </c>
      <c r="I1100" s="40">
        <v>0</v>
      </c>
      <c r="J1100" s="40">
        <v>0</v>
      </c>
      <c r="K1100" s="40">
        <v>0</v>
      </c>
      <c r="L1100" s="40">
        <v>0</v>
      </c>
      <c r="M1100" s="40">
        <f t="shared" si="35"/>
        <v>0</v>
      </c>
      <c r="N1100" s="40">
        <f t="shared" si="36"/>
        <v>350</v>
      </c>
    </row>
    <row r="1101" spans="1:14" x14ac:dyDescent="0.35">
      <c r="A1101" s="33">
        <v>1098</v>
      </c>
      <c r="B1101" s="34" t="s">
        <v>63</v>
      </c>
      <c r="C1101" s="33" t="s">
        <v>297</v>
      </c>
      <c r="D1101" s="33" t="s">
        <v>22</v>
      </c>
      <c r="E1101" s="33" t="s">
        <v>1359</v>
      </c>
      <c r="F1101" s="35">
        <v>1</v>
      </c>
      <c r="G1101" s="40">
        <v>0</v>
      </c>
      <c r="H1101" s="40">
        <v>39</v>
      </c>
      <c r="I1101" s="40">
        <v>0</v>
      </c>
      <c r="J1101" s="40">
        <v>0</v>
      </c>
      <c r="K1101" s="40">
        <v>0</v>
      </c>
      <c r="L1101" s="40">
        <v>0</v>
      </c>
      <c r="M1101" s="40">
        <f t="shared" si="35"/>
        <v>0</v>
      </c>
      <c r="N1101" s="40">
        <f t="shared" si="36"/>
        <v>39</v>
      </c>
    </row>
    <row r="1102" spans="1:14" x14ac:dyDescent="0.35">
      <c r="A1102" s="33">
        <v>1099</v>
      </c>
      <c r="B1102" s="34" t="s">
        <v>1456</v>
      </c>
      <c r="C1102" s="33" t="s">
        <v>297</v>
      </c>
      <c r="D1102" s="33" t="s">
        <v>22</v>
      </c>
      <c r="E1102" s="33" t="s">
        <v>1359</v>
      </c>
      <c r="F1102" s="35">
        <v>1</v>
      </c>
      <c r="G1102" s="40">
        <v>0</v>
      </c>
      <c r="H1102" s="40">
        <v>0</v>
      </c>
      <c r="I1102" s="40">
        <v>0</v>
      </c>
      <c r="J1102" s="40">
        <v>0</v>
      </c>
      <c r="K1102" s="40">
        <v>0</v>
      </c>
      <c r="L1102" s="40">
        <v>0</v>
      </c>
      <c r="M1102" s="40">
        <f t="shared" si="35"/>
        <v>0</v>
      </c>
      <c r="N1102" s="40">
        <f t="shared" si="36"/>
        <v>0</v>
      </c>
    </row>
    <row r="1103" spans="1:14" x14ac:dyDescent="0.35">
      <c r="A1103" s="33">
        <v>1100</v>
      </c>
      <c r="B1103" s="34" t="s">
        <v>1457</v>
      </c>
      <c r="C1103" s="33" t="s">
        <v>297</v>
      </c>
      <c r="D1103" s="33" t="s">
        <v>22</v>
      </c>
      <c r="E1103" s="33" t="s">
        <v>1359</v>
      </c>
      <c r="F1103" s="35">
        <v>1</v>
      </c>
      <c r="G1103" s="40">
        <v>0</v>
      </c>
      <c r="H1103" s="40">
        <v>0</v>
      </c>
      <c r="I1103" s="40">
        <v>0</v>
      </c>
      <c r="J1103" s="40">
        <v>0</v>
      </c>
      <c r="K1103" s="40">
        <v>0</v>
      </c>
      <c r="L1103" s="40">
        <v>0</v>
      </c>
      <c r="M1103" s="40">
        <f t="shared" si="35"/>
        <v>0</v>
      </c>
      <c r="N1103" s="40">
        <f t="shared" si="36"/>
        <v>0</v>
      </c>
    </row>
    <row r="1104" spans="1:14" x14ac:dyDescent="0.35">
      <c r="A1104" s="33">
        <v>1101</v>
      </c>
      <c r="B1104" s="34" t="s">
        <v>1458</v>
      </c>
      <c r="C1104" s="33" t="s">
        <v>297</v>
      </c>
      <c r="D1104" s="33" t="s">
        <v>22</v>
      </c>
      <c r="E1104" s="33" t="s">
        <v>1359</v>
      </c>
      <c r="F1104" s="35">
        <v>1</v>
      </c>
      <c r="G1104" s="40">
        <v>0</v>
      </c>
      <c r="H1104" s="40">
        <v>0</v>
      </c>
      <c r="I1104" s="40">
        <v>0</v>
      </c>
      <c r="J1104" s="40">
        <v>0</v>
      </c>
      <c r="K1104" s="40">
        <v>0</v>
      </c>
      <c r="L1104" s="40">
        <v>0</v>
      </c>
      <c r="M1104" s="40">
        <f t="shared" si="35"/>
        <v>0</v>
      </c>
      <c r="N1104" s="40">
        <f t="shared" si="36"/>
        <v>0</v>
      </c>
    </row>
    <row r="1105" spans="1:14" x14ac:dyDescent="0.35">
      <c r="A1105" s="33">
        <v>1102</v>
      </c>
      <c r="B1105" s="34" t="s">
        <v>1459</v>
      </c>
      <c r="C1105" s="33" t="s">
        <v>297</v>
      </c>
      <c r="D1105" s="33" t="s">
        <v>22</v>
      </c>
      <c r="E1105" s="33" t="s">
        <v>1359</v>
      </c>
      <c r="F1105" s="35">
        <v>1</v>
      </c>
      <c r="G1105" s="40">
        <v>0</v>
      </c>
      <c r="H1105" s="40">
        <v>0</v>
      </c>
      <c r="I1105" s="40">
        <v>0</v>
      </c>
      <c r="J1105" s="40">
        <v>0</v>
      </c>
      <c r="K1105" s="40">
        <v>0</v>
      </c>
      <c r="L1105" s="40">
        <v>0</v>
      </c>
      <c r="M1105" s="40">
        <f t="shared" si="35"/>
        <v>0</v>
      </c>
      <c r="N1105" s="40">
        <f t="shared" si="36"/>
        <v>0</v>
      </c>
    </row>
    <row r="1106" spans="1:14" x14ac:dyDescent="0.35">
      <c r="A1106" s="33">
        <v>1103</v>
      </c>
      <c r="B1106" s="34" t="s">
        <v>1460</v>
      </c>
      <c r="C1106" s="33" t="s">
        <v>297</v>
      </c>
      <c r="D1106" s="33" t="s">
        <v>22</v>
      </c>
      <c r="E1106" s="33" t="s">
        <v>1359</v>
      </c>
      <c r="F1106" s="35">
        <v>1</v>
      </c>
      <c r="G1106" s="40">
        <v>0</v>
      </c>
      <c r="H1106" s="40">
        <v>0</v>
      </c>
      <c r="I1106" s="40">
        <v>0</v>
      </c>
      <c r="J1106" s="40">
        <v>0</v>
      </c>
      <c r="K1106" s="40">
        <v>0</v>
      </c>
      <c r="L1106" s="40">
        <v>0</v>
      </c>
      <c r="M1106" s="40">
        <f t="shared" si="35"/>
        <v>0</v>
      </c>
      <c r="N1106" s="40">
        <f t="shared" si="36"/>
        <v>0</v>
      </c>
    </row>
    <row r="1107" spans="1:14" x14ac:dyDescent="0.35">
      <c r="A1107" s="33">
        <v>1104</v>
      </c>
      <c r="B1107" s="34" t="s">
        <v>1461</v>
      </c>
      <c r="C1107" s="33" t="s">
        <v>297</v>
      </c>
      <c r="D1107" s="33" t="s">
        <v>22</v>
      </c>
      <c r="E1107" s="33" t="s">
        <v>1359</v>
      </c>
      <c r="F1107" s="35">
        <v>1</v>
      </c>
      <c r="G1107" s="40">
        <v>0</v>
      </c>
      <c r="H1107" s="40">
        <v>0</v>
      </c>
      <c r="I1107" s="40">
        <v>0</v>
      </c>
      <c r="J1107" s="40">
        <v>0</v>
      </c>
      <c r="K1107" s="40">
        <v>0</v>
      </c>
      <c r="L1107" s="40">
        <v>0</v>
      </c>
      <c r="M1107" s="40">
        <f t="shared" si="35"/>
        <v>0</v>
      </c>
      <c r="N1107" s="40">
        <f t="shared" si="36"/>
        <v>0</v>
      </c>
    </row>
    <row r="1108" spans="1:14" x14ac:dyDescent="0.35">
      <c r="A1108" s="33">
        <v>1105</v>
      </c>
      <c r="B1108" s="34" t="s">
        <v>1462</v>
      </c>
      <c r="C1108" s="33" t="s">
        <v>297</v>
      </c>
      <c r="D1108" s="33" t="s">
        <v>22</v>
      </c>
      <c r="E1108" s="33" t="s">
        <v>1359</v>
      </c>
      <c r="F1108" s="35">
        <v>1</v>
      </c>
      <c r="G1108" s="40">
        <v>0</v>
      </c>
      <c r="H1108" s="40">
        <v>0</v>
      </c>
      <c r="I1108" s="40">
        <v>0</v>
      </c>
      <c r="J1108" s="40">
        <v>0</v>
      </c>
      <c r="K1108" s="40">
        <v>0</v>
      </c>
      <c r="L1108" s="40">
        <v>0</v>
      </c>
      <c r="M1108" s="40">
        <f t="shared" si="35"/>
        <v>0</v>
      </c>
      <c r="N1108" s="40">
        <f t="shared" si="36"/>
        <v>0</v>
      </c>
    </row>
    <row r="1109" spans="1:14" x14ac:dyDescent="0.35">
      <c r="A1109" s="33">
        <v>1106</v>
      </c>
      <c r="B1109" s="34" t="s">
        <v>1463</v>
      </c>
      <c r="C1109" s="33" t="s">
        <v>297</v>
      </c>
      <c r="D1109" s="33" t="s">
        <v>22</v>
      </c>
      <c r="E1109" s="33" t="s">
        <v>1359</v>
      </c>
      <c r="F1109" s="35">
        <v>1</v>
      </c>
      <c r="G1109" s="40">
        <v>0</v>
      </c>
      <c r="H1109" s="40">
        <v>0</v>
      </c>
      <c r="I1109" s="40">
        <v>0</v>
      </c>
      <c r="J1109" s="40">
        <v>0</v>
      </c>
      <c r="K1109" s="40">
        <v>0</v>
      </c>
      <c r="L1109" s="40">
        <v>0</v>
      </c>
      <c r="M1109" s="40">
        <f t="shared" si="35"/>
        <v>0</v>
      </c>
      <c r="N1109" s="40">
        <f t="shared" si="36"/>
        <v>0</v>
      </c>
    </row>
    <row r="1110" spans="1:14" x14ac:dyDescent="0.35">
      <c r="A1110" s="33">
        <v>1107</v>
      </c>
      <c r="B1110" s="34" t="s">
        <v>1464</v>
      </c>
      <c r="C1110" s="33" t="s">
        <v>297</v>
      </c>
      <c r="D1110" s="33" t="s">
        <v>22</v>
      </c>
      <c r="E1110" s="33" t="s">
        <v>1359</v>
      </c>
      <c r="F1110" s="35">
        <v>1</v>
      </c>
      <c r="G1110" s="40">
        <v>0</v>
      </c>
      <c r="H1110" s="40">
        <v>0</v>
      </c>
      <c r="I1110" s="40">
        <v>0</v>
      </c>
      <c r="J1110" s="40">
        <v>0</v>
      </c>
      <c r="K1110" s="40">
        <v>0</v>
      </c>
      <c r="L1110" s="40">
        <v>0</v>
      </c>
      <c r="M1110" s="40">
        <f t="shared" si="35"/>
        <v>0</v>
      </c>
      <c r="N1110" s="40">
        <f t="shared" si="36"/>
        <v>0</v>
      </c>
    </row>
    <row r="1111" spans="1:14" x14ac:dyDescent="0.35">
      <c r="A1111" s="33">
        <v>1108</v>
      </c>
      <c r="B1111" s="34" t="s">
        <v>1465</v>
      </c>
      <c r="C1111" s="33" t="s">
        <v>297</v>
      </c>
      <c r="D1111" s="33" t="s">
        <v>22</v>
      </c>
      <c r="E1111" s="33" t="s">
        <v>1359</v>
      </c>
      <c r="F1111" s="35">
        <v>1</v>
      </c>
      <c r="G1111" s="40">
        <v>0</v>
      </c>
      <c r="H1111" s="40">
        <v>0</v>
      </c>
      <c r="I1111" s="40">
        <v>0</v>
      </c>
      <c r="J1111" s="40">
        <v>0</v>
      </c>
      <c r="K1111" s="40">
        <v>0</v>
      </c>
      <c r="L1111" s="40">
        <v>0</v>
      </c>
      <c r="M1111" s="40">
        <f t="shared" si="35"/>
        <v>0</v>
      </c>
      <c r="N1111" s="40">
        <f t="shared" si="36"/>
        <v>0</v>
      </c>
    </row>
    <row r="1112" spans="1:14" x14ac:dyDescent="0.35">
      <c r="A1112" s="33">
        <v>1109</v>
      </c>
      <c r="B1112" s="34" t="s">
        <v>1466</v>
      </c>
      <c r="C1112" s="33" t="s">
        <v>297</v>
      </c>
      <c r="D1112" s="33" t="s">
        <v>22</v>
      </c>
      <c r="E1112" s="33" t="s">
        <v>1359</v>
      </c>
      <c r="F1112" s="35">
        <v>1</v>
      </c>
      <c r="G1112" s="40">
        <v>0</v>
      </c>
      <c r="H1112" s="40">
        <v>0</v>
      </c>
      <c r="I1112" s="40">
        <v>0</v>
      </c>
      <c r="J1112" s="40">
        <v>0</v>
      </c>
      <c r="K1112" s="40">
        <v>0</v>
      </c>
      <c r="L1112" s="40">
        <v>0</v>
      </c>
      <c r="M1112" s="40">
        <f t="shared" si="35"/>
        <v>0</v>
      </c>
      <c r="N1112" s="40">
        <f t="shared" si="36"/>
        <v>0</v>
      </c>
    </row>
    <row r="1113" spans="1:14" x14ac:dyDescent="0.35">
      <c r="A1113" s="33">
        <v>1110</v>
      </c>
      <c r="B1113" s="34" t="s">
        <v>1467</v>
      </c>
      <c r="C1113" s="33" t="s">
        <v>346</v>
      </c>
      <c r="D1113" s="33" t="s">
        <v>22</v>
      </c>
      <c r="E1113" s="33" t="s">
        <v>1359</v>
      </c>
      <c r="F1113" s="35">
        <v>1</v>
      </c>
      <c r="G1113" s="40">
        <v>0</v>
      </c>
      <c r="H1113" s="40">
        <v>0</v>
      </c>
      <c r="I1113" s="40">
        <v>0</v>
      </c>
      <c r="J1113" s="40">
        <v>0</v>
      </c>
      <c r="K1113" s="40">
        <v>0</v>
      </c>
      <c r="L1113" s="40">
        <v>0</v>
      </c>
      <c r="M1113" s="40">
        <f t="shared" si="35"/>
        <v>0</v>
      </c>
      <c r="N1113" s="40">
        <f t="shared" si="36"/>
        <v>0</v>
      </c>
    </row>
    <row r="1114" spans="1:14" x14ac:dyDescent="0.35">
      <c r="A1114" s="33">
        <v>1111</v>
      </c>
      <c r="B1114" s="34" t="s">
        <v>1468</v>
      </c>
      <c r="C1114" s="33" t="s">
        <v>346</v>
      </c>
      <c r="D1114" s="33" t="s">
        <v>22</v>
      </c>
      <c r="E1114" s="33" t="s">
        <v>1359</v>
      </c>
      <c r="F1114" s="35">
        <v>0.25</v>
      </c>
      <c r="G1114" s="40">
        <v>0</v>
      </c>
      <c r="H1114" s="40">
        <v>0</v>
      </c>
      <c r="I1114" s="40">
        <v>0</v>
      </c>
      <c r="J1114" s="40">
        <v>0</v>
      </c>
      <c r="K1114" s="40">
        <v>0</v>
      </c>
      <c r="L1114" s="40">
        <v>0</v>
      </c>
      <c r="M1114" s="40">
        <f t="shared" si="35"/>
        <v>0</v>
      </c>
      <c r="N1114" s="40">
        <f t="shared" si="36"/>
        <v>0</v>
      </c>
    </row>
    <row r="1115" spans="1:14" x14ac:dyDescent="0.35">
      <c r="A1115" s="33">
        <v>1112</v>
      </c>
      <c r="B1115" s="34" t="s">
        <v>1469</v>
      </c>
      <c r="C1115" s="33" t="s">
        <v>297</v>
      </c>
      <c r="D1115" s="33" t="s">
        <v>208</v>
      </c>
      <c r="E1115" s="33" t="s">
        <v>1469</v>
      </c>
      <c r="F1115" s="35">
        <v>1</v>
      </c>
      <c r="G1115" s="40">
        <v>0</v>
      </c>
      <c r="H1115" s="40">
        <v>0</v>
      </c>
      <c r="I1115" s="40">
        <v>0</v>
      </c>
      <c r="J1115" s="40">
        <v>0</v>
      </c>
      <c r="K1115" s="40">
        <v>0</v>
      </c>
      <c r="L1115" s="40">
        <v>0</v>
      </c>
      <c r="M1115" s="40">
        <f t="shared" si="35"/>
        <v>0</v>
      </c>
      <c r="N1115" s="40">
        <f t="shared" si="36"/>
        <v>0</v>
      </c>
    </row>
    <row r="1116" spans="1:14" x14ac:dyDescent="0.35">
      <c r="A1116" s="33">
        <v>1113</v>
      </c>
      <c r="B1116" s="34" t="s">
        <v>1477</v>
      </c>
      <c r="C1116" s="33" t="s">
        <v>346</v>
      </c>
      <c r="D1116" s="33" t="s">
        <v>208</v>
      </c>
      <c r="E1116" s="33" t="s">
        <v>1478</v>
      </c>
      <c r="F1116" s="35">
        <v>0.06</v>
      </c>
      <c r="G1116" s="40">
        <v>0</v>
      </c>
      <c r="H1116" s="40">
        <v>0</v>
      </c>
      <c r="I1116" s="40">
        <v>0</v>
      </c>
      <c r="J1116" s="40">
        <v>0</v>
      </c>
      <c r="K1116" s="40">
        <v>0</v>
      </c>
      <c r="L1116" s="40">
        <v>0</v>
      </c>
      <c r="M1116" s="40">
        <f t="shared" si="35"/>
        <v>0</v>
      </c>
      <c r="N1116" s="40">
        <f t="shared" si="36"/>
        <v>0</v>
      </c>
    </row>
    <row r="1117" spans="1:14" x14ac:dyDescent="0.35">
      <c r="A1117" s="33">
        <v>1114</v>
      </c>
      <c r="B1117" s="34" t="s">
        <v>1479</v>
      </c>
      <c r="C1117" s="33" t="s">
        <v>346</v>
      </c>
      <c r="D1117" s="33" t="s">
        <v>208</v>
      </c>
      <c r="E1117" s="33" t="s">
        <v>1478</v>
      </c>
      <c r="F1117" s="35">
        <v>0.06</v>
      </c>
      <c r="G1117" s="40">
        <v>0</v>
      </c>
      <c r="H1117" s="40">
        <v>0</v>
      </c>
      <c r="I1117" s="40">
        <v>0</v>
      </c>
      <c r="J1117" s="40">
        <v>0</v>
      </c>
      <c r="K1117" s="40">
        <v>0</v>
      </c>
      <c r="L1117" s="40">
        <v>0</v>
      </c>
      <c r="M1117" s="40">
        <f t="shared" si="35"/>
        <v>0</v>
      </c>
      <c r="N1117" s="40">
        <f t="shared" si="36"/>
        <v>0</v>
      </c>
    </row>
    <row r="1118" spans="1:14" x14ac:dyDescent="0.35">
      <c r="A1118" s="33">
        <v>1115</v>
      </c>
      <c r="B1118" s="34" t="s">
        <v>1480</v>
      </c>
      <c r="C1118" s="33" t="s">
        <v>346</v>
      </c>
      <c r="D1118" s="33" t="s">
        <v>208</v>
      </c>
      <c r="E1118" s="33" t="s">
        <v>1478</v>
      </c>
      <c r="F1118" s="35">
        <v>0.06</v>
      </c>
      <c r="G1118" s="40">
        <v>0</v>
      </c>
      <c r="H1118" s="40">
        <v>0</v>
      </c>
      <c r="I1118" s="40">
        <v>0</v>
      </c>
      <c r="J1118" s="40">
        <v>0</v>
      </c>
      <c r="K1118" s="40">
        <v>0</v>
      </c>
      <c r="L1118" s="40">
        <v>0</v>
      </c>
      <c r="M1118" s="40">
        <f t="shared" si="35"/>
        <v>0</v>
      </c>
      <c r="N1118" s="40">
        <f t="shared" si="36"/>
        <v>0</v>
      </c>
    </row>
    <row r="1119" spans="1:14" x14ac:dyDescent="0.35">
      <c r="A1119" s="33">
        <v>1116</v>
      </c>
      <c r="B1119" s="34" t="s">
        <v>1481</v>
      </c>
      <c r="C1119" s="33" t="s">
        <v>346</v>
      </c>
      <c r="D1119" s="33" t="s">
        <v>208</v>
      </c>
      <c r="E1119" s="33" t="s">
        <v>1478</v>
      </c>
      <c r="F1119" s="35">
        <v>1</v>
      </c>
      <c r="G1119" s="40">
        <v>0</v>
      </c>
      <c r="H1119" s="40">
        <v>0</v>
      </c>
      <c r="I1119" s="40">
        <v>0</v>
      </c>
      <c r="J1119" s="40">
        <v>0</v>
      </c>
      <c r="K1119" s="40">
        <v>0</v>
      </c>
      <c r="L1119" s="40">
        <v>30.15</v>
      </c>
      <c r="M1119" s="40">
        <f t="shared" si="35"/>
        <v>0</v>
      </c>
      <c r="N1119" s="40">
        <f t="shared" si="36"/>
        <v>30.15</v>
      </c>
    </row>
    <row r="1120" spans="1:14" x14ac:dyDescent="0.35">
      <c r="A1120" s="33">
        <v>1117</v>
      </c>
      <c r="B1120" s="34" t="s">
        <v>1482</v>
      </c>
      <c r="C1120" s="33" t="s">
        <v>346</v>
      </c>
      <c r="D1120" s="33" t="s">
        <v>208</v>
      </c>
      <c r="E1120" s="33" t="s">
        <v>1478</v>
      </c>
      <c r="F1120" s="35">
        <v>3.5000000000000003E-2</v>
      </c>
      <c r="G1120" s="40">
        <v>0</v>
      </c>
      <c r="H1120" s="40">
        <v>0</v>
      </c>
      <c r="I1120" s="40">
        <v>0</v>
      </c>
      <c r="J1120" s="40">
        <v>0</v>
      </c>
      <c r="K1120" s="40">
        <v>0</v>
      </c>
      <c r="L1120" s="40">
        <v>0</v>
      </c>
      <c r="M1120" s="40">
        <f t="shared" si="35"/>
        <v>0</v>
      </c>
      <c r="N1120" s="40">
        <f t="shared" si="36"/>
        <v>0</v>
      </c>
    </row>
    <row r="1121" spans="1:14" x14ac:dyDescent="0.35">
      <c r="A1121" s="33">
        <v>1118</v>
      </c>
      <c r="B1121" s="34" t="s">
        <v>1483</v>
      </c>
      <c r="C1121" s="33" t="s">
        <v>346</v>
      </c>
      <c r="D1121" s="33" t="s">
        <v>208</v>
      </c>
      <c r="E1121" s="33" t="s">
        <v>1478</v>
      </c>
      <c r="F1121" s="35">
        <v>0.06</v>
      </c>
      <c r="G1121" s="40">
        <v>0</v>
      </c>
      <c r="H1121" s="40">
        <v>0</v>
      </c>
      <c r="I1121" s="40">
        <v>0</v>
      </c>
      <c r="J1121" s="40">
        <v>0</v>
      </c>
      <c r="K1121" s="40">
        <v>0</v>
      </c>
      <c r="L1121" s="40">
        <v>0</v>
      </c>
      <c r="M1121" s="40">
        <f t="shared" si="35"/>
        <v>0</v>
      </c>
      <c r="N1121" s="40">
        <f t="shared" si="36"/>
        <v>0</v>
      </c>
    </row>
    <row r="1122" spans="1:14" x14ac:dyDescent="0.35">
      <c r="A1122" s="33">
        <v>1119</v>
      </c>
      <c r="B1122" s="34" t="s">
        <v>1484</v>
      </c>
      <c r="C1122" s="33" t="s">
        <v>346</v>
      </c>
      <c r="D1122" s="33" t="s">
        <v>208</v>
      </c>
      <c r="E1122" s="33" t="s">
        <v>1478</v>
      </c>
      <c r="F1122" s="35">
        <v>0.2</v>
      </c>
      <c r="G1122" s="40">
        <v>0</v>
      </c>
      <c r="H1122" s="40">
        <v>0</v>
      </c>
      <c r="I1122" s="40">
        <v>0</v>
      </c>
      <c r="J1122" s="40">
        <v>0</v>
      </c>
      <c r="K1122" s="40">
        <v>0</v>
      </c>
      <c r="L1122" s="40">
        <v>0</v>
      </c>
      <c r="M1122" s="40">
        <f t="shared" si="35"/>
        <v>0</v>
      </c>
      <c r="N1122" s="40">
        <f t="shared" si="36"/>
        <v>0</v>
      </c>
    </row>
    <row r="1123" spans="1:14" x14ac:dyDescent="0.35">
      <c r="A1123" s="33">
        <v>1120</v>
      </c>
      <c r="B1123" s="34" t="s">
        <v>1485</v>
      </c>
      <c r="C1123" s="33" t="s">
        <v>346</v>
      </c>
      <c r="D1123" s="33" t="s">
        <v>208</v>
      </c>
      <c r="E1123" s="33" t="s">
        <v>1478</v>
      </c>
      <c r="F1123" s="35">
        <v>7.0000000000000007E-2</v>
      </c>
      <c r="G1123" s="40">
        <v>0</v>
      </c>
      <c r="H1123" s="40">
        <v>0</v>
      </c>
      <c r="I1123" s="40">
        <v>0</v>
      </c>
      <c r="J1123" s="40">
        <v>0</v>
      </c>
      <c r="K1123" s="40">
        <v>0</v>
      </c>
      <c r="L1123" s="40">
        <v>0</v>
      </c>
      <c r="M1123" s="40">
        <f t="shared" si="35"/>
        <v>0</v>
      </c>
      <c r="N1123" s="40">
        <f t="shared" si="36"/>
        <v>0</v>
      </c>
    </row>
    <row r="1124" spans="1:14" x14ac:dyDescent="0.35">
      <c r="A1124" s="33">
        <v>1121</v>
      </c>
      <c r="B1124" s="34" t="s">
        <v>1486</v>
      </c>
      <c r="C1124" s="33" t="s">
        <v>346</v>
      </c>
      <c r="D1124" s="33" t="s">
        <v>208</v>
      </c>
      <c r="E1124" s="33" t="s">
        <v>1478</v>
      </c>
      <c r="F1124" s="35">
        <v>1</v>
      </c>
      <c r="G1124" s="40">
        <v>0</v>
      </c>
      <c r="H1124" s="40">
        <v>0</v>
      </c>
      <c r="I1124" s="40">
        <v>0</v>
      </c>
      <c r="J1124" s="40">
        <v>617</v>
      </c>
      <c r="K1124" s="40">
        <v>0</v>
      </c>
      <c r="L1124" s="40">
        <v>0</v>
      </c>
      <c r="M1124" s="40">
        <f t="shared" si="35"/>
        <v>0</v>
      </c>
      <c r="N1124" s="40">
        <f t="shared" si="36"/>
        <v>617</v>
      </c>
    </row>
    <row r="1125" spans="1:14" x14ac:dyDescent="0.35">
      <c r="A1125" s="33">
        <v>1122</v>
      </c>
      <c r="B1125" s="34" t="s">
        <v>1487</v>
      </c>
      <c r="C1125" s="33" t="s">
        <v>346</v>
      </c>
      <c r="D1125" s="33" t="s">
        <v>208</v>
      </c>
      <c r="E1125" s="33" t="s">
        <v>1478</v>
      </c>
      <c r="F1125" s="35">
        <v>1</v>
      </c>
      <c r="G1125" s="40">
        <v>0</v>
      </c>
      <c r="H1125" s="40">
        <v>0</v>
      </c>
      <c r="I1125" s="40">
        <v>0</v>
      </c>
      <c r="J1125" s="40">
        <v>0</v>
      </c>
      <c r="K1125" s="40">
        <v>0</v>
      </c>
      <c r="L1125" s="40">
        <v>0</v>
      </c>
      <c r="M1125" s="40">
        <f t="shared" si="35"/>
        <v>0</v>
      </c>
      <c r="N1125" s="40">
        <f t="shared" si="36"/>
        <v>0</v>
      </c>
    </row>
    <row r="1126" spans="1:14" x14ac:dyDescent="0.35">
      <c r="A1126" s="33">
        <v>1123</v>
      </c>
      <c r="B1126" s="34" t="s">
        <v>1488</v>
      </c>
      <c r="C1126" s="33" t="s">
        <v>346</v>
      </c>
      <c r="D1126" s="33" t="s">
        <v>208</v>
      </c>
      <c r="E1126" s="33" t="s">
        <v>1478</v>
      </c>
      <c r="F1126" s="35">
        <v>1</v>
      </c>
      <c r="G1126" s="40">
        <v>0</v>
      </c>
      <c r="H1126" s="40">
        <v>0</v>
      </c>
      <c r="I1126" s="40">
        <v>0</v>
      </c>
      <c r="J1126" s="40">
        <v>0</v>
      </c>
      <c r="K1126" s="40">
        <v>0</v>
      </c>
      <c r="L1126" s="40">
        <v>0</v>
      </c>
      <c r="M1126" s="40">
        <f t="shared" si="35"/>
        <v>0</v>
      </c>
      <c r="N1126" s="40">
        <f t="shared" si="36"/>
        <v>0</v>
      </c>
    </row>
    <row r="1127" spans="1:14" x14ac:dyDescent="0.35">
      <c r="A1127" s="33">
        <v>1124</v>
      </c>
      <c r="B1127" s="34" t="s">
        <v>1489</v>
      </c>
      <c r="C1127" s="33" t="s">
        <v>346</v>
      </c>
      <c r="D1127" s="33" t="s">
        <v>208</v>
      </c>
      <c r="E1127" s="33" t="s">
        <v>1478</v>
      </c>
      <c r="F1127" s="35">
        <v>1</v>
      </c>
      <c r="G1127" s="40">
        <v>0</v>
      </c>
      <c r="H1127" s="40">
        <v>0</v>
      </c>
      <c r="I1127" s="40">
        <v>0</v>
      </c>
      <c r="J1127" s="40">
        <v>0</v>
      </c>
      <c r="K1127" s="40">
        <v>0</v>
      </c>
      <c r="L1127" s="40">
        <v>6</v>
      </c>
      <c r="M1127" s="40">
        <f t="shared" si="35"/>
        <v>0</v>
      </c>
      <c r="N1127" s="40">
        <f t="shared" si="36"/>
        <v>6</v>
      </c>
    </row>
    <row r="1128" spans="1:14" x14ac:dyDescent="0.35">
      <c r="A1128" s="33">
        <v>1125</v>
      </c>
      <c r="B1128" s="34" t="s">
        <v>1490</v>
      </c>
      <c r="C1128" s="33" t="s">
        <v>346</v>
      </c>
      <c r="D1128" s="33" t="s">
        <v>208</v>
      </c>
      <c r="E1128" s="33" t="s">
        <v>1478</v>
      </c>
      <c r="F1128" s="35">
        <v>0.11</v>
      </c>
      <c r="G1128" s="40">
        <v>0</v>
      </c>
      <c r="H1128" s="40">
        <v>0</v>
      </c>
      <c r="I1128" s="40">
        <v>0</v>
      </c>
      <c r="J1128" s="40">
        <v>0</v>
      </c>
      <c r="K1128" s="40">
        <v>0</v>
      </c>
      <c r="L1128" s="40">
        <v>0</v>
      </c>
      <c r="M1128" s="40">
        <f t="shared" si="35"/>
        <v>0</v>
      </c>
      <c r="N1128" s="40">
        <f t="shared" si="36"/>
        <v>0</v>
      </c>
    </row>
    <row r="1129" spans="1:14" x14ac:dyDescent="0.35">
      <c r="A1129" s="33">
        <v>1126</v>
      </c>
      <c r="B1129" s="34" t="s">
        <v>1491</v>
      </c>
      <c r="C1129" s="33" t="s">
        <v>346</v>
      </c>
      <c r="D1129" s="33" t="s">
        <v>208</v>
      </c>
      <c r="E1129" s="33" t="s">
        <v>1478</v>
      </c>
      <c r="F1129" s="35">
        <v>0.1</v>
      </c>
      <c r="G1129" s="40">
        <v>0</v>
      </c>
      <c r="H1129" s="40">
        <v>0</v>
      </c>
      <c r="I1129" s="40">
        <v>0</v>
      </c>
      <c r="J1129" s="40">
        <v>0</v>
      </c>
      <c r="K1129" s="40">
        <v>0</v>
      </c>
      <c r="L1129" s="40">
        <v>0</v>
      </c>
      <c r="M1129" s="40">
        <f t="shared" si="35"/>
        <v>0</v>
      </c>
      <c r="N1129" s="40">
        <f t="shared" si="36"/>
        <v>0</v>
      </c>
    </row>
    <row r="1130" spans="1:14" x14ac:dyDescent="0.35">
      <c r="A1130" s="33">
        <v>1127</v>
      </c>
      <c r="B1130" s="34" t="s">
        <v>1492</v>
      </c>
      <c r="C1130" s="33" t="s">
        <v>346</v>
      </c>
      <c r="D1130" s="33" t="s">
        <v>208</v>
      </c>
      <c r="E1130" s="33" t="s">
        <v>1478</v>
      </c>
      <c r="F1130" s="35">
        <v>2.5000000000000001E-2</v>
      </c>
      <c r="G1130" s="40">
        <v>0</v>
      </c>
      <c r="H1130" s="40">
        <v>0</v>
      </c>
      <c r="I1130" s="40">
        <v>0</v>
      </c>
      <c r="J1130" s="40">
        <v>0</v>
      </c>
      <c r="K1130" s="40">
        <v>0</v>
      </c>
      <c r="L1130" s="40">
        <v>0</v>
      </c>
      <c r="M1130" s="40">
        <f t="shared" si="35"/>
        <v>0</v>
      </c>
      <c r="N1130" s="40">
        <f t="shared" si="36"/>
        <v>0</v>
      </c>
    </row>
    <row r="1131" spans="1:14" x14ac:dyDescent="0.35">
      <c r="A1131" s="33">
        <v>1128</v>
      </c>
      <c r="B1131" s="34" t="s">
        <v>1493</v>
      </c>
      <c r="C1131" s="33" t="s">
        <v>346</v>
      </c>
      <c r="D1131" s="33" t="s">
        <v>208</v>
      </c>
      <c r="E1131" s="33" t="s">
        <v>1478</v>
      </c>
      <c r="F1131" s="35">
        <v>2.5000000000000001E-2</v>
      </c>
      <c r="G1131" s="40">
        <v>0</v>
      </c>
      <c r="H1131" s="40">
        <v>0</v>
      </c>
      <c r="I1131" s="40">
        <v>0</v>
      </c>
      <c r="J1131" s="40">
        <v>0</v>
      </c>
      <c r="K1131" s="40">
        <v>0</v>
      </c>
      <c r="L1131" s="40">
        <v>0</v>
      </c>
      <c r="M1131" s="40">
        <f t="shared" si="35"/>
        <v>0</v>
      </c>
      <c r="N1131" s="40">
        <f t="shared" si="36"/>
        <v>0</v>
      </c>
    </row>
    <row r="1132" spans="1:14" x14ac:dyDescent="0.35">
      <c r="A1132" s="33">
        <v>1129</v>
      </c>
      <c r="B1132" s="34" t="s">
        <v>1494</v>
      </c>
      <c r="C1132" s="33" t="s">
        <v>346</v>
      </c>
      <c r="D1132" s="33" t="s">
        <v>208</v>
      </c>
      <c r="E1132" s="33" t="s">
        <v>1478</v>
      </c>
      <c r="F1132" s="35">
        <v>1</v>
      </c>
      <c r="G1132" s="40">
        <v>0</v>
      </c>
      <c r="H1132" s="40">
        <v>0</v>
      </c>
      <c r="I1132" s="40">
        <v>0</v>
      </c>
      <c r="J1132" s="40">
        <v>0</v>
      </c>
      <c r="K1132" s="40">
        <v>0</v>
      </c>
      <c r="L1132" s="40">
        <v>0</v>
      </c>
      <c r="M1132" s="40">
        <f t="shared" si="35"/>
        <v>0</v>
      </c>
      <c r="N1132" s="40">
        <f t="shared" si="36"/>
        <v>0</v>
      </c>
    </row>
    <row r="1133" spans="1:14" x14ac:dyDescent="0.35">
      <c r="A1133" s="33">
        <v>1130</v>
      </c>
      <c r="B1133" s="34" t="s">
        <v>1495</v>
      </c>
      <c r="C1133" s="33" t="s">
        <v>346</v>
      </c>
      <c r="D1133" s="33" t="s">
        <v>208</v>
      </c>
      <c r="E1133" s="33" t="s">
        <v>1478</v>
      </c>
      <c r="F1133" s="35">
        <v>1</v>
      </c>
      <c r="G1133" s="40">
        <v>0</v>
      </c>
      <c r="H1133" s="40">
        <v>0</v>
      </c>
      <c r="I1133" s="40">
        <v>0</v>
      </c>
      <c r="J1133" s="40">
        <v>0</v>
      </c>
      <c r="K1133" s="40">
        <v>0</v>
      </c>
      <c r="L1133" s="40">
        <v>10</v>
      </c>
      <c r="M1133" s="40">
        <f t="shared" si="35"/>
        <v>0</v>
      </c>
      <c r="N1133" s="40">
        <f t="shared" si="36"/>
        <v>10</v>
      </c>
    </row>
    <row r="1134" spans="1:14" x14ac:dyDescent="0.35">
      <c r="A1134" s="33">
        <v>1131</v>
      </c>
      <c r="B1134" s="34" t="s">
        <v>1496</v>
      </c>
      <c r="C1134" s="33" t="s">
        <v>346</v>
      </c>
      <c r="D1134" s="33" t="s">
        <v>208</v>
      </c>
      <c r="E1134" s="33" t="s">
        <v>1478</v>
      </c>
      <c r="F1134" s="35">
        <v>0.1</v>
      </c>
      <c r="G1134" s="40">
        <v>0</v>
      </c>
      <c r="H1134" s="40">
        <v>0</v>
      </c>
      <c r="I1134" s="40">
        <v>0</v>
      </c>
      <c r="J1134" s="40">
        <v>0</v>
      </c>
      <c r="K1134" s="40">
        <v>0</v>
      </c>
      <c r="L1134" s="40">
        <v>0</v>
      </c>
      <c r="M1134" s="40">
        <f t="shared" si="35"/>
        <v>0</v>
      </c>
      <c r="N1134" s="40">
        <f t="shared" si="36"/>
        <v>0</v>
      </c>
    </row>
    <row r="1135" spans="1:14" x14ac:dyDescent="0.35">
      <c r="A1135" s="33">
        <v>1132</v>
      </c>
      <c r="B1135" s="34" t="s">
        <v>1497</v>
      </c>
      <c r="C1135" s="33" t="s">
        <v>346</v>
      </c>
      <c r="D1135" s="33" t="s">
        <v>208</v>
      </c>
      <c r="E1135" s="33" t="s">
        <v>1478</v>
      </c>
      <c r="F1135" s="35">
        <v>0.11</v>
      </c>
      <c r="G1135" s="40">
        <v>0</v>
      </c>
      <c r="H1135" s="40">
        <v>0</v>
      </c>
      <c r="I1135" s="40">
        <v>0</v>
      </c>
      <c r="J1135" s="40">
        <v>0</v>
      </c>
      <c r="K1135" s="40">
        <v>0</v>
      </c>
      <c r="L1135" s="40">
        <v>0</v>
      </c>
      <c r="M1135" s="40">
        <f t="shared" si="35"/>
        <v>0</v>
      </c>
      <c r="N1135" s="40">
        <f t="shared" si="36"/>
        <v>0</v>
      </c>
    </row>
    <row r="1136" spans="1:14" x14ac:dyDescent="0.35">
      <c r="A1136" s="33">
        <v>1133</v>
      </c>
      <c r="B1136" s="34" t="s">
        <v>1498</v>
      </c>
      <c r="C1136" s="33" t="s">
        <v>346</v>
      </c>
      <c r="D1136" s="33" t="s">
        <v>208</v>
      </c>
      <c r="E1136" s="33" t="s">
        <v>1478</v>
      </c>
      <c r="F1136" s="35">
        <v>0.16</v>
      </c>
      <c r="G1136" s="40">
        <v>0</v>
      </c>
      <c r="H1136" s="40">
        <v>0</v>
      </c>
      <c r="I1136" s="40">
        <v>0</v>
      </c>
      <c r="J1136" s="40">
        <v>0</v>
      </c>
      <c r="K1136" s="40">
        <v>0</v>
      </c>
      <c r="L1136" s="40">
        <v>0</v>
      </c>
      <c r="M1136" s="40">
        <f t="shared" si="35"/>
        <v>0</v>
      </c>
      <c r="N1136" s="40">
        <f t="shared" si="36"/>
        <v>0</v>
      </c>
    </row>
    <row r="1137" spans="1:14" x14ac:dyDescent="0.35">
      <c r="A1137" s="33">
        <v>1134</v>
      </c>
      <c r="B1137" s="34" t="s">
        <v>1499</v>
      </c>
      <c r="C1137" s="33" t="s">
        <v>346</v>
      </c>
      <c r="D1137" s="33" t="s">
        <v>208</v>
      </c>
      <c r="E1137" s="33" t="s">
        <v>1478</v>
      </c>
      <c r="F1137" s="35">
        <v>2.5000000000000001E-2</v>
      </c>
      <c r="G1137" s="40">
        <v>0</v>
      </c>
      <c r="H1137" s="40">
        <v>0</v>
      </c>
      <c r="I1137" s="40">
        <v>0</v>
      </c>
      <c r="J1137" s="40">
        <v>0</v>
      </c>
      <c r="K1137" s="40">
        <v>0</v>
      </c>
      <c r="L1137" s="40">
        <v>0</v>
      </c>
      <c r="M1137" s="40">
        <f t="shared" si="35"/>
        <v>0</v>
      </c>
      <c r="N1137" s="40">
        <f t="shared" si="36"/>
        <v>0</v>
      </c>
    </row>
    <row r="1138" spans="1:14" x14ac:dyDescent="0.35">
      <c r="A1138" s="33">
        <v>1135</v>
      </c>
      <c r="B1138" s="34" t="s">
        <v>1500</v>
      </c>
      <c r="C1138" s="33" t="s">
        <v>346</v>
      </c>
      <c r="D1138" s="33" t="s">
        <v>208</v>
      </c>
      <c r="E1138" s="33" t="s">
        <v>1478</v>
      </c>
      <c r="F1138" s="35">
        <v>2.5000000000000001E-2</v>
      </c>
      <c r="G1138" s="40">
        <v>0</v>
      </c>
      <c r="H1138" s="40">
        <v>0</v>
      </c>
      <c r="I1138" s="40">
        <v>0</v>
      </c>
      <c r="J1138" s="40">
        <v>0</v>
      </c>
      <c r="K1138" s="40">
        <v>0</v>
      </c>
      <c r="L1138" s="40">
        <v>0</v>
      </c>
      <c r="M1138" s="40">
        <f t="shared" si="35"/>
        <v>0</v>
      </c>
      <c r="N1138" s="40">
        <f t="shared" si="36"/>
        <v>0</v>
      </c>
    </row>
    <row r="1139" spans="1:14" x14ac:dyDescent="0.35">
      <c r="A1139" s="33">
        <v>1136</v>
      </c>
      <c r="B1139" s="34" t="s">
        <v>1501</v>
      </c>
      <c r="C1139" s="33" t="s">
        <v>346</v>
      </c>
      <c r="D1139" s="33" t="s">
        <v>208</v>
      </c>
      <c r="E1139" s="33" t="s">
        <v>1478</v>
      </c>
      <c r="F1139" s="35">
        <v>0.11</v>
      </c>
      <c r="G1139" s="40">
        <v>0</v>
      </c>
      <c r="H1139" s="40">
        <v>0</v>
      </c>
      <c r="I1139" s="40">
        <v>0</v>
      </c>
      <c r="J1139" s="40">
        <v>0</v>
      </c>
      <c r="K1139" s="40">
        <v>0</v>
      </c>
      <c r="L1139" s="40">
        <v>0</v>
      </c>
      <c r="M1139" s="40">
        <f t="shared" si="35"/>
        <v>0</v>
      </c>
      <c r="N1139" s="40">
        <f t="shared" si="36"/>
        <v>0</v>
      </c>
    </row>
    <row r="1140" spans="1:14" x14ac:dyDescent="0.35">
      <c r="A1140" s="33">
        <v>1137</v>
      </c>
      <c r="B1140" s="34" t="s">
        <v>1502</v>
      </c>
      <c r="C1140" s="33" t="s">
        <v>346</v>
      </c>
      <c r="D1140" s="33" t="s">
        <v>208</v>
      </c>
      <c r="E1140" s="33" t="s">
        <v>1478</v>
      </c>
      <c r="F1140" s="35">
        <v>0.16</v>
      </c>
      <c r="G1140" s="40">
        <v>0</v>
      </c>
      <c r="H1140" s="40">
        <v>0</v>
      </c>
      <c r="I1140" s="40">
        <v>0</v>
      </c>
      <c r="J1140" s="40">
        <v>0</v>
      </c>
      <c r="K1140" s="40">
        <v>0</v>
      </c>
      <c r="L1140" s="40">
        <v>0</v>
      </c>
      <c r="M1140" s="40">
        <f t="shared" si="35"/>
        <v>0</v>
      </c>
      <c r="N1140" s="40">
        <f t="shared" si="36"/>
        <v>0</v>
      </c>
    </row>
    <row r="1141" spans="1:14" x14ac:dyDescent="0.35">
      <c r="A1141" s="33">
        <v>1138</v>
      </c>
      <c r="B1141" s="34" t="s">
        <v>1503</v>
      </c>
      <c r="C1141" s="33" t="s">
        <v>346</v>
      </c>
      <c r="D1141" s="33" t="s">
        <v>208</v>
      </c>
      <c r="E1141" s="33" t="s">
        <v>1478</v>
      </c>
      <c r="F1141" s="35">
        <v>1</v>
      </c>
      <c r="G1141" s="40">
        <v>0</v>
      </c>
      <c r="H1141" s="40">
        <v>0</v>
      </c>
      <c r="I1141" s="40">
        <v>0</v>
      </c>
      <c r="J1141" s="40">
        <v>0</v>
      </c>
      <c r="K1141" s="40">
        <v>0</v>
      </c>
      <c r="L1141" s="40">
        <v>0</v>
      </c>
      <c r="M1141" s="40">
        <f t="shared" si="35"/>
        <v>0</v>
      </c>
      <c r="N1141" s="40">
        <f t="shared" si="36"/>
        <v>0</v>
      </c>
    </row>
    <row r="1142" spans="1:14" x14ac:dyDescent="0.35">
      <c r="A1142" s="33">
        <v>1139</v>
      </c>
      <c r="B1142" s="34" t="s">
        <v>1504</v>
      </c>
      <c r="C1142" s="33" t="s">
        <v>346</v>
      </c>
      <c r="D1142" s="33" t="s">
        <v>208</v>
      </c>
      <c r="E1142" s="33" t="s">
        <v>1478</v>
      </c>
      <c r="F1142" s="35">
        <v>0.11</v>
      </c>
      <c r="G1142" s="40">
        <v>0</v>
      </c>
      <c r="H1142" s="40">
        <v>0</v>
      </c>
      <c r="I1142" s="40">
        <v>0</v>
      </c>
      <c r="J1142" s="40">
        <v>0</v>
      </c>
      <c r="K1142" s="40">
        <v>0</v>
      </c>
      <c r="L1142" s="40">
        <v>0</v>
      </c>
      <c r="M1142" s="40">
        <f t="shared" si="35"/>
        <v>0</v>
      </c>
      <c r="N1142" s="40">
        <f t="shared" si="36"/>
        <v>0</v>
      </c>
    </row>
    <row r="1143" spans="1:14" x14ac:dyDescent="0.35">
      <c r="A1143" s="33">
        <v>1140</v>
      </c>
      <c r="B1143" s="34" t="s">
        <v>1505</v>
      </c>
      <c r="C1143" s="33" t="s">
        <v>346</v>
      </c>
      <c r="D1143" s="33" t="s">
        <v>208</v>
      </c>
      <c r="E1143" s="33" t="s">
        <v>1478</v>
      </c>
      <c r="F1143" s="35">
        <v>0.16</v>
      </c>
      <c r="G1143" s="40">
        <v>0</v>
      </c>
      <c r="H1143" s="40">
        <v>0</v>
      </c>
      <c r="I1143" s="40">
        <v>0</v>
      </c>
      <c r="J1143" s="40">
        <v>0</v>
      </c>
      <c r="K1143" s="40">
        <v>0</v>
      </c>
      <c r="L1143" s="40">
        <v>0</v>
      </c>
      <c r="M1143" s="40">
        <f t="shared" si="35"/>
        <v>0</v>
      </c>
      <c r="N1143" s="40">
        <f t="shared" si="36"/>
        <v>0</v>
      </c>
    </row>
    <row r="1144" spans="1:14" x14ac:dyDescent="0.35">
      <c r="A1144" s="33">
        <v>1141</v>
      </c>
      <c r="B1144" s="34" t="s">
        <v>1506</v>
      </c>
      <c r="C1144" s="33" t="s">
        <v>346</v>
      </c>
      <c r="D1144" s="33" t="s">
        <v>208</v>
      </c>
      <c r="E1144" s="33" t="s">
        <v>1478</v>
      </c>
      <c r="F1144" s="35">
        <v>0.06</v>
      </c>
      <c r="G1144" s="40">
        <v>0</v>
      </c>
      <c r="H1144" s="40">
        <v>0</v>
      </c>
      <c r="I1144" s="40">
        <v>0</v>
      </c>
      <c r="J1144" s="40">
        <v>0</v>
      </c>
      <c r="K1144" s="40">
        <v>0</v>
      </c>
      <c r="L1144" s="40">
        <v>0</v>
      </c>
      <c r="M1144" s="40">
        <f t="shared" si="35"/>
        <v>0</v>
      </c>
      <c r="N1144" s="40">
        <f t="shared" si="36"/>
        <v>0</v>
      </c>
    </row>
    <row r="1145" spans="1:14" x14ac:dyDescent="0.35">
      <c r="A1145" s="33">
        <v>1142</v>
      </c>
      <c r="B1145" s="34" t="s">
        <v>1507</v>
      </c>
      <c r="C1145" s="33" t="s">
        <v>346</v>
      </c>
      <c r="D1145" s="33" t="s">
        <v>208</v>
      </c>
      <c r="E1145" s="33" t="s">
        <v>1478</v>
      </c>
      <c r="F1145" s="35">
        <v>0.06</v>
      </c>
      <c r="G1145" s="40">
        <v>0</v>
      </c>
      <c r="H1145" s="40">
        <v>0</v>
      </c>
      <c r="I1145" s="40">
        <v>0</v>
      </c>
      <c r="J1145" s="40">
        <v>0</v>
      </c>
      <c r="K1145" s="40">
        <v>0</v>
      </c>
      <c r="L1145" s="40">
        <v>0</v>
      </c>
      <c r="M1145" s="40">
        <f t="shared" si="35"/>
        <v>0</v>
      </c>
      <c r="N1145" s="40">
        <f t="shared" si="36"/>
        <v>0</v>
      </c>
    </row>
    <row r="1146" spans="1:14" x14ac:dyDescent="0.35">
      <c r="A1146" s="33">
        <v>1143</v>
      </c>
      <c r="B1146" s="34" t="s">
        <v>1508</v>
      </c>
      <c r="C1146" s="33" t="s">
        <v>346</v>
      </c>
      <c r="D1146" s="33" t="s">
        <v>208</v>
      </c>
      <c r="E1146" s="33" t="s">
        <v>1478</v>
      </c>
      <c r="F1146" s="35">
        <v>1</v>
      </c>
      <c r="G1146" s="40">
        <v>0</v>
      </c>
      <c r="H1146" s="40">
        <v>0</v>
      </c>
      <c r="I1146" s="40">
        <v>0</v>
      </c>
      <c r="J1146" s="40">
        <v>0</v>
      </c>
      <c r="K1146" s="40">
        <v>0</v>
      </c>
      <c r="L1146" s="40">
        <v>1.25</v>
      </c>
      <c r="M1146" s="40">
        <f t="shared" si="35"/>
        <v>0</v>
      </c>
      <c r="N1146" s="40">
        <f t="shared" si="36"/>
        <v>1.25</v>
      </c>
    </row>
    <row r="1147" spans="1:14" x14ac:dyDescent="0.35">
      <c r="A1147" s="33">
        <v>1144</v>
      </c>
      <c r="B1147" s="34" t="s">
        <v>1509</v>
      </c>
      <c r="C1147" s="33" t="s">
        <v>346</v>
      </c>
      <c r="D1147" s="33" t="s">
        <v>208</v>
      </c>
      <c r="E1147" s="33" t="s">
        <v>1478</v>
      </c>
      <c r="F1147" s="35">
        <v>3.5000000000000003E-2</v>
      </c>
      <c r="G1147" s="40">
        <v>0</v>
      </c>
      <c r="H1147" s="40">
        <v>0</v>
      </c>
      <c r="I1147" s="40">
        <v>0</v>
      </c>
      <c r="J1147" s="40">
        <v>0</v>
      </c>
      <c r="K1147" s="40">
        <v>0</v>
      </c>
      <c r="L1147" s="40">
        <v>0</v>
      </c>
      <c r="M1147" s="40">
        <f t="shared" si="35"/>
        <v>0</v>
      </c>
      <c r="N1147" s="40">
        <f t="shared" si="36"/>
        <v>0</v>
      </c>
    </row>
    <row r="1148" spans="1:14" x14ac:dyDescent="0.35">
      <c r="A1148" s="33">
        <v>1145</v>
      </c>
      <c r="B1148" s="34" t="s">
        <v>1510</v>
      </c>
      <c r="C1148" s="33" t="s">
        <v>346</v>
      </c>
      <c r="D1148" s="33" t="s">
        <v>208</v>
      </c>
      <c r="E1148" s="33" t="s">
        <v>1478</v>
      </c>
      <c r="F1148" s="35">
        <v>1</v>
      </c>
      <c r="G1148" s="40">
        <v>0</v>
      </c>
      <c r="H1148" s="40">
        <v>0</v>
      </c>
      <c r="I1148" s="40">
        <v>0</v>
      </c>
      <c r="J1148" s="40">
        <v>0</v>
      </c>
      <c r="K1148" s="40">
        <v>0</v>
      </c>
      <c r="L1148" s="40">
        <v>0</v>
      </c>
      <c r="M1148" s="40">
        <f t="shared" si="35"/>
        <v>0</v>
      </c>
      <c r="N1148" s="40">
        <f t="shared" si="36"/>
        <v>0</v>
      </c>
    </row>
    <row r="1149" spans="1:14" x14ac:dyDescent="0.35">
      <c r="A1149" s="33">
        <v>1146</v>
      </c>
      <c r="B1149" s="34" t="s">
        <v>2323</v>
      </c>
      <c r="C1149" s="33" t="s">
        <v>346</v>
      </c>
      <c r="D1149" s="33" t="s">
        <v>208</v>
      </c>
      <c r="E1149" s="33" t="s">
        <v>1478</v>
      </c>
      <c r="F1149" s="35">
        <v>1</v>
      </c>
      <c r="G1149" s="40">
        <v>0</v>
      </c>
      <c r="H1149" s="40">
        <v>0</v>
      </c>
      <c r="I1149" s="40">
        <v>0</v>
      </c>
      <c r="J1149" s="40">
        <v>0</v>
      </c>
      <c r="K1149" s="40">
        <v>0</v>
      </c>
      <c r="L1149" s="40">
        <v>0</v>
      </c>
      <c r="M1149" s="40">
        <f t="shared" si="35"/>
        <v>0</v>
      </c>
      <c r="N1149" s="40">
        <f t="shared" si="36"/>
        <v>0</v>
      </c>
    </row>
    <row r="1150" spans="1:14" x14ac:dyDescent="0.35">
      <c r="A1150" s="33">
        <v>1147</v>
      </c>
      <c r="B1150" s="34" t="s">
        <v>2324</v>
      </c>
      <c r="C1150" s="33" t="s">
        <v>346</v>
      </c>
      <c r="D1150" s="33" t="s">
        <v>208</v>
      </c>
      <c r="E1150" s="33" t="s">
        <v>1478</v>
      </c>
      <c r="F1150" s="35">
        <v>1</v>
      </c>
      <c r="G1150" s="40">
        <v>0</v>
      </c>
      <c r="H1150" s="40">
        <v>0</v>
      </c>
      <c r="I1150" s="40">
        <v>0</v>
      </c>
      <c r="J1150" s="40">
        <v>0</v>
      </c>
      <c r="K1150" s="40">
        <v>0</v>
      </c>
      <c r="L1150" s="40">
        <v>0</v>
      </c>
      <c r="M1150" s="40">
        <f t="shared" si="35"/>
        <v>0</v>
      </c>
      <c r="N1150" s="40">
        <f t="shared" si="36"/>
        <v>0</v>
      </c>
    </row>
    <row r="1151" spans="1:14" x14ac:dyDescent="0.35">
      <c r="A1151" s="33">
        <v>1148</v>
      </c>
      <c r="B1151" s="34" t="s">
        <v>1511</v>
      </c>
      <c r="C1151" s="33" t="s">
        <v>346</v>
      </c>
      <c r="D1151" s="33" t="s">
        <v>208</v>
      </c>
      <c r="E1151" s="33" t="s">
        <v>1478</v>
      </c>
      <c r="F1151" s="35">
        <v>1</v>
      </c>
      <c r="G1151" s="40">
        <v>0</v>
      </c>
      <c r="H1151" s="40">
        <v>0</v>
      </c>
      <c r="I1151" s="40">
        <v>0</v>
      </c>
      <c r="J1151" s="40">
        <v>0</v>
      </c>
      <c r="K1151" s="40">
        <v>0</v>
      </c>
      <c r="L1151" s="40">
        <v>0</v>
      </c>
      <c r="M1151" s="40">
        <f t="shared" si="35"/>
        <v>0</v>
      </c>
      <c r="N1151" s="40">
        <f t="shared" si="36"/>
        <v>0</v>
      </c>
    </row>
    <row r="1152" spans="1:14" x14ac:dyDescent="0.35">
      <c r="A1152" s="33">
        <v>1149</v>
      </c>
      <c r="B1152" s="34" t="s">
        <v>1512</v>
      </c>
      <c r="C1152" s="33" t="s">
        <v>346</v>
      </c>
      <c r="D1152" s="33" t="s">
        <v>208</v>
      </c>
      <c r="E1152" s="33" t="s">
        <v>1478</v>
      </c>
      <c r="F1152" s="35">
        <v>0.06</v>
      </c>
      <c r="G1152" s="40">
        <v>0</v>
      </c>
      <c r="H1152" s="40">
        <v>0</v>
      </c>
      <c r="I1152" s="40">
        <v>0</v>
      </c>
      <c r="J1152" s="40">
        <v>0</v>
      </c>
      <c r="K1152" s="40">
        <v>0</v>
      </c>
      <c r="L1152" s="40">
        <v>0</v>
      </c>
      <c r="M1152" s="40">
        <f t="shared" si="35"/>
        <v>0</v>
      </c>
      <c r="N1152" s="40">
        <f t="shared" si="36"/>
        <v>0</v>
      </c>
    </row>
    <row r="1153" spans="1:14" x14ac:dyDescent="0.35">
      <c r="A1153" s="33">
        <v>1150</v>
      </c>
      <c r="B1153" s="34" t="s">
        <v>1513</v>
      </c>
      <c r="C1153" s="33" t="s">
        <v>346</v>
      </c>
      <c r="D1153" s="33" t="s">
        <v>208</v>
      </c>
      <c r="E1153" s="33" t="s">
        <v>1478</v>
      </c>
      <c r="F1153" s="35">
        <v>1</v>
      </c>
      <c r="G1153" s="40">
        <v>0</v>
      </c>
      <c r="H1153" s="40">
        <v>0</v>
      </c>
      <c r="I1153" s="40">
        <v>0</v>
      </c>
      <c r="J1153" s="40">
        <v>0</v>
      </c>
      <c r="K1153" s="40">
        <v>0</v>
      </c>
      <c r="L1153" s="40">
        <v>2.1</v>
      </c>
      <c r="M1153" s="40">
        <f t="shared" si="35"/>
        <v>0</v>
      </c>
      <c r="N1153" s="40">
        <f t="shared" si="36"/>
        <v>2.1</v>
      </c>
    </row>
    <row r="1154" spans="1:14" x14ac:dyDescent="0.35">
      <c r="A1154" s="33">
        <v>1151</v>
      </c>
      <c r="B1154" s="34" t="s">
        <v>1514</v>
      </c>
      <c r="C1154" s="33" t="s">
        <v>346</v>
      </c>
      <c r="D1154" s="33" t="s">
        <v>208</v>
      </c>
      <c r="E1154" s="33" t="s">
        <v>1478</v>
      </c>
      <c r="F1154" s="35">
        <v>3.5000000000000003E-2</v>
      </c>
      <c r="G1154" s="40">
        <v>0</v>
      </c>
      <c r="H1154" s="40">
        <v>0</v>
      </c>
      <c r="I1154" s="40">
        <v>0</v>
      </c>
      <c r="J1154" s="40">
        <v>0</v>
      </c>
      <c r="K1154" s="40">
        <v>0</v>
      </c>
      <c r="L1154" s="40">
        <v>0</v>
      </c>
      <c r="M1154" s="40">
        <f t="shared" si="35"/>
        <v>0</v>
      </c>
      <c r="N1154" s="40">
        <f t="shared" si="36"/>
        <v>0</v>
      </c>
    </row>
    <row r="1155" spans="1:14" x14ac:dyDescent="0.35">
      <c r="A1155" s="33">
        <v>1152</v>
      </c>
      <c r="B1155" s="34" t="s">
        <v>1515</v>
      </c>
      <c r="C1155" s="33" t="s">
        <v>346</v>
      </c>
      <c r="D1155" s="33" t="s">
        <v>208</v>
      </c>
      <c r="E1155" s="33" t="s">
        <v>1478</v>
      </c>
      <c r="F1155" s="35">
        <v>1</v>
      </c>
      <c r="G1155" s="40">
        <v>0</v>
      </c>
      <c r="H1155" s="40">
        <v>0</v>
      </c>
      <c r="I1155" s="40">
        <v>0</v>
      </c>
      <c r="J1155" s="40">
        <v>0</v>
      </c>
      <c r="K1155" s="40">
        <v>0</v>
      </c>
      <c r="L1155" s="40">
        <v>0</v>
      </c>
      <c r="M1155" s="40">
        <f t="shared" si="35"/>
        <v>0</v>
      </c>
      <c r="N1155" s="40">
        <f t="shared" si="36"/>
        <v>0</v>
      </c>
    </row>
    <row r="1156" spans="1:14" x14ac:dyDescent="0.35">
      <c r="A1156" s="33">
        <v>1153</v>
      </c>
      <c r="B1156" s="34" t="s">
        <v>1516</v>
      </c>
      <c r="C1156" s="33" t="s">
        <v>346</v>
      </c>
      <c r="D1156" s="33" t="s">
        <v>208</v>
      </c>
      <c r="E1156" s="33" t="s">
        <v>1478</v>
      </c>
      <c r="F1156" s="35">
        <v>0.2</v>
      </c>
      <c r="G1156" s="40">
        <v>0</v>
      </c>
      <c r="H1156" s="40">
        <v>0</v>
      </c>
      <c r="I1156" s="40">
        <v>0</v>
      </c>
      <c r="J1156" s="40">
        <v>0</v>
      </c>
      <c r="K1156" s="40">
        <v>0</v>
      </c>
      <c r="L1156" s="40">
        <v>0</v>
      </c>
      <c r="M1156" s="40">
        <f t="shared" si="35"/>
        <v>0</v>
      </c>
      <c r="N1156" s="40">
        <f t="shared" si="36"/>
        <v>0</v>
      </c>
    </row>
    <row r="1157" spans="1:14" x14ac:dyDescent="0.35">
      <c r="A1157" s="33">
        <v>1154</v>
      </c>
      <c r="B1157" s="34" t="s">
        <v>1517</v>
      </c>
      <c r="C1157" s="33" t="s">
        <v>346</v>
      </c>
      <c r="D1157" s="33" t="s">
        <v>208</v>
      </c>
      <c r="E1157" s="33" t="s">
        <v>1478</v>
      </c>
      <c r="F1157" s="35">
        <v>7.0000000000000007E-2</v>
      </c>
      <c r="G1157" s="40">
        <v>0</v>
      </c>
      <c r="H1157" s="40">
        <v>0</v>
      </c>
      <c r="I1157" s="40">
        <v>0</v>
      </c>
      <c r="J1157" s="40">
        <v>0</v>
      </c>
      <c r="K1157" s="40">
        <v>0</v>
      </c>
      <c r="L1157" s="40">
        <v>0</v>
      </c>
      <c r="M1157" s="40">
        <f t="shared" ref="M1157:M1220" si="37">G1157+I1157+K1157</f>
        <v>0</v>
      </c>
      <c r="N1157" s="40">
        <f t="shared" ref="N1157:N1220" si="38">H1157+J1157+L1157</f>
        <v>0</v>
      </c>
    </row>
    <row r="1158" spans="1:14" x14ac:dyDescent="0.35">
      <c r="A1158" s="33">
        <v>1155</v>
      </c>
      <c r="B1158" s="34" t="s">
        <v>1518</v>
      </c>
      <c r="C1158" s="33" t="s">
        <v>346</v>
      </c>
      <c r="D1158" s="33" t="s">
        <v>208</v>
      </c>
      <c r="E1158" s="33" t="s">
        <v>1478</v>
      </c>
      <c r="F1158" s="35">
        <v>0.1</v>
      </c>
      <c r="G1158" s="40">
        <v>0</v>
      </c>
      <c r="H1158" s="40">
        <v>0</v>
      </c>
      <c r="I1158" s="40">
        <v>0</v>
      </c>
      <c r="J1158" s="40">
        <v>0</v>
      </c>
      <c r="K1158" s="40">
        <v>0</v>
      </c>
      <c r="L1158" s="40">
        <v>0</v>
      </c>
      <c r="M1158" s="40">
        <f t="shared" si="37"/>
        <v>0</v>
      </c>
      <c r="N1158" s="40">
        <f t="shared" si="38"/>
        <v>0</v>
      </c>
    </row>
    <row r="1159" spans="1:14" x14ac:dyDescent="0.35">
      <c r="A1159" s="33">
        <v>1156</v>
      </c>
      <c r="B1159" s="34" t="s">
        <v>1519</v>
      </c>
      <c r="C1159" s="33" t="s">
        <v>346</v>
      </c>
      <c r="D1159" s="33" t="s">
        <v>208</v>
      </c>
      <c r="E1159" s="33" t="s">
        <v>1478</v>
      </c>
      <c r="F1159" s="35">
        <v>2.5000000000000001E-2</v>
      </c>
      <c r="G1159" s="40">
        <v>0</v>
      </c>
      <c r="H1159" s="40">
        <v>0</v>
      </c>
      <c r="I1159" s="40">
        <v>0</v>
      </c>
      <c r="J1159" s="40">
        <v>0</v>
      </c>
      <c r="K1159" s="40">
        <v>0</v>
      </c>
      <c r="L1159" s="40">
        <v>0</v>
      </c>
      <c r="M1159" s="40">
        <f t="shared" si="37"/>
        <v>0</v>
      </c>
      <c r="N1159" s="40">
        <f t="shared" si="38"/>
        <v>0</v>
      </c>
    </row>
    <row r="1160" spans="1:14" x14ac:dyDescent="0.35">
      <c r="A1160" s="33">
        <v>1157</v>
      </c>
      <c r="B1160" s="34" t="s">
        <v>1520</v>
      </c>
      <c r="C1160" s="33" t="s">
        <v>346</v>
      </c>
      <c r="D1160" s="33" t="s">
        <v>208</v>
      </c>
      <c r="E1160" s="33" t="s">
        <v>1478</v>
      </c>
      <c r="F1160" s="35">
        <v>2.5000000000000001E-2</v>
      </c>
      <c r="G1160" s="40">
        <v>0</v>
      </c>
      <c r="H1160" s="40">
        <v>0</v>
      </c>
      <c r="I1160" s="40">
        <v>0</v>
      </c>
      <c r="J1160" s="40">
        <v>0</v>
      </c>
      <c r="K1160" s="40">
        <v>0</v>
      </c>
      <c r="L1160" s="40">
        <v>0</v>
      </c>
      <c r="M1160" s="40">
        <f t="shared" si="37"/>
        <v>0</v>
      </c>
      <c r="N1160" s="40">
        <f t="shared" si="38"/>
        <v>0</v>
      </c>
    </row>
    <row r="1161" spans="1:14" x14ac:dyDescent="0.35">
      <c r="A1161" s="33">
        <v>1158</v>
      </c>
      <c r="B1161" s="34" t="s">
        <v>1521</v>
      </c>
      <c r="C1161" s="33" t="s">
        <v>346</v>
      </c>
      <c r="D1161" s="33" t="s">
        <v>208</v>
      </c>
      <c r="E1161" s="33" t="s">
        <v>1478</v>
      </c>
      <c r="F1161" s="35">
        <v>2.5000000000000001E-2</v>
      </c>
      <c r="G1161" s="40">
        <v>0</v>
      </c>
      <c r="H1161" s="40">
        <v>0</v>
      </c>
      <c r="I1161" s="40">
        <v>0</v>
      </c>
      <c r="J1161" s="40">
        <v>0</v>
      </c>
      <c r="K1161" s="40">
        <v>0</v>
      </c>
      <c r="L1161" s="40">
        <v>0</v>
      </c>
      <c r="M1161" s="40">
        <f t="shared" si="37"/>
        <v>0</v>
      </c>
      <c r="N1161" s="40">
        <f t="shared" si="38"/>
        <v>0</v>
      </c>
    </row>
    <row r="1162" spans="1:14" x14ac:dyDescent="0.35">
      <c r="A1162" s="33">
        <v>1159</v>
      </c>
      <c r="B1162" s="34" t="s">
        <v>1522</v>
      </c>
      <c r="C1162" s="33" t="s">
        <v>346</v>
      </c>
      <c r="D1162" s="33" t="s">
        <v>208</v>
      </c>
      <c r="E1162" s="33" t="s">
        <v>1478</v>
      </c>
      <c r="F1162" s="35">
        <v>0.06</v>
      </c>
      <c r="G1162" s="40">
        <v>0</v>
      </c>
      <c r="H1162" s="40">
        <v>0</v>
      </c>
      <c r="I1162" s="40">
        <v>0</v>
      </c>
      <c r="J1162" s="40">
        <v>0</v>
      </c>
      <c r="K1162" s="40">
        <v>0</v>
      </c>
      <c r="L1162" s="40">
        <v>0</v>
      </c>
      <c r="M1162" s="40">
        <f t="shared" si="37"/>
        <v>0</v>
      </c>
      <c r="N1162" s="40">
        <f t="shared" si="38"/>
        <v>0</v>
      </c>
    </row>
    <row r="1163" spans="1:14" x14ac:dyDescent="0.35">
      <c r="A1163" s="33">
        <v>1160</v>
      </c>
      <c r="B1163" s="34" t="s">
        <v>1523</v>
      </c>
      <c r="C1163" s="33" t="s">
        <v>346</v>
      </c>
      <c r="D1163" s="33" t="s">
        <v>208</v>
      </c>
      <c r="E1163" s="33" t="s">
        <v>1478</v>
      </c>
      <c r="F1163" s="35">
        <v>0.15</v>
      </c>
      <c r="G1163" s="40">
        <v>0</v>
      </c>
      <c r="H1163" s="40">
        <v>0</v>
      </c>
      <c r="I1163" s="40">
        <v>0</v>
      </c>
      <c r="J1163" s="40">
        <v>0</v>
      </c>
      <c r="K1163" s="40">
        <v>0</v>
      </c>
      <c r="L1163" s="40">
        <v>0</v>
      </c>
      <c r="M1163" s="40">
        <f t="shared" si="37"/>
        <v>0</v>
      </c>
      <c r="N1163" s="40">
        <f t="shared" si="38"/>
        <v>0</v>
      </c>
    </row>
    <row r="1164" spans="1:14" x14ac:dyDescent="0.35">
      <c r="A1164" s="33">
        <v>1161</v>
      </c>
      <c r="B1164" s="34" t="s">
        <v>1524</v>
      </c>
      <c r="C1164" s="33" t="s">
        <v>346</v>
      </c>
      <c r="D1164" s="33" t="s">
        <v>208</v>
      </c>
      <c r="E1164" s="33" t="s">
        <v>1478</v>
      </c>
      <c r="F1164" s="35">
        <v>0.15</v>
      </c>
      <c r="G1164" s="40">
        <v>0</v>
      </c>
      <c r="H1164" s="40">
        <v>0</v>
      </c>
      <c r="I1164" s="40">
        <v>0</v>
      </c>
      <c r="J1164" s="40">
        <v>0</v>
      </c>
      <c r="K1164" s="40">
        <v>0</v>
      </c>
      <c r="L1164" s="40">
        <v>0</v>
      </c>
      <c r="M1164" s="40">
        <f t="shared" si="37"/>
        <v>0</v>
      </c>
      <c r="N1164" s="40">
        <f t="shared" si="38"/>
        <v>0</v>
      </c>
    </row>
    <row r="1165" spans="1:14" x14ac:dyDescent="0.35">
      <c r="A1165" s="33">
        <v>1162</v>
      </c>
      <c r="B1165" s="34" t="s">
        <v>1525</v>
      </c>
      <c r="C1165" s="33" t="s">
        <v>346</v>
      </c>
      <c r="D1165" s="33" t="s">
        <v>208</v>
      </c>
      <c r="E1165" s="33" t="s">
        <v>1478</v>
      </c>
      <c r="F1165" s="35">
        <v>0.15</v>
      </c>
      <c r="G1165" s="40">
        <v>0</v>
      </c>
      <c r="H1165" s="40">
        <v>0</v>
      </c>
      <c r="I1165" s="40">
        <v>0</v>
      </c>
      <c r="J1165" s="40">
        <v>0</v>
      </c>
      <c r="K1165" s="40">
        <v>0</v>
      </c>
      <c r="L1165" s="40">
        <v>0</v>
      </c>
      <c r="M1165" s="40">
        <f t="shared" si="37"/>
        <v>0</v>
      </c>
      <c r="N1165" s="40">
        <f t="shared" si="38"/>
        <v>0</v>
      </c>
    </row>
    <row r="1166" spans="1:14" x14ac:dyDescent="0.35">
      <c r="A1166" s="33">
        <v>1163</v>
      </c>
      <c r="B1166" s="34" t="s">
        <v>1526</v>
      </c>
      <c r="C1166" s="33" t="s">
        <v>346</v>
      </c>
      <c r="D1166" s="33" t="s">
        <v>208</v>
      </c>
      <c r="E1166" s="33" t="s">
        <v>1478</v>
      </c>
      <c r="F1166" s="35">
        <v>0.15</v>
      </c>
      <c r="G1166" s="40">
        <v>0</v>
      </c>
      <c r="H1166" s="40">
        <v>0</v>
      </c>
      <c r="I1166" s="40">
        <v>0</v>
      </c>
      <c r="J1166" s="40">
        <v>0</v>
      </c>
      <c r="K1166" s="40">
        <v>0</v>
      </c>
      <c r="L1166" s="40">
        <v>0</v>
      </c>
      <c r="M1166" s="40">
        <f t="shared" si="37"/>
        <v>0</v>
      </c>
      <c r="N1166" s="40">
        <f t="shared" si="38"/>
        <v>0</v>
      </c>
    </row>
    <row r="1167" spans="1:14" x14ac:dyDescent="0.35">
      <c r="A1167" s="33">
        <v>1164</v>
      </c>
      <c r="B1167" s="34" t="s">
        <v>1470</v>
      </c>
      <c r="C1167" s="33" t="s">
        <v>297</v>
      </c>
      <c r="D1167" s="33" t="s">
        <v>208</v>
      </c>
      <c r="E1167" s="33" t="s">
        <v>1471</v>
      </c>
      <c r="F1167" s="35">
        <v>1</v>
      </c>
      <c r="G1167" s="40">
        <v>0</v>
      </c>
      <c r="H1167" s="40">
        <v>0</v>
      </c>
      <c r="I1167" s="40">
        <v>0</v>
      </c>
      <c r="J1167" s="40">
        <v>0</v>
      </c>
      <c r="K1167" s="40">
        <v>0</v>
      </c>
      <c r="L1167" s="40">
        <v>0</v>
      </c>
      <c r="M1167" s="40">
        <f t="shared" si="37"/>
        <v>0</v>
      </c>
      <c r="N1167" s="40">
        <f t="shared" si="38"/>
        <v>0</v>
      </c>
    </row>
    <row r="1168" spans="1:14" x14ac:dyDescent="0.35">
      <c r="A1168" s="33">
        <v>1165</v>
      </c>
      <c r="B1168" s="34" t="s">
        <v>1472</v>
      </c>
      <c r="C1168" s="33" t="s">
        <v>297</v>
      </c>
      <c r="D1168" s="33" t="s">
        <v>208</v>
      </c>
      <c r="E1168" s="33" t="s">
        <v>1471</v>
      </c>
      <c r="F1168" s="35">
        <v>1</v>
      </c>
      <c r="G1168" s="40">
        <v>0</v>
      </c>
      <c r="H1168" s="40">
        <v>0</v>
      </c>
      <c r="I1168" s="40">
        <v>0</v>
      </c>
      <c r="J1168" s="40">
        <v>0</v>
      </c>
      <c r="K1168" s="40">
        <v>0</v>
      </c>
      <c r="L1168" s="40">
        <v>0</v>
      </c>
      <c r="M1168" s="40">
        <f t="shared" si="37"/>
        <v>0</v>
      </c>
      <c r="N1168" s="40">
        <f t="shared" si="38"/>
        <v>0</v>
      </c>
    </row>
    <row r="1169" spans="1:14" x14ac:dyDescent="0.35">
      <c r="A1169" s="33">
        <v>1166</v>
      </c>
      <c r="B1169" s="34" t="s">
        <v>1527</v>
      </c>
      <c r="C1169" s="33" t="s">
        <v>346</v>
      </c>
      <c r="D1169" s="33" t="s">
        <v>208</v>
      </c>
      <c r="E1169" s="33" t="s">
        <v>1471</v>
      </c>
      <c r="F1169" s="35">
        <v>1</v>
      </c>
      <c r="G1169" s="40">
        <v>0</v>
      </c>
      <c r="H1169" s="40">
        <v>0</v>
      </c>
      <c r="I1169" s="40">
        <v>0</v>
      </c>
      <c r="J1169" s="40">
        <v>0</v>
      </c>
      <c r="K1169" s="40">
        <v>0</v>
      </c>
      <c r="L1169" s="40">
        <v>0</v>
      </c>
      <c r="M1169" s="40">
        <f t="shared" si="37"/>
        <v>0</v>
      </c>
      <c r="N1169" s="40">
        <f t="shared" si="38"/>
        <v>0</v>
      </c>
    </row>
    <row r="1170" spans="1:14" x14ac:dyDescent="0.35">
      <c r="A1170" s="33">
        <v>1167</v>
      </c>
      <c r="B1170" s="34" t="s">
        <v>1473</v>
      </c>
      <c r="C1170" s="33" t="s">
        <v>297</v>
      </c>
      <c r="D1170" s="33" t="s">
        <v>208</v>
      </c>
      <c r="E1170" s="33" t="s">
        <v>1474</v>
      </c>
      <c r="F1170" s="35">
        <v>1</v>
      </c>
      <c r="G1170" s="40">
        <v>0</v>
      </c>
      <c r="H1170" s="40">
        <v>0</v>
      </c>
      <c r="I1170" s="40">
        <v>0</v>
      </c>
      <c r="J1170" s="40">
        <v>0</v>
      </c>
      <c r="K1170" s="40">
        <v>0</v>
      </c>
      <c r="L1170" s="40">
        <v>0</v>
      </c>
      <c r="M1170" s="40">
        <f t="shared" si="37"/>
        <v>0</v>
      </c>
      <c r="N1170" s="40">
        <f t="shared" si="38"/>
        <v>0</v>
      </c>
    </row>
    <row r="1171" spans="1:14" x14ac:dyDescent="0.35">
      <c r="A1171" s="33">
        <v>1168</v>
      </c>
      <c r="B1171" s="34" t="s">
        <v>1475</v>
      </c>
      <c r="C1171" s="33" t="s">
        <v>297</v>
      </c>
      <c r="D1171" s="33" t="s">
        <v>208</v>
      </c>
      <c r="E1171" s="33" t="s">
        <v>1474</v>
      </c>
      <c r="F1171" s="35">
        <v>1</v>
      </c>
      <c r="G1171" s="40">
        <v>0</v>
      </c>
      <c r="H1171" s="40">
        <v>0</v>
      </c>
      <c r="I1171" s="40">
        <v>0</v>
      </c>
      <c r="J1171" s="40">
        <v>550</v>
      </c>
      <c r="K1171" s="40">
        <v>0</v>
      </c>
      <c r="L1171" s="40">
        <v>0</v>
      </c>
      <c r="M1171" s="40">
        <f t="shared" si="37"/>
        <v>0</v>
      </c>
      <c r="N1171" s="40">
        <f t="shared" si="38"/>
        <v>550</v>
      </c>
    </row>
    <row r="1172" spans="1:14" x14ac:dyDescent="0.35">
      <c r="A1172" s="33">
        <v>1169</v>
      </c>
      <c r="B1172" s="34" t="s">
        <v>210</v>
      </c>
      <c r="C1172" s="33" t="s">
        <v>297</v>
      </c>
      <c r="D1172" s="33" t="s">
        <v>208</v>
      </c>
      <c r="E1172" s="33" t="s">
        <v>1474</v>
      </c>
      <c r="F1172" s="35">
        <v>1</v>
      </c>
      <c r="G1172" s="40">
        <v>0</v>
      </c>
      <c r="H1172" s="40">
        <v>0</v>
      </c>
      <c r="I1172" s="40">
        <v>0</v>
      </c>
      <c r="J1172" s="40">
        <v>0</v>
      </c>
      <c r="K1172" s="40">
        <v>0</v>
      </c>
      <c r="L1172" s="40">
        <v>0</v>
      </c>
      <c r="M1172" s="40">
        <f t="shared" si="37"/>
        <v>0</v>
      </c>
      <c r="N1172" s="40">
        <f t="shared" si="38"/>
        <v>0</v>
      </c>
    </row>
    <row r="1173" spans="1:14" x14ac:dyDescent="0.35">
      <c r="A1173" s="33">
        <v>1170</v>
      </c>
      <c r="B1173" s="34" t="s">
        <v>1476</v>
      </c>
      <c r="C1173" s="33" t="s">
        <v>297</v>
      </c>
      <c r="D1173" s="33" t="s">
        <v>208</v>
      </c>
      <c r="E1173" s="33" t="s">
        <v>1474</v>
      </c>
      <c r="F1173" s="35">
        <v>1</v>
      </c>
      <c r="G1173" s="40">
        <v>0</v>
      </c>
      <c r="H1173" s="40">
        <v>0</v>
      </c>
      <c r="I1173" s="40">
        <v>0</v>
      </c>
      <c r="J1173" s="40">
        <v>0</v>
      </c>
      <c r="K1173" s="40">
        <v>0</v>
      </c>
      <c r="L1173" s="40">
        <v>0</v>
      </c>
      <c r="M1173" s="40">
        <f t="shared" si="37"/>
        <v>0</v>
      </c>
      <c r="N1173" s="40">
        <f t="shared" si="38"/>
        <v>0</v>
      </c>
    </row>
    <row r="1174" spans="1:14" x14ac:dyDescent="0.35">
      <c r="A1174" s="33">
        <v>1171</v>
      </c>
      <c r="B1174" s="34" t="s">
        <v>1528</v>
      </c>
      <c r="C1174" s="33" t="s">
        <v>346</v>
      </c>
      <c r="D1174" s="33" t="s">
        <v>208</v>
      </c>
      <c r="E1174" s="33" t="s">
        <v>1474</v>
      </c>
      <c r="F1174" s="35">
        <v>0.2</v>
      </c>
      <c r="G1174" s="40">
        <v>0</v>
      </c>
      <c r="H1174" s="40">
        <v>0</v>
      </c>
      <c r="I1174" s="40">
        <v>0</v>
      </c>
      <c r="J1174" s="40">
        <v>0</v>
      </c>
      <c r="K1174" s="40">
        <v>0</v>
      </c>
      <c r="L1174" s="40">
        <v>0</v>
      </c>
      <c r="M1174" s="40">
        <f t="shared" si="37"/>
        <v>0</v>
      </c>
      <c r="N1174" s="40">
        <f t="shared" si="38"/>
        <v>0</v>
      </c>
    </row>
    <row r="1175" spans="1:14" x14ac:dyDescent="0.35">
      <c r="A1175" s="33">
        <v>1172</v>
      </c>
      <c r="B1175" s="34" t="s">
        <v>1529</v>
      </c>
      <c r="C1175" s="33" t="s">
        <v>346</v>
      </c>
      <c r="D1175" s="33" t="s">
        <v>208</v>
      </c>
      <c r="E1175" s="33" t="s">
        <v>1474</v>
      </c>
      <c r="F1175" s="35">
        <v>0.2</v>
      </c>
      <c r="G1175" s="40">
        <v>0</v>
      </c>
      <c r="H1175" s="40">
        <v>0</v>
      </c>
      <c r="I1175" s="40">
        <v>0</v>
      </c>
      <c r="J1175" s="40">
        <v>0</v>
      </c>
      <c r="K1175" s="40">
        <v>0</v>
      </c>
      <c r="L1175" s="40">
        <v>0</v>
      </c>
      <c r="M1175" s="40">
        <f t="shared" si="37"/>
        <v>0</v>
      </c>
      <c r="N1175" s="40">
        <f t="shared" si="38"/>
        <v>0</v>
      </c>
    </row>
    <row r="1176" spans="1:14" x14ac:dyDescent="0.35">
      <c r="A1176" s="33">
        <v>1173</v>
      </c>
      <c r="B1176" s="34" t="s">
        <v>1530</v>
      </c>
      <c r="C1176" s="33" t="s">
        <v>297</v>
      </c>
      <c r="D1176" s="33" t="s">
        <v>40</v>
      </c>
      <c r="E1176" s="33" t="s">
        <v>1530</v>
      </c>
      <c r="F1176" s="35">
        <v>1</v>
      </c>
      <c r="G1176" s="40">
        <v>0</v>
      </c>
      <c r="H1176" s="40">
        <v>0</v>
      </c>
      <c r="I1176" s="40">
        <v>0</v>
      </c>
      <c r="J1176" s="40">
        <v>0</v>
      </c>
      <c r="K1176" s="40">
        <v>0</v>
      </c>
      <c r="L1176" s="40">
        <v>0</v>
      </c>
      <c r="M1176" s="40">
        <f t="shared" si="37"/>
        <v>0</v>
      </c>
      <c r="N1176" s="40">
        <f t="shared" si="38"/>
        <v>0</v>
      </c>
    </row>
    <row r="1177" spans="1:14" x14ac:dyDescent="0.35">
      <c r="A1177" s="33">
        <v>1174</v>
      </c>
      <c r="B1177" s="34" t="s">
        <v>1531</v>
      </c>
      <c r="C1177" s="33" t="s">
        <v>297</v>
      </c>
      <c r="D1177" s="33" t="s">
        <v>40</v>
      </c>
      <c r="E1177" s="33" t="s">
        <v>1532</v>
      </c>
      <c r="F1177" s="35">
        <v>1</v>
      </c>
      <c r="G1177" s="40">
        <v>0</v>
      </c>
      <c r="H1177" s="40">
        <v>0</v>
      </c>
      <c r="I1177" s="40">
        <v>0</v>
      </c>
      <c r="J1177" s="40">
        <v>0</v>
      </c>
      <c r="K1177" s="40">
        <v>0</v>
      </c>
      <c r="L1177" s="40">
        <v>0</v>
      </c>
      <c r="M1177" s="40">
        <f t="shared" si="37"/>
        <v>0</v>
      </c>
      <c r="N1177" s="40">
        <f t="shared" si="38"/>
        <v>0</v>
      </c>
    </row>
    <row r="1178" spans="1:14" x14ac:dyDescent="0.35">
      <c r="A1178" s="33">
        <v>1175</v>
      </c>
      <c r="B1178" s="34" t="s">
        <v>1533</v>
      </c>
      <c r="C1178" s="33" t="s">
        <v>297</v>
      </c>
      <c r="D1178" s="33" t="s">
        <v>40</v>
      </c>
      <c r="E1178" s="33" t="s">
        <v>1532</v>
      </c>
      <c r="F1178" s="35">
        <v>1</v>
      </c>
      <c r="G1178" s="40">
        <v>0</v>
      </c>
      <c r="H1178" s="40">
        <v>0</v>
      </c>
      <c r="I1178" s="40">
        <v>0</v>
      </c>
      <c r="J1178" s="40">
        <v>0</v>
      </c>
      <c r="K1178" s="40">
        <v>0</v>
      </c>
      <c r="L1178" s="40">
        <v>0</v>
      </c>
      <c r="M1178" s="40">
        <f t="shared" si="37"/>
        <v>0</v>
      </c>
      <c r="N1178" s="40">
        <f t="shared" si="38"/>
        <v>0</v>
      </c>
    </row>
    <row r="1179" spans="1:14" x14ac:dyDescent="0.35">
      <c r="A1179" s="33">
        <v>1176</v>
      </c>
      <c r="B1179" s="34" t="s">
        <v>1554</v>
      </c>
      <c r="C1179" s="33" t="s">
        <v>346</v>
      </c>
      <c r="D1179" s="33" t="s">
        <v>40</v>
      </c>
      <c r="E1179" s="33" t="s">
        <v>1532</v>
      </c>
      <c r="F1179" s="35">
        <v>0.25</v>
      </c>
      <c r="G1179" s="40">
        <v>0</v>
      </c>
      <c r="H1179" s="40">
        <v>0</v>
      </c>
      <c r="I1179" s="40">
        <v>0</v>
      </c>
      <c r="J1179" s="40">
        <v>0</v>
      </c>
      <c r="K1179" s="40">
        <v>0</v>
      </c>
      <c r="L1179" s="40">
        <v>0</v>
      </c>
      <c r="M1179" s="40">
        <f t="shared" si="37"/>
        <v>0</v>
      </c>
      <c r="N1179" s="40">
        <f t="shared" si="38"/>
        <v>0</v>
      </c>
    </row>
    <row r="1180" spans="1:14" x14ac:dyDescent="0.35">
      <c r="A1180" s="33">
        <v>1177</v>
      </c>
      <c r="B1180" s="34" t="s">
        <v>1555</v>
      </c>
      <c r="C1180" s="33" t="s">
        <v>346</v>
      </c>
      <c r="D1180" s="33" t="s">
        <v>40</v>
      </c>
      <c r="E1180" s="33" t="s">
        <v>1532</v>
      </c>
      <c r="F1180" s="35">
        <v>0.55000000000000004</v>
      </c>
      <c r="G1180" s="40">
        <v>0</v>
      </c>
      <c r="H1180" s="40">
        <v>0</v>
      </c>
      <c r="I1180" s="40">
        <v>0</v>
      </c>
      <c r="J1180" s="40">
        <v>0</v>
      </c>
      <c r="K1180" s="40">
        <v>0</v>
      </c>
      <c r="L1180" s="40">
        <v>0</v>
      </c>
      <c r="M1180" s="40">
        <f t="shared" si="37"/>
        <v>0</v>
      </c>
      <c r="N1180" s="40">
        <f t="shared" si="38"/>
        <v>0</v>
      </c>
    </row>
    <row r="1181" spans="1:14" x14ac:dyDescent="0.35">
      <c r="A1181" s="33">
        <v>1178</v>
      </c>
      <c r="B1181" s="34" t="s">
        <v>1556</v>
      </c>
      <c r="C1181" s="33" t="s">
        <v>346</v>
      </c>
      <c r="D1181" s="33" t="s">
        <v>40</v>
      </c>
      <c r="E1181" s="33" t="s">
        <v>1532</v>
      </c>
      <c r="F1181" s="35">
        <v>1</v>
      </c>
      <c r="G1181" s="40">
        <v>0</v>
      </c>
      <c r="H1181" s="40">
        <v>0</v>
      </c>
      <c r="I1181" s="40">
        <v>0</v>
      </c>
      <c r="J1181" s="40">
        <v>0</v>
      </c>
      <c r="K1181" s="40">
        <v>0</v>
      </c>
      <c r="L1181" s="40">
        <v>0</v>
      </c>
      <c r="M1181" s="40">
        <f t="shared" si="37"/>
        <v>0</v>
      </c>
      <c r="N1181" s="40">
        <f t="shared" si="38"/>
        <v>0</v>
      </c>
    </row>
    <row r="1182" spans="1:14" x14ac:dyDescent="0.35">
      <c r="A1182" s="33">
        <v>1179</v>
      </c>
      <c r="B1182" s="34" t="s">
        <v>1557</v>
      </c>
      <c r="C1182" s="33" t="s">
        <v>346</v>
      </c>
      <c r="D1182" s="33" t="s">
        <v>40</v>
      </c>
      <c r="E1182" s="33" t="s">
        <v>1532</v>
      </c>
      <c r="F1182" s="35">
        <v>0.2</v>
      </c>
      <c r="G1182" s="40">
        <v>0</v>
      </c>
      <c r="H1182" s="40">
        <v>0</v>
      </c>
      <c r="I1182" s="40">
        <v>0</v>
      </c>
      <c r="J1182" s="40">
        <v>0</v>
      </c>
      <c r="K1182" s="40">
        <v>0</v>
      </c>
      <c r="L1182" s="40">
        <v>0</v>
      </c>
      <c r="M1182" s="40">
        <f t="shared" si="37"/>
        <v>0</v>
      </c>
      <c r="N1182" s="40">
        <f t="shared" si="38"/>
        <v>0</v>
      </c>
    </row>
    <row r="1183" spans="1:14" x14ac:dyDescent="0.35">
      <c r="A1183" s="33">
        <v>1180</v>
      </c>
      <c r="B1183" s="34" t="s">
        <v>1558</v>
      </c>
      <c r="C1183" s="33" t="s">
        <v>346</v>
      </c>
      <c r="D1183" s="33" t="s">
        <v>40</v>
      </c>
      <c r="E1183" s="33" t="s">
        <v>1532</v>
      </c>
      <c r="F1183" s="35">
        <v>1</v>
      </c>
      <c r="G1183" s="40">
        <v>0</v>
      </c>
      <c r="H1183" s="40">
        <v>0</v>
      </c>
      <c r="I1183" s="40">
        <v>0</v>
      </c>
      <c r="J1183" s="40">
        <v>0</v>
      </c>
      <c r="K1183" s="40">
        <v>0</v>
      </c>
      <c r="L1183" s="40">
        <v>0</v>
      </c>
      <c r="M1183" s="40">
        <f t="shared" si="37"/>
        <v>0</v>
      </c>
      <c r="N1183" s="40">
        <f t="shared" si="38"/>
        <v>0</v>
      </c>
    </row>
    <row r="1184" spans="1:14" x14ac:dyDescent="0.35">
      <c r="A1184" s="33">
        <v>1181</v>
      </c>
      <c r="B1184" s="34" t="s">
        <v>1534</v>
      </c>
      <c r="C1184" s="33" t="s">
        <v>297</v>
      </c>
      <c r="D1184" s="33" t="s">
        <v>40</v>
      </c>
      <c r="E1184" s="33" t="s">
        <v>1535</v>
      </c>
      <c r="F1184" s="35">
        <v>1</v>
      </c>
      <c r="G1184" s="40">
        <v>0</v>
      </c>
      <c r="H1184" s="40">
        <v>8464.64</v>
      </c>
      <c r="I1184" s="40">
        <v>0</v>
      </c>
      <c r="J1184" s="40">
        <v>0</v>
      </c>
      <c r="K1184" s="40">
        <v>0</v>
      </c>
      <c r="L1184" s="40">
        <v>342.95</v>
      </c>
      <c r="M1184" s="40">
        <f t="shared" si="37"/>
        <v>0</v>
      </c>
      <c r="N1184" s="40">
        <f t="shared" si="38"/>
        <v>8807.59</v>
      </c>
    </row>
    <row r="1185" spans="1:14" x14ac:dyDescent="0.35">
      <c r="A1185" s="33">
        <v>1182</v>
      </c>
      <c r="B1185" s="34" t="s">
        <v>1536</v>
      </c>
      <c r="C1185" s="33" t="s">
        <v>297</v>
      </c>
      <c r="D1185" s="33" t="s">
        <v>40</v>
      </c>
      <c r="E1185" s="33" t="s">
        <v>1535</v>
      </c>
      <c r="F1185" s="35">
        <v>1</v>
      </c>
      <c r="G1185" s="40">
        <v>0</v>
      </c>
      <c r="H1185" s="40">
        <v>0</v>
      </c>
      <c r="I1185" s="40">
        <v>0</v>
      </c>
      <c r="J1185" s="40">
        <v>0</v>
      </c>
      <c r="K1185" s="40">
        <v>0</v>
      </c>
      <c r="L1185" s="40">
        <v>0</v>
      </c>
      <c r="M1185" s="40">
        <f t="shared" si="37"/>
        <v>0</v>
      </c>
      <c r="N1185" s="40">
        <f t="shared" si="38"/>
        <v>0</v>
      </c>
    </row>
    <row r="1186" spans="1:14" x14ac:dyDescent="0.35">
      <c r="A1186" s="33">
        <v>1183</v>
      </c>
      <c r="B1186" s="34" t="s">
        <v>1559</v>
      </c>
      <c r="C1186" s="33" t="s">
        <v>346</v>
      </c>
      <c r="D1186" s="33" t="s">
        <v>40</v>
      </c>
      <c r="E1186" s="33" t="s">
        <v>1535</v>
      </c>
      <c r="F1186" s="35">
        <v>0.25</v>
      </c>
      <c r="G1186" s="40">
        <v>0</v>
      </c>
      <c r="H1186" s="40">
        <v>0</v>
      </c>
      <c r="I1186" s="40">
        <v>0</v>
      </c>
      <c r="J1186" s="40">
        <v>0</v>
      </c>
      <c r="K1186" s="40">
        <v>0</v>
      </c>
      <c r="L1186" s="40">
        <v>0</v>
      </c>
      <c r="M1186" s="40">
        <f t="shared" si="37"/>
        <v>0</v>
      </c>
      <c r="N1186" s="40">
        <f t="shared" si="38"/>
        <v>0</v>
      </c>
    </row>
    <row r="1187" spans="1:14" x14ac:dyDescent="0.35">
      <c r="A1187" s="33">
        <v>1184</v>
      </c>
      <c r="B1187" s="34" t="s">
        <v>1560</v>
      </c>
      <c r="C1187" s="33" t="s">
        <v>346</v>
      </c>
      <c r="D1187" s="33" t="s">
        <v>40</v>
      </c>
      <c r="E1187" s="33" t="s">
        <v>1535</v>
      </c>
      <c r="F1187" s="35">
        <v>0.25</v>
      </c>
      <c r="G1187" s="40">
        <v>0</v>
      </c>
      <c r="H1187" s="40">
        <v>0</v>
      </c>
      <c r="I1187" s="40">
        <v>0</v>
      </c>
      <c r="J1187" s="40">
        <v>0</v>
      </c>
      <c r="K1187" s="40">
        <v>0</v>
      </c>
      <c r="L1187" s="40">
        <v>0</v>
      </c>
      <c r="M1187" s="40">
        <f t="shared" si="37"/>
        <v>0</v>
      </c>
      <c r="N1187" s="40">
        <f t="shared" si="38"/>
        <v>0</v>
      </c>
    </row>
    <row r="1188" spans="1:14" x14ac:dyDescent="0.35">
      <c r="A1188" s="33">
        <v>1185</v>
      </c>
      <c r="B1188" s="34" t="s">
        <v>1561</v>
      </c>
      <c r="C1188" s="33" t="s">
        <v>346</v>
      </c>
      <c r="D1188" s="33" t="s">
        <v>40</v>
      </c>
      <c r="E1188" s="33" t="s">
        <v>1535</v>
      </c>
      <c r="F1188" s="35">
        <v>0.25</v>
      </c>
      <c r="G1188" s="40">
        <v>0</v>
      </c>
      <c r="H1188" s="40">
        <v>0</v>
      </c>
      <c r="I1188" s="40">
        <v>0</v>
      </c>
      <c r="J1188" s="40">
        <v>0</v>
      </c>
      <c r="K1188" s="40">
        <v>0</v>
      </c>
      <c r="L1188" s="40">
        <v>0</v>
      </c>
      <c r="M1188" s="40">
        <f t="shared" si="37"/>
        <v>0</v>
      </c>
      <c r="N1188" s="40">
        <f t="shared" si="38"/>
        <v>0</v>
      </c>
    </row>
    <row r="1189" spans="1:14" x14ac:dyDescent="0.35">
      <c r="A1189" s="33">
        <v>1186</v>
      </c>
      <c r="B1189" s="34" t="s">
        <v>1562</v>
      </c>
      <c r="C1189" s="33" t="s">
        <v>346</v>
      </c>
      <c r="D1189" s="33" t="s">
        <v>40</v>
      </c>
      <c r="E1189" s="33" t="s">
        <v>1535</v>
      </c>
      <c r="F1189" s="35">
        <v>1</v>
      </c>
      <c r="G1189" s="40">
        <v>0</v>
      </c>
      <c r="H1189" s="40">
        <v>0</v>
      </c>
      <c r="I1189" s="40">
        <v>0</v>
      </c>
      <c r="J1189" s="40">
        <v>0</v>
      </c>
      <c r="K1189" s="40">
        <v>0</v>
      </c>
      <c r="L1189" s="40">
        <v>0</v>
      </c>
      <c r="M1189" s="40">
        <f t="shared" si="37"/>
        <v>0</v>
      </c>
      <c r="N1189" s="40">
        <f t="shared" si="38"/>
        <v>0</v>
      </c>
    </row>
    <row r="1190" spans="1:14" x14ac:dyDescent="0.35">
      <c r="A1190" s="33">
        <v>1187</v>
      </c>
      <c r="B1190" s="34" t="s">
        <v>1563</v>
      </c>
      <c r="C1190" s="33" t="s">
        <v>346</v>
      </c>
      <c r="D1190" s="33" t="s">
        <v>40</v>
      </c>
      <c r="E1190" s="33" t="s">
        <v>1535</v>
      </c>
      <c r="F1190" s="35">
        <v>1</v>
      </c>
      <c r="G1190" s="40">
        <v>0</v>
      </c>
      <c r="H1190" s="40">
        <v>0</v>
      </c>
      <c r="I1190" s="40">
        <v>0</v>
      </c>
      <c r="J1190" s="40">
        <v>0</v>
      </c>
      <c r="K1190" s="40">
        <v>0</v>
      </c>
      <c r="L1190" s="40">
        <v>0</v>
      </c>
      <c r="M1190" s="40">
        <f t="shared" si="37"/>
        <v>0</v>
      </c>
      <c r="N1190" s="40">
        <f t="shared" si="38"/>
        <v>0</v>
      </c>
    </row>
    <row r="1191" spans="1:14" x14ac:dyDescent="0.35">
      <c r="A1191" s="33">
        <v>1188</v>
      </c>
      <c r="B1191" s="34" t="s">
        <v>1564</v>
      </c>
      <c r="C1191" s="33" t="s">
        <v>346</v>
      </c>
      <c r="D1191" s="33" t="s">
        <v>40</v>
      </c>
      <c r="E1191" s="33" t="s">
        <v>1535</v>
      </c>
      <c r="F1191" s="35">
        <v>1</v>
      </c>
      <c r="G1191" s="40">
        <v>0</v>
      </c>
      <c r="H1191" s="40">
        <v>15.4</v>
      </c>
      <c r="I1191" s="40">
        <v>0</v>
      </c>
      <c r="J1191" s="40">
        <v>0</v>
      </c>
      <c r="K1191" s="40">
        <v>0</v>
      </c>
      <c r="L1191" s="40">
        <v>44.08</v>
      </c>
      <c r="M1191" s="40">
        <f t="shared" si="37"/>
        <v>0</v>
      </c>
      <c r="N1191" s="40">
        <f t="shared" si="38"/>
        <v>59.48</v>
      </c>
    </row>
    <row r="1192" spans="1:14" x14ac:dyDescent="0.35">
      <c r="A1192" s="33">
        <v>1189</v>
      </c>
      <c r="B1192" s="34" t="s">
        <v>1565</v>
      </c>
      <c r="C1192" s="33" t="s">
        <v>346</v>
      </c>
      <c r="D1192" s="33" t="s">
        <v>40</v>
      </c>
      <c r="E1192" s="33" t="s">
        <v>1535</v>
      </c>
      <c r="F1192" s="35">
        <v>7.4999999999999997E-2</v>
      </c>
      <c r="G1192" s="40">
        <v>0</v>
      </c>
      <c r="H1192" s="40">
        <v>0</v>
      </c>
      <c r="I1192" s="40">
        <v>0</v>
      </c>
      <c r="J1192" s="40">
        <v>0</v>
      </c>
      <c r="K1192" s="40">
        <v>0</v>
      </c>
      <c r="L1192" s="40">
        <v>0</v>
      </c>
      <c r="M1192" s="40">
        <f t="shared" si="37"/>
        <v>0</v>
      </c>
      <c r="N1192" s="40">
        <f t="shared" si="38"/>
        <v>0</v>
      </c>
    </row>
    <row r="1193" spans="1:14" x14ac:dyDescent="0.35">
      <c r="A1193" s="33">
        <v>1190</v>
      </c>
      <c r="B1193" s="34" t="s">
        <v>1566</v>
      </c>
      <c r="C1193" s="33" t="s">
        <v>346</v>
      </c>
      <c r="D1193" s="33" t="s">
        <v>40</v>
      </c>
      <c r="E1193" s="33" t="s">
        <v>1535</v>
      </c>
      <c r="F1193" s="35">
        <v>0.08</v>
      </c>
      <c r="G1193" s="40">
        <v>0</v>
      </c>
      <c r="H1193" s="40">
        <v>0</v>
      </c>
      <c r="I1193" s="40">
        <v>0</v>
      </c>
      <c r="J1193" s="40">
        <v>0</v>
      </c>
      <c r="K1193" s="40">
        <v>0</v>
      </c>
      <c r="L1193" s="40">
        <v>0</v>
      </c>
      <c r="M1193" s="40">
        <f t="shared" si="37"/>
        <v>0</v>
      </c>
      <c r="N1193" s="40">
        <f t="shared" si="38"/>
        <v>0</v>
      </c>
    </row>
    <row r="1194" spans="1:14" x14ac:dyDescent="0.35">
      <c r="A1194" s="33">
        <v>1191</v>
      </c>
      <c r="B1194" s="34" t="s">
        <v>1567</v>
      </c>
      <c r="C1194" s="33" t="s">
        <v>346</v>
      </c>
      <c r="D1194" s="33" t="s">
        <v>40</v>
      </c>
      <c r="E1194" s="33" t="s">
        <v>1535</v>
      </c>
      <c r="F1194" s="35">
        <v>0.8</v>
      </c>
      <c r="G1194" s="40">
        <v>0</v>
      </c>
      <c r="H1194" s="40">
        <v>0</v>
      </c>
      <c r="I1194" s="40">
        <v>0</v>
      </c>
      <c r="J1194" s="40">
        <v>0</v>
      </c>
      <c r="K1194" s="40">
        <v>0</v>
      </c>
      <c r="L1194" s="40">
        <v>0</v>
      </c>
      <c r="M1194" s="40">
        <f t="shared" si="37"/>
        <v>0</v>
      </c>
      <c r="N1194" s="40">
        <f t="shared" si="38"/>
        <v>0</v>
      </c>
    </row>
    <row r="1195" spans="1:14" x14ac:dyDescent="0.35">
      <c r="A1195" s="33">
        <v>1192</v>
      </c>
      <c r="B1195" s="34" t="s">
        <v>1568</v>
      </c>
      <c r="C1195" s="33" t="s">
        <v>346</v>
      </c>
      <c r="D1195" s="33" t="s">
        <v>40</v>
      </c>
      <c r="E1195" s="33" t="s">
        <v>1535</v>
      </c>
      <c r="F1195" s="35">
        <v>0.2</v>
      </c>
      <c r="G1195" s="40">
        <v>0</v>
      </c>
      <c r="H1195" s="40">
        <v>0</v>
      </c>
      <c r="I1195" s="40">
        <v>0</v>
      </c>
      <c r="J1195" s="40">
        <v>0</v>
      </c>
      <c r="K1195" s="40">
        <v>0</v>
      </c>
      <c r="L1195" s="40">
        <v>0</v>
      </c>
      <c r="M1195" s="40">
        <f t="shared" si="37"/>
        <v>0</v>
      </c>
      <c r="N1195" s="40">
        <f t="shared" si="38"/>
        <v>0</v>
      </c>
    </row>
    <row r="1196" spans="1:14" x14ac:dyDescent="0.35">
      <c r="A1196" s="33">
        <v>1193</v>
      </c>
      <c r="B1196" s="34" t="s">
        <v>1569</v>
      </c>
      <c r="C1196" s="33" t="s">
        <v>346</v>
      </c>
      <c r="D1196" s="33" t="s">
        <v>40</v>
      </c>
      <c r="E1196" s="33" t="s">
        <v>1535</v>
      </c>
      <c r="F1196" s="35">
        <v>0.1</v>
      </c>
      <c r="G1196" s="40">
        <v>0</v>
      </c>
      <c r="H1196" s="40">
        <v>0</v>
      </c>
      <c r="I1196" s="40">
        <v>0</v>
      </c>
      <c r="J1196" s="40">
        <v>0</v>
      </c>
      <c r="K1196" s="40">
        <v>0</v>
      </c>
      <c r="L1196" s="40">
        <v>0</v>
      </c>
      <c r="M1196" s="40">
        <f t="shared" si="37"/>
        <v>0</v>
      </c>
      <c r="N1196" s="40">
        <f t="shared" si="38"/>
        <v>0</v>
      </c>
    </row>
    <row r="1197" spans="1:14" x14ac:dyDescent="0.35">
      <c r="A1197" s="33">
        <v>1194</v>
      </c>
      <c r="B1197" s="34" t="s">
        <v>1570</v>
      </c>
      <c r="C1197" s="33" t="s">
        <v>346</v>
      </c>
      <c r="D1197" s="33" t="s">
        <v>40</v>
      </c>
      <c r="E1197" s="33" t="s">
        <v>1535</v>
      </c>
      <c r="F1197" s="35">
        <v>0.125</v>
      </c>
      <c r="G1197" s="40">
        <v>0</v>
      </c>
      <c r="H1197" s="40">
        <v>0</v>
      </c>
      <c r="I1197" s="40">
        <v>0</v>
      </c>
      <c r="J1197" s="40">
        <v>0</v>
      </c>
      <c r="K1197" s="40">
        <v>0</v>
      </c>
      <c r="L1197" s="40">
        <v>0</v>
      </c>
      <c r="M1197" s="40">
        <f t="shared" si="37"/>
        <v>0</v>
      </c>
      <c r="N1197" s="40">
        <f t="shared" si="38"/>
        <v>0</v>
      </c>
    </row>
    <row r="1198" spans="1:14" x14ac:dyDescent="0.35">
      <c r="A1198" s="33">
        <v>1195</v>
      </c>
      <c r="B1198" s="34" t="s">
        <v>1571</v>
      </c>
      <c r="C1198" s="33" t="s">
        <v>346</v>
      </c>
      <c r="D1198" s="33" t="s">
        <v>40</v>
      </c>
      <c r="E1198" s="33" t="s">
        <v>1535</v>
      </c>
      <c r="F1198" s="35">
        <v>0.15</v>
      </c>
      <c r="G1198" s="40">
        <v>0</v>
      </c>
      <c r="H1198" s="40">
        <v>0</v>
      </c>
      <c r="I1198" s="40">
        <v>0</v>
      </c>
      <c r="J1198" s="40">
        <v>0</v>
      </c>
      <c r="K1198" s="40">
        <v>0</v>
      </c>
      <c r="L1198" s="40">
        <v>0</v>
      </c>
      <c r="M1198" s="40">
        <f t="shared" si="37"/>
        <v>0</v>
      </c>
      <c r="N1198" s="40">
        <f t="shared" si="38"/>
        <v>0</v>
      </c>
    </row>
    <row r="1199" spans="1:14" x14ac:dyDescent="0.35">
      <c r="A1199" s="33">
        <v>1196</v>
      </c>
      <c r="B1199" s="34" t="s">
        <v>1572</v>
      </c>
      <c r="C1199" s="33" t="s">
        <v>346</v>
      </c>
      <c r="D1199" s="33" t="s">
        <v>40</v>
      </c>
      <c r="E1199" s="33" t="s">
        <v>1535</v>
      </c>
      <c r="F1199" s="35">
        <v>0.2</v>
      </c>
      <c r="G1199" s="40">
        <v>0</v>
      </c>
      <c r="H1199" s="40">
        <v>0</v>
      </c>
      <c r="I1199" s="40">
        <v>0</v>
      </c>
      <c r="J1199" s="40">
        <v>0</v>
      </c>
      <c r="K1199" s="40">
        <v>0</v>
      </c>
      <c r="L1199" s="40">
        <v>0</v>
      </c>
      <c r="M1199" s="40">
        <f t="shared" si="37"/>
        <v>0</v>
      </c>
      <c r="N1199" s="40">
        <f t="shared" si="38"/>
        <v>0</v>
      </c>
    </row>
    <row r="1200" spans="1:14" x14ac:dyDescent="0.35">
      <c r="A1200" s="33">
        <v>1197</v>
      </c>
      <c r="B1200" s="34" t="s">
        <v>1573</v>
      </c>
      <c r="C1200" s="33" t="s">
        <v>346</v>
      </c>
      <c r="D1200" s="33" t="s">
        <v>40</v>
      </c>
      <c r="E1200" s="33" t="s">
        <v>1535</v>
      </c>
      <c r="F1200" s="35">
        <v>0.08</v>
      </c>
      <c r="G1200" s="40">
        <v>0</v>
      </c>
      <c r="H1200" s="40">
        <v>0</v>
      </c>
      <c r="I1200" s="40">
        <v>0</v>
      </c>
      <c r="J1200" s="40">
        <v>0</v>
      </c>
      <c r="K1200" s="40">
        <v>0</v>
      </c>
      <c r="L1200" s="40">
        <v>0</v>
      </c>
      <c r="M1200" s="40">
        <f t="shared" si="37"/>
        <v>0</v>
      </c>
      <c r="N1200" s="40">
        <f t="shared" si="38"/>
        <v>0</v>
      </c>
    </row>
    <row r="1201" spans="1:14" x14ac:dyDescent="0.35">
      <c r="A1201" s="33">
        <v>1198</v>
      </c>
      <c r="B1201" s="34" t="s">
        <v>1574</v>
      </c>
      <c r="C1201" s="33" t="s">
        <v>346</v>
      </c>
      <c r="D1201" s="33" t="s">
        <v>40</v>
      </c>
      <c r="E1201" s="33" t="s">
        <v>1535</v>
      </c>
      <c r="F1201" s="35">
        <v>0.2</v>
      </c>
      <c r="G1201" s="40">
        <v>0</v>
      </c>
      <c r="H1201" s="40">
        <v>0</v>
      </c>
      <c r="I1201" s="40">
        <v>0</v>
      </c>
      <c r="J1201" s="40">
        <v>0</v>
      </c>
      <c r="K1201" s="40">
        <v>0</v>
      </c>
      <c r="L1201" s="40">
        <v>0</v>
      </c>
      <c r="M1201" s="40">
        <f t="shared" si="37"/>
        <v>0</v>
      </c>
      <c r="N1201" s="40">
        <f t="shared" si="38"/>
        <v>0</v>
      </c>
    </row>
    <row r="1202" spans="1:14" x14ac:dyDescent="0.35">
      <c r="A1202" s="33">
        <v>1199</v>
      </c>
      <c r="B1202" s="34" t="s">
        <v>1575</v>
      </c>
      <c r="C1202" s="33" t="s">
        <v>346</v>
      </c>
      <c r="D1202" s="33" t="s">
        <v>40</v>
      </c>
      <c r="E1202" s="33" t="s">
        <v>1535</v>
      </c>
      <c r="F1202" s="35">
        <v>2.5000000000000001E-2</v>
      </c>
      <c r="G1202" s="40">
        <v>0</v>
      </c>
      <c r="H1202" s="40">
        <v>0</v>
      </c>
      <c r="I1202" s="40">
        <v>0</v>
      </c>
      <c r="J1202" s="40">
        <v>0</v>
      </c>
      <c r="K1202" s="40">
        <v>0</v>
      </c>
      <c r="L1202" s="40">
        <v>0</v>
      </c>
      <c r="M1202" s="40">
        <f t="shared" si="37"/>
        <v>0</v>
      </c>
      <c r="N1202" s="40">
        <f t="shared" si="38"/>
        <v>0</v>
      </c>
    </row>
    <row r="1203" spans="1:14" x14ac:dyDescent="0.35">
      <c r="A1203" s="33">
        <v>1200</v>
      </c>
      <c r="B1203" s="34" t="s">
        <v>1576</v>
      </c>
      <c r="C1203" s="33" t="s">
        <v>346</v>
      </c>
      <c r="D1203" s="33" t="s">
        <v>40</v>
      </c>
      <c r="E1203" s="33" t="s">
        <v>1535</v>
      </c>
      <c r="F1203" s="35">
        <v>0.2</v>
      </c>
      <c r="G1203" s="40">
        <v>0</v>
      </c>
      <c r="H1203" s="40">
        <v>0</v>
      </c>
      <c r="I1203" s="40">
        <v>0</v>
      </c>
      <c r="J1203" s="40">
        <v>0</v>
      </c>
      <c r="K1203" s="40">
        <v>0</v>
      </c>
      <c r="L1203" s="40">
        <v>0</v>
      </c>
      <c r="M1203" s="40">
        <f t="shared" si="37"/>
        <v>0</v>
      </c>
      <c r="N1203" s="40">
        <f t="shared" si="38"/>
        <v>0</v>
      </c>
    </row>
    <row r="1204" spans="1:14" x14ac:dyDescent="0.35">
      <c r="A1204" s="33">
        <v>1201</v>
      </c>
      <c r="B1204" s="34" t="s">
        <v>1577</v>
      </c>
      <c r="C1204" s="33" t="s">
        <v>346</v>
      </c>
      <c r="D1204" s="33" t="s">
        <v>40</v>
      </c>
      <c r="E1204" s="33" t="s">
        <v>1535</v>
      </c>
      <c r="F1204" s="35">
        <v>0.1</v>
      </c>
      <c r="G1204" s="40">
        <v>0</v>
      </c>
      <c r="H1204" s="40">
        <v>0</v>
      </c>
      <c r="I1204" s="40">
        <v>0</v>
      </c>
      <c r="J1204" s="40">
        <v>0</v>
      </c>
      <c r="K1204" s="40">
        <v>0</v>
      </c>
      <c r="L1204" s="40">
        <v>0</v>
      </c>
      <c r="M1204" s="40">
        <f t="shared" si="37"/>
        <v>0</v>
      </c>
      <c r="N1204" s="40">
        <f t="shared" si="38"/>
        <v>0</v>
      </c>
    </row>
    <row r="1205" spans="1:14" x14ac:dyDescent="0.35">
      <c r="A1205" s="33">
        <v>1202</v>
      </c>
      <c r="B1205" s="34" t="s">
        <v>1578</v>
      </c>
      <c r="C1205" s="33" t="s">
        <v>346</v>
      </c>
      <c r="D1205" s="33" t="s">
        <v>40</v>
      </c>
      <c r="E1205" s="33" t="s">
        <v>1535</v>
      </c>
      <c r="F1205" s="35">
        <v>0.2</v>
      </c>
      <c r="G1205" s="40">
        <v>0</v>
      </c>
      <c r="H1205" s="40">
        <v>0</v>
      </c>
      <c r="I1205" s="40">
        <v>0</v>
      </c>
      <c r="J1205" s="40">
        <v>0</v>
      </c>
      <c r="K1205" s="40">
        <v>0</v>
      </c>
      <c r="L1205" s="40">
        <v>0</v>
      </c>
      <c r="M1205" s="40">
        <f t="shared" si="37"/>
        <v>0</v>
      </c>
      <c r="N1205" s="40">
        <f t="shared" si="38"/>
        <v>0</v>
      </c>
    </row>
    <row r="1206" spans="1:14" x14ac:dyDescent="0.35">
      <c r="A1206" s="33">
        <v>1203</v>
      </c>
      <c r="B1206" s="34" t="s">
        <v>1579</v>
      </c>
      <c r="C1206" s="33" t="s">
        <v>346</v>
      </c>
      <c r="D1206" s="33" t="s">
        <v>40</v>
      </c>
      <c r="E1206" s="33" t="s">
        <v>1535</v>
      </c>
      <c r="F1206" s="35">
        <v>0.25</v>
      </c>
      <c r="G1206" s="40">
        <v>0</v>
      </c>
      <c r="H1206" s="40">
        <v>0</v>
      </c>
      <c r="I1206" s="40">
        <v>0</v>
      </c>
      <c r="J1206" s="40">
        <v>0</v>
      </c>
      <c r="K1206" s="40">
        <v>0</v>
      </c>
      <c r="L1206" s="40">
        <v>0</v>
      </c>
      <c r="M1206" s="40">
        <f t="shared" si="37"/>
        <v>0</v>
      </c>
      <c r="N1206" s="40">
        <f t="shared" si="38"/>
        <v>0</v>
      </c>
    </row>
    <row r="1207" spans="1:14" x14ac:dyDescent="0.35">
      <c r="A1207" s="33">
        <v>1204</v>
      </c>
      <c r="B1207" s="34" t="s">
        <v>1580</v>
      </c>
      <c r="C1207" s="33" t="s">
        <v>346</v>
      </c>
      <c r="D1207" s="33" t="s">
        <v>40</v>
      </c>
      <c r="E1207" s="33" t="s">
        <v>1535</v>
      </c>
      <c r="F1207" s="35">
        <v>0.3</v>
      </c>
      <c r="G1207" s="40">
        <v>0</v>
      </c>
      <c r="H1207" s="40">
        <v>0</v>
      </c>
      <c r="I1207" s="40">
        <v>0</v>
      </c>
      <c r="J1207" s="40">
        <v>0</v>
      </c>
      <c r="K1207" s="40">
        <v>0</v>
      </c>
      <c r="L1207" s="40">
        <v>0</v>
      </c>
      <c r="M1207" s="40">
        <f t="shared" si="37"/>
        <v>0</v>
      </c>
      <c r="N1207" s="40">
        <f t="shared" si="38"/>
        <v>0</v>
      </c>
    </row>
    <row r="1208" spans="1:14" x14ac:dyDescent="0.35">
      <c r="A1208" s="33">
        <v>1205</v>
      </c>
      <c r="B1208" s="34" t="s">
        <v>1581</v>
      </c>
      <c r="C1208" s="33" t="s">
        <v>346</v>
      </c>
      <c r="D1208" s="33" t="s">
        <v>40</v>
      </c>
      <c r="E1208" s="33" t="s">
        <v>1535</v>
      </c>
      <c r="F1208" s="35">
        <v>1</v>
      </c>
      <c r="G1208" s="40">
        <v>0</v>
      </c>
      <c r="H1208" s="40">
        <v>0</v>
      </c>
      <c r="I1208" s="40">
        <v>0</v>
      </c>
      <c r="J1208" s="40">
        <v>0</v>
      </c>
      <c r="K1208" s="40">
        <v>0</v>
      </c>
      <c r="L1208" s="40">
        <v>0</v>
      </c>
      <c r="M1208" s="40">
        <f t="shared" si="37"/>
        <v>0</v>
      </c>
      <c r="N1208" s="40">
        <f t="shared" si="38"/>
        <v>0</v>
      </c>
    </row>
    <row r="1209" spans="1:14" x14ac:dyDescent="0.35">
      <c r="A1209" s="33">
        <v>1206</v>
      </c>
      <c r="B1209" s="34" t="s">
        <v>1582</v>
      </c>
      <c r="C1209" s="33" t="s">
        <v>346</v>
      </c>
      <c r="D1209" s="33" t="s">
        <v>40</v>
      </c>
      <c r="E1209" s="33" t="s">
        <v>1535</v>
      </c>
      <c r="F1209" s="35">
        <v>0.2</v>
      </c>
      <c r="G1209" s="40">
        <v>0</v>
      </c>
      <c r="H1209" s="40">
        <v>0</v>
      </c>
      <c r="I1209" s="40">
        <v>0</v>
      </c>
      <c r="J1209" s="40">
        <v>0</v>
      </c>
      <c r="K1209" s="40">
        <v>0</v>
      </c>
      <c r="L1209" s="40">
        <v>0</v>
      </c>
      <c r="M1209" s="40">
        <f t="shared" si="37"/>
        <v>0</v>
      </c>
      <c r="N1209" s="40">
        <f t="shared" si="38"/>
        <v>0</v>
      </c>
    </row>
    <row r="1210" spans="1:14" x14ac:dyDescent="0.35">
      <c r="A1210" s="33">
        <v>1207</v>
      </c>
      <c r="B1210" s="34" t="s">
        <v>1583</v>
      </c>
      <c r="C1210" s="33" t="s">
        <v>346</v>
      </c>
      <c r="D1210" s="33" t="s">
        <v>40</v>
      </c>
      <c r="E1210" s="33" t="s">
        <v>1535</v>
      </c>
      <c r="F1210" s="35">
        <v>0.05</v>
      </c>
      <c r="G1210" s="40">
        <v>0</v>
      </c>
      <c r="H1210" s="40">
        <v>0</v>
      </c>
      <c r="I1210" s="40">
        <v>0</v>
      </c>
      <c r="J1210" s="40">
        <v>0</v>
      </c>
      <c r="K1210" s="40">
        <v>0</v>
      </c>
      <c r="L1210" s="40">
        <v>0</v>
      </c>
      <c r="M1210" s="40">
        <f t="shared" si="37"/>
        <v>0</v>
      </c>
      <c r="N1210" s="40">
        <f t="shared" si="38"/>
        <v>0</v>
      </c>
    </row>
    <row r="1211" spans="1:14" x14ac:dyDescent="0.35">
      <c r="A1211" s="33">
        <v>1208</v>
      </c>
      <c r="B1211" s="34" t="s">
        <v>1584</v>
      </c>
      <c r="C1211" s="33" t="s">
        <v>346</v>
      </c>
      <c r="D1211" s="33" t="s">
        <v>40</v>
      </c>
      <c r="E1211" s="33" t="s">
        <v>1535</v>
      </c>
      <c r="F1211" s="35">
        <v>0.5</v>
      </c>
      <c r="G1211" s="40">
        <v>0</v>
      </c>
      <c r="H1211" s="40">
        <v>0</v>
      </c>
      <c r="I1211" s="40">
        <v>0</v>
      </c>
      <c r="J1211" s="40">
        <v>0</v>
      </c>
      <c r="K1211" s="40">
        <v>0</v>
      </c>
      <c r="L1211" s="40">
        <v>0</v>
      </c>
      <c r="M1211" s="40">
        <f t="shared" si="37"/>
        <v>0</v>
      </c>
      <c r="N1211" s="40">
        <f t="shared" si="38"/>
        <v>0</v>
      </c>
    </row>
    <row r="1212" spans="1:14" x14ac:dyDescent="0.35">
      <c r="A1212" s="33">
        <v>1209</v>
      </c>
      <c r="B1212" s="34" t="s">
        <v>1585</v>
      </c>
      <c r="C1212" s="33" t="s">
        <v>346</v>
      </c>
      <c r="D1212" s="33" t="s">
        <v>40</v>
      </c>
      <c r="E1212" s="33" t="s">
        <v>1535</v>
      </c>
      <c r="F1212" s="35">
        <v>0.2</v>
      </c>
      <c r="G1212" s="40">
        <v>0</v>
      </c>
      <c r="H1212" s="40">
        <v>0</v>
      </c>
      <c r="I1212" s="40">
        <v>0</v>
      </c>
      <c r="J1212" s="40">
        <v>0</v>
      </c>
      <c r="K1212" s="40">
        <v>0</v>
      </c>
      <c r="L1212" s="40">
        <v>0</v>
      </c>
      <c r="M1212" s="40">
        <f t="shared" si="37"/>
        <v>0</v>
      </c>
      <c r="N1212" s="40">
        <f t="shared" si="38"/>
        <v>0</v>
      </c>
    </row>
    <row r="1213" spans="1:14" x14ac:dyDescent="0.35">
      <c r="A1213" s="33">
        <v>1210</v>
      </c>
      <c r="B1213" s="34" t="s">
        <v>1586</v>
      </c>
      <c r="C1213" s="33" t="s">
        <v>346</v>
      </c>
      <c r="D1213" s="33" t="s">
        <v>40</v>
      </c>
      <c r="E1213" s="33" t="s">
        <v>1535</v>
      </c>
      <c r="F1213" s="35">
        <v>0.2</v>
      </c>
      <c r="G1213" s="40">
        <v>0</v>
      </c>
      <c r="H1213" s="40">
        <v>0</v>
      </c>
      <c r="I1213" s="40">
        <v>0</v>
      </c>
      <c r="J1213" s="40">
        <v>0</v>
      </c>
      <c r="K1213" s="40">
        <v>0</v>
      </c>
      <c r="L1213" s="40">
        <v>0</v>
      </c>
      <c r="M1213" s="40">
        <f t="shared" si="37"/>
        <v>0</v>
      </c>
      <c r="N1213" s="40">
        <f t="shared" si="38"/>
        <v>0</v>
      </c>
    </row>
    <row r="1214" spans="1:14" x14ac:dyDescent="0.35">
      <c r="A1214" s="33">
        <v>1211</v>
      </c>
      <c r="B1214" s="34" t="s">
        <v>1587</v>
      </c>
      <c r="C1214" s="33" t="s">
        <v>346</v>
      </c>
      <c r="D1214" s="33" t="s">
        <v>40</v>
      </c>
      <c r="E1214" s="33" t="s">
        <v>1535</v>
      </c>
      <c r="F1214" s="35">
        <v>0.2</v>
      </c>
      <c r="G1214" s="40">
        <v>0</v>
      </c>
      <c r="H1214" s="40">
        <v>0</v>
      </c>
      <c r="I1214" s="40">
        <v>0</v>
      </c>
      <c r="J1214" s="40">
        <v>0</v>
      </c>
      <c r="K1214" s="40">
        <v>0</v>
      </c>
      <c r="L1214" s="40">
        <v>0</v>
      </c>
      <c r="M1214" s="40">
        <f t="shared" si="37"/>
        <v>0</v>
      </c>
      <c r="N1214" s="40">
        <f t="shared" si="38"/>
        <v>0</v>
      </c>
    </row>
    <row r="1215" spans="1:14" x14ac:dyDescent="0.35">
      <c r="A1215" s="33">
        <v>1212</v>
      </c>
      <c r="B1215" s="34" t="s">
        <v>1588</v>
      </c>
      <c r="C1215" s="33" t="s">
        <v>346</v>
      </c>
      <c r="D1215" s="33" t="s">
        <v>40</v>
      </c>
      <c r="E1215" s="33" t="s">
        <v>1535</v>
      </c>
      <c r="F1215" s="35">
        <v>1</v>
      </c>
      <c r="G1215" s="40">
        <v>0</v>
      </c>
      <c r="H1215" s="40">
        <v>0</v>
      </c>
      <c r="I1215" s="40">
        <v>0</v>
      </c>
      <c r="J1215" s="40">
        <v>0</v>
      </c>
      <c r="K1215" s="40">
        <v>0</v>
      </c>
      <c r="L1215" s="40">
        <v>0</v>
      </c>
      <c r="M1215" s="40">
        <f t="shared" si="37"/>
        <v>0</v>
      </c>
      <c r="N1215" s="40">
        <f t="shared" si="38"/>
        <v>0</v>
      </c>
    </row>
    <row r="1216" spans="1:14" x14ac:dyDescent="0.35">
      <c r="A1216" s="33">
        <v>1213</v>
      </c>
      <c r="B1216" s="34" t="s">
        <v>1589</v>
      </c>
      <c r="C1216" s="33" t="s">
        <v>346</v>
      </c>
      <c r="D1216" s="33" t="s">
        <v>40</v>
      </c>
      <c r="E1216" s="33" t="s">
        <v>1535</v>
      </c>
      <c r="F1216" s="35">
        <v>0.1</v>
      </c>
      <c r="G1216" s="40">
        <v>0</v>
      </c>
      <c r="H1216" s="40">
        <v>0</v>
      </c>
      <c r="I1216" s="40">
        <v>0</v>
      </c>
      <c r="J1216" s="40">
        <v>0</v>
      </c>
      <c r="K1216" s="40">
        <v>0</v>
      </c>
      <c r="L1216" s="40">
        <v>0</v>
      </c>
      <c r="M1216" s="40">
        <f t="shared" si="37"/>
        <v>0</v>
      </c>
      <c r="N1216" s="40">
        <f t="shared" si="38"/>
        <v>0</v>
      </c>
    </row>
    <row r="1217" spans="1:14" x14ac:dyDescent="0.35">
      <c r="A1217" s="33">
        <v>1214</v>
      </c>
      <c r="B1217" s="34" t="s">
        <v>1590</v>
      </c>
      <c r="C1217" s="33" t="s">
        <v>346</v>
      </c>
      <c r="D1217" s="33" t="s">
        <v>40</v>
      </c>
      <c r="E1217" s="33" t="s">
        <v>1535</v>
      </c>
      <c r="F1217" s="35">
        <v>1</v>
      </c>
      <c r="G1217" s="40">
        <v>0</v>
      </c>
      <c r="H1217" s="40">
        <v>0</v>
      </c>
      <c r="I1217" s="40">
        <v>0</v>
      </c>
      <c r="J1217" s="40">
        <v>0</v>
      </c>
      <c r="K1217" s="40">
        <v>0</v>
      </c>
      <c r="L1217" s="40">
        <v>0</v>
      </c>
      <c r="M1217" s="40">
        <f t="shared" si="37"/>
        <v>0</v>
      </c>
      <c r="N1217" s="40">
        <f t="shared" si="38"/>
        <v>0</v>
      </c>
    </row>
    <row r="1218" spans="1:14" x14ac:dyDescent="0.35">
      <c r="A1218" s="33">
        <v>1215</v>
      </c>
      <c r="B1218" s="34" t="s">
        <v>1591</v>
      </c>
      <c r="C1218" s="33" t="s">
        <v>346</v>
      </c>
      <c r="D1218" s="33" t="s">
        <v>40</v>
      </c>
      <c r="E1218" s="33" t="s">
        <v>1535</v>
      </c>
      <c r="F1218" s="35">
        <v>0.09</v>
      </c>
      <c r="G1218" s="40">
        <v>0</v>
      </c>
      <c r="H1218" s="40">
        <v>0</v>
      </c>
      <c r="I1218" s="40">
        <v>0</v>
      </c>
      <c r="J1218" s="40">
        <v>0</v>
      </c>
      <c r="K1218" s="40">
        <v>0</v>
      </c>
      <c r="L1218" s="40">
        <v>0</v>
      </c>
      <c r="M1218" s="40">
        <f t="shared" si="37"/>
        <v>0</v>
      </c>
      <c r="N1218" s="40">
        <f t="shared" si="38"/>
        <v>0</v>
      </c>
    </row>
    <row r="1219" spans="1:14" x14ac:dyDescent="0.35">
      <c r="A1219" s="33">
        <v>1216</v>
      </c>
      <c r="B1219" s="34" t="s">
        <v>1592</v>
      </c>
      <c r="C1219" s="33" t="s">
        <v>346</v>
      </c>
      <c r="D1219" s="33" t="s">
        <v>40</v>
      </c>
      <c r="E1219" s="33" t="s">
        <v>1535</v>
      </c>
      <c r="F1219" s="35">
        <v>1</v>
      </c>
      <c r="G1219" s="40">
        <v>0</v>
      </c>
      <c r="H1219" s="40">
        <v>0</v>
      </c>
      <c r="I1219" s="40">
        <v>0</v>
      </c>
      <c r="J1219" s="40">
        <v>0</v>
      </c>
      <c r="K1219" s="40">
        <v>0</v>
      </c>
      <c r="L1219" s="40">
        <v>0</v>
      </c>
      <c r="M1219" s="40">
        <f t="shared" si="37"/>
        <v>0</v>
      </c>
      <c r="N1219" s="40">
        <f t="shared" si="38"/>
        <v>0</v>
      </c>
    </row>
    <row r="1220" spans="1:14" x14ac:dyDescent="0.35">
      <c r="A1220" s="33">
        <v>1217</v>
      </c>
      <c r="B1220" s="34" t="s">
        <v>1593</v>
      </c>
      <c r="C1220" s="33" t="s">
        <v>346</v>
      </c>
      <c r="D1220" s="33" t="s">
        <v>40</v>
      </c>
      <c r="E1220" s="33" t="s">
        <v>1535</v>
      </c>
      <c r="F1220" s="35">
        <v>0.23</v>
      </c>
      <c r="G1220" s="40">
        <v>0</v>
      </c>
      <c r="H1220" s="40">
        <v>0</v>
      </c>
      <c r="I1220" s="40">
        <v>0</v>
      </c>
      <c r="J1220" s="40">
        <v>0</v>
      </c>
      <c r="K1220" s="40">
        <v>0</v>
      </c>
      <c r="L1220" s="40">
        <v>0</v>
      </c>
      <c r="M1220" s="40">
        <f t="shared" si="37"/>
        <v>0</v>
      </c>
      <c r="N1220" s="40">
        <f t="shared" si="38"/>
        <v>0</v>
      </c>
    </row>
    <row r="1221" spans="1:14" x14ac:dyDescent="0.35">
      <c r="A1221" s="33">
        <v>1218</v>
      </c>
      <c r="B1221" s="34" t="s">
        <v>1594</v>
      </c>
      <c r="C1221" s="33" t="s">
        <v>346</v>
      </c>
      <c r="D1221" s="33" t="s">
        <v>40</v>
      </c>
      <c r="E1221" s="33" t="s">
        <v>1535</v>
      </c>
      <c r="F1221" s="35">
        <v>7.4999999999999997E-2</v>
      </c>
      <c r="G1221" s="40">
        <v>0</v>
      </c>
      <c r="H1221" s="40">
        <v>0</v>
      </c>
      <c r="I1221" s="40">
        <v>0</v>
      </c>
      <c r="J1221" s="40">
        <v>0</v>
      </c>
      <c r="K1221" s="40">
        <v>0</v>
      </c>
      <c r="L1221" s="40">
        <v>0</v>
      </c>
      <c r="M1221" s="40">
        <f t="shared" ref="M1221:M1284" si="39">G1221+I1221+K1221</f>
        <v>0</v>
      </c>
      <c r="N1221" s="40">
        <f t="shared" ref="N1221:N1284" si="40">H1221+J1221+L1221</f>
        <v>0</v>
      </c>
    </row>
    <row r="1222" spans="1:14" x14ac:dyDescent="0.35">
      <c r="A1222" s="33">
        <v>1219</v>
      </c>
      <c r="B1222" s="34" t="s">
        <v>1595</v>
      </c>
      <c r="C1222" s="33" t="s">
        <v>346</v>
      </c>
      <c r="D1222" s="33" t="s">
        <v>40</v>
      </c>
      <c r="E1222" s="33" t="s">
        <v>1535</v>
      </c>
      <c r="F1222" s="35">
        <v>0.17</v>
      </c>
      <c r="G1222" s="40">
        <v>0</v>
      </c>
      <c r="H1222" s="40">
        <v>0</v>
      </c>
      <c r="I1222" s="40">
        <v>0</v>
      </c>
      <c r="J1222" s="40">
        <v>0</v>
      </c>
      <c r="K1222" s="40">
        <v>0</v>
      </c>
      <c r="L1222" s="40">
        <v>0</v>
      </c>
      <c r="M1222" s="40">
        <f t="shared" si="39"/>
        <v>0</v>
      </c>
      <c r="N1222" s="40">
        <f t="shared" si="40"/>
        <v>0</v>
      </c>
    </row>
    <row r="1223" spans="1:14" x14ac:dyDescent="0.35">
      <c r="A1223" s="33">
        <v>1220</v>
      </c>
      <c r="B1223" s="34" t="s">
        <v>1596</v>
      </c>
      <c r="C1223" s="33" t="s">
        <v>346</v>
      </c>
      <c r="D1223" s="33" t="s">
        <v>40</v>
      </c>
      <c r="E1223" s="33" t="s">
        <v>1535</v>
      </c>
      <c r="F1223" s="35">
        <v>0.23</v>
      </c>
      <c r="G1223" s="40">
        <v>0</v>
      </c>
      <c r="H1223" s="40">
        <v>0</v>
      </c>
      <c r="I1223" s="40">
        <v>0</v>
      </c>
      <c r="J1223" s="40">
        <v>0</v>
      </c>
      <c r="K1223" s="40">
        <v>0</v>
      </c>
      <c r="L1223" s="40">
        <v>0</v>
      </c>
      <c r="M1223" s="40">
        <f t="shared" si="39"/>
        <v>0</v>
      </c>
      <c r="N1223" s="40">
        <f t="shared" si="40"/>
        <v>0</v>
      </c>
    </row>
    <row r="1224" spans="1:14" x14ac:dyDescent="0.35">
      <c r="A1224" s="33">
        <v>1221</v>
      </c>
      <c r="B1224" s="34" t="s">
        <v>1597</v>
      </c>
      <c r="C1224" s="33" t="s">
        <v>346</v>
      </c>
      <c r="D1224" s="33" t="s">
        <v>40</v>
      </c>
      <c r="E1224" s="33" t="s">
        <v>1535</v>
      </c>
      <c r="F1224" s="35">
        <v>0.23</v>
      </c>
      <c r="G1224" s="40">
        <v>0</v>
      </c>
      <c r="H1224" s="40">
        <v>0</v>
      </c>
      <c r="I1224" s="40">
        <v>0</v>
      </c>
      <c r="J1224" s="40">
        <v>0</v>
      </c>
      <c r="K1224" s="40">
        <v>0</v>
      </c>
      <c r="L1224" s="40">
        <v>0</v>
      </c>
      <c r="M1224" s="40">
        <f t="shared" si="39"/>
        <v>0</v>
      </c>
      <c r="N1224" s="40">
        <f t="shared" si="40"/>
        <v>0</v>
      </c>
    </row>
    <row r="1225" spans="1:14" x14ac:dyDescent="0.35">
      <c r="A1225" s="33">
        <v>1222</v>
      </c>
      <c r="B1225" s="34" t="s">
        <v>1598</v>
      </c>
      <c r="C1225" s="33" t="s">
        <v>346</v>
      </c>
      <c r="D1225" s="33" t="s">
        <v>40</v>
      </c>
      <c r="E1225" s="33" t="s">
        <v>1535</v>
      </c>
      <c r="F1225" s="35">
        <v>7.4999999999999997E-2</v>
      </c>
      <c r="G1225" s="40">
        <v>0</v>
      </c>
      <c r="H1225" s="40">
        <v>0</v>
      </c>
      <c r="I1225" s="40">
        <v>0</v>
      </c>
      <c r="J1225" s="40">
        <v>0</v>
      </c>
      <c r="K1225" s="40">
        <v>0</v>
      </c>
      <c r="L1225" s="40">
        <v>0</v>
      </c>
      <c r="M1225" s="40">
        <f t="shared" si="39"/>
        <v>0</v>
      </c>
      <c r="N1225" s="40">
        <f t="shared" si="40"/>
        <v>0</v>
      </c>
    </row>
    <row r="1226" spans="1:14" x14ac:dyDescent="0.35">
      <c r="A1226" s="33">
        <v>1223</v>
      </c>
      <c r="B1226" s="34" t="s">
        <v>1599</v>
      </c>
      <c r="C1226" s="33" t="s">
        <v>346</v>
      </c>
      <c r="D1226" s="33" t="s">
        <v>40</v>
      </c>
      <c r="E1226" s="33" t="s">
        <v>1535</v>
      </c>
      <c r="F1226" s="35">
        <v>0.5</v>
      </c>
      <c r="G1226" s="40">
        <v>0</v>
      </c>
      <c r="H1226" s="40">
        <v>0</v>
      </c>
      <c r="I1226" s="40">
        <v>0</v>
      </c>
      <c r="J1226" s="40">
        <v>0</v>
      </c>
      <c r="K1226" s="40">
        <v>0</v>
      </c>
      <c r="L1226" s="40">
        <v>0</v>
      </c>
      <c r="M1226" s="40">
        <f t="shared" si="39"/>
        <v>0</v>
      </c>
      <c r="N1226" s="40">
        <f t="shared" si="40"/>
        <v>0</v>
      </c>
    </row>
    <row r="1227" spans="1:14" x14ac:dyDescent="0.35">
      <c r="A1227" s="33">
        <v>1224</v>
      </c>
      <c r="B1227" s="34" t="s">
        <v>1537</v>
      </c>
      <c r="C1227" s="33" t="s">
        <v>297</v>
      </c>
      <c r="D1227" s="33" t="s">
        <v>40</v>
      </c>
      <c r="E1227" s="33" t="s">
        <v>1538</v>
      </c>
      <c r="F1227" s="35">
        <v>1</v>
      </c>
      <c r="G1227" s="40">
        <v>0</v>
      </c>
      <c r="H1227" s="40">
        <v>0</v>
      </c>
      <c r="I1227" s="40">
        <v>0</v>
      </c>
      <c r="J1227" s="40">
        <v>0</v>
      </c>
      <c r="K1227" s="40">
        <v>0</v>
      </c>
      <c r="L1227" s="40">
        <v>0</v>
      </c>
      <c r="M1227" s="40">
        <f t="shared" si="39"/>
        <v>0</v>
      </c>
      <c r="N1227" s="40">
        <f t="shared" si="40"/>
        <v>0</v>
      </c>
    </row>
    <row r="1228" spans="1:14" x14ac:dyDescent="0.35">
      <c r="A1228" s="33">
        <v>1225</v>
      </c>
      <c r="B1228" s="34" t="s">
        <v>1539</v>
      </c>
      <c r="C1228" s="33" t="s">
        <v>297</v>
      </c>
      <c r="D1228" s="33" t="s">
        <v>40</v>
      </c>
      <c r="E1228" s="33" t="s">
        <v>1538</v>
      </c>
      <c r="F1228" s="35">
        <v>1</v>
      </c>
      <c r="G1228" s="40">
        <v>0</v>
      </c>
      <c r="H1228" s="40">
        <v>0</v>
      </c>
      <c r="I1228" s="40">
        <v>0</v>
      </c>
      <c r="J1228" s="40">
        <v>0</v>
      </c>
      <c r="K1228" s="40">
        <v>0</v>
      </c>
      <c r="L1228" s="40">
        <v>0</v>
      </c>
      <c r="M1228" s="40">
        <f t="shared" si="39"/>
        <v>0</v>
      </c>
      <c r="N1228" s="40">
        <f t="shared" si="40"/>
        <v>0</v>
      </c>
    </row>
    <row r="1229" spans="1:14" x14ac:dyDescent="0.35">
      <c r="A1229" s="33">
        <v>1226</v>
      </c>
      <c r="B1229" s="34" t="s">
        <v>1540</v>
      </c>
      <c r="C1229" s="33" t="s">
        <v>297</v>
      </c>
      <c r="D1229" s="33" t="s">
        <v>40</v>
      </c>
      <c r="E1229" s="33" t="s">
        <v>1538</v>
      </c>
      <c r="F1229" s="35">
        <v>1</v>
      </c>
      <c r="G1229" s="40">
        <v>0</v>
      </c>
      <c r="H1229" s="40">
        <v>0</v>
      </c>
      <c r="I1229" s="40">
        <v>0</v>
      </c>
      <c r="J1229" s="40">
        <v>0</v>
      </c>
      <c r="K1229" s="40">
        <v>0</v>
      </c>
      <c r="L1229" s="40">
        <v>0</v>
      </c>
      <c r="M1229" s="40">
        <f t="shared" si="39"/>
        <v>0</v>
      </c>
      <c r="N1229" s="40">
        <f t="shared" si="40"/>
        <v>0</v>
      </c>
    </row>
    <row r="1230" spans="1:14" x14ac:dyDescent="0.35">
      <c r="A1230" s="33">
        <v>1227</v>
      </c>
      <c r="B1230" s="34" t="s">
        <v>1541</v>
      </c>
      <c r="C1230" s="33" t="s">
        <v>297</v>
      </c>
      <c r="D1230" s="33" t="s">
        <v>40</v>
      </c>
      <c r="E1230" s="33" t="s">
        <v>1538</v>
      </c>
      <c r="F1230" s="35">
        <v>1</v>
      </c>
      <c r="G1230" s="40">
        <v>0</v>
      </c>
      <c r="H1230" s="40">
        <v>0</v>
      </c>
      <c r="I1230" s="40">
        <v>0</v>
      </c>
      <c r="J1230" s="40">
        <v>0</v>
      </c>
      <c r="K1230" s="40">
        <v>0</v>
      </c>
      <c r="L1230" s="40">
        <v>0</v>
      </c>
      <c r="M1230" s="40">
        <f t="shared" si="39"/>
        <v>0</v>
      </c>
      <c r="N1230" s="40">
        <f t="shared" si="40"/>
        <v>0</v>
      </c>
    </row>
    <row r="1231" spans="1:14" x14ac:dyDescent="0.35">
      <c r="A1231" s="33">
        <v>1228</v>
      </c>
      <c r="B1231" s="34" t="s">
        <v>1542</v>
      </c>
      <c r="C1231" s="33" t="s">
        <v>297</v>
      </c>
      <c r="D1231" s="33" t="s">
        <v>40</v>
      </c>
      <c r="E1231" s="33" t="s">
        <v>1538</v>
      </c>
      <c r="F1231" s="35">
        <v>1</v>
      </c>
      <c r="G1231" s="40">
        <v>0</v>
      </c>
      <c r="H1231" s="40">
        <v>0</v>
      </c>
      <c r="I1231" s="40">
        <v>0</v>
      </c>
      <c r="J1231" s="40">
        <v>0</v>
      </c>
      <c r="K1231" s="40">
        <v>0</v>
      </c>
      <c r="L1231" s="40">
        <v>0</v>
      </c>
      <c r="M1231" s="40">
        <f t="shared" si="39"/>
        <v>0</v>
      </c>
      <c r="N1231" s="40">
        <f t="shared" si="40"/>
        <v>0</v>
      </c>
    </row>
    <row r="1232" spans="1:14" x14ac:dyDescent="0.35">
      <c r="A1232" s="33">
        <v>1229</v>
      </c>
      <c r="B1232" s="34" t="s">
        <v>1600</v>
      </c>
      <c r="C1232" s="33" t="s">
        <v>346</v>
      </c>
      <c r="D1232" s="33" t="s">
        <v>40</v>
      </c>
      <c r="E1232" s="33" t="s">
        <v>1538</v>
      </c>
      <c r="F1232" s="35">
        <v>0.15</v>
      </c>
      <c r="G1232" s="40">
        <v>0</v>
      </c>
      <c r="H1232" s="40">
        <v>0</v>
      </c>
      <c r="I1232" s="40">
        <v>0</v>
      </c>
      <c r="J1232" s="40">
        <v>0</v>
      </c>
      <c r="K1232" s="40">
        <v>0</v>
      </c>
      <c r="L1232" s="40">
        <v>0</v>
      </c>
      <c r="M1232" s="40">
        <f t="shared" si="39"/>
        <v>0</v>
      </c>
      <c r="N1232" s="40">
        <f t="shared" si="40"/>
        <v>0</v>
      </c>
    </row>
    <row r="1233" spans="1:14" x14ac:dyDescent="0.35">
      <c r="A1233" s="33">
        <v>1230</v>
      </c>
      <c r="B1233" s="34" t="s">
        <v>1601</v>
      </c>
      <c r="C1233" s="33" t="s">
        <v>346</v>
      </c>
      <c r="D1233" s="33" t="s">
        <v>40</v>
      </c>
      <c r="E1233" s="33" t="s">
        <v>1538</v>
      </c>
      <c r="F1233" s="35">
        <v>0.08</v>
      </c>
      <c r="G1233" s="40">
        <v>0</v>
      </c>
      <c r="H1233" s="40">
        <v>0</v>
      </c>
      <c r="I1233" s="40">
        <v>0</v>
      </c>
      <c r="J1233" s="40">
        <v>0</v>
      </c>
      <c r="K1233" s="40">
        <v>0</v>
      </c>
      <c r="L1233" s="40">
        <v>0</v>
      </c>
      <c r="M1233" s="40">
        <f t="shared" si="39"/>
        <v>0</v>
      </c>
      <c r="N1233" s="40">
        <f t="shared" si="40"/>
        <v>0</v>
      </c>
    </row>
    <row r="1234" spans="1:14" x14ac:dyDescent="0.35">
      <c r="A1234" s="33">
        <v>1231</v>
      </c>
      <c r="B1234" s="34" t="s">
        <v>1602</v>
      </c>
      <c r="C1234" s="33" t="s">
        <v>346</v>
      </c>
      <c r="D1234" s="33" t="s">
        <v>40</v>
      </c>
      <c r="E1234" s="33" t="s">
        <v>1538</v>
      </c>
      <c r="F1234" s="35">
        <v>0.25</v>
      </c>
      <c r="G1234" s="40">
        <v>0</v>
      </c>
      <c r="H1234" s="40">
        <v>0</v>
      </c>
      <c r="I1234" s="40">
        <v>0</v>
      </c>
      <c r="J1234" s="40">
        <v>0</v>
      </c>
      <c r="K1234" s="40">
        <v>0</v>
      </c>
      <c r="L1234" s="40">
        <v>0</v>
      </c>
      <c r="M1234" s="40">
        <f t="shared" si="39"/>
        <v>0</v>
      </c>
      <c r="N1234" s="40">
        <f t="shared" si="40"/>
        <v>0</v>
      </c>
    </row>
    <row r="1235" spans="1:14" x14ac:dyDescent="0.35">
      <c r="A1235" s="33">
        <v>1232</v>
      </c>
      <c r="B1235" s="34" t="s">
        <v>1603</v>
      </c>
      <c r="C1235" s="33" t="s">
        <v>346</v>
      </c>
      <c r="D1235" s="33" t="s">
        <v>40</v>
      </c>
      <c r="E1235" s="33" t="s">
        <v>1538</v>
      </c>
      <c r="F1235" s="35">
        <v>0.25</v>
      </c>
      <c r="G1235" s="40">
        <v>0</v>
      </c>
      <c r="H1235" s="40">
        <v>0</v>
      </c>
      <c r="I1235" s="40">
        <v>0</v>
      </c>
      <c r="J1235" s="40">
        <v>0</v>
      </c>
      <c r="K1235" s="40">
        <v>0</v>
      </c>
      <c r="L1235" s="40">
        <v>0</v>
      </c>
      <c r="M1235" s="40">
        <f t="shared" si="39"/>
        <v>0</v>
      </c>
      <c r="N1235" s="40">
        <f t="shared" si="40"/>
        <v>0</v>
      </c>
    </row>
    <row r="1236" spans="1:14" x14ac:dyDescent="0.35">
      <c r="A1236" s="33">
        <v>1233</v>
      </c>
      <c r="B1236" s="34" t="s">
        <v>1604</v>
      </c>
      <c r="C1236" s="33" t="s">
        <v>346</v>
      </c>
      <c r="D1236" s="33" t="s">
        <v>40</v>
      </c>
      <c r="E1236" s="33" t="s">
        <v>1538</v>
      </c>
      <c r="F1236" s="35">
        <v>1</v>
      </c>
      <c r="G1236" s="40">
        <v>0</v>
      </c>
      <c r="H1236" s="40">
        <v>0</v>
      </c>
      <c r="I1236" s="40">
        <v>0</v>
      </c>
      <c r="J1236" s="40">
        <v>0</v>
      </c>
      <c r="K1236" s="40">
        <v>0</v>
      </c>
      <c r="L1236" s="40">
        <v>0</v>
      </c>
      <c r="M1236" s="40">
        <f t="shared" si="39"/>
        <v>0</v>
      </c>
      <c r="N1236" s="40">
        <f t="shared" si="40"/>
        <v>0</v>
      </c>
    </row>
    <row r="1237" spans="1:14" x14ac:dyDescent="0.35">
      <c r="A1237" s="33">
        <v>1234</v>
      </c>
      <c r="B1237" s="34" t="s">
        <v>1605</v>
      </c>
      <c r="C1237" s="33" t="s">
        <v>346</v>
      </c>
      <c r="D1237" s="33" t="s">
        <v>40</v>
      </c>
      <c r="E1237" s="33" t="s">
        <v>1538</v>
      </c>
      <c r="F1237" s="35">
        <v>0.1</v>
      </c>
      <c r="G1237" s="40">
        <v>0</v>
      </c>
      <c r="H1237" s="40">
        <v>0</v>
      </c>
      <c r="I1237" s="40">
        <v>0</v>
      </c>
      <c r="J1237" s="40">
        <v>0</v>
      </c>
      <c r="K1237" s="40">
        <v>0</v>
      </c>
      <c r="L1237" s="40">
        <v>0</v>
      </c>
      <c r="M1237" s="40">
        <f t="shared" si="39"/>
        <v>0</v>
      </c>
      <c r="N1237" s="40">
        <f t="shared" si="40"/>
        <v>0</v>
      </c>
    </row>
    <row r="1238" spans="1:14" x14ac:dyDescent="0.35">
      <c r="A1238" s="33">
        <v>1235</v>
      </c>
      <c r="B1238" s="34" t="s">
        <v>1606</v>
      </c>
      <c r="C1238" s="33" t="s">
        <v>346</v>
      </c>
      <c r="D1238" s="33" t="s">
        <v>40</v>
      </c>
      <c r="E1238" s="33" t="s">
        <v>1538</v>
      </c>
      <c r="F1238" s="35">
        <v>0.25</v>
      </c>
      <c r="G1238" s="40">
        <v>0</v>
      </c>
      <c r="H1238" s="40">
        <v>0</v>
      </c>
      <c r="I1238" s="40">
        <v>0</v>
      </c>
      <c r="J1238" s="40">
        <v>0</v>
      </c>
      <c r="K1238" s="40">
        <v>0</v>
      </c>
      <c r="L1238" s="40">
        <v>0</v>
      </c>
      <c r="M1238" s="40">
        <f t="shared" si="39"/>
        <v>0</v>
      </c>
      <c r="N1238" s="40">
        <f t="shared" si="40"/>
        <v>0</v>
      </c>
    </row>
    <row r="1239" spans="1:14" x14ac:dyDescent="0.35">
      <c r="A1239" s="33">
        <v>1236</v>
      </c>
      <c r="B1239" s="34" t="s">
        <v>1607</v>
      </c>
      <c r="C1239" s="33" t="s">
        <v>346</v>
      </c>
      <c r="D1239" s="33" t="s">
        <v>40</v>
      </c>
      <c r="E1239" s="33" t="s">
        <v>1538</v>
      </c>
      <c r="F1239" s="35">
        <v>0.5</v>
      </c>
      <c r="G1239" s="40">
        <v>0</v>
      </c>
      <c r="H1239" s="40">
        <v>0</v>
      </c>
      <c r="I1239" s="40">
        <v>0</v>
      </c>
      <c r="J1239" s="40">
        <v>0</v>
      </c>
      <c r="K1239" s="40">
        <v>0</v>
      </c>
      <c r="L1239" s="40">
        <v>0</v>
      </c>
      <c r="M1239" s="40">
        <f t="shared" si="39"/>
        <v>0</v>
      </c>
      <c r="N1239" s="40">
        <f t="shared" si="40"/>
        <v>0</v>
      </c>
    </row>
    <row r="1240" spans="1:14" x14ac:dyDescent="0.35">
      <c r="A1240" s="33">
        <v>1237</v>
      </c>
      <c r="B1240" s="34" t="s">
        <v>1608</v>
      </c>
      <c r="C1240" s="33" t="s">
        <v>346</v>
      </c>
      <c r="D1240" s="33" t="s">
        <v>40</v>
      </c>
      <c r="E1240" s="33" t="s">
        <v>1538</v>
      </c>
      <c r="F1240" s="35">
        <v>1</v>
      </c>
      <c r="G1240" s="40">
        <v>0</v>
      </c>
      <c r="H1240" s="40">
        <v>0</v>
      </c>
      <c r="I1240" s="40">
        <v>0</v>
      </c>
      <c r="J1240" s="40">
        <v>0</v>
      </c>
      <c r="K1240" s="40">
        <v>0</v>
      </c>
      <c r="L1240" s="40">
        <v>0</v>
      </c>
      <c r="M1240" s="40">
        <f t="shared" si="39"/>
        <v>0</v>
      </c>
      <c r="N1240" s="40">
        <f t="shared" si="40"/>
        <v>0</v>
      </c>
    </row>
    <row r="1241" spans="1:14" x14ac:dyDescent="0.35">
      <c r="A1241" s="33">
        <v>1238</v>
      </c>
      <c r="B1241" s="34" t="s">
        <v>1609</v>
      </c>
      <c r="C1241" s="33" t="s">
        <v>346</v>
      </c>
      <c r="D1241" s="33" t="s">
        <v>40</v>
      </c>
      <c r="E1241" s="33" t="s">
        <v>1538</v>
      </c>
      <c r="F1241" s="35">
        <v>1</v>
      </c>
      <c r="G1241" s="40">
        <v>0</v>
      </c>
      <c r="H1241" s="40">
        <v>0</v>
      </c>
      <c r="I1241" s="40">
        <v>0</v>
      </c>
      <c r="J1241" s="40">
        <v>0</v>
      </c>
      <c r="K1241" s="40">
        <v>0</v>
      </c>
      <c r="L1241" s="40">
        <v>0</v>
      </c>
      <c r="M1241" s="40">
        <f t="shared" si="39"/>
        <v>0</v>
      </c>
      <c r="N1241" s="40">
        <f t="shared" si="40"/>
        <v>0</v>
      </c>
    </row>
    <row r="1242" spans="1:14" x14ac:dyDescent="0.35">
      <c r="A1242" s="33">
        <v>1239</v>
      </c>
      <c r="B1242" s="34" t="s">
        <v>1610</v>
      </c>
      <c r="C1242" s="33" t="s">
        <v>346</v>
      </c>
      <c r="D1242" s="33" t="s">
        <v>40</v>
      </c>
      <c r="E1242" s="33" t="s">
        <v>1538</v>
      </c>
      <c r="F1242" s="35">
        <v>1</v>
      </c>
      <c r="G1242" s="40">
        <v>0</v>
      </c>
      <c r="H1242" s="40">
        <v>0</v>
      </c>
      <c r="I1242" s="40">
        <v>0</v>
      </c>
      <c r="J1242" s="40">
        <v>0</v>
      </c>
      <c r="K1242" s="40">
        <v>0</v>
      </c>
      <c r="L1242" s="40">
        <v>0</v>
      </c>
      <c r="M1242" s="40">
        <f t="shared" si="39"/>
        <v>0</v>
      </c>
      <c r="N1242" s="40">
        <f t="shared" si="40"/>
        <v>0</v>
      </c>
    </row>
    <row r="1243" spans="1:14" x14ac:dyDescent="0.35">
      <c r="A1243" s="33">
        <v>1240</v>
      </c>
      <c r="B1243" s="34" t="s">
        <v>1543</v>
      </c>
      <c r="C1243" s="33" t="s">
        <v>297</v>
      </c>
      <c r="D1243" s="33" t="s">
        <v>40</v>
      </c>
      <c r="E1243" s="33" t="s">
        <v>1544</v>
      </c>
      <c r="F1243" s="35">
        <v>1</v>
      </c>
      <c r="G1243" s="40">
        <v>0</v>
      </c>
      <c r="H1243" s="40">
        <v>0</v>
      </c>
      <c r="I1243" s="40">
        <v>0</v>
      </c>
      <c r="J1243" s="40">
        <v>0</v>
      </c>
      <c r="K1243" s="40">
        <v>0</v>
      </c>
      <c r="L1243" s="40">
        <v>0</v>
      </c>
      <c r="M1243" s="40">
        <f t="shared" si="39"/>
        <v>0</v>
      </c>
      <c r="N1243" s="40">
        <f t="shared" si="40"/>
        <v>0</v>
      </c>
    </row>
    <row r="1244" spans="1:14" x14ac:dyDescent="0.35">
      <c r="A1244" s="33">
        <v>1241</v>
      </c>
      <c r="B1244" s="34" t="s">
        <v>1545</v>
      </c>
      <c r="C1244" s="33" t="s">
        <v>297</v>
      </c>
      <c r="D1244" s="33" t="s">
        <v>40</v>
      </c>
      <c r="E1244" s="33" t="s">
        <v>1544</v>
      </c>
      <c r="F1244" s="35">
        <v>1</v>
      </c>
      <c r="G1244" s="40">
        <v>0</v>
      </c>
      <c r="H1244" s="40">
        <v>0</v>
      </c>
      <c r="I1244" s="40">
        <v>0</v>
      </c>
      <c r="J1244" s="40">
        <v>0</v>
      </c>
      <c r="K1244" s="40">
        <v>0</v>
      </c>
      <c r="L1244" s="40">
        <v>0</v>
      </c>
      <c r="M1244" s="40">
        <f t="shared" si="39"/>
        <v>0</v>
      </c>
      <c r="N1244" s="40">
        <f t="shared" si="40"/>
        <v>0</v>
      </c>
    </row>
    <row r="1245" spans="1:14" x14ac:dyDescent="0.35">
      <c r="A1245" s="33">
        <v>1242</v>
      </c>
      <c r="B1245" s="34" t="s">
        <v>1546</v>
      </c>
      <c r="C1245" s="33" t="s">
        <v>297</v>
      </c>
      <c r="D1245" s="33" t="s">
        <v>40</v>
      </c>
      <c r="E1245" s="33" t="s">
        <v>1544</v>
      </c>
      <c r="F1245" s="35">
        <v>1</v>
      </c>
      <c r="G1245" s="40">
        <v>0</v>
      </c>
      <c r="H1245" s="40">
        <v>0</v>
      </c>
      <c r="I1245" s="40">
        <v>0</v>
      </c>
      <c r="J1245" s="40">
        <v>135</v>
      </c>
      <c r="K1245" s="40">
        <v>0</v>
      </c>
      <c r="L1245" s="40">
        <v>0</v>
      </c>
      <c r="M1245" s="40">
        <f t="shared" si="39"/>
        <v>0</v>
      </c>
      <c r="N1245" s="40">
        <f t="shared" si="40"/>
        <v>135</v>
      </c>
    </row>
    <row r="1246" spans="1:14" x14ac:dyDescent="0.35">
      <c r="A1246" s="33">
        <v>1243</v>
      </c>
      <c r="B1246" s="34" t="s">
        <v>1547</v>
      </c>
      <c r="C1246" s="33" t="s">
        <v>297</v>
      </c>
      <c r="D1246" s="33" t="s">
        <v>40</v>
      </c>
      <c r="E1246" s="33" t="s">
        <v>1544</v>
      </c>
      <c r="F1246" s="35">
        <v>1</v>
      </c>
      <c r="G1246" s="40">
        <v>0</v>
      </c>
      <c r="H1246" s="40">
        <v>0</v>
      </c>
      <c r="I1246" s="40">
        <v>0</v>
      </c>
      <c r="J1246" s="40">
        <v>0</v>
      </c>
      <c r="K1246" s="40">
        <v>0</v>
      </c>
      <c r="L1246" s="40">
        <v>0</v>
      </c>
      <c r="M1246" s="40">
        <f t="shared" si="39"/>
        <v>0</v>
      </c>
      <c r="N1246" s="40">
        <f t="shared" si="40"/>
        <v>0</v>
      </c>
    </row>
    <row r="1247" spans="1:14" x14ac:dyDescent="0.35">
      <c r="A1247" s="33">
        <v>1244</v>
      </c>
      <c r="B1247" s="34" t="s">
        <v>1548</v>
      </c>
      <c r="C1247" s="33" t="s">
        <v>297</v>
      </c>
      <c r="D1247" s="33" t="s">
        <v>40</v>
      </c>
      <c r="E1247" s="33" t="s">
        <v>1544</v>
      </c>
      <c r="F1247" s="35">
        <v>1</v>
      </c>
      <c r="G1247" s="40">
        <v>0</v>
      </c>
      <c r="H1247" s="40">
        <v>0</v>
      </c>
      <c r="I1247" s="40">
        <v>0</v>
      </c>
      <c r="J1247" s="40">
        <v>0</v>
      </c>
      <c r="K1247" s="40">
        <v>0</v>
      </c>
      <c r="L1247" s="40">
        <v>0</v>
      </c>
      <c r="M1247" s="40">
        <f t="shared" si="39"/>
        <v>0</v>
      </c>
      <c r="N1247" s="40">
        <f t="shared" si="40"/>
        <v>0</v>
      </c>
    </row>
    <row r="1248" spans="1:14" x14ac:dyDescent="0.35">
      <c r="A1248" s="33">
        <v>1245</v>
      </c>
      <c r="B1248" s="34" t="s">
        <v>1549</v>
      </c>
      <c r="C1248" s="33" t="s">
        <v>297</v>
      </c>
      <c r="D1248" s="33" t="s">
        <v>40</v>
      </c>
      <c r="E1248" s="33" t="s">
        <v>1544</v>
      </c>
      <c r="F1248" s="35">
        <v>1</v>
      </c>
      <c r="G1248" s="40">
        <v>0</v>
      </c>
      <c r="H1248" s="40">
        <v>110</v>
      </c>
      <c r="I1248" s="40">
        <v>0</v>
      </c>
      <c r="J1248" s="40">
        <v>0</v>
      </c>
      <c r="K1248" s="40">
        <v>0</v>
      </c>
      <c r="L1248" s="40">
        <v>0</v>
      </c>
      <c r="M1248" s="40">
        <f t="shared" si="39"/>
        <v>0</v>
      </c>
      <c r="N1248" s="40">
        <f t="shared" si="40"/>
        <v>110</v>
      </c>
    </row>
    <row r="1249" spans="1:14" x14ac:dyDescent="0.35">
      <c r="A1249" s="33">
        <v>1246</v>
      </c>
      <c r="B1249" s="34" t="s">
        <v>1550</v>
      </c>
      <c r="C1249" s="33" t="s">
        <v>297</v>
      </c>
      <c r="D1249" s="33" t="s">
        <v>40</v>
      </c>
      <c r="E1249" s="33" t="s">
        <v>1544</v>
      </c>
      <c r="F1249" s="35">
        <v>1</v>
      </c>
      <c r="G1249" s="40">
        <v>0</v>
      </c>
      <c r="H1249" s="40">
        <v>0</v>
      </c>
      <c r="I1249" s="40">
        <v>0</v>
      </c>
      <c r="J1249" s="40">
        <v>0</v>
      </c>
      <c r="K1249" s="40">
        <v>0</v>
      </c>
      <c r="L1249" s="40">
        <v>0</v>
      </c>
      <c r="M1249" s="40">
        <f t="shared" si="39"/>
        <v>0</v>
      </c>
      <c r="N1249" s="40">
        <f t="shared" si="40"/>
        <v>0</v>
      </c>
    </row>
    <row r="1250" spans="1:14" x14ac:dyDescent="0.35">
      <c r="A1250" s="33">
        <v>1247</v>
      </c>
      <c r="B1250" s="34" t="s">
        <v>1551</v>
      </c>
      <c r="C1250" s="33" t="s">
        <v>297</v>
      </c>
      <c r="D1250" s="33" t="s">
        <v>40</v>
      </c>
      <c r="E1250" s="33" t="s">
        <v>1544</v>
      </c>
      <c r="F1250" s="35">
        <v>1</v>
      </c>
      <c r="G1250" s="40">
        <v>0</v>
      </c>
      <c r="H1250" s="40">
        <v>0</v>
      </c>
      <c r="I1250" s="40">
        <v>0</v>
      </c>
      <c r="J1250" s="40">
        <v>0</v>
      </c>
      <c r="K1250" s="40">
        <v>0</v>
      </c>
      <c r="L1250" s="40">
        <v>0</v>
      </c>
      <c r="M1250" s="40">
        <f t="shared" si="39"/>
        <v>0</v>
      </c>
      <c r="N1250" s="40">
        <f t="shared" si="40"/>
        <v>0</v>
      </c>
    </row>
    <row r="1251" spans="1:14" x14ac:dyDescent="0.35">
      <c r="A1251" s="33">
        <v>1248</v>
      </c>
      <c r="B1251" s="34" t="s">
        <v>1611</v>
      </c>
      <c r="C1251" s="33" t="s">
        <v>346</v>
      </c>
      <c r="D1251" s="33" t="s">
        <v>40</v>
      </c>
      <c r="E1251" s="33" t="s">
        <v>1544</v>
      </c>
      <c r="F1251" s="35">
        <v>1</v>
      </c>
      <c r="G1251" s="40">
        <v>0</v>
      </c>
      <c r="H1251" s="40">
        <v>0</v>
      </c>
      <c r="I1251" s="40">
        <v>0</v>
      </c>
      <c r="J1251" s="40">
        <v>0</v>
      </c>
      <c r="K1251" s="40">
        <v>0</v>
      </c>
      <c r="L1251" s="40">
        <v>0</v>
      </c>
      <c r="M1251" s="40">
        <f t="shared" si="39"/>
        <v>0</v>
      </c>
      <c r="N1251" s="40">
        <f t="shared" si="40"/>
        <v>0</v>
      </c>
    </row>
    <row r="1252" spans="1:14" x14ac:dyDescent="0.35">
      <c r="A1252" s="33">
        <v>1249</v>
      </c>
      <c r="B1252" s="34" t="s">
        <v>1612</v>
      </c>
      <c r="C1252" s="33" t="s">
        <v>346</v>
      </c>
      <c r="D1252" s="33" t="s">
        <v>40</v>
      </c>
      <c r="E1252" s="33" t="s">
        <v>1544</v>
      </c>
      <c r="F1252" s="35">
        <v>1</v>
      </c>
      <c r="G1252" s="40">
        <v>0</v>
      </c>
      <c r="H1252" s="40">
        <v>0</v>
      </c>
      <c r="I1252" s="40">
        <v>0</v>
      </c>
      <c r="J1252" s="40">
        <v>0</v>
      </c>
      <c r="K1252" s="40">
        <v>0</v>
      </c>
      <c r="L1252" s="40">
        <v>0</v>
      </c>
      <c r="M1252" s="40">
        <f t="shared" si="39"/>
        <v>0</v>
      </c>
      <c r="N1252" s="40">
        <f t="shared" si="40"/>
        <v>0</v>
      </c>
    </row>
    <row r="1253" spans="1:14" x14ac:dyDescent="0.35">
      <c r="A1253" s="33">
        <v>1250</v>
      </c>
      <c r="B1253" s="34" t="s">
        <v>1613</v>
      </c>
      <c r="C1253" s="33" t="s">
        <v>346</v>
      </c>
      <c r="D1253" s="33" t="s">
        <v>40</v>
      </c>
      <c r="E1253" s="33" t="s">
        <v>1544</v>
      </c>
      <c r="F1253" s="35">
        <v>1</v>
      </c>
      <c r="G1253" s="40">
        <v>0</v>
      </c>
      <c r="H1253" s="40">
        <v>0</v>
      </c>
      <c r="I1253" s="40">
        <v>0</v>
      </c>
      <c r="J1253" s="40">
        <v>7.5</v>
      </c>
      <c r="K1253" s="40">
        <v>0</v>
      </c>
      <c r="L1253" s="40">
        <v>0</v>
      </c>
      <c r="M1253" s="40">
        <f t="shared" si="39"/>
        <v>0</v>
      </c>
      <c r="N1253" s="40">
        <f t="shared" si="40"/>
        <v>7.5</v>
      </c>
    </row>
    <row r="1254" spans="1:14" x14ac:dyDescent="0.35">
      <c r="A1254" s="33">
        <v>1251</v>
      </c>
      <c r="B1254" s="34" t="s">
        <v>1614</v>
      </c>
      <c r="C1254" s="33" t="s">
        <v>346</v>
      </c>
      <c r="D1254" s="33" t="s">
        <v>40</v>
      </c>
      <c r="E1254" s="33" t="s">
        <v>1544</v>
      </c>
      <c r="F1254" s="35">
        <v>0.25</v>
      </c>
      <c r="G1254" s="40">
        <v>0</v>
      </c>
      <c r="H1254" s="40">
        <v>0</v>
      </c>
      <c r="I1254" s="40">
        <v>0</v>
      </c>
      <c r="J1254" s="40">
        <v>0</v>
      </c>
      <c r="K1254" s="40">
        <v>0</v>
      </c>
      <c r="L1254" s="40">
        <v>0</v>
      </c>
      <c r="M1254" s="40">
        <f t="shared" si="39"/>
        <v>0</v>
      </c>
      <c r="N1254" s="40">
        <f t="shared" si="40"/>
        <v>0</v>
      </c>
    </row>
    <row r="1255" spans="1:14" x14ac:dyDescent="0.35">
      <c r="A1255" s="33">
        <v>1252</v>
      </c>
      <c r="B1255" s="34" t="s">
        <v>1615</v>
      </c>
      <c r="C1255" s="33" t="s">
        <v>346</v>
      </c>
      <c r="D1255" s="33" t="s">
        <v>40</v>
      </c>
      <c r="E1255" s="33" t="s">
        <v>1544</v>
      </c>
      <c r="F1255" s="35">
        <v>0.5</v>
      </c>
      <c r="G1255" s="40">
        <v>0</v>
      </c>
      <c r="H1255" s="40">
        <v>0</v>
      </c>
      <c r="I1255" s="40">
        <v>0</v>
      </c>
      <c r="J1255" s="40">
        <v>0</v>
      </c>
      <c r="K1255" s="40">
        <v>0</v>
      </c>
      <c r="L1255" s="40">
        <v>0</v>
      </c>
      <c r="M1255" s="40">
        <f t="shared" si="39"/>
        <v>0</v>
      </c>
      <c r="N1255" s="40">
        <f t="shared" si="40"/>
        <v>0</v>
      </c>
    </row>
    <row r="1256" spans="1:14" x14ac:dyDescent="0.35">
      <c r="A1256" s="33">
        <v>1253</v>
      </c>
      <c r="B1256" s="34" t="s">
        <v>1552</v>
      </c>
      <c r="C1256" s="33" t="s">
        <v>297</v>
      </c>
      <c r="D1256" s="33" t="s">
        <v>40</v>
      </c>
      <c r="E1256" s="33" t="s">
        <v>1553</v>
      </c>
      <c r="F1256" s="35">
        <v>1</v>
      </c>
      <c r="G1256" s="40">
        <v>0</v>
      </c>
      <c r="H1256" s="40">
        <v>0</v>
      </c>
      <c r="I1256" s="40">
        <v>0</v>
      </c>
      <c r="J1256" s="40">
        <v>0</v>
      </c>
      <c r="K1256" s="40">
        <v>0</v>
      </c>
      <c r="L1256" s="40">
        <v>0</v>
      </c>
      <c r="M1256" s="40">
        <f t="shared" si="39"/>
        <v>0</v>
      </c>
      <c r="N1256" s="40">
        <f t="shared" si="40"/>
        <v>0</v>
      </c>
    </row>
    <row r="1257" spans="1:14" x14ac:dyDescent="0.35">
      <c r="A1257" s="33">
        <v>1254</v>
      </c>
      <c r="B1257" s="34" t="s">
        <v>1616</v>
      </c>
      <c r="C1257" s="33" t="s">
        <v>346</v>
      </c>
      <c r="D1257" s="33" t="s">
        <v>40</v>
      </c>
      <c r="E1257" s="33" t="s">
        <v>1553</v>
      </c>
      <c r="F1257" s="35">
        <v>0.2</v>
      </c>
      <c r="G1257" s="40">
        <v>0</v>
      </c>
      <c r="H1257" s="40">
        <v>0</v>
      </c>
      <c r="I1257" s="40">
        <v>0</v>
      </c>
      <c r="J1257" s="40">
        <v>0</v>
      </c>
      <c r="K1257" s="40">
        <v>0</v>
      </c>
      <c r="L1257" s="40">
        <v>0</v>
      </c>
      <c r="M1257" s="40">
        <f t="shared" si="39"/>
        <v>0</v>
      </c>
      <c r="N1257" s="40">
        <f t="shared" si="40"/>
        <v>0</v>
      </c>
    </row>
    <row r="1258" spans="1:14" x14ac:dyDescent="0.35">
      <c r="A1258" s="33">
        <v>1255</v>
      </c>
      <c r="B1258" s="34" t="s">
        <v>1617</v>
      </c>
      <c r="C1258" s="33" t="s">
        <v>297</v>
      </c>
      <c r="D1258" s="33" t="s">
        <v>100</v>
      </c>
      <c r="E1258" s="33" t="s">
        <v>1617</v>
      </c>
      <c r="F1258" s="35">
        <v>1</v>
      </c>
      <c r="G1258" s="40">
        <v>0</v>
      </c>
      <c r="H1258" s="40">
        <v>0</v>
      </c>
      <c r="I1258" s="40">
        <v>0</v>
      </c>
      <c r="J1258" s="40">
        <v>0</v>
      </c>
      <c r="K1258" s="40">
        <v>0</v>
      </c>
      <c r="L1258" s="40">
        <v>0</v>
      </c>
      <c r="M1258" s="40">
        <f t="shared" si="39"/>
        <v>0</v>
      </c>
      <c r="N1258" s="40">
        <f t="shared" si="40"/>
        <v>0</v>
      </c>
    </row>
    <row r="1259" spans="1:14" x14ac:dyDescent="0.35">
      <c r="A1259" s="33">
        <v>1256</v>
      </c>
      <c r="B1259" s="34" t="s">
        <v>1648</v>
      </c>
      <c r="C1259" s="33" t="s">
        <v>346</v>
      </c>
      <c r="D1259" s="33" t="s">
        <v>100</v>
      </c>
      <c r="E1259" s="33" t="s">
        <v>1617</v>
      </c>
      <c r="F1259" s="35">
        <v>0.25</v>
      </c>
      <c r="G1259" s="40">
        <v>0</v>
      </c>
      <c r="H1259" s="40">
        <v>0</v>
      </c>
      <c r="I1259" s="40">
        <v>0</v>
      </c>
      <c r="J1259" s="40">
        <v>0</v>
      </c>
      <c r="K1259" s="40">
        <v>0</v>
      </c>
      <c r="L1259" s="40">
        <v>0</v>
      </c>
      <c r="M1259" s="40">
        <f t="shared" si="39"/>
        <v>0</v>
      </c>
      <c r="N1259" s="40">
        <f t="shared" si="40"/>
        <v>0</v>
      </c>
    </row>
    <row r="1260" spans="1:14" x14ac:dyDescent="0.35">
      <c r="A1260" s="33">
        <v>1257</v>
      </c>
      <c r="B1260" s="34" t="s">
        <v>1649</v>
      </c>
      <c r="C1260" s="33" t="s">
        <v>346</v>
      </c>
      <c r="D1260" s="33" t="s">
        <v>100</v>
      </c>
      <c r="E1260" s="33" t="s">
        <v>1617</v>
      </c>
      <c r="F1260" s="35">
        <v>0.25</v>
      </c>
      <c r="G1260" s="40">
        <v>0</v>
      </c>
      <c r="H1260" s="40">
        <v>0</v>
      </c>
      <c r="I1260" s="40">
        <v>0</v>
      </c>
      <c r="J1260" s="40">
        <v>0</v>
      </c>
      <c r="K1260" s="40">
        <v>0</v>
      </c>
      <c r="L1260" s="40">
        <v>0</v>
      </c>
      <c r="M1260" s="40">
        <f t="shared" si="39"/>
        <v>0</v>
      </c>
      <c r="N1260" s="40">
        <f t="shared" si="40"/>
        <v>0</v>
      </c>
    </row>
    <row r="1261" spans="1:14" x14ac:dyDescent="0.35">
      <c r="A1261" s="33">
        <v>1258</v>
      </c>
      <c r="B1261" s="34" t="s">
        <v>1650</v>
      </c>
      <c r="C1261" s="33" t="s">
        <v>346</v>
      </c>
      <c r="D1261" s="33" t="s">
        <v>100</v>
      </c>
      <c r="E1261" s="33" t="s">
        <v>1617</v>
      </c>
      <c r="F1261" s="35">
        <v>0.2</v>
      </c>
      <c r="G1261" s="40">
        <v>0</v>
      </c>
      <c r="H1261" s="40">
        <v>0</v>
      </c>
      <c r="I1261" s="40">
        <v>0</v>
      </c>
      <c r="J1261" s="40">
        <v>0</v>
      </c>
      <c r="K1261" s="40">
        <v>0</v>
      </c>
      <c r="L1261" s="40">
        <v>0</v>
      </c>
      <c r="M1261" s="40">
        <f t="shared" si="39"/>
        <v>0</v>
      </c>
      <c r="N1261" s="40">
        <f t="shared" si="40"/>
        <v>0</v>
      </c>
    </row>
    <row r="1262" spans="1:14" x14ac:dyDescent="0.35">
      <c r="A1262" s="33">
        <v>1259</v>
      </c>
      <c r="B1262" s="34" t="s">
        <v>1651</v>
      </c>
      <c r="C1262" s="33" t="s">
        <v>346</v>
      </c>
      <c r="D1262" s="33" t="s">
        <v>100</v>
      </c>
      <c r="E1262" s="33" t="s">
        <v>1617</v>
      </c>
      <c r="F1262" s="35">
        <v>1</v>
      </c>
      <c r="G1262" s="40">
        <v>0</v>
      </c>
      <c r="H1262" s="40">
        <v>0</v>
      </c>
      <c r="I1262" s="40">
        <v>0</v>
      </c>
      <c r="J1262" s="40">
        <v>0</v>
      </c>
      <c r="K1262" s="40">
        <v>0</v>
      </c>
      <c r="L1262" s="40">
        <v>0</v>
      </c>
      <c r="M1262" s="40">
        <f t="shared" si="39"/>
        <v>0</v>
      </c>
      <c r="N1262" s="40">
        <f t="shared" si="40"/>
        <v>0</v>
      </c>
    </row>
    <row r="1263" spans="1:14" x14ac:dyDescent="0.35">
      <c r="A1263" s="33">
        <v>1260</v>
      </c>
      <c r="B1263" s="34" t="s">
        <v>1652</v>
      </c>
      <c r="C1263" s="33" t="s">
        <v>346</v>
      </c>
      <c r="D1263" s="33" t="s">
        <v>100</v>
      </c>
      <c r="E1263" s="33" t="s">
        <v>1617</v>
      </c>
      <c r="F1263" s="35">
        <v>0.05</v>
      </c>
      <c r="G1263" s="40">
        <v>0</v>
      </c>
      <c r="H1263" s="40">
        <v>0</v>
      </c>
      <c r="I1263" s="40">
        <v>0</v>
      </c>
      <c r="J1263" s="40">
        <v>0</v>
      </c>
      <c r="K1263" s="40">
        <v>0</v>
      </c>
      <c r="L1263" s="40">
        <v>0</v>
      </c>
      <c r="M1263" s="40">
        <f t="shared" si="39"/>
        <v>0</v>
      </c>
      <c r="N1263" s="40">
        <f t="shared" si="40"/>
        <v>0</v>
      </c>
    </row>
    <row r="1264" spans="1:14" x14ac:dyDescent="0.35">
      <c r="A1264" s="33">
        <v>1261</v>
      </c>
      <c r="B1264" s="34" t="s">
        <v>1618</v>
      </c>
      <c r="C1264" s="33" t="s">
        <v>297</v>
      </c>
      <c r="D1264" s="33" t="s">
        <v>100</v>
      </c>
      <c r="E1264" s="33" t="s">
        <v>1619</v>
      </c>
      <c r="F1264" s="35">
        <v>1</v>
      </c>
      <c r="G1264" s="40">
        <v>0</v>
      </c>
      <c r="H1264" s="40">
        <v>0</v>
      </c>
      <c r="I1264" s="40">
        <v>0</v>
      </c>
      <c r="J1264" s="40">
        <v>0</v>
      </c>
      <c r="K1264" s="40">
        <v>0</v>
      </c>
      <c r="L1264" s="40">
        <v>0</v>
      </c>
      <c r="M1264" s="40">
        <f t="shared" si="39"/>
        <v>0</v>
      </c>
      <c r="N1264" s="40">
        <f t="shared" si="40"/>
        <v>0</v>
      </c>
    </row>
    <row r="1265" spans="1:14" x14ac:dyDescent="0.35">
      <c r="A1265" s="33">
        <v>1262</v>
      </c>
      <c r="B1265" s="34" t="s">
        <v>1620</v>
      </c>
      <c r="C1265" s="33" t="s">
        <v>297</v>
      </c>
      <c r="D1265" s="33" t="s">
        <v>100</v>
      </c>
      <c r="E1265" s="33" t="s">
        <v>1619</v>
      </c>
      <c r="F1265" s="35">
        <v>1</v>
      </c>
      <c r="G1265" s="40">
        <v>0</v>
      </c>
      <c r="H1265" s="40">
        <v>0</v>
      </c>
      <c r="I1265" s="40">
        <v>0</v>
      </c>
      <c r="J1265" s="40">
        <v>0</v>
      </c>
      <c r="K1265" s="40">
        <v>0</v>
      </c>
      <c r="L1265" s="40">
        <v>0</v>
      </c>
      <c r="M1265" s="40">
        <f t="shared" si="39"/>
        <v>0</v>
      </c>
      <c r="N1265" s="40">
        <f t="shared" si="40"/>
        <v>0</v>
      </c>
    </row>
    <row r="1266" spans="1:14" x14ac:dyDescent="0.35">
      <c r="A1266" s="33">
        <v>1263</v>
      </c>
      <c r="B1266" s="34" t="s">
        <v>1621</v>
      </c>
      <c r="C1266" s="33" t="s">
        <v>297</v>
      </c>
      <c r="D1266" s="33" t="s">
        <v>100</v>
      </c>
      <c r="E1266" s="33" t="s">
        <v>1619</v>
      </c>
      <c r="F1266" s="35">
        <v>1</v>
      </c>
      <c r="G1266" s="40">
        <v>0</v>
      </c>
      <c r="H1266" s="40">
        <v>0</v>
      </c>
      <c r="I1266" s="40">
        <v>0</v>
      </c>
      <c r="J1266" s="40">
        <v>0</v>
      </c>
      <c r="K1266" s="40">
        <v>0</v>
      </c>
      <c r="L1266" s="40">
        <v>0</v>
      </c>
      <c r="M1266" s="40">
        <f t="shared" si="39"/>
        <v>0</v>
      </c>
      <c r="N1266" s="40">
        <f t="shared" si="40"/>
        <v>0</v>
      </c>
    </row>
    <row r="1267" spans="1:14" x14ac:dyDescent="0.35">
      <c r="A1267" s="33">
        <v>1264</v>
      </c>
      <c r="B1267" s="34" t="s">
        <v>1653</v>
      </c>
      <c r="C1267" s="33" t="s">
        <v>346</v>
      </c>
      <c r="D1267" s="33" t="s">
        <v>100</v>
      </c>
      <c r="E1267" s="33" t="s">
        <v>1619</v>
      </c>
      <c r="F1267" s="35">
        <v>0.25</v>
      </c>
      <c r="G1267" s="40">
        <v>0</v>
      </c>
      <c r="H1267" s="40">
        <v>0</v>
      </c>
      <c r="I1267" s="40">
        <v>0</v>
      </c>
      <c r="J1267" s="40">
        <v>0</v>
      </c>
      <c r="K1267" s="40">
        <v>0</v>
      </c>
      <c r="L1267" s="40">
        <v>0</v>
      </c>
      <c r="M1267" s="40">
        <f t="shared" si="39"/>
        <v>0</v>
      </c>
      <c r="N1267" s="40">
        <f t="shared" si="40"/>
        <v>0</v>
      </c>
    </row>
    <row r="1268" spans="1:14" x14ac:dyDescent="0.35">
      <c r="A1268" s="33">
        <v>1265</v>
      </c>
      <c r="B1268" s="34" t="s">
        <v>1654</v>
      </c>
      <c r="C1268" s="33" t="s">
        <v>346</v>
      </c>
      <c r="D1268" s="33" t="s">
        <v>100</v>
      </c>
      <c r="E1268" s="33" t="s">
        <v>1619</v>
      </c>
      <c r="F1268" s="35">
        <v>0.25</v>
      </c>
      <c r="G1268" s="40">
        <v>0</v>
      </c>
      <c r="H1268" s="40">
        <v>0</v>
      </c>
      <c r="I1268" s="40">
        <v>0</v>
      </c>
      <c r="J1268" s="40">
        <v>0</v>
      </c>
      <c r="K1268" s="40">
        <v>0</v>
      </c>
      <c r="L1268" s="40">
        <v>0</v>
      </c>
      <c r="M1268" s="40">
        <f t="shared" si="39"/>
        <v>0</v>
      </c>
      <c r="N1268" s="40">
        <f t="shared" si="40"/>
        <v>0</v>
      </c>
    </row>
    <row r="1269" spans="1:14" x14ac:dyDescent="0.35">
      <c r="A1269" s="33">
        <v>1266</v>
      </c>
      <c r="B1269" s="34" t="s">
        <v>1655</v>
      </c>
      <c r="C1269" s="33" t="s">
        <v>346</v>
      </c>
      <c r="D1269" s="33" t="s">
        <v>100</v>
      </c>
      <c r="E1269" s="33" t="s">
        <v>1619</v>
      </c>
      <c r="F1269" s="35">
        <v>1</v>
      </c>
      <c r="G1269" s="40">
        <v>0</v>
      </c>
      <c r="H1269" s="40">
        <v>0</v>
      </c>
      <c r="I1269" s="40">
        <v>0</v>
      </c>
      <c r="J1269" s="40">
        <v>0</v>
      </c>
      <c r="K1269" s="40">
        <v>0</v>
      </c>
      <c r="L1269" s="40">
        <v>0</v>
      </c>
      <c r="M1269" s="40">
        <f t="shared" si="39"/>
        <v>0</v>
      </c>
      <c r="N1269" s="40">
        <f t="shared" si="40"/>
        <v>0</v>
      </c>
    </row>
    <row r="1270" spans="1:14" x14ac:dyDescent="0.35">
      <c r="A1270" s="33">
        <v>1267</v>
      </c>
      <c r="B1270" s="34" t="s">
        <v>1656</v>
      </c>
      <c r="C1270" s="33" t="s">
        <v>346</v>
      </c>
      <c r="D1270" s="33" t="s">
        <v>100</v>
      </c>
      <c r="E1270" s="33" t="s">
        <v>1619</v>
      </c>
      <c r="F1270" s="35">
        <v>0.2</v>
      </c>
      <c r="G1270" s="40">
        <v>0</v>
      </c>
      <c r="H1270" s="40">
        <v>0</v>
      </c>
      <c r="I1270" s="40">
        <v>0</v>
      </c>
      <c r="J1270" s="40">
        <v>0</v>
      </c>
      <c r="K1270" s="40">
        <v>0</v>
      </c>
      <c r="L1270" s="40">
        <v>0</v>
      </c>
      <c r="M1270" s="40">
        <f t="shared" si="39"/>
        <v>0</v>
      </c>
      <c r="N1270" s="40">
        <f t="shared" si="40"/>
        <v>0</v>
      </c>
    </row>
    <row r="1271" spans="1:14" x14ac:dyDescent="0.35">
      <c r="A1271" s="33">
        <v>1268</v>
      </c>
      <c r="B1271" s="34" t="s">
        <v>1657</v>
      </c>
      <c r="C1271" s="33" t="s">
        <v>346</v>
      </c>
      <c r="D1271" s="33" t="s">
        <v>100</v>
      </c>
      <c r="E1271" s="33" t="s">
        <v>1619</v>
      </c>
      <c r="F1271" s="35">
        <v>0.25</v>
      </c>
      <c r="G1271" s="40">
        <v>0</v>
      </c>
      <c r="H1271" s="40">
        <v>0</v>
      </c>
      <c r="I1271" s="40">
        <v>0</v>
      </c>
      <c r="J1271" s="40">
        <v>0</v>
      </c>
      <c r="K1271" s="40">
        <v>0</v>
      </c>
      <c r="L1271" s="40">
        <v>0</v>
      </c>
      <c r="M1271" s="40">
        <f t="shared" si="39"/>
        <v>0</v>
      </c>
      <c r="N1271" s="40">
        <f t="shared" si="40"/>
        <v>0</v>
      </c>
    </row>
    <row r="1272" spans="1:14" x14ac:dyDescent="0.35">
      <c r="A1272" s="33">
        <v>1269</v>
      </c>
      <c r="B1272" s="34" t="s">
        <v>1658</v>
      </c>
      <c r="C1272" s="33" t="s">
        <v>346</v>
      </c>
      <c r="D1272" s="33" t="s">
        <v>100</v>
      </c>
      <c r="E1272" s="33" t="s">
        <v>1619</v>
      </c>
      <c r="F1272" s="35">
        <v>0.55000000000000004</v>
      </c>
      <c r="G1272" s="40">
        <v>0</v>
      </c>
      <c r="H1272" s="40">
        <v>0</v>
      </c>
      <c r="I1272" s="40">
        <v>0</v>
      </c>
      <c r="J1272" s="40">
        <v>0</v>
      </c>
      <c r="K1272" s="40">
        <v>0</v>
      </c>
      <c r="L1272" s="40">
        <v>0</v>
      </c>
      <c r="M1272" s="40">
        <f t="shared" si="39"/>
        <v>0</v>
      </c>
      <c r="N1272" s="40">
        <f t="shared" si="40"/>
        <v>0</v>
      </c>
    </row>
    <row r="1273" spans="1:14" x14ac:dyDescent="0.35">
      <c r="A1273" s="33">
        <v>1270</v>
      </c>
      <c r="B1273" s="34" t="s">
        <v>1659</v>
      </c>
      <c r="C1273" s="33" t="s">
        <v>346</v>
      </c>
      <c r="D1273" s="33" t="s">
        <v>100</v>
      </c>
      <c r="E1273" s="33" t="s">
        <v>1619</v>
      </c>
      <c r="F1273" s="35">
        <v>0.25</v>
      </c>
      <c r="G1273" s="40">
        <v>0</v>
      </c>
      <c r="H1273" s="40">
        <v>0</v>
      </c>
      <c r="I1273" s="40">
        <v>0</v>
      </c>
      <c r="J1273" s="40">
        <v>0</v>
      </c>
      <c r="K1273" s="40">
        <v>0</v>
      </c>
      <c r="L1273" s="40">
        <v>0</v>
      </c>
      <c r="M1273" s="40">
        <f t="shared" si="39"/>
        <v>0</v>
      </c>
      <c r="N1273" s="40">
        <f t="shared" si="40"/>
        <v>0</v>
      </c>
    </row>
    <row r="1274" spans="1:14" x14ac:dyDescent="0.35">
      <c r="A1274" s="33">
        <v>1271</v>
      </c>
      <c r="B1274" s="34" t="s">
        <v>1660</v>
      </c>
      <c r="C1274" s="33" t="s">
        <v>346</v>
      </c>
      <c r="D1274" s="33" t="s">
        <v>100</v>
      </c>
      <c r="E1274" s="33" t="s">
        <v>1619</v>
      </c>
      <c r="F1274" s="35">
        <v>1</v>
      </c>
      <c r="G1274" s="40">
        <v>0</v>
      </c>
      <c r="H1274" s="40">
        <v>0</v>
      </c>
      <c r="I1274" s="40">
        <v>0</v>
      </c>
      <c r="J1274" s="40">
        <v>0</v>
      </c>
      <c r="K1274" s="40">
        <v>0</v>
      </c>
      <c r="L1274" s="40">
        <v>0</v>
      </c>
      <c r="M1274" s="40">
        <f t="shared" si="39"/>
        <v>0</v>
      </c>
      <c r="N1274" s="40">
        <f t="shared" si="40"/>
        <v>0</v>
      </c>
    </row>
    <row r="1275" spans="1:14" x14ac:dyDescent="0.35">
      <c r="A1275" s="33">
        <v>1272</v>
      </c>
      <c r="B1275" s="34" t="s">
        <v>1661</v>
      </c>
      <c r="C1275" s="33" t="s">
        <v>346</v>
      </c>
      <c r="D1275" s="33" t="s">
        <v>100</v>
      </c>
      <c r="E1275" s="33" t="s">
        <v>1619</v>
      </c>
      <c r="F1275" s="35">
        <v>0.25</v>
      </c>
      <c r="G1275" s="40">
        <v>0</v>
      </c>
      <c r="H1275" s="40">
        <v>0</v>
      </c>
      <c r="I1275" s="40">
        <v>0</v>
      </c>
      <c r="J1275" s="40">
        <v>0</v>
      </c>
      <c r="K1275" s="40">
        <v>0</v>
      </c>
      <c r="L1275" s="40">
        <v>0</v>
      </c>
      <c r="M1275" s="40">
        <f t="shared" si="39"/>
        <v>0</v>
      </c>
      <c r="N1275" s="40">
        <f t="shared" si="40"/>
        <v>0</v>
      </c>
    </row>
    <row r="1276" spans="1:14" x14ac:dyDescent="0.35">
      <c r="A1276" s="33">
        <v>1273</v>
      </c>
      <c r="B1276" s="34" t="s">
        <v>1662</v>
      </c>
      <c r="C1276" s="33" t="s">
        <v>346</v>
      </c>
      <c r="D1276" s="33" t="s">
        <v>100</v>
      </c>
      <c r="E1276" s="33" t="s">
        <v>1619</v>
      </c>
      <c r="F1276" s="35">
        <v>0.05</v>
      </c>
      <c r="G1276" s="40">
        <v>0</v>
      </c>
      <c r="H1276" s="40">
        <v>0</v>
      </c>
      <c r="I1276" s="40">
        <v>0</v>
      </c>
      <c r="J1276" s="40">
        <v>0</v>
      </c>
      <c r="K1276" s="40">
        <v>0</v>
      </c>
      <c r="L1276" s="40">
        <v>0</v>
      </c>
      <c r="M1276" s="40">
        <f t="shared" si="39"/>
        <v>0</v>
      </c>
      <c r="N1276" s="40">
        <f t="shared" si="40"/>
        <v>0</v>
      </c>
    </row>
    <row r="1277" spans="1:14" x14ac:dyDescent="0.35">
      <c r="A1277" s="33">
        <v>1274</v>
      </c>
      <c r="B1277" s="34" t="s">
        <v>1622</v>
      </c>
      <c r="C1277" s="33" t="s">
        <v>297</v>
      </c>
      <c r="D1277" s="33" t="s">
        <v>100</v>
      </c>
      <c r="E1277" s="33" t="s">
        <v>1623</v>
      </c>
      <c r="F1277" s="35">
        <v>1</v>
      </c>
      <c r="G1277" s="40">
        <v>0</v>
      </c>
      <c r="H1277" s="40">
        <v>0</v>
      </c>
      <c r="I1277" s="40">
        <v>0</v>
      </c>
      <c r="J1277" s="40">
        <v>0</v>
      </c>
      <c r="K1277" s="40">
        <v>0</v>
      </c>
      <c r="L1277" s="40">
        <v>0</v>
      </c>
      <c r="M1277" s="40">
        <f t="shared" si="39"/>
        <v>0</v>
      </c>
      <c r="N1277" s="40">
        <f t="shared" si="40"/>
        <v>0</v>
      </c>
    </row>
    <row r="1278" spans="1:14" x14ac:dyDescent="0.35">
      <c r="A1278" s="33">
        <v>1275</v>
      </c>
      <c r="B1278" s="34" t="s">
        <v>1624</v>
      </c>
      <c r="C1278" s="33" t="s">
        <v>297</v>
      </c>
      <c r="D1278" s="33" t="s">
        <v>100</v>
      </c>
      <c r="E1278" s="33" t="s">
        <v>1623</v>
      </c>
      <c r="F1278" s="35">
        <v>1</v>
      </c>
      <c r="G1278" s="40">
        <v>0</v>
      </c>
      <c r="H1278" s="40">
        <v>0</v>
      </c>
      <c r="I1278" s="40">
        <v>0</v>
      </c>
      <c r="J1278" s="40">
        <v>0</v>
      </c>
      <c r="K1278" s="40">
        <v>0</v>
      </c>
      <c r="L1278" s="40">
        <v>0</v>
      </c>
      <c r="M1278" s="40">
        <f t="shared" si="39"/>
        <v>0</v>
      </c>
      <c r="N1278" s="40">
        <f t="shared" si="40"/>
        <v>0</v>
      </c>
    </row>
    <row r="1279" spans="1:14" x14ac:dyDescent="0.35">
      <c r="A1279" s="33">
        <v>1276</v>
      </c>
      <c r="B1279" s="34" t="s">
        <v>1625</v>
      </c>
      <c r="C1279" s="33" t="s">
        <v>297</v>
      </c>
      <c r="D1279" s="33" t="s">
        <v>100</v>
      </c>
      <c r="E1279" s="33" t="s">
        <v>1623</v>
      </c>
      <c r="F1279" s="35">
        <v>1</v>
      </c>
      <c r="G1279" s="40">
        <v>0</v>
      </c>
      <c r="H1279" s="40">
        <v>0</v>
      </c>
      <c r="I1279" s="40">
        <v>0</v>
      </c>
      <c r="J1279" s="40">
        <v>0</v>
      </c>
      <c r="K1279" s="40">
        <v>0</v>
      </c>
      <c r="L1279" s="40">
        <v>0</v>
      </c>
      <c r="M1279" s="40">
        <f t="shared" si="39"/>
        <v>0</v>
      </c>
      <c r="N1279" s="40">
        <f t="shared" si="40"/>
        <v>0</v>
      </c>
    </row>
    <row r="1280" spans="1:14" x14ac:dyDescent="0.35">
      <c r="A1280" s="33">
        <v>1277</v>
      </c>
      <c r="B1280" s="34" t="s">
        <v>1626</v>
      </c>
      <c r="C1280" s="33" t="s">
        <v>297</v>
      </c>
      <c r="D1280" s="33" t="s">
        <v>100</v>
      </c>
      <c r="E1280" s="33" t="s">
        <v>1623</v>
      </c>
      <c r="F1280" s="35">
        <v>1</v>
      </c>
      <c r="G1280" s="40">
        <v>0</v>
      </c>
      <c r="H1280" s="40">
        <v>0</v>
      </c>
      <c r="I1280" s="40">
        <v>0</v>
      </c>
      <c r="J1280" s="40">
        <v>0</v>
      </c>
      <c r="K1280" s="40">
        <v>0</v>
      </c>
      <c r="L1280" s="40">
        <v>0</v>
      </c>
      <c r="M1280" s="40">
        <f t="shared" si="39"/>
        <v>0</v>
      </c>
      <c r="N1280" s="40">
        <f t="shared" si="40"/>
        <v>0</v>
      </c>
    </row>
    <row r="1281" spans="1:14" x14ac:dyDescent="0.35">
      <c r="A1281" s="33">
        <v>1278</v>
      </c>
      <c r="B1281" s="34" t="s">
        <v>1627</v>
      </c>
      <c r="C1281" s="33" t="s">
        <v>297</v>
      </c>
      <c r="D1281" s="33" t="s">
        <v>100</v>
      </c>
      <c r="E1281" s="33" t="s">
        <v>1623</v>
      </c>
      <c r="F1281" s="35">
        <v>1</v>
      </c>
      <c r="G1281" s="40">
        <v>0</v>
      </c>
      <c r="H1281" s="40">
        <v>0</v>
      </c>
      <c r="I1281" s="40">
        <v>0</v>
      </c>
      <c r="J1281" s="40">
        <v>0</v>
      </c>
      <c r="K1281" s="40">
        <v>0</v>
      </c>
      <c r="L1281" s="40">
        <v>0</v>
      </c>
      <c r="M1281" s="40">
        <f t="shared" si="39"/>
        <v>0</v>
      </c>
      <c r="N1281" s="40">
        <f t="shared" si="40"/>
        <v>0</v>
      </c>
    </row>
    <row r="1282" spans="1:14" x14ac:dyDescent="0.35">
      <c r="A1282" s="33">
        <v>1279</v>
      </c>
      <c r="B1282" s="34" t="s">
        <v>1628</v>
      </c>
      <c r="C1282" s="33" t="s">
        <v>297</v>
      </c>
      <c r="D1282" s="33" t="s">
        <v>100</v>
      </c>
      <c r="E1282" s="33" t="s">
        <v>1623</v>
      </c>
      <c r="F1282" s="35">
        <v>1</v>
      </c>
      <c r="G1282" s="40">
        <v>0</v>
      </c>
      <c r="H1282" s="40">
        <v>0</v>
      </c>
      <c r="I1282" s="40">
        <v>0</v>
      </c>
      <c r="J1282" s="40">
        <v>0</v>
      </c>
      <c r="K1282" s="40">
        <v>0</v>
      </c>
      <c r="L1282" s="40">
        <v>0</v>
      </c>
      <c r="M1282" s="40">
        <f t="shared" si="39"/>
        <v>0</v>
      </c>
      <c r="N1282" s="40">
        <f t="shared" si="40"/>
        <v>0</v>
      </c>
    </row>
    <row r="1283" spans="1:14" x14ac:dyDescent="0.35">
      <c r="A1283" s="33">
        <v>1280</v>
      </c>
      <c r="B1283" s="34" t="s">
        <v>1629</v>
      </c>
      <c r="C1283" s="33" t="s">
        <v>297</v>
      </c>
      <c r="D1283" s="33" t="s">
        <v>100</v>
      </c>
      <c r="E1283" s="33" t="s">
        <v>1623</v>
      </c>
      <c r="F1283" s="35">
        <v>1</v>
      </c>
      <c r="G1283" s="40">
        <v>0</v>
      </c>
      <c r="H1283" s="40">
        <v>0</v>
      </c>
      <c r="I1283" s="40">
        <v>0</v>
      </c>
      <c r="J1283" s="40">
        <v>0</v>
      </c>
      <c r="K1283" s="40">
        <v>0</v>
      </c>
      <c r="L1283" s="40">
        <v>0</v>
      </c>
      <c r="M1283" s="40">
        <f t="shared" si="39"/>
        <v>0</v>
      </c>
      <c r="N1283" s="40">
        <f t="shared" si="40"/>
        <v>0</v>
      </c>
    </row>
    <row r="1284" spans="1:14" x14ac:dyDescent="0.35">
      <c r="A1284" s="33">
        <v>1281</v>
      </c>
      <c r="B1284" s="34" t="s">
        <v>1630</v>
      </c>
      <c r="C1284" s="33" t="s">
        <v>297</v>
      </c>
      <c r="D1284" s="33" t="s">
        <v>100</v>
      </c>
      <c r="E1284" s="33" t="s">
        <v>1623</v>
      </c>
      <c r="F1284" s="35">
        <v>1</v>
      </c>
      <c r="G1284" s="40">
        <v>0</v>
      </c>
      <c r="H1284" s="40">
        <v>0</v>
      </c>
      <c r="I1284" s="40">
        <v>0</v>
      </c>
      <c r="J1284" s="40">
        <v>0</v>
      </c>
      <c r="K1284" s="40">
        <v>0</v>
      </c>
      <c r="L1284" s="40">
        <v>0</v>
      </c>
      <c r="M1284" s="40">
        <f t="shared" si="39"/>
        <v>0</v>
      </c>
      <c r="N1284" s="40">
        <f t="shared" si="40"/>
        <v>0</v>
      </c>
    </row>
    <row r="1285" spans="1:14" x14ac:dyDescent="0.35">
      <c r="A1285" s="33">
        <v>1282</v>
      </c>
      <c r="B1285" s="34" t="s">
        <v>1631</v>
      </c>
      <c r="C1285" s="33" t="s">
        <v>297</v>
      </c>
      <c r="D1285" s="33" t="s">
        <v>100</v>
      </c>
      <c r="E1285" s="33" t="s">
        <v>1623</v>
      </c>
      <c r="F1285" s="35">
        <v>1</v>
      </c>
      <c r="G1285" s="40">
        <v>0</v>
      </c>
      <c r="H1285" s="40">
        <v>0</v>
      </c>
      <c r="I1285" s="40">
        <v>0</v>
      </c>
      <c r="J1285" s="40">
        <v>0</v>
      </c>
      <c r="K1285" s="40">
        <v>0</v>
      </c>
      <c r="L1285" s="40">
        <v>0</v>
      </c>
      <c r="M1285" s="40">
        <f t="shared" ref="M1285:M1348" si="41">G1285+I1285+K1285</f>
        <v>0</v>
      </c>
      <c r="N1285" s="40">
        <f t="shared" ref="N1285:N1348" si="42">H1285+J1285+L1285</f>
        <v>0</v>
      </c>
    </row>
    <row r="1286" spans="1:14" x14ac:dyDescent="0.35">
      <c r="A1286" s="33">
        <v>1283</v>
      </c>
      <c r="B1286" s="34" t="s">
        <v>1632</v>
      </c>
      <c r="C1286" s="33" t="s">
        <v>297</v>
      </c>
      <c r="D1286" s="33" t="s">
        <v>100</v>
      </c>
      <c r="E1286" s="33" t="s">
        <v>1623</v>
      </c>
      <c r="F1286" s="35">
        <v>1</v>
      </c>
      <c r="G1286" s="40">
        <v>0</v>
      </c>
      <c r="H1286" s="40">
        <v>0</v>
      </c>
      <c r="I1286" s="40">
        <v>0</v>
      </c>
      <c r="J1286" s="40">
        <v>0</v>
      </c>
      <c r="K1286" s="40">
        <v>0</v>
      </c>
      <c r="L1286" s="40">
        <v>0</v>
      </c>
      <c r="M1286" s="40">
        <f t="shared" si="41"/>
        <v>0</v>
      </c>
      <c r="N1286" s="40">
        <f t="shared" si="42"/>
        <v>0</v>
      </c>
    </row>
    <row r="1287" spans="1:14" x14ac:dyDescent="0.35">
      <c r="A1287" s="33">
        <v>1284</v>
      </c>
      <c r="B1287" s="34" t="s">
        <v>1633</v>
      </c>
      <c r="C1287" s="33" t="s">
        <v>297</v>
      </c>
      <c r="D1287" s="33" t="s">
        <v>100</v>
      </c>
      <c r="E1287" s="33" t="s">
        <v>1623</v>
      </c>
      <c r="F1287" s="35">
        <v>1</v>
      </c>
      <c r="G1287" s="40">
        <v>0</v>
      </c>
      <c r="H1287" s="40">
        <v>0</v>
      </c>
      <c r="I1287" s="40">
        <v>0</v>
      </c>
      <c r="J1287" s="40">
        <v>0</v>
      </c>
      <c r="K1287" s="40">
        <v>0</v>
      </c>
      <c r="L1287" s="40">
        <v>0</v>
      </c>
      <c r="M1287" s="40">
        <f t="shared" si="41"/>
        <v>0</v>
      </c>
      <c r="N1287" s="40">
        <f t="shared" si="42"/>
        <v>0</v>
      </c>
    </row>
    <row r="1288" spans="1:14" x14ac:dyDescent="0.35">
      <c r="A1288" s="33">
        <v>1285</v>
      </c>
      <c r="B1288" s="34" t="s">
        <v>1634</v>
      </c>
      <c r="C1288" s="33" t="s">
        <v>297</v>
      </c>
      <c r="D1288" s="33" t="s">
        <v>100</v>
      </c>
      <c r="E1288" s="33" t="s">
        <v>1623</v>
      </c>
      <c r="F1288" s="35">
        <v>1</v>
      </c>
      <c r="G1288" s="40">
        <v>0</v>
      </c>
      <c r="H1288" s="40">
        <v>0</v>
      </c>
      <c r="I1288" s="40">
        <v>0</v>
      </c>
      <c r="J1288" s="40">
        <v>0</v>
      </c>
      <c r="K1288" s="40">
        <v>0</v>
      </c>
      <c r="L1288" s="40">
        <v>0</v>
      </c>
      <c r="M1288" s="40">
        <f t="shared" si="41"/>
        <v>0</v>
      </c>
      <c r="N1288" s="40">
        <f t="shared" si="42"/>
        <v>0</v>
      </c>
    </row>
    <row r="1289" spans="1:14" x14ac:dyDescent="0.35">
      <c r="A1289" s="33">
        <v>1286</v>
      </c>
      <c r="B1289" s="34" t="s">
        <v>1635</v>
      </c>
      <c r="C1289" s="33" t="s">
        <v>297</v>
      </c>
      <c r="D1289" s="33" t="s">
        <v>100</v>
      </c>
      <c r="E1289" s="33" t="s">
        <v>1623</v>
      </c>
      <c r="F1289" s="35">
        <v>1</v>
      </c>
      <c r="G1289" s="40">
        <v>0</v>
      </c>
      <c r="H1289" s="40">
        <v>0</v>
      </c>
      <c r="I1289" s="40">
        <v>0</v>
      </c>
      <c r="J1289" s="40">
        <v>0</v>
      </c>
      <c r="K1289" s="40">
        <v>0</v>
      </c>
      <c r="L1289" s="40">
        <v>0</v>
      </c>
      <c r="M1289" s="40">
        <f t="shared" si="41"/>
        <v>0</v>
      </c>
      <c r="N1289" s="40">
        <f t="shared" si="42"/>
        <v>0</v>
      </c>
    </row>
    <row r="1290" spans="1:14" x14ac:dyDescent="0.35">
      <c r="A1290" s="33">
        <v>1287</v>
      </c>
      <c r="B1290" s="34" t="s">
        <v>1636</v>
      </c>
      <c r="C1290" s="33" t="s">
        <v>297</v>
      </c>
      <c r="D1290" s="33" t="s">
        <v>100</v>
      </c>
      <c r="E1290" s="33" t="s">
        <v>1623</v>
      </c>
      <c r="F1290" s="35">
        <v>1</v>
      </c>
      <c r="G1290" s="40">
        <v>0</v>
      </c>
      <c r="H1290" s="40">
        <v>0</v>
      </c>
      <c r="I1290" s="40">
        <v>0</v>
      </c>
      <c r="J1290" s="40">
        <v>0</v>
      </c>
      <c r="K1290" s="40">
        <v>0</v>
      </c>
      <c r="L1290" s="40">
        <v>0</v>
      </c>
      <c r="M1290" s="40">
        <f t="shared" si="41"/>
        <v>0</v>
      </c>
      <c r="N1290" s="40">
        <f t="shared" si="42"/>
        <v>0</v>
      </c>
    </row>
    <row r="1291" spans="1:14" x14ac:dyDescent="0.35">
      <c r="A1291" s="33">
        <v>1288</v>
      </c>
      <c r="B1291" s="34" t="s">
        <v>1637</v>
      </c>
      <c r="C1291" s="33" t="s">
        <v>297</v>
      </c>
      <c r="D1291" s="33" t="s">
        <v>100</v>
      </c>
      <c r="E1291" s="33" t="s">
        <v>1623</v>
      </c>
      <c r="F1291" s="35">
        <v>1</v>
      </c>
      <c r="G1291" s="40">
        <v>0</v>
      </c>
      <c r="H1291" s="40">
        <v>0</v>
      </c>
      <c r="I1291" s="40">
        <v>0</v>
      </c>
      <c r="J1291" s="40">
        <v>0</v>
      </c>
      <c r="K1291" s="40">
        <v>0</v>
      </c>
      <c r="L1291" s="40">
        <v>0</v>
      </c>
      <c r="M1291" s="40">
        <f t="shared" si="41"/>
        <v>0</v>
      </c>
      <c r="N1291" s="40">
        <f t="shared" si="42"/>
        <v>0</v>
      </c>
    </row>
    <row r="1292" spans="1:14" x14ac:dyDescent="0.35">
      <c r="A1292" s="33">
        <v>1289</v>
      </c>
      <c r="B1292" s="34" t="s">
        <v>1638</v>
      </c>
      <c r="C1292" s="33" t="s">
        <v>297</v>
      </c>
      <c r="D1292" s="33" t="s">
        <v>100</v>
      </c>
      <c r="E1292" s="33" t="s">
        <v>1623</v>
      </c>
      <c r="F1292" s="35">
        <v>1</v>
      </c>
      <c r="G1292" s="40">
        <v>0</v>
      </c>
      <c r="H1292" s="40">
        <v>0</v>
      </c>
      <c r="I1292" s="40">
        <v>0</v>
      </c>
      <c r="J1292" s="40">
        <v>0</v>
      </c>
      <c r="K1292" s="40">
        <v>0</v>
      </c>
      <c r="L1292" s="40">
        <v>0</v>
      </c>
      <c r="M1292" s="40">
        <f t="shared" si="41"/>
        <v>0</v>
      </c>
      <c r="N1292" s="40">
        <f t="shared" si="42"/>
        <v>0</v>
      </c>
    </row>
    <row r="1293" spans="1:14" x14ac:dyDescent="0.35">
      <c r="A1293" s="33">
        <v>1290</v>
      </c>
      <c r="B1293" s="34" t="s">
        <v>1639</v>
      </c>
      <c r="C1293" s="33" t="s">
        <v>297</v>
      </c>
      <c r="D1293" s="33" t="s">
        <v>100</v>
      </c>
      <c r="E1293" s="33" t="s">
        <v>1623</v>
      </c>
      <c r="F1293" s="35">
        <v>1</v>
      </c>
      <c r="G1293" s="40">
        <v>0</v>
      </c>
      <c r="H1293" s="40">
        <v>0</v>
      </c>
      <c r="I1293" s="40">
        <v>0</v>
      </c>
      <c r="J1293" s="40">
        <v>0</v>
      </c>
      <c r="K1293" s="40">
        <v>0</v>
      </c>
      <c r="L1293" s="40">
        <v>0</v>
      </c>
      <c r="M1293" s="40">
        <f t="shared" si="41"/>
        <v>0</v>
      </c>
      <c r="N1293" s="40">
        <f t="shared" si="42"/>
        <v>0</v>
      </c>
    </row>
    <row r="1294" spans="1:14" x14ac:dyDescent="0.35">
      <c r="A1294" s="33">
        <v>1291</v>
      </c>
      <c r="B1294" s="34" t="s">
        <v>1640</v>
      </c>
      <c r="C1294" s="33" t="s">
        <v>297</v>
      </c>
      <c r="D1294" s="33" t="s">
        <v>100</v>
      </c>
      <c r="E1294" s="33" t="s">
        <v>1623</v>
      </c>
      <c r="F1294" s="35">
        <v>1</v>
      </c>
      <c r="G1294" s="40">
        <v>0</v>
      </c>
      <c r="H1294" s="40">
        <v>0</v>
      </c>
      <c r="I1294" s="40">
        <v>0</v>
      </c>
      <c r="J1294" s="40">
        <v>0</v>
      </c>
      <c r="K1294" s="40">
        <v>0</v>
      </c>
      <c r="L1294" s="40">
        <v>0</v>
      </c>
      <c r="M1294" s="40">
        <f t="shared" si="41"/>
        <v>0</v>
      </c>
      <c r="N1294" s="40">
        <f t="shared" si="42"/>
        <v>0</v>
      </c>
    </row>
    <row r="1295" spans="1:14" x14ac:dyDescent="0.35">
      <c r="A1295" s="33">
        <v>1292</v>
      </c>
      <c r="B1295" s="34" t="s">
        <v>1663</v>
      </c>
      <c r="C1295" s="33" t="s">
        <v>346</v>
      </c>
      <c r="D1295" s="33" t="s">
        <v>100</v>
      </c>
      <c r="E1295" s="33" t="s">
        <v>1623</v>
      </c>
      <c r="F1295" s="35">
        <v>0.1</v>
      </c>
      <c r="G1295" s="40">
        <v>0</v>
      </c>
      <c r="H1295" s="40">
        <v>0</v>
      </c>
      <c r="I1295" s="40">
        <v>0</v>
      </c>
      <c r="J1295" s="40">
        <v>0</v>
      </c>
      <c r="K1295" s="40">
        <v>0</v>
      </c>
      <c r="L1295" s="40">
        <v>0</v>
      </c>
      <c r="M1295" s="40">
        <f t="shared" si="41"/>
        <v>0</v>
      </c>
      <c r="N1295" s="40">
        <f t="shared" si="42"/>
        <v>0</v>
      </c>
    </row>
    <row r="1296" spans="1:14" x14ac:dyDescent="0.35">
      <c r="A1296" s="33">
        <v>1293</v>
      </c>
      <c r="B1296" s="34" t="s">
        <v>1664</v>
      </c>
      <c r="C1296" s="33" t="s">
        <v>346</v>
      </c>
      <c r="D1296" s="33" t="s">
        <v>100</v>
      </c>
      <c r="E1296" s="33" t="s">
        <v>1623</v>
      </c>
      <c r="F1296" s="35">
        <v>0.1</v>
      </c>
      <c r="G1296" s="40">
        <v>0</v>
      </c>
      <c r="H1296" s="40">
        <v>0</v>
      </c>
      <c r="I1296" s="40">
        <v>0</v>
      </c>
      <c r="J1296" s="40">
        <v>0</v>
      </c>
      <c r="K1296" s="40">
        <v>0</v>
      </c>
      <c r="L1296" s="40">
        <v>0</v>
      </c>
      <c r="M1296" s="40">
        <f t="shared" si="41"/>
        <v>0</v>
      </c>
      <c r="N1296" s="40">
        <f t="shared" si="42"/>
        <v>0</v>
      </c>
    </row>
    <row r="1297" spans="1:14" x14ac:dyDescent="0.35">
      <c r="A1297" s="33">
        <v>1294</v>
      </c>
      <c r="B1297" s="34" t="s">
        <v>1665</v>
      </c>
      <c r="C1297" s="33" t="s">
        <v>346</v>
      </c>
      <c r="D1297" s="33" t="s">
        <v>100</v>
      </c>
      <c r="E1297" s="33" t="s">
        <v>1623</v>
      </c>
      <c r="F1297" s="35">
        <v>0.1</v>
      </c>
      <c r="G1297" s="40">
        <v>0</v>
      </c>
      <c r="H1297" s="40">
        <v>0</v>
      </c>
      <c r="I1297" s="40">
        <v>0</v>
      </c>
      <c r="J1297" s="40">
        <v>0</v>
      </c>
      <c r="K1297" s="40">
        <v>0</v>
      </c>
      <c r="L1297" s="40">
        <v>0</v>
      </c>
      <c r="M1297" s="40">
        <f t="shared" si="41"/>
        <v>0</v>
      </c>
      <c r="N1297" s="40">
        <f t="shared" si="42"/>
        <v>0</v>
      </c>
    </row>
    <row r="1298" spans="1:14" x14ac:dyDescent="0.35">
      <c r="A1298" s="33">
        <v>1295</v>
      </c>
      <c r="B1298" s="34" t="s">
        <v>1666</v>
      </c>
      <c r="C1298" s="33" t="s">
        <v>346</v>
      </c>
      <c r="D1298" s="33" t="s">
        <v>100</v>
      </c>
      <c r="E1298" s="33" t="s">
        <v>1623</v>
      </c>
      <c r="F1298" s="35">
        <v>0.1</v>
      </c>
      <c r="G1298" s="40">
        <v>0</v>
      </c>
      <c r="H1298" s="40">
        <v>0</v>
      </c>
      <c r="I1298" s="40">
        <v>0</v>
      </c>
      <c r="J1298" s="40">
        <v>0</v>
      </c>
      <c r="K1298" s="40">
        <v>0</v>
      </c>
      <c r="L1298" s="40">
        <v>0</v>
      </c>
      <c r="M1298" s="40">
        <f t="shared" si="41"/>
        <v>0</v>
      </c>
      <c r="N1298" s="40">
        <f t="shared" si="42"/>
        <v>0</v>
      </c>
    </row>
    <row r="1299" spans="1:14" x14ac:dyDescent="0.35">
      <c r="A1299" s="33">
        <v>1296</v>
      </c>
      <c r="B1299" s="34" t="s">
        <v>1667</v>
      </c>
      <c r="C1299" s="33" t="s">
        <v>346</v>
      </c>
      <c r="D1299" s="33" t="s">
        <v>100</v>
      </c>
      <c r="E1299" s="33" t="s">
        <v>1623</v>
      </c>
      <c r="F1299" s="35">
        <v>1</v>
      </c>
      <c r="G1299" s="40">
        <v>0</v>
      </c>
      <c r="H1299" s="40">
        <v>0</v>
      </c>
      <c r="I1299" s="40">
        <v>0</v>
      </c>
      <c r="J1299" s="40">
        <v>0</v>
      </c>
      <c r="K1299" s="40">
        <v>0</v>
      </c>
      <c r="L1299" s="40">
        <v>0</v>
      </c>
      <c r="M1299" s="40">
        <f t="shared" si="41"/>
        <v>0</v>
      </c>
      <c r="N1299" s="40">
        <f t="shared" si="42"/>
        <v>0</v>
      </c>
    </row>
    <row r="1300" spans="1:14" x14ac:dyDescent="0.35">
      <c r="A1300" s="33">
        <v>1297</v>
      </c>
      <c r="B1300" s="34" t="s">
        <v>1668</v>
      </c>
      <c r="C1300" s="33" t="s">
        <v>346</v>
      </c>
      <c r="D1300" s="33" t="s">
        <v>100</v>
      </c>
      <c r="E1300" s="33" t="s">
        <v>1623</v>
      </c>
      <c r="F1300" s="35">
        <v>1</v>
      </c>
      <c r="G1300" s="40">
        <v>0</v>
      </c>
      <c r="H1300" s="40">
        <v>0</v>
      </c>
      <c r="I1300" s="40">
        <v>0</v>
      </c>
      <c r="J1300" s="40">
        <v>0</v>
      </c>
      <c r="K1300" s="40">
        <v>0</v>
      </c>
      <c r="L1300" s="40">
        <v>0</v>
      </c>
      <c r="M1300" s="40">
        <f t="shared" si="41"/>
        <v>0</v>
      </c>
      <c r="N1300" s="40">
        <f t="shared" si="42"/>
        <v>0</v>
      </c>
    </row>
    <row r="1301" spans="1:14" x14ac:dyDescent="0.35">
      <c r="A1301" s="33">
        <v>1298</v>
      </c>
      <c r="B1301" s="34" t="s">
        <v>1669</v>
      </c>
      <c r="C1301" s="33" t="s">
        <v>346</v>
      </c>
      <c r="D1301" s="33" t="s">
        <v>100</v>
      </c>
      <c r="E1301" s="33" t="s">
        <v>1623</v>
      </c>
      <c r="F1301" s="35">
        <v>0.25</v>
      </c>
      <c r="G1301" s="40">
        <v>0</v>
      </c>
      <c r="H1301" s="40">
        <v>0</v>
      </c>
      <c r="I1301" s="40">
        <v>0</v>
      </c>
      <c r="J1301" s="40">
        <v>0</v>
      </c>
      <c r="K1301" s="40">
        <v>0</v>
      </c>
      <c r="L1301" s="40">
        <v>0</v>
      </c>
      <c r="M1301" s="40">
        <f t="shared" si="41"/>
        <v>0</v>
      </c>
      <c r="N1301" s="40">
        <f t="shared" si="42"/>
        <v>0</v>
      </c>
    </row>
    <row r="1302" spans="1:14" x14ac:dyDescent="0.35">
      <c r="A1302" s="33">
        <v>1299</v>
      </c>
      <c r="B1302" s="34" t="s">
        <v>1670</v>
      </c>
      <c r="C1302" s="33" t="s">
        <v>346</v>
      </c>
      <c r="D1302" s="33" t="s">
        <v>100</v>
      </c>
      <c r="E1302" s="33" t="s">
        <v>1623</v>
      </c>
      <c r="F1302" s="35">
        <v>0.2</v>
      </c>
      <c r="G1302" s="40">
        <v>0</v>
      </c>
      <c r="H1302" s="40">
        <v>0</v>
      </c>
      <c r="I1302" s="40">
        <v>0</v>
      </c>
      <c r="J1302" s="40">
        <v>0</v>
      </c>
      <c r="K1302" s="40">
        <v>0</v>
      </c>
      <c r="L1302" s="40">
        <v>0</v>
      </c>
      <c r="M1302" s="40">
        <f t="shared" si="41"/>
        <v>0</v>
      </c>
      <c r="N1302" s="40">
        <f t="shared" si="42"/>
        <v>0</v>
      </c>
    </row>
    <row r="1303" spans="1:14" x14ac:dyDescent="0.35">
      <c r="A1303" s="33">
        <v>1300</v>
      </c>
      <c r="B1303" s="34" t="s">
        <v>1671</v>
      </c>
      <c r="C1303" s="33" t="s">
        <v>346</v>
      </c>
      <c r="D1303" s="33" t="s">
        <v>100</v>
      </c>
      <c r="E1303" s="33" t="s">
        <v>1623</v>
      </c>
      <c r="F1303" s="35">
        <v>0.25</v>
      </c>
      <c r="G1303" s="40">
        <v>0</v>
      </c>
      <c r="H1303" s="40">
        <v>0</v>
      </c>
      <c r="I1303" s="40">
        <v>0</v>
      </c>
      <c r="J1303" s="40">
        <v>0</v>
      </c>
      <c r="K1303" s="40">
        <v>0</v>
      </c>
      <c r="L1303" s="40">
        <v>0</v>
      </c>
      <c r="M1303" s="40">
        <f t="shared" si="41"/>
        <v>0</v>
      </c>
      <c r="N1303" s="40">
        <f t="shared" si="42"/>
        <v>0</v>
      </c>
    </row>
    <row r="1304" spans="1:14" x14ac:dyDescent="0.35">
      <c r="A1304" s="33">
        <v>1301</v>
      </c>
      <c r="B1304" s="34" t="s">
        <v>1672</v>
      </c>
      <c r="C1304" s="33" t="s">
        <v>346</v>
      </c>
      <c r="D1304" s="33" t="s">
        <v>100</v>
      </c>
      <c r="E1304" s="33" t="s">
        <v>1623</v>
      </c>
      <c r="F1304" s="35">
        <v>0.1</v>
      </c>
      <c r="G1304" s="40">
        <v>0</v>
      </c>
      <c r="H1304" s="40">
        <v>0</v>
      </c>
      <c r="I1304" s="40">
        <v>0</v>
      </c>
      <c r="J1304" s="40">
        <v>0</v>
      </c>
      <c r="K1304" s="40">
        <v>0</v>
      </c>
      <c r="L1304" s="40">
        <v>0</v>
      </c>
      <c r="M1304" s="40">
        <f t="shared" si="41"/>
        <v>0</v>
      </c>
      <c r="N1304" s="40">
        <f t="shared" si="42"/>
        <v>0</v>
      </c>
    </row>
    <row r="1305" spans="1:14" x14ac:dyDescent="0.35">
      <c r="A1305" s="33">
        <v>1302</v>
      </c>
      <c r="B1305" s="34" t="s">
        <v>1673</v>
      </c>
      <c r="C1305" s="33" t="s">
        <v>346</v>
      </c>
      <c r="D1305" s="33" t="s">
        <v>100</v>
      </c>
      <c r="E1305" s="33" t="s">
        <v>1623</v>
      </c>
      <c r="F1305" s="35">
        <v>0.25</v>
      </c>
      <c r="G1305" s="40">
        <v>0</v>
      </c>
      <c r="H1305" s="40">
        <v>0</v>
      </c>
      <c r="I1305" s="40">
        <v>0</v>
      </c>
      <c r="J1305" s="40">
        <v>0</v>
      </c>
      <c r="K1305" s="40">
        <v>0</v>
      </c>
      <c r="L1305" s="40">
        <v>0</v>
      </c>
      <c r="M1305" s="40">
        <f t="shared" si="41"/>
        <v>0</v>
      </c>
      <c r="N1305" s="40">
        <f t="shared" si="42"/>
        <v>0</v>
      </c>
    </row>
    <row r="1306" spans="1:14" x14ac:dyDescent="0.35">
      <c r="A1306" s="33">
        <v>1303</v>
      </c>
      <c r="B1306" s="34" t="s">
        <v>1674</v>
      </c>
      <c r="C1306" s="33" t="s">
        <v>346</v>
      </c>
      <c r="D1306" s="33" t="s">
        <v>100</v>
      </c>
      <c r="E1306" s="33" t="s">
        <v>1623</v>
      </c>
      <c r="F1306" s="35">
        <v>0.25</v>
      </c>
      <c r="G1306" s="40">
        <v>0</v>
      </c>
      <c r="H1306" s="40">
        <v>0</v>
      </c>
      <c r="I1306" s="40">
        <v>0</v>
      </c>
      <c r="J1306" s="40">
        <v>0</v>
      </c>
      <c r="K1306" s="40">
        <v>0</v>
      </c>
      <c r="L1306" s="40">
        <v>0</v>
      </c>
      <c r="M1306" s="40">
        <f t="shared" si="41"/>
        <v>0</v>
      </c>
      <c r="N1306" s="40">
        <f t="shared" si="42"/>
        <v>0</v>
      </c>
    </row>
    <row r="1307" spans="1:14" x14ac:dyDescent="0.35">
      <c r="A1307" s="33">
        <v>1304</v>
      </c>
      <c r="B1307" s="34" t="s">
        <v>1675</v>
      </c>
      <c r="C1307" s="33" t="s">
        <v>346</v>
      </c>
      <c r="D1307" s="33" t="s">
        <v>100</v>
      </c>
      <c r="E1307" s="33" t="s">
        <v>1623</v>
      </c>
      <c r="F1307" s="35">
        <v>0.2</v>
      </c>
      <c r="G1307" s="40">
        <v>0</v>
      </c>
      <c r="H1307" s="40">
        <v>0</v>
      </c>
      <c r="I1307" s="40">
        <v>0</v>
      </c>
      <c r="J1307" s="40">
        <v>0</v>
      </c>
      <c r="K1307" s="40">
        <v>0</v>
      </c>
      <c r="L1307" s="40">
        <v>0</v>
      </c>
      <c r="M1307" s="40">
        <f t="shared" si="41"/>
        <v>0</v>
      </c>
      <c r="N1307" s="40">
        <f t="shared" si="42"/>
        <v>0</v>
      </c>
    </row>
    <row r="1308" spans="1:14" x14ac:dyDescent="0.35">
      <c r="A1308" s="33">
        <v>1305</v>
      </c>
      <c r="B1308" s="34" t="s">
        <v>1676</v>
      </c>
      <c r="C1308" s="33" t="s">
        <v>346</v>
      </c>
      <c r="D1308" s="33" t="s">
        <v>100</v>
      </c>
      <c r="E1308" s="33" t="s">
        <v>1623</v>
      </c>
      <c r="F1308" s="35">
        <v>0.1</v>
      </c>
      <c r="G1308" s="40">
        <v>0</v>
      </c>
      <c r="H1308" s="40">
        <v>0</v>
      </c>
      <c r="I1308" s="40">
        <v>0</v>
      </c>
      <c r="J1308" s="40">
        <v>0</v>
      </c>
      <c r="K1308" s="40">
        <v>0</v>
      </c>
      <c r="L1308" s="40">
        <v>0</v>
      </c>
      <c r="M1308" s="40">
        <f t="shared" si="41"/>
        <v>0</v>
      </c>
      <c r="N1308" s="40">
        <f t="shared" si="42"/>
        <v>0</v>
      </c>
    </row>
    <row r="1309" spans="1:14" x14ac:dyDescent="0.35">
      <c r="A1309" s="33">
        <v>1306</v>
      </c>
      <c r="B1309" s="34" t="s">
        <v>1677</v>
      </c>
      <c r="C1309" s="33" t="s">
        <v>346</v>
      </c>
      <c r="D1309" s="33" t="s">
        <v>100</v>
      </c>
      <c r="E1309" s="33" t="s">
        <v>1623</v>
      </c>
      <c r="F1309" s="35">
        <v>1</v>
      </c>
      <c r="G1309" s="40">
        <v>0</v>
      </c>
      <c r="H1309" s="40">
        <v>0</v>
      </c>
      <c r="I1309" s="40">
        <v>0</v>
      </c>
      <c r="J1309" s="40">
        <v>0</v>
      </c>
      <c r="K1309" s="40">
        <v>0</v>
      </c>
      <c r="L1309" s="40">
        <v>0</v>
      </c>
      <c r="M1309" s="40">
        <f t="shared" si="41"/>
        <v>0</v>
      </c>
      <c r="N1309" s="40">
        <f t="shared" si="42"/>
        <v>0</v>
      </c>
    </row>
    <row r="1310" spans="1:14" x14ac:dyDescent="0.35">
      <c r="A1310" s="33">
        <v>1307</v>
      </c>
      <c r="B1310" s="34" t="s">
        <v>1678</v>
      </c>
      <c r="C1310" s="33" t="s">
        <v>346</v>
      </c>
      <c r="D1310" s="33" t="s">
        <v>100</v>
      </c>
      <c r="E1310" s="33" t="s">
        <v>1623</v>
      </c>
      <c r="F1310" s="35">
        <v>0.1</v>
      </c>
      <c r="G1310" s="40">
        <v>0</v>
      </c>
      <c r="H1310" s="40">
        <v>0</v>
      </c>
      <c r="I1310" s="40">
        <v>0</v>
      </c>
      <c r="J1310" s="40">
        <v>0</v>
      </c>
      <c r="K1310" s="40">
        <v>0</v>
      </c>
      <c r="L1310" s="40">
        <v>0</v>
      </c>
      <c r="M1310" s="40">
        <f t="shared" si="41"/>
        <v>0</v>
      </c>
      <c r="N1310" s="40">
        <f t="shared" si="42"/>
        <v>0</v>
      </c>
    </row>
    <row r="1311" spans="1:14" x14ac:dyDescent="0.35">
      <c r="A1311" s="33">
        <v>1308</v>
      </c>
      <c r="B1311" s="34" t="s">
        <v>1679</v>
      </c>
      <c r="C1311" s="33" t="s">
        <v>346</v>
      </c>
      <c r="D1311" s="33" t="s">
        <v>100</v>
      </c>
      <c r="E1311" s="33" t="s">
        <v>1623</v>
      </c>
      <c r="F1311" s="35">
        <v>0.2</v>
      </c>
      <c r="G1311" s="40">
        <v>0</v>
      </c>
      <c r="H1311" s="40">
        <v>0</v>
      </c>
      <c r="I1311" s="40">
        <v>0</v>
      </c>
      <c r="J1311" s="40">
        <v>0</v>
      </c>
      <c r="K1311" s="40">
        <v>0</v>
      </c>
      <c r="L1311" s="40">
        <v>0</v>
      </c>
      <c r="M1311" s="40">
        <f t="shared" si="41"/>
        <v>0</v>
      </c>
      <c r="N1311" s="40">
        <f t="shared" si="42"/>
        <v>0</v>
      </c>
    </row>
    <row r="1312" spans="1:14" x14ac:dyDescent="0.35">
      <c r="A1312" s="33">
        <v>1309</v>
      </c>
      <c r="B1312" s="34" t="s">
        <v>1680</v>
      </c>
      <c r="C1312" s="33" t="s">
        <v>346</v>
      </c>
      <c r="D1312" s="33" t="s">
        <v>100</v>
      </c>
      <c r="E1312" s="33" t="s">
        <v>1623</v>
      </c>
      <c r="F1312" s="35">
        <v>0.2</v>
      </c>
      <c r="G1312" s="40">
        <v>0</v>
      </c>
      <c r="H1312" s="40">
        <v>0</v>
      </c>
      <c r="I1312" s="40">
        <v>0</v>
      </c>
      <c r="J1312" s="40">
        <v>0</v>
      </c>
      <c r="K1312" s="40">
        <v>0</v>
      </c>
      <c r="L1312" s="40">
        <v>0</v>
      </c>
      <c r="M1312" s="40">
        <f t="shared" si="41"/>
        <v>0</v>
      </c>
      <c r="N1312" s="40">
        <f t="shared" si="42"/>
        <v>0</v>
      </c>
    </row>
    <row r="1313" spans="1:14" x14ac:dyDescent="0.35">
      <c r="A1313" s="33">
        <v>1310</v>
      </c>
      <c r="B1313" s="34" t="s">
        <v>1681</v>
      </c>
      <c r="C1313" s="33" t="s">
        <v>346</v>
      </c>
      <c r="D1313" s="33" t="s">
        <v>100</v>
      </c>
      <c r="E1313" s="33" t="s">
        <v>1623</v>
      </c>
      <c r="F1313" s="35">
        <v>1</v>
      </c>
      <c r="G1313" s="40">
        <v>0</v>
      </c>
      <c r="H1313" s="40">
        <v>0</v>
      </c>
      <c r="I1313" s="40">
        <v>0</v>
      </c>
      <c r="J1313" s="40">
        <v>0</v>
      </c>
      <c r="K1313" s="40">
        <v>0</v>
      </c>
      <c r="L1313" s="40">
        <v>0</v>
      </c>
      <c r="M1313" s="40">
        <f t="shared" si="41"/>
        <v>0</v>
      </c>
      <c r="N1313" s="40">
        <f t="shared" si="42"/>
        <v>0</v>
      </c>
    </row>
    <row r="1314" spans="1:14" x14ac:dyDescent="0.35">
      <c r="A1314" s="33">
        <v>1311</v>
      </c>
      <c r="B1314" s="34" t="s">
        <v>1682</v>
      </c>
      <c r="C1314" s="33" t="s">
        <v>346</v>
      </c>
      <c r="D1314" s="33" t="s">
        <v>100</v>
      </c>
      <c r="E1314" s="33" t="s">
        <v>1623</v>
      </c>
      <c r="F1314" s="35">
        <v>1</v>
      </c>
      <c r="G1314" s="40">
        <v>0</v>
      </c>
      <c r="H1314" s="40">
        <v>0</v>
      </c>
      <c r="I1314" s="40">
        <v>0</v>
      </c>
      <c r="J1314" s="40">
        <v>0</v>
      </c>
      <c r="K1314" s="40">
        <v>0</v>
      </c>
      <c r="L1314" s="40">
        <v>0</v>
      </c>
      <c r="M1314" s="40">
        <f t="shared" si="41"/>
        <v>0</v>
      </c>
      <c r="N1314" s="40">
        <f t="shared" si="42"/>
        <v>0</v>
      </c>
    </row>
    <row r="1315" spans="1:14" x14ac:dyDescent="0.35">
      <c r="A1315" s="33">
        <v>1312</v>
      </c>
      <c r="B1315" s="34" t="s">
        <v>1683</v>
      </c>
      <c r="C1315" s="33" t="s">
        <v>346</v>
      </c>
      <c r="D1315" s="33" t="s">
        <v>100</v>
      </c>
      <c r="E1315" s="33" t="s">
        <v>1623</v>
      </c>
      <c r="F1315" s="35">
        <v>0.15</v>
      </c>
      <c r="G1315" s="40">
        <v>0</v>
      </c>
      <c r="H1315" s="40">
        <v>0</v>
      </c>
      <c r="I1315" s="40">
        <v>0</v>
      </c>
      <c r="J1315" s="40">
        <v>0</v>
      </c>
      <c r="K1315" s="40">
        <v>0</v>
      </c>
      <c r="L1315" s="40">
        <v>0</v>
      </c>
      <c r="M1315" s="40">
        <f t="shared" si="41"/>
        <v>0</v>
      </c>
      <c r="N1315" s="40">
        <f t="shared" si="42"/>
        <v>0</v>
      </c>
    </row>
    <row r="1316" spans="1:14" x14ac:dyDescent="0.35">
      <c r="A1316" s="33">
        <v>1313</v>
      </c>
      <c r="B1316" s="34" t="s">
        <v>1684</v>
      </c>
      <c r="C1316" s="33" t="s">
        <v>346</v>
      </c>
      <c r="D1316" s="33" t="s">
        <v>100</v>
      </c>
      <c r="E1316" s="33" t="s">
        <v>1623</v>
      </c>
      <c r="F1316" s="35">
        <v>0.15</v>
      </c>
      <c r="G1316" s="40">
        <v>0</v>
      </c>
      <c r="H1316" s="40">
        <v>0</v>
      </c>
      <c r="I1316" s="40">
        <v>0</v>
      </c>
      <c r="J1316" s="40">
        <v>0</v>
      </c>
      <c r="K1316" s="40">
        <v>0</v>
      </c>
      <c r="L1316" s="40">
        <v>0</v>
      </c>
      <c r="M1316" s="40">
        <f t="shared" si="41"/>
        <v>0</v>
      </c>
      <c r="N1316" s="40">
        <f t="shared" si="42"/>
        <v>0</v>
      </c>
    </row>
    <row r="1317" spans="1:14" x14ac:dyDescent="0.35">
      <c r="A1317" s="33">
        <v>1314</v>
      </c>
      <c r="B1317" s="34" t="s">
        <v>1685</v>
      </c>
      <c r="C1317" s="33" t="s">
        <v>346</v>
      </c>
      <c r="D1317" s="33" t="s">
        <v>100</v>
      </c>
      <c r="E1317" s="33" t="s">
        <v>1623</v>
      </c>
      <c r="F1317" s="35">
        <v>1</v>
      </c>
      <c r="G1317" s="40">
        <v>0</v>
      </c>
      <c r="H1317" s="40">
        <v>0</v>
      </c>
      <c r="I1317" s="40">
        <v>0</v>
      </c>
      <c r="J1317" s="40">
        <v>0</v>
      </c>
      <c r="K1317" s="40">
        <v>0</v>
      </c>
      <c r="L1317" s="40">
        <v>0</v>
      </c>
      <c r="M1317" s="40">
        <f t="shared" si="41"/>
        <v>0</v>
      </c>
      <c r="N1317" s="40">
        <f t="shared" si="42"/>
        <v>0</v>
      </c>
    </row>
    <row r="1318" spans="1:14" x14ac:dyDescent="0.35">
      <c r="A1318" s="33">
        <v>1315</v>
      </c>
      <c r="B1318" s="34" t="s">
        <v>1686</v>
      </c>
      <c r="C1318" s="33" t="s">
        <v>346</v>
      </c>
      <c r="D1318" s="33" t="s">
        <v>100</v>
      </c>
      <c r="E1318" s="33" t="s">
        <v>1623</v>
      </c>
      <c r="F1318" s="35">
        <v>1</v>
      </c>
      <c r="G1318" s="40">
        <v>0</v>
      </c>
      <c r="H1318" s="40">
        <v>0</v>
      </c>
      <c r="I1318" s="40">
        <v>0</v>
      </c>
      <c r="J1318" s="40">
        <v>0</v>
      </c>
      <c r="K1318" s="40">
        <v>0</v>
      </c>
      <c r="L1318" s="40">
        <v>0</v>
      </c>
      <c r="M1318" s="40">
        <f t="shared" si="41"/>
        <v>0</v>
      </c>
      <c r="N1318" s="40">
        <f t="shared" si="42"/>
        <v>0</v>
      </c>
    </row>
    <row r="1319" spans="1:14" x14ac:dyDescent="0.35">
      <c r="A1319" s="33">
        <v>1316</v>
      </c>
      <c r="B1319" s="34" t="s">
        <v>1687</v>
      </c>
      <c r="C1319" s="33" t="s">
        <v>346</v>
      </c>
      <c r="D1319" s="33" t="s">
        <v>100</v>
      </c>
      <c r="E1319" s="33" t="s">
        <v>1623</v>
      </c>
      <c r="F1319" s="35">
        <v>1</v>
      </c>
      <c r="G1319" s="40">
        <v>0</v>
      </c>
      <c r="H1319" s="40">
        <v>0</v>
      </c>
      <c r="I1319" s="40">
        <v>0</v>
      </c>
      <c r="J1319" s="40">
        <v>0</v>
      </c>
      <c r="K1319" s="40">
        <v>0</v>
      </c>
      <c r="L1319" s="40">
        <v>0</v>
      </c>
      <c r="M1319" s="40">
        <f t="shared" si="41"/>
        <v>0</v>
      </c>
      <c r="N1319" s="40">
        <f t="shared" si="42"/>
        <v>0</v>
      </c>
    </row>
    <row r="1320" spans="1:14" x14ac:dyDescent="0.35">
      <c r="A1320" s="33">
        <v>1317</v>
      </c>
      <c r="B1320" s="34" t="s">
        <v>1688</v>
      </c>
      <c r="C1320" s="33" t="s">
        <v>346</v>
      </c>
      <c r="D1320" s="33" t="s">
        <v>100</v>
      </c>
      <c r="E1320" s="33" t="s">
        <v>1623</v>
      </c>
      <c r="F1320" s="35">
        <v>1</v>
      </c>
      <c r="G1320" s="40">
        <v>0</v>
      </c>
      <c r="H1320" s="40">
        <v>0</v>
      </c>
      <c r="I1320" s="40">
        <v>0</v>
      </c>
      <c r="J1320" s="40">
        <v>0</v>
      </c>
      <c r="K1320" s="40">
        <v>0</v>
      </c>
      <c r="L1320" s="40">
        <v>0</v>
      </c>
      <c r="M1320" s="40">
        <f t="shared" si="41"/>
        <v>0</v>
      </c>
      <c r="N1320" s="40">
        <f t="shared" si="42"/>
        <v>0</v>
      </c>
    </row>
    <row r="1321" spans="1:14" x14ac:dyDescent="0.35">
      <c r="A1321" s="33">
        <v>1318</v>
      </c>
      <c r="B1321" s="34" t="s">
        <v>1689</v>
      </c>
      <c r="C1321" s="33" t="s">
        <v>346</v>
      </c>
      <c r="D1321" s="33" t="s">
        <v>100</v>
      </c>
      <c r="E1321" s="33" t="s">
        <v>1623</v>
      </c>
      <c r="F1321" s="35">
        <v>1</v>
      </c>
      <c r="G1321" s="40">
        <v>0</v>
      </c>
      <c r="H1321" s="40">
        <v>0</v>
      </c>
      <c r="I1321" s="40">
        <v>0</v>
      </c>
      <c r="J1321" s="40">
        <v>0</v>
      </c>
      <c r="K1321" s="40">
        <v>0</v>
      </c>
      <c r="L1321" s="40">
        <v>0</v>
      </c>
      <c r="M1321" s="40">
        <f t="shared" si="41"/>
        <v>0</v>
      </c>
      <c r="N1321" s="40">
        <f t="shared" si="42"/>
        <v>0</v>
      </c>
    </row>
    <row r="1322" spans="1:14" x14ac:dyDescent="0.35">
      <c r="A1322" s="33">
        <v>1319</v>
      </c>
      <c r="B1322" s="34" t="s">
        <v>1690</v>
      </c>
      <c r="C1322" s="33" t="s">
        <v>346</v>
      </c>
      <c r="D1322" s="33" t="s">
        <v>100</v>
      </c>
      <c r="E1322" s="33" t="s">
        <v>1623</v>
      </c>
      <c r="F1322" s="35">
        <v>0.1</v>
      </c>
      <c r="G1322" s="40">
        <v>0</v>
      </c>
      <c r="H1322" s="40">
        <v>0</v>
      </c>
      <c r="I1322" s="40">
        <v>0</v>
      </c>
      <c r="J1322" s="40">
        <v>0</v>
      </c>
      <c r="K1322" s="40">
        <v>0</v>
      </c>
      <c r="L1322" s="40">
        <v>0</v>
      </c>
      <c r="M1322" s="40">
        <f t="shared" si="41"/>
        <v>0</v>
      </c>
      <c r="N1322" s="40">
        <f t="shared" si="42"/>
        <v>0</v>
      </c>
    </row>
    <row r="1323" spans="1:14" x14ac:dyDescent="0.35">
      <c r="A1323" s="33">
        <v>1320</v>
      </c>
      <c r="B1323" s="34" t="s">
        <v>1691</v>
      </c>
      <c r="C1323" s="33" t="s">
        <v>346</v>
      </c>
      <c r="D1323" s="33" t="s">
        <v>100</v>
      </c>
      <c r="E1323" s="33" t="s">
        <v>1623</v>
      </c>
      <c r="F1323" s="35">
        <v>0.2</v>
      </c>
      <c r="G1323" s="40">
        <v>0</v>
      </c>
      <c r="H1323" s="40">
        <v>0</v>
      </c>
      <c r="I1323" s="40">
        <v>0</v>
      </c>
      <c r="J1323" s="40">
        <v>0</v>
      </c>
      <c r="K1323" s="40">
        <v>0</v>
      </c>
      <c r="L1323" s="40">
        <v>0</v>
      </c>
      <c r="M1323" s="40">
        <f t="shared" si="41"/>
        <v>0</v>
      </c>
      <c r="N1323" s="40">
        <f t="shared" si="42"/>
        <v>0</v>
      </c>
    </row>
    <row r="1324" spans="1:14" x14ac:dyDescent="0.35">
      <c r="A1324" s="33">
        <v>1321</v>
      </c>
      <c r="B1324" s="34" t="s">
        <v>1692</v>
      </c>
      <c r="C1324" s="33" t="s">
        <v>346</v>
      </c>
      <c r="D1324" s="33" t="s">
        <v>100</v>
      </c>
      <c r="E1324" s="33" t="s">
        <v>1623</v>
      </c>
      <c r="F1324" s="35">
        <v>0.1</v>
      </c>
      <c r="G1324" s="40">
        <v>0</v>
      </c>
      <c r="H1324" s="40">
        <v>0</v>
      </c>
      <c r="I1324" s="40">
        <v>0</v>
      </c>
      <c r="J1324" s="40">
        <v>0</v>
      </c>
      <c r="K1324" s="40">
        <v>0</v>
      </c>
      <c r="L1324" s="40">
        <v>0</v>
      </c>
      <c r="M1324" s="40">
        <f t="shared" si="41"/>
        <v>0</v>
      </c>
      <c r="N1324" s="40">
        <f t="shared" si="42"/>
        <v>0</v>
      </c>
    </row>
    <row r="1325" spans="1:14" x14ac:dyDescent="0.35">
      <c r="A1325" s="33">
        <v>1322</v>
      </c>
      <c r="B1325" s="34" t="s">
        <v>1693</v>
      </c>
      <c r="C1325" s="33" t="s">
        <v>346</v>
      </c>
      <c r="D1325" s="33" t="s">
        <v>100</v>
      </c>
      <c r="E1325" s="33" t="s">
        <v>1623</v>
      </c>
      <c r="F1325" s="35">
        <v>0.2</v>
      </c>
      <c r="G1325" s="40">
        <v>0</v>
      </c>
      <c r="H1325" s="40">
        <v>0</v>
      </c>
      <c r="I1325" s="40">
        <v>0</v>
      </c>
      <c r="J1325" s="40">
        <v>0</v>
      </c>
      <c r="K1325" s="40">
        <v>0</v>
      </c>
      <c r="L1325" s="40">
        <v>0</v>
      </c>
      <c r="M1325" s="40">
        <f t="shared" si="41"/>
        <v>0</v>
      </c>
      <c r="N1325" s="40">
        <f t="shared" si="42"/>
        <v>0</v>
      </c>
    </row>
    <row r="1326" spans="1:14" x14ac:dyDescent="0.35">
      <c r="A1326" s="33">
        <v>1323</v>
      </c>
      <c r="B1326" s="34" t="s">
        <v>1694</v>
      </c>
      <c r="C1326" s="33" t="s">
        <v>346</v>
      </c>
      <c r="D1326" s="33" t="s">
        <v>100</v>
      </c>
      <c r="E1326" s="33" t="s">
        <v>1623</v>
      </c>
      <c r="F1326" s="35">
        <v>0.1</v>
      </c>
      <c r="G1326" s="40">
        <v>0</v>
      </c>
      <c r="H1326" s="40">
        <v>0</v>
      </c>
      <c r="I1326" s="40">
        <v>0</v>
      </c>
      <c r="J1326" s="40">
        <v>0</v>
      </c>
      <c r="K1326" s="40">
        <v>0</v>
      </c>
      <c r="L1326" s="40">
        <v>0</v>
      </c>
      <c r="M1326" s="40">
        <f t="shared" si="41"/>
        <v>0</v>
      </c>
      <c r="N1326" s="40">
        <f t="shared" si="42"/>
        <v>0</v>
      </c>
    </row>
    <row r="1327" spans="1:14" x14ac:dyDescent="0.35">
      <c r="A1327" s="33">
        <v>1324</v>
      </c>
      <c r="B1327" s="34" t="s">
        <v>1695</v>
      </c>
      <c r="C1327" s="33" t="s">
        <v>346</v>
      </c>
      <c r="D1327" s="33" t="s">
        <v>100</v>
      </c>
      <c r="E1327" s="33" t="s">
        <v>1623</v>
      </c>
      <c r="F1327" s="35">
        <v>0.1</v>
      </c>
      <c r="G1327" s="40">
        <v>0</v>
      </c>
      <c r="H1327" s="40">
        <v>0</v>
      </c>
      <c r="I1327" s="40">
        <v>0</v>
      </c>
      <c r="J1327" s="40">
        <v>0</v>
      </c>
      <c r="K1327" s="40">
        <v>0</v>
      </c>
      <c r="L1327" s="40">
        <v>0</v>
      </c>
      <c r="M1327" s="40">
        <f t="shared" si="41"/>
        <v>0</v>
      </c>
      <c r="N1327" s="40">
        <f t="shared" si="42"/>
        <v>0</v>
      </c>
    </row>
    <row r="1328" spans="1:14" x14ac:dyDescent="0.35">
      <c r="A1328" s="33">
        <v>1325</v>
      </c>
      <c r="B1328" s="34" t="s">
        <v>1696</v>
      </c>
      <c r="C1328" s="33" t="s">
        <v>346</v>
      </c>
      <c r="D1328" s="33" t="s">
        <v>100</v>
      </c>
      <c r="E1328" s="33" t="s">
        <v>1623</v>
      </c>
      <c r="F1328" s="35">
        <v>1</v>
      </c>
      <c r="G1328" s="40">
        <v>0</v>
      </c>
      <c r="H1328" s="40">
        <v>0</v>
      </c>
      <c r="I1328" s="40">
        <v>0</v>
      </c>
      <c r="J1328" s="40">
        <v>0</v>
      </c>
      <c r="K1328" s="40">
        <v>0</v>
      </c>
      <c r="L1328" s="40">
        <v>0</v>
      </c>
      <c r="M1328" s="40">
        <f t="shared" si="41"/>
        <v>0</v>
      </c>
      <c r="N1328" s="40">
        <f t="shared" si="42"/>
        <v>0</v>
      </c>
    </row>
    <row r="1329" spans="1:14" x14ac:dyDescent="0.35">
      <c r="A1329" s="33">
        <v>1326</v>
      </c>
      <c r="B1329" s="34" t="s">
        <v>1697</v>
      </c>
      <c r="C1329" s="33" t="s">
        <v>346</v>
      </c>
      <c r="D1329" s="33" t="s">
        <v>100</v>
      </c>
      <c r="E1329" s="33" t="s">
        <v>1623</v>
      </c>
      <c r="F1329" s="35">
        <v>1</v>
      </c>
      <c r="G1329" s="40">
        <v>0</v>
      </c>
      <c r="H1329" s="40">
        <v>0</v>
      </c>
      <c r="I1329" s="40">
        <v>0</v>
      </c>
      <c r="J1329" s="40">
        <v>0</v>
      </c>
      <c r="K1329" s="40">
        <v>0</v>
      </c>
      <c r="L1329" s="40">
        <v>0</v>
      </c>
      <c r="M1329" s="40">
        <f t="shared" si="41"/>
        <v>0</v>
      </c>
      <c r="N1329" s="40">
        <f t="shared" si="42"/>
        <v>0</v>
      </c>
    </row>
    <row r="1330" spans="1:14" x14ac:dyDescent="0.35">
      <c r="A1330" s="33">
        <v>1327</v>
      </c>
      <c r="B1330" s="34" t="s">
        <v>1698</v>
      </c>
      <c r="C1330" s="33" t="s">
        <v>346</v>
      </c>
      <c r="D1330" s="33" t="s">
        <v>100</v>
      </c>
      <c r="E1330" s="33" t="s">
        <v>1623</v>
      </c>
      <c r="F1330" s="35">
        <v>1</v>
      </c>
      <c r="G1330" s="40">
        <v>0</v>
      </c>
      <c r="H1330" s="40">
        <v>0</v>
      </c>
      <c r="I1330" s="40">
        <v>0</v>
      </c>
      <c r="J1330" s="40">
        <v>0</v>
      </c>
      <c r="K1330" s="40">
        <v>0</v>
      </c>
      <c r="L1330" s="40">
        <v>0</v>
      </c>
      <c r="M1330" s="40">
        <f t="shared" si="41"/>
        <v>0</v>
      </c>
      <c r="N1330" s="40">
        <f t="shared" si="42"/>
        <v>0</v>
      </c>
    </row>
    <row r="1331" spans="1:14" x14ac:dyDescent="0.35">
      <c r="A1331" s="33">
        <v>1328</v>
      </c>
      <c r="B1331" s="34" t="s">
        <v>1699</v>
      </c>
      <c r="C1331" s="33" t="s">
        <v>346</v>
      </c>
      <c r="D1331" s="33" t="s">
        <v>100</v>
      </c>
      <c r="E1331" s="33" t="s">
        <v>1623</v>
      </c>
      <c r="F1331" s="35">
        <v>7.4999999999999997E-2</v>
      </c>
      <c r="G1331" s="40">
        <v>0</v>
      </c>
      <c r="H1331" s="40">
        <v>0</v>
      </c>
      <c r="I1331" s="40">
        <v>0</v>
      </c>
      <c r="J1331" s="40">
        <v>0</v>
      </c>
      <c r="K1331" s="40">
        <v>0</v>
      </c>
      <c r="L1331" s="40">
        <v>0</v>
      </c>
      <c r="M1331" s="40">
        <f t="shared" si="41"/>
        <v>0</v>
      </c>
      <c r="N1331" s="40">
        <f t="shared" si="42"/>
        <v>0</v>
      </c>
    </row>
    <row r="1332" spans="1:14" x14ac:dyDescent="0.35">
      <c r="A1332" s="33">
        <v>1329</v>
      </c>
      <c r="B1332" s="34" t="s">
        <v>2325</v>
      </c>
      <c r="C1332" s="33" t="s">
        <v>346</v>
      </c>
      <c r="D1332" s="33" t="s">
        <v>100</v>
      </c>
      <c r="E1332" s="33" t="s">
        <v>1623</v>
      </c>
      <c r="F1332" s="35">
        <v>0.1</v>
      </c>
      <c r="G1332" s="40">
        <v>0</v>
      </c>
      <c r="H1332" s="40">
        <v>0</v>
      </c>
      <c r="I1332" s="40">
        <v>0</v>
      </c>
      <c r="J1332" s="40">
        <v>0</v>
      </c>
      <c r="K1332" s="40">
        <v>0</v>
      </c>
      <c r="L1332" s="40">
        <v>0</v>
      </c>
      <c r="M1332" s="40">
        <f t="shared" si="41"/>
        <v>0</v>
      </c>
      <c r="N1332" s="40">
        <f t="shared" si="42"/>
        <v>0</v>
      </c>
    </row>
    <row r="1333" spans="1:14" x14ac:dyDescent="0.35">
      <c r="A1333" s="33">
        <v>1330</v>
      </c>
      <c r="B1333" s="34" t="s">
        <v>1700</v>
      </c>
      <c r="C1333" s="33" t="s">
        <v>346</v>
      </c>
      <c r="D1333" s="33" t="s">
        <v>100</v>
      </c>
      <c r="E1333" s="33" t="s">
        <v>1623</v>
      </c>
      <c r="F1333" s="35">
        <v>0.2</v>
      </c>
      <c r="G1333" s="40">
        <v>0</v>
      </c>
      <c r="H1333" s="40">
        <v>0</v>
      </c>
      <c r="I1333" s="40">
        <v>0</v>
      </c>
      <c r="J1333" s="40">
        <v>0</v>
      </c>
      <c r="K1333" s="40">
        <v>0</v>
      </c>
      <c r="L1333" s="40">
        <v>0</v>
      </c>
      <c r="M1333" s="40">
        <f t="shared" si="41"/>
        <v>0</v>
      </c>
      <c r="N1333" s="40">
        <f t="shared" si="42"/>
        <v>0</v>
      </c>
    </row>
    <row r="1334" spans="1:14" x14ac:dyDescent="0.35">
      <c r="A1334" s="33">
        <v>1331</v>
      </c>
      <c r="B1334" s="34" t="s">
        <v>1701</v>
      </c>
      <c r="C1334" s="33" t="s">
        <v>346</v>
      </c>
      <c r="D1334" s="33" t="s">
        <v>100</v>
      </c>
      <c r="E1334" s="33" t="s">
        <v>1623</v>
      </c>
      <c r="F1334" s="35">
        <v>7.4999999999999997E-2</v>
      </c>
      <c r="G1334" s="40">
        <v>0</v>
      </c>
      <c r="H1334" s="40">
        <v>0</v>
      </c>
      <c r="I1334" s="40">
        <v>0</v>
      </c>
      <c r="J1334" s="40">
        <v>0</v>
      </c>
      <c r="K1334" s="40">
        <v>0</v>
      </c>
      <c r="L1334" s="40">
        <v>0</v>
      </c>
      <c r="M1334" s="40">
        <f t="shared" si="41"/>
        <v>0</v>
      </c>
      <c r="N1334" s="40">
        <f t="shared" si="42"/>
        <v>0</v>
      </c>
    </row>
    <row r="1335" spans="1:14" x14ac:dyDescent="0.35">
      <c r="A1335" s="33">
        <v>1332</v>
      </c>
      <c r="B1335" s="34" t="s">
        <v>1702</v>
      </c>
      <c r="C1335" s="33" t="s">
        <v>346</v>
      </c>
      <c r="D1335" s="33" t="s">
        <v>100</v>
      </c>
      <c r="E1335" s="33" t="s">
        <v>1623</v>
      </c>
      <c r="F1335" s="35">
        <v>7.4999999999999997E-2</v>
      </c>
      <c r="G1335" s="40">
        <v>0</v>
      </c>
      <c r="H1335" s="40">
        <v>0</v>
      </c>
      <c r="I1335" s="40">
        <v>0</v>
      </c>
      <c r="J1335" s="40">
        <v>0</v>
      </c>
      <c r="K1335" s="40">
        <v>0</v>
      </c>
      <c r="L1335" s="40">
        <v>0</v>
      </c>
      <c r="M1335" s="40">
        <f t="shared" si="41"/>
        <v>0</v>
      </c>
      <c r="N1335" s="40">
        <f t="shared" si="42"/>
        <v>0</v>
      </c>
    </row>
    <row r="1336" spans="1:14" x14ac:dyDescent="0.35">
      <c r="A1336" s="33">
        <v>1333</v>
      </c>
      <c r="B1336" s="34" t="s">
        <v>1703</v>
      </c>
      <c r="C1336" s="33" t="s">
        <v>346</v>
      </c>
      <c r="D1336" s="33" t="s">
        <v>100</v>
      </c>
      <c r="E1336" s="33" t="s">
        <v>1623</v>
      </c>
      <c r="F1336" s="35">
        <v>1</v>
      </c>
      <c r="G1336" s="40">
        <v>0</v>
      </c>
      <c r="H1336" s="40">
        <v>0</v>
      </c>
      <c r="I1336" s="40">
        <v>0</v>
      </c>
      <c r="J1336" s="40">
        <v>0</v>
      </c>
      <c r="K1336" s="40">
        <v>0</v>
      </c>
      <c r="L1336" s="40">
        <v>0</v>
      </c>
      <c r="M1336" s="40">
        <f t="shared" si="41"/>
        <v>0</v>
      </c>
      <c r="N1336" s="40">
        <f t="shared" si="42"/>
        <v>0</v>
      </c>
    </row>
    <row r="1337" spans="1:14" x14ac:dyDescent="0.35">
      <c r="A1337" s="33">
        <v>1334</v>
      </c>
      <c r="B1337" s="34" t="s">
        <v>1704</v>
      </c>
      <c r="C1337" s="33" t="s">
        <v>346</v>
      </c>
      <c r="D1337" s="33" t="s">
        <v>100</v>
      </c>
      <c r="E1337" s="33" t="s">
        <v>1623</v>
      </c>
      <c r="F1337" s="35">
        <v>0.05</v>
      </c>
      <c r="G1337" s="40">
        <v>0</v>
      </c>
      <c r="H1337" s="40">
        <v>0</v>
      </c>
      <c r="I1337" s="40">
        <v>0</v>
      </c>
      <c r="J1337" s="40">
        <v>0</v>
      </c>
      <c r="K1337" s="40">
        <v>0</v>
      </c>
      <c r="L1337" s="40">
        <v>0</v>
      </c>
      <c r="M1337" s="40">
        <f t="shared" si="41"/>
        <v>0</v>
      </c>
      <c r="N1337" s="40">
        <f t="shared" si="42"/>
        <v>0</v>
      </c>
    </row>
    <row r="1338" spans="1:14" x14ac:dyDescent="0.35">
      <c r="A1338" s="33">
        <v>1335</v>
      </c>
      <c r="B1338" s="34" t="s">
        <v>1705</v>
      </c>
      <c r="C1338" s="33" t="s">
        <v>346</v>
      </c>
      <c r="D1338" s="33" t="s">
        <v>100</v>
      </c>
      <c r="E1338" s="33" t="s">
        <v>1623</v>
      </c>
      <c r="F1338" s="35">
        <v>0.25</v>
      </c>
      <c r="G1338" s="40">
        <v>0</v>
      </c>
      <c r="H1338" s="40">
        <v>0</v>
      </c>
      <c r="I1338" s="40">
        <v>0</v>
      </c>
      <c r="J1338" s="40">
        <v>0</v>
      </c>
      <c r="K1338" s="40">
        <v>0</v>
      </c>
      <c r="L1338" s="40">
        <v>0</v>
      </c>
      <c r="M1338" s="40">
        <f t="shared" si="41"/>
        <v>0</v>
      </c>
      <c r="N1338" s="40">
        <f t="shared" si="42"/>
        <v>0</v>
      </c>
    </row>
    <row r="1339" spans="1:14" x14ac:dyDescent="0.35">
      <c r="A1339" s="33">
        <v>1336</v>
      </c>
      <c r="B1339" s="34" t="s">
        <v>1706</v>
      </c>
      <c r="C1339" s="33" t="s">
        <v>346</v>
      </c>
      <c r="D1339" s="33" t="s">
        <v>100</v>
      </c>
      <c r="E1339" s="33" t="s">
        <v>1623</v>
      </c>
      <c r="F1339" s="35">
        <v>1</v>
      </c>
      <c r="G1339" s="40">
        <v>0</v>
      </c>
      <c r="H1339" s="40">
        <v>0</v>
      </c>
      <c r="I1339" s="40">
        <v>0</v>
      </c>
      <c r="J1339" s="40">
        <v>0</v>
      </c>
      <c r="K1339" s="40">
        <v>0</v>
      </c>
      <c r="L1339" s="40">
        <v>0</v>
      </c>
      <c r="M1339" s="40">
        <f t="shared" si="41"/>
        <v>0</v>
      </c>
      <c r="N1339" s="40">
        <f t="shared" si="42"/>
        <v>0</v>
      </c>
    </row>
    <row r="1340" spans="1:14" x14ac:dyDescent="0.35">
      <c r="A1340" s="33">
        <v>1337</v>
      </c>
      <c r="B1340" s="34" t="s">
        <v>1707</v>
      </c>
      <c r="C1340" s="33" t="s">
        <v>346</v>
      </c>
      <c r="D1340" s="33" t="s">
        <v>100</v>
      </c>
      <c r="E1340" s="33" t="s">
        <v>1623</v>
      </c>
      <c r="F1340" s="35">
        <v>0.1</v>
      </c>
      <c r="G1340" s="40">
        <v>0</v>
      </c>
      <c r="H1340" s="40">
        <v>0</v>
      </c>
      <c r="I1340" s="40">
        <v>0</v>
      </c>
      <c r="J1340" s="40">
        <v>0</v>
      </c>
      <c r="K1340" s="40">
        <v>0</v>
      </c>
      <c r="L1340" s="40">
        <v>0</v>
      </c>
      <c r="M1340" s="40">
        <f t="shared" si="41"/>
        <v>0</v>
      </c>
      <c r="N1340" s="40">
        <f t="shared" si="42"/>
        <v>0</v>
      </c>
    </row>
    <row r="1341" spans="1:14" x14ac:dyDescent="0.35">
      <c r="A1341" s="33">
        <v>1338</v>
      </c>
      <c r="B1341" s="34" t="s">
        <v>1708</v>
      </c>
      <c r="C1341" s="33" t="s">
        <v>346</v>
      </c>
      <c r="D1341" s="33" t="s">
        <v>100</v>
      </c>
      <c r="E1341" s="33" t="s">
        <v>1623</v>
      </c>
      <c r="F1341" s="35">
        <v>0.05</v>
      </c>
      <c r="G1341" s="40">
        <v>0</v>
      </c>
      <c r="H1341" s="40">
        <v>0</v>
      </c>
      <c r="I1341" s="40">
        <v>0</v>
      </c>
      <c r="J1341" s="40">
        <v>0</v>
      </c>
      <c r="K1341" s="40">
        <v>0</v>
      </c>
      <c r="L1341" s="40">
        <v>0</v>
      </c>
      <c r="M1341" s="40">
        <f t="shared" si="41"/>
        <v>0</v>
      </c>
      <c r="N1341" s="40">
        <f t="shared" si="42"/>
        <v>0</v>
      </c>
    </row>
    <row r="1342" spans="1:14" x14ac:dyDescent="0.35">
      <c r="A1342" s="33">
        <v>1339</v>
      </c>
      <c r="B1342" s="34" t="s">
        <v>1709</v>
      </c>
      <c r="C1342" s="33" t="s">
        <v>346</v>
      </c>
      <c r="D1342" s="33" t="s">
        <v>100</v>
      </c>
      <c r="E1342" s="33" t="s">
        <v>1623</v>
      </c>
      <c r="F1342" s="35">
        <v>1</v>
      </c>
      <c r="G1342" s="40">
        <v>0</v>
      </c>
      <c r="H1342" s="40">
        <v>0</v>
      </c>
      <c r="I1342" s="40">
        <v>0</v>
      </c>
      <c r="J1342" s="40">
        <v>0</v>
      </c>
      <c r="K1342" s="40">
        <v>0</v>
      </c>
      <c r="L1342" s="40">
        <v>0</v>
      </c>
      <c r="M1342" s="40">
        <f t="shared" si="41"/>
        <v>0</v>
      </c>
      <c r="N1342" s="40">
        <f t="shared" si="42"/>
        <v>0</v>
      </c>
    </row>
    <row r="1343" spans="1:14" x14ac:dyDescent="0.35">
      <c r="A1343" s="33">
        <v>1340</v>
      </c>
      <c r="B1343" s="34" t="s">
        <v>1641</v>
      </c>
      <c r="C1343" s="33" t="s">
        <v>297</v>
      </c>
      <c r="D1343" s="33" t="s">
        <v>100</v>
      </c>
      <c r="E1343" s="33" t="s">
        <v>1641</v>
      </c>
      <c r="F1343" s="35">
        <v>1</v>
      </c>
      <c r="G1343" s="40">
        <v>0</v>
      </c>
      <c r="H1343" s="40">
        <v>0</v>
      </c>
      <c r="I1343" s="40">
        <v>0</v>
      </c>
      <c r="J1343" s="40">
        <v>0</v>
      </c>
      <c r="K1343" s="40">
        <v>0</v>
      </c>
      <c r="L1343" s="40">
        <v>0</v>
      </c>
      <c r="M1343" s="40">
        <f t="shared" si="41"/>
        <v>0</v>
      </c>
      <c r="N1343" s="40">
        <f t="shared" si="42"/>
        <v>0</v>
      </c>
    </row>
    <row r="1344" spans="1:14" x14ac:dyDescent="0.35">
      <c r="A1344" s="33">
        <v>1341</v>
      </c>
      <c r="B1344" s="34" t="s">
        <v>1642</v>
      </c>
      <c r="C1344" s="33" t="s">
        <v>297</v>
      </c>
      <c r="D1344" s="33" t="s">
        <v>100</v>
      </c>
      <c r="E1344" s="33" t="s">
        <v>1642</v>
      </c>
      <c r="F1344" s="35">
        <v>1</v>
      </c>
      <c r="G1344" s="40">
        <v>0</v>
      </c>
      <c r="H1344" s="40">
        <v>0</v>
      </c>
      <c r="I1344" s="40">
        <v>0</v>
      </c>
      <c r="J1344" s="40">
        <v>0</v>
      </c>
      <c r="K1344" s="40">
        <v>0</v>
      </c>
      <c r="L1344" s="40">
        <v>0</v>
      </c>
      <c r="M1344" s="40">
        <f t="shared" si="41"/>
        <v>0</v>
      </c>
      <c r="N1344" s="40">
        <f t="shared" si="42"/>
        <v>0</v>
      </c>
    </row>
    <row r="1345" spans="1:14" x14ac:dyDescent="0.35">
      <c r="A1345" s="33">
        <v>1342</v>
      </c>
      <c r="B1345" s="34" t="s">
        <v>1643</v>
      </c>
      <c r="C1345" s="33" t="s">
        <v>297</v>
      </c>
      <c r="D1345" s="33" t="s">
        <v>100</v>
      </c>
      <c r="E1345" s="33" t="s">
        <v>1642</v>
      </c>
      <c r="F1345" s="35">
        <v>1</v>
      </c>
      <c r="G1345" s="40">
        <v>0</v>
      </c>
      <c r="H1345" s="40">
        <v>0</v>
      </c>
      <c r="I1345" s="40">
        <v>0</v>
      </c>
      <c r="J1345" s="40">
        <v>0</v>
      </c>
      <c r="K1345" s="40">
        <v>0</v>
      </c>
      <c r="L1345" s="40">
        <v>0</v>
      </c>
      <c r="M1345" s="40">
        <f t="shared" si="41"/>
        <v>0</v>
      </c>
      <c r="N1345" s="40">
        <f t="shared" si="42"/>
        <v>0</v>
      </c>
    </row>
    <row r="1346" spans="1:14" x14ac:dyDescent="0.35">
      <c r="A1346" s="33">
        <v>1343</v>
      </c>
      <c r="B1346" s="34" t="s">
        <v>1644</v>
      </c>
      <c r="C1346" s="33" t="s">
        <v>297</v>
      </c>
      <c r="D1346" s="33" t="s">
        <v>100</v>
      </c>
      <c r="E1346" s="33" t="s">
        <v>1642</v>
      </c>
      <c r="F1346" s="35">
        <v>1</v>
      </c>
      <c r="G1346" s="40">
        <v>0</v>
      </c>
      <c r="H1346" s="40">
        <v>0</v>
      </c>
      <c r="I1346" s="40">
        <v>0</v>
      </c>
      <c r="J1346" s="40">
        <v>0</v>
      </c>
      <c r="K1346" s="40">
        <v>0</v>
      </c>
      <c r="L1346" s="40">
        <v>0</v>
      </c>
      <c r="M1346" s="40">
        <f t="shared" si="41"/>
        <v>0</v>
      </c>
      <c r="N1346" s="40">
        <f t="shared" si="42"/>
        <v>0</v>
      </c>
    </row>
    <row r="1347" spans="1:14" x14ac:dyDescent="0.35">
      <c r="A1347" s="33">
        <v>1344</v>
      </c>
      <c r="B1347" s="34" t="s">
        <v>1710</v>
      </c>
      <c r="C1347" s="33" t="s">
        <v>346</v>
      </c>
      <c r="D1347" s="33" t="s">
        <v>100</v>
      </c>
      <c r="E1347" s="33" t="s">
        <v>1642</v>
      </c>
      <c r="F1347" s="35">
        <v>0.05</v>
      </c>
      <c r="G1347" s="40">
        <v>0</v>
      </c>
      <c r="H1347" s="40">
        <v>0</v>
      </c>
      <c r="I1347" s="40">
        <v>0</v>
      </c>
      <c r="J1347" s="40">
        <v>0</v>
      </c>
      <c r="K1347" s="40">
        <v>0</v>
      </c>
      <c r="L1347" s="40">
        <v>0</v>
      </c>
      <c r="M1347" s="40">
        <f t="shared" si="41"/>
        <v>0</v>
      </c>
      <c r="N1347" s="40">
        <f t="shared" si="42"/>
        <v>0</v>
      </c>
    </row>
    <row r="1348" spans="1:14" x14ac:dyDescent="0.35">
      <c r="A1348" s="33">
        <v>1345</v>
      </c>
      <c r="B1348" s="34" t="s">
        <v>1711</v>
      </c>
      <c r="C1348" s="33" t="s">
        <v>346</v>
      </c>
      <c r="D1348" s="33" t="s">
        <v>100</v>
      </c>
      <c r="E1348" s="33" t="s">
        <v>1642</v>
      </c>
      <c r="F1348" s="35">
        <v>1</v>
      </c>
      <c r="G1348" s="40">
        <v>0</v>
      </c>
      <c r="H1348" s="40">
        <v>0</v>
      </c>
      <c r="I1348" s="40">
        <v>0</v>
      </c>
      <c r="J1348" s="40">
        <v>0</v>
      </c>
      <c r="K1348" s="40">
        <v>0</v>
      </c>
      <c r="L1348" s="40">
        <v>0</v>
      </c>
      <c r="M1348" s="40">
        <f t="shared" si="41"/>
        <v>0</v>
      </c>
      <c r="N1348" s="40">
        <f t="shared" si="42"/>
        <v>0</v>
      </c>
    </row>
    <row r="1349" spans="1:14" x14ac:dyDescent="0.35">
      <c r="A1349" s="33">
        <v>1346</v>
      </c>
      <c r="B1349" s="34" t="s">
        <v>1712</v>
      </c>
      <c r="C1349" s="33" t="s">
        <v>346</v>
      </c>
      <c r="D1349" s="33" t="s">
        <v>100</v>
      </c>
      <c r="E1349" s="33" t="s">
        <v>1642</v>
      </c>
      <c r="F1349" s="35">
        <v>0.25</v>
      </c>
      <c r="G1349" s="40">
        <v>0</v>
      </c>
      <c r="H1349" s="40">
        <v>0</v>
      </c>
      <c r="I1349" s="40">
        <v>0</v>
      </c>
      <c r="J1349" s="40">
        <v>0</v>
      </c>
      <c r="K1349" s="40">
        <v>0</v>
      </c>
      <c r="L1349" s="40">
        <v>0</v>
      </c>
      <c r="M1349" s="40">
        <f t="shared" ref="M1349:M1412" si="43">G1349+I1349+K1349</f>
        <v>0</v>
      </c>
      <c r="N1349" s="40">
        <f t="shared" ref="N1349:N1412" si="44">H1349+J1349+L1349</f>
        <v>0</v>
      </c>
    </row>
    <row r="1350" spans="1:14" x14ac:dyDescent="0.35">
      <c r="A1350" s="33">
        <v>1347</v>
      </c>
      <c r="B1350" s="34" t="s">
        <v>1713</v>
      </c>
      <c r="C1350" s="33" t="s">
        <v>346</v>
      </c>
      <c r="D1350" s="33" t="s">
        <v>100</v>
      </c>
      <c r="E1350" s="33" t="s">
        <v>1642</v>
      </c>
      <c r="F1350" s="35">
        <v>1</v>
      </c>
      <c r="G1350" s="40">
        <v>0</v>
      </c>
      <c r="H1350" s="40">
        <v>0</v>
      </c>
      <c r="I1350" s="40">
        <v>0</v>
      </c>
      <c r="J1350" s="40">
        <v>0</v>
      </c>
      <c r="K1350" s="40">
        <v>0</v>
      </c>
      <c r="L1350" s="40">
        <v>0</v>
      </c>
      <c r="M1350" s="40">
        <f t="shared" si="43"/>
        <v>0</v>
      </c>
      <c r="N1350" s="40">
        <f t="shared" si="44"/>
        <v>0</v>
      </c>
    </row>
    <row r="1351" spans="1:14" x14ac:dyDescent="0.35">
      <c r="A1351" s="33">
        <v>1348</v>
      </c>
      <c r="B1351" s="34" t="s">
        <v>1714</v>
      </c>
      <c r="C1351" s="33" t="s">
        <v>346</v>
      </c>
      <c r="D1351" s="33" t="s">
        <v>100</v>
      </c>
      <c r="E1351" s="33" t="s">
        <v>1642</v>
      </c>
      <c r="F1351" s="35">
        <v>1</v>
      </c>
      <c r="G1351" s="40">
        <v>0</v>
      </c>
      <c r="H1351" s="40">
        <v>0</v>
      </c>
      <c r="I1351" s="40">
        <v>0</v>
      </c>
      <c r="J1351" s="40">
        <v>0</v>
      </c>
      <c r="K1351" s="40">
        <v>0</v>
      </c>
      <c r="L1351" s="40">
        <v>0</v>
      </c>
      <c r="M1351" s="40">
        <f t="shared" si="43"/>
        <v>0</v>
      </c>
      <c r="N1351" s="40">
        <f t="shared" si="44"/>
        <v>0</v>
      </c>
    </row>
    <row r="1352" spans="1:14" x14ac:dyDescent="0.35">
      <c r="A1352" s="33">
        <v>1349</v>
      </c>
      <c r="B1352" s="34" t="s">
        <v>1715</v>
      </c>
      <c r="C1352" s="33" t="s">
        <v>346</v>
      </c>
      <c r="D1352" s="33" t="s">
        <v>100</v>
      </c>
      <c r="E1352" s="33" t="s">
        <v>1642</v>
      </c>
      <c r="F1352" s="35">
        <v>0.2</v>
      </c>
      <c r="G1352" s="40">
        <v>0</v>
      </c>
      <c r="H1352" s="40">
        <v>0</v>
      </c>
      <c r="I1352" s="40">
        <v>0</v>
      </c>
      <c r="J1352" s="40">
        <v>0</v>
      </c>
      <c r="K1352" s="40">
        <v>0</v>
      </c>
      <c r="L1352" s="40">
        <v>0</v>
      </c>
      <c r="M1352" s="40">
        <f t="shared" si="43"/>
        <v>0</v>
      </c>
      <c r="N1352" s="40">
        <f t="shared" si="44"/>
        <v>0</v>
      </c>
    </row>
    <row r="1353" spans="1:14" x14ac:dyDescent="0.35">
      <c r="A1353" s="33">
        <v>1350</v>
      </c>
      <c r="B1353" s="34" t="s">
        <v>1716</v>
      </c>
      <c r="C1353" s="33" t="s">
        <v>346</v>
      </c>
      <c r="D1353" s="33" t="s">
        <v>100</v>
      </c>
      <c r="E1353" s="33" t="s">
        <v>1642</v>
      </c>
      <c r="F1353" s="35">
        <v>0.25</v>
      </c>
      <c r="G1353" s="40">
        <v>0</v>
      </c>
      <c r="H1353" s="40">
        <v>0</v>
      </c>
      <c r="I1353" s="40">
        <v>0</v>
      </c>
      <c r="J1353" s="40">
        <v>0</v>
      </c>
      <c r="K1353" s="40">
        <v>0</v>
      </c>
      <c r="L1353" s="40">
        <v>0</v>
      </c>
      <c r="M1353" s="40">
        <f t="shared" si="43"/>
        <v>0</v>
      </c>
      <c r="N1353" s="40">
        <f t="shared" si="44"/>
        <v>0</v>
      </c>
    </row>
    <row r="1354" spans="1:14" x14ac:dyDescent="0.35">
      <c r="A1354" s="33">
        <v>1351</v>
      </c>
      <c r="B1354" s="34" t="s">
        <v>1717</v>
      </c>
      <c r="C1354" s="33" t="s">
        <v>346</v>
      </c>
      <c r="D1354" s="33" t="s">
        <v>100</v>
      </c>
      <c r="E1354" s="33" t="s">
        <v>1642</v>
      </c>
      <c r="F1354" s="35">
        <v>0.08</v>
      </c>
      <c r="G1354" s="40">
        <v>0</v>
      </c>
      <c r="H1354" s="40">
        <v>0</v>
      </c>
      <c r="I1354" s="40">
        <v>0</v>
      </c>
      <c r="J1354" s="40">
        <v>0</v>
      </c>
      <c r="K1354" s="40">
        <v>0</v>
      </c>
      <c r="L1354" s="40">
        <v>0</v>
      </c>
      <c r="M1354" s="40">
        <f t="shared" si="43"/>
        <v>0</v>
      </c>
      <c r="N1354" s="40">
        <f t="shared" si="44"/>
        <v>0</v>
      </c>
    </row>
    <row r="1355" spans="1:14" x14ac:dyDescent="0.35">
      <c r="A1355" s="33">
        <v>1352</v>
      </c>
      <c r="B1355" s="34" t="s">
        <v>1718</v>
      </c>
      <c r="C1355" s="33" t="s">
        <v>346</v>
      </c>
      <c r="D1355" s="33" t="s">
        <v>100</v>
      </c>
      <c r="E1355" s="33" t="s">
        <v>1642</v>
      </c>
      <c r="F1355" s="35">
        <v>1</v>
      </c>
      <c r="G1355" s="40">
        <v>0</v>
      </c>
      <c r="H1355" s="40">
        <v>0</v>
      </c>
      <c r="I1355" s="40">
        <v>0</v>
      </c>
      <c r="J1355" s="40">
        <v>0</v>
      </c>
      <c r="K1355" s="40">
        <v>0</v>
      </c>
      <c r="L1355" s="40">
        <v>0</v>
      </c>
      <c r="M1355" s="40">
        <f t="shared" si="43"/>
        <v>0</v>
      </c>
      <c r="N1355" s="40">
        <f t="shared" si="44"/>
        <v>0</v>
      </c>
    </row>
    <row r="1356" spans="1:14" x14ac:dyDescent="0.35">
      <c r="A1356" s="33">
        <v>1353</v>
      </c>
      <c r="B1356" s="34" t="s">
        <v>1719</v>
      </c>
      <c r="C1356" s="33" t="s">
        <v>346</v>
      </c>
      <c r="D1356" s="33" t="s">
        <v>100</v>
      </c>
      <c r="E1356" s="33" t="s">
        <v>1642</v>
      </c>
      <c r="F1356" s="35">
        <v>1</v>
      </c>
      <c r="G1356" s="40">
        <v>0</v>
      </c>
      <c r="H1356" s="40">
        <v>0</v>
      </c>
      <c r="I1356" s="40">
        <v>0</v>
      </c>
      <c r="J1356" s="40">
        <v>0</v>
      </c>
      <c r="K1356" s="40">
        <v>0</v>
      </c>
      <c r="L1356" s="40">
        <v>0</v>
      </c>
      <c r="M1356" s="40">
        <f t="shared" si="43"/>
        <v>0</v>
      </c>
      <c r="N1356" s="40">
        <f t="shared" si="44"/>
        <v>0</v>
      </c>
    </row>
    <row r="1357" spans="1:14" x14ac:dyDescent="0.35">
      <c r="A1357" s="33">
        <v>1354</v>
      </c>
      <c r="B1357" s="34" t="s">
        <v>1720</v>
      </c>
      <c r="C1357" s="33" t="s">
        <v>346</v>
      </c>
      <c r="D1357" s="33" t="s">
        <v>100</v>
      </c>
      <c r="E1357" s="33" t="s">
        <v>1642</v>
      </c>
      <c r="F1357" s="35">
        <v>0.15</v>
      </c>
      <c r="G1357" s="40">
        <v>0</v>
      </c>
      <c r="H1357" s="40">
        <v>0</v>
      </c>
      <c r="I1357" s="40">
        <v>0</v>
      </c>
      <c r="J1357" s="40">
        <v>0</v>
      </c>
      <c r="K1357" s="40">
        <v>0</v>
      </c>
      <c r="L1357" s="40">
        <v>0</v>
      </c>
      <c r="M1357" s="40">
        <f t="shared" si="43"/>
        <v>0</v>
      </c>
      <c r="N1357" s="40">
        <f t="shared" si="44"/>
        <v>0</v>
      </c>
    </row>
    <row r="1358" spans="1:14" x14ac:dyDescent="0.35">
      <c r="A1358" s="33">
        <v>1355</v>
      </c>
      <c r="B1358" s="34" t="s">
        <v>1721</v>
      </c>
      <c r="C1358" s="33" t="s">
        <v>346</v>
      </c>
      <c r="D1358" s="33" t="s">
        <v>100</v>
      </c>
      <c r="E1358" s="33" t="s">
        <v>1642</v>
      </c>
      <c r="F1358" s="35">
        <v>0.5</v>
      </c>
      <c r="G1358" s="40">
        <v>0</v>
      </c>
      <c r="H1358" s="40">
        <v>0</v>
      </c>
      <c r="I1358" s="40">
        <v>0</v>
      </c>
      <c r="J1358" s="40">
        <v>0</v>
      </c>
      <c r="K1358" s="40">
        <v>0</v>
      </c>
      <c r="L1358" s="40">
        <v>0</v>
      </c>
      <c r="M1358" s="40">
        <f t="shared" si="43"/>
        <v>0</v>
      </c>
      <c r="N1358" s="40">
        <f t="shared" si="44"/>
        <v>0</v>
      </c>
    </row>
    <row r="1359" spans="1:14" x14ac:dyDescent="0.35">
      <c r="A1359" s="33">
        <v>1356</v>
      </c>
      <c r="B1359" s="34" t="s">
        <v>1722</v>
      </c>
      <c r="C1359" s="33" t="s">
        <v>346</v>
      </c>
      <c r="D1359" s="33" t="s">
        <v>100</v>
      </c>
      <c r="E1359" s="33" t="s">
        <v>1642</v>
      </c>
      <c r="F1359" s="35">
        <v>0.1</v>
      </c>
      <c r="G1359" s="40">
        <v>0</v>
      </c>
      <c r="H1359" s="40">
        <v>0</v>
      </c>
      <c r="I1359" s="40">
        <v>0</v>
      </c>
      <c r="J1359" s="40">
        <v>0</v>
      </c>
      <c r="K1359" s="40">
        <v>0</v>
      </c>
      <c r="L1359" s="40">
        <v>0</v>
      </c>
      <c r="M1359" s="40">
        <f t="shared" si="43"/>
        <v>0</v>
      </c>
      <c r="N1359" s="40">
        <f t="shared" si="44"/>
        <v>0</v>
      </c>
    </row>
    <row r="1360" spans="1:14" x14ac:dyDescent="0.35">
      <c r="A1360" s="33">
        <v>1357</v>
      </c>
      <c r="B1360" s="34" t="s">
        <v>1723</v>
      </c>
      <c r="C1360" s="33" t="s">
        <v>346</v>
      </c>
      <c r="D1360" s="33" t="s">
        <v>100</v>
      </c>
      <c r="E1360" s="33" t="s">
        <v>1642</v>
      </c>
      <c r="F1360" s="35">
        <v>0.1</v>
      </c>
      <c r="G1360" s="40">
        <v>0</v>
      </c>
      <c r="H1360" s="40">
        <v>0</v>
      </c>
      <c r="I1360" s="40">
        <v>0</v>
      </c>
      <c r="J1360" s="40">
        <v>0</v>
      </c>
      <c r="K1360" s="40">
        <v>0</v>
      </c>
      <c r="L1360" s="40">
        <v>0</v>
      </c>
      <c r="M1360" s="40">
        <f t="shared" si="43"/>
        <v>0</v>
      </c>
      <c r="N1360" s="40">
        <f t="shared" si="44"/>
        <v>0</v>
      </c>
    </row>
    <row r="1361" spans="1:14" x14ac:dyDescent="0.35">
      <c r="A1361" s="33">
        <v>1358</v>
      </c>
      <c r="B1361" s="34" t="s">
        <v>1724</v>
      </c>
      <c r="C1361" s="33" t="s">
        <v>346</v>
      </c>
      <c r="D1361" s="33" t="s">
        <v>100</v>
      </c>
      <c r="E1361" s="33" t="s">
        <v>1642</v>
      </c>
      <c r="F1361" s="35">
        <v>0.1</v>
      </c>
      <c r="G1361" s="40">
        <v>0</v>
      </c>
      <c r="H1361" s="40">
        <v>0</v>
      </c>
      <c r="I1361" s="40">
        <v>0</v>
      </c>
      <c r="J1361" s="40">
        <v>0</v>
      </c>
      <c r="K1361" s="40">
        <v>0</v>
      </c>
      <c r="L1361" s="40">
        <v>0</v>
      </c>
      <c r="M1361" s="40">
        <f t="shared" si="43"/>
        <v>0</v>
      </c>
      <c r="N1361" s="40">
        <f t="shared" si="44"/>
        <v>0</v>
      </c>
    </row>
    <row r="1362" spans="1:14" x14ac:dyDescent="0.35">
      <c r="A1362" s="33">
        <v>1359</v>
      </c>
      <c r="B1362" s="34" t="s">
        <v>1725</v>
      </c>
      <c r="C1362" s="33" t="s">
        <v>346</v>
      </c>
      <c r="D1362" s="33" t="s">
        <v>100</v>
      </c>
      <c r="E1362" s="33" t="s">
        <v>1642</v>
      </c>
      <c r="F1362" s="35">
        <v>0.1</v>
      </c>
      <c r="G1362" s="40">
        <v>0</v>
      </c>
      <c r="H1362" s="40">
        <v>0</v>
      </c>
      <c r="I1362" s="40">
        <v>0</v>
      </c>
      <c r="J1362" s="40">
        <v>0</v>
      </c>
      <c r="K1362" s="40">
        <v>0</v>
      </c>
      <c r="L1362" s="40">
        <v>0</v>
      </c>
      <c r="M1362" s="40">
        <f t="shared" si="43"/>
        <v>0</v>
      </c>
      <c r="N1362" s="40">
        <f t="shared" si="44"/>
        <v>0</v>
      </c>
    </row>
    <row r="1363" spans="1:14" x14ac:dyDescent="0.35">
      <c r="A1363" s="33">
        <v>1360</v>
      </c>
      <c r="B1363" s="34" t="s">
        <v>1726</v>
      </c>
      <c r="C1363" s="33" t="s">
        <v>346</v>
      </c>
      <c r="D1363" s="33" t="s">
        <v>100</v>
      </c>
      <c r="E1363" s="33" t="s">
        <v>1642</v>
      </c>
      <c r="F1363" s="35">
        <v>0.1</v>
      </c>
      <c r="G1363" s="40">
        <v>0</v>
      </c>
      <c r="H1363" s="40">
        <v>0</v>
      </c>
      <c r="I1363" s="40">
        <v>0</v>
      </c>
      <c r="J1363" s="40">
        <v>0</v>
      </c>
      <c r="K1363" s="40">
        <v>0</v>
      </c>
      <c r="L1363" s="40">
        <v>0</v>
      </c>
      <c r="M1363" s="40">
        <f t="shared" si="43"/>
        <v>0</v>
      </c>
      <c r="N1363" s="40">
        <f t="shared" si="44"/>
        <v>0</v>
      </c>
    </row>
    <row r="1364" spans="1:14" x14ac:dyDescent="0.35">
      <c r="A1364" s="33">
        <v>1361</v>
      </c>
      <c r="B1364" s="34" t="s">
        <v>1727</v>
      </c>
      <c r="C1364" s="33" t="s">
        <v>346</v>
      </c>
      <c r="D1364" s="33" t="s">
        <v>100</v>
      </c>
      <c r="E1364" s="33" t="s">
        <v>1642</v>
      </c>
      <c r="F1364" s="35">
        <v>1</v>
      </c>
      <c r="G1364" s="40">
        <v>0</v>
      </c>
      <c r="H1364" s="40">
        <v>0</v>
      </c>
      <c r="I1364" s="40">
        <v>0</v>
      </c>
      <c r="J1364" s="40">
        <v>0</v>
      </c>
      <c r="K1364" s="40">
        <v>0</v>
      </c>
      <c r="L1364" s="40">
        <v>0</v>
      </c>
      <c r="M1364" s="40">
        <f t="shared" si="43"/>
        <v>0</v>
      </c>
      <c r="N1364" s="40">
        <f t="shared" si="44"/>
        <v>0</v>
      </c>
    </row>
    <row r="1365" spans="1:14" x14ac:dyDescent="0.35">
      <c r="A1365" s="33">
        <v>1362</v>
      </c>
      <c r="B1365" s="34" t="s">
        <v>1728</v>
      </c>
      <c r="C1365" s="33" t="s">
        <v>346</v>
      </c>
      <c r="D1365" s="33" t="s">
        <v>100</v>
      </c>
      <c r="E1365" s="33" t="s">
        <v>1642</v>
      </c>
      <c r="F1365" s="35">
        <v>1</v>
      </c>
      <c r="G1365" s="40">
        <v>0</v>
      </c>
      <c r="H1365" s="40">
        <v>0</v>
      </c>
      <c r="I1365" s="40">
        <v>0</v>
      </c>
      <c r="J1365" s="40">
        <v>0</v>
      </c>
      <c r="K1365" s="40">
        <v>0</v>
      </c>
      <c r="L1365" s="40">
        <v>0</v>
      </c>
      <c r="M1365" s="40">
        <f t="shared" si="43"/>
        <v>0</v>
      </c>
      <c r="N1365" s="40">
        <f t="shared" si="44"/>
        <v>0</v>
      </c>
    </row>
    <row r="1366" spans="1:14" x14ac:dyDescent="0.35">
      <c r="A1366" s="33">
        <v>1363</v>
      </c>
      <c r="B1366" s="34" t="s">
        <v>1729</v>
      </c>
      <c r="C1366" s="33" t="s">
        <v>346</v>
      </c>
      <c r="D1366" s="33" t="s">
        <v>100</v>
      </c>
      <c r="E1366" s="33" t="s">
        <v>1642</v>
      </c>
      <c r="F1366" s="35">
        <v>1</v>
      </c>
      <c r="G1366" s="40">
        <v>0</v>
      </c>
      <c r="H1366" s="40">
        <v>0</v>
      </c>
      <c r="I1366" s="40">
        <v>0</v>
      </c>
      <c r="J1366" s="40">
        <v>0</v>
      </c>
      <c r="K1366" s="40">
        <v>0</v>
      </c>
      <c r="L1366" s="40">
        <v>0</v>
      </c>
      <c r="M1366" s="40">
        <f t="shared" si="43"/>
        <v>0</v>
      </c>
      <c r="N1366" s="40">
        <f t="shared" si="44"/>
        <v>0</v>
      </c>
    </row>
    <row r="1367" spans="1:14" x14ac:dyDescent="0.35">
      <c r="A1367" s="33">
        <v>1364</v>
      </c>
      <c r="B1367" s="34" t="s">
        <v>1730</v>
      </c>
      <c r="C1367" s="33" t="s">
        <v>346</v>
      </c>
      <c r="D1367" s="33" t="s">
        <v>100</v>
      </c>
      <c r="E1367" s="33" t="s">
        <v>1642</v>
      </c>
      <c r="F1367" s="35">
        <v>1</v>
      </c>
      <c r="G1367" s="40">
        <v>0</v>
      </c>
      <c r="H1367" s="40">
        <v>0</v>
      </c>
      <c r="I1367" s="40">
        <v>0</v>
      </c>
      <c r="J1367" s="40">
        <v>0</v>
      </c>
      <c r="K1367" s="40">
        <v>0</v>
      </c>
      <c r="L1367" s="40">
        <v>0</v>
      </c>
      <c r="M1367" s="40">
        <f t="shared" si="43"/>
        <v>0</v>
      </c>
      <c r="N1367" s="40">
        <f t="shared" si="44"/>
        <v>0</v>
      </c>
    </row>
    <row r="1368" spans="1:14" x14ac:dyDescent="0.35">
      <c r="A1368" s="33">
        <v>1365</v>
      </c>
      <c r="B1368" s="34" t="s">
        <v>1731</v>
      </c>
      <c r="C1368" s="33" t="s">
        <v>346</v>
      </c>
      <c r="D1368" s="33" t="s">
        <v>100</v>
      </c>
      <c r="E1368" s="33" t="s">
        <v>1642</v>
      </c>
      <c r="F1368" s="35">
        <v>7.4999999999999997E-2</v>
      </c>
      <c r="G1368" s="40">
        <v>0</v>
      </c>
      <c r="H1368" s="40">
        <v>0</v>
      </c>
      <c r="I1368" s="40">
        <v>0</v>
      </c>
      <c r="J1368" s="40">
        <v>0</v>
      </c>
      <c r="K1368" s="40">
        <v>0</v>
      </c>
      <c r="L1368" s="40">
        <v>0</v>
      </c>
      <c r="M1368" s="40">
        <f t="shared" si="43"/>
        <v>0</v>
      </c>
      <c r="N1368" s="40">
        <f t="shared" si="44"/>
        <v>0</v>
      </c>
    </row>
    <row r="1369" spans="1:14" x14ac:dyDescent="0.35">
      <c r="A1369" s="33">
        <v>1366</v>
      </c>
      <c r="B1369" s="34" t="s">
        <v>1732</v>
      </c>
      <c r="C1369" s="33" t="s">
        <v>346</v>
      </c>
      <c r="D1369" s="33" t="s">
        <v>100</v>
      </c>
      <c r="E1369" s="33" t="s">
        <v>1642</v>
      </c>
      <c r="F1369" s="35">
        <v>1</v>
      </c>
      <c r="G1369" s="40">
        <v>0</v>
      </c>
      <c r="H1369" s="40">
        <v>0</v>
      </c>
      <c r="I1369" s="40">
        <v>0</v>
      </c>
      <c r="J1369" s="40">
        <v>0</v>
      </c>
      <c r="K1369" s="40">
        <v>0</v>
      </c>
      <c r="L1369" s="40">
        <v>0</v>
      </c>
      <c r="M1369" s="40">
        <f t="shared" si="43"/>
        <v>0</v>
      </c>
      <c r="N1369" s="40">
        <f t="shared" si="44"/>
        <v>0</v>
      </c>
    </row>
    <row r="1370" spans="1:14" x14ac:dyDescent="0.35">
      <c r="A1370" s="33">
        <v>1367</v>
      </c>
      <c r="B1370" s="34" t="s">
        <v>1733</v>
      </c>
      <c r="C1370" s="33" t="s">
        <v>346</v>
      </c>
      <c r="D1370" s="33" t="s">
        <v>100</v>
      </c>
      <c r="E1370" s="33" t="s">
        <v>1642</v>
      </c>
      <c r="F1370" s="35">
        <v>0.25</v>
      </c>
      <c r="G1370" s="40">
        <v>0</v>
      </c>
      <c r="H1370" s="40">
        <v>0</v>
      </c>
      <c r="I1370" s="40">
        <v>0</v>
      </c>
      <c r="J1370" s="40">
        <v>0</v>
      </c>
      <c r="K1370" s="40">
        <v>0</v>
      </c>
      <c r="L1370" s="40">
        <v>0</v>
      </c>
      <c r="M1370" s="40">
        <f t="shared" si="43"/>
        <v>0</v>
      </c>
      <c r="N1370" s="40">
        <f t="shared" si="44"/>
        <v>0</v>
      </c>
    </row>
    <row r="1371" spans="1:14" x14ac:dyDescent="0.35">
      <c r="A1371" s="33">
        <v>1368</v>
      </c>
      <c r="B1371" s="34" t="s">
        <v>1734</v>
      </c>
      <c r="C1371" s="33" t="s">
        <v>346</v>
      </c>
      <c r="D1371" s="33" t="s">
        <v>100</v>
      </c>
      <c r="E1371" s="33" t="s">
        <v>1642</v>
      </c>
      <c r="F1371" s="35">
        <v>1</v>
      </c>
      <c r="G1371" s="40">
        <v>0</v>
      </c>
      <c r="H1371" s="40">
        <v>0</v>
      </c>
      <c r="I1371" s="40">
        <v>0</v>
      </c>
      <c r="J1371" s="40">
        <v>0</v>
      </c>
      <c r="K1371" s="40">
        <v>0</v>
      </c>
      <c r="L1371" s="40">
        <v>0</v>
      </c>
      <c r="M1371" s="40">
        <f t="shared" si="43"/>
        <v>0</v>
      </c>
      <c r="N1371" s="40">
        <f t="shared" si="44"/>
        <v>0</v>
      </c>
    </row>
    <row r="1372" spans="1:14" x14ac:dyDescent="0.35">
      <c r="A1372" s="33">
        <v>1369</v>
      </c>
      <c r="B1372" s="34" t="s">
        <v>1735</v>
      </c>
      <c r="C1372" s="33" t="s">
        <v>346</v>
      </c>
      <c r="D1372" s="33" t="s">
        <v>100</v>
      </c>
      <c r="E1372" s="33" t="s">
        <v>1642</v>
      </c>
      <c r="F1372" s="35">
        <v>0.05</v>
      </c>
      <c r="G1372" s="40">
        <v>0</v>
      </c>
      <c r="H1372" s="40">
        <v>0</v>
      </c>
      <c r="I1372" s="40">
        <v>0</v>
      </c>
      <c r="J1372" s="40">
        <v>0</v>
      </c>
      <c r="K1372" s="40">
        <v>0</v>
      </c>
      <c r="L1372" s="40">
        <v>0</v>
      </c>
      <c r="M1372" s="40">
        <f t="shared" si="43"/>
        <v>0</v>
      </c>
      <c r="N1372" s="40">
        <f t="shared" si="44"/>
        <v>0</v>
      </c>
    </row>
    <row r="1373" spans="1:14" x14ac:dyDescent="0.35">
      <c r="A1373" s="33">
        <v>1370</v>
      </c>
      <c r="B1373" s="34" t="s">
        <v>1736</v>
      </c>
      <c r="C1373" s="33" t="s">
        <v>346</v>
      </c>
      <c r="D1373" s="33" t="s">
        <v>100</v>
      </c>
      <c r="E1373" s="33" t="s">
        <v>1642</v>
      </c>
      <c r="F1373" s="35">
        <v>0.1</v>
      </c>
      <c r="G1373" s="40">
        <v>0</v>
      </c>
      <c r="H1373" s="40">
        <v>0</v>
      </c>
      <c r="I1373" s="40">
        <v>0</v>
      </c>
      <c r="J1373" s="40">
        <v>0</v>
      </c>
      <c r="K1373" s="40">
        <v>0</v>
      </c>
      <c r="L1373" s="40">
        <v>0</v>
      </c>
      <c r="M1373" s="40">
        <f t="shared" si="43"/>
        <v>0</v>
      </c>
      <c r="N1373" s="40">
        <f t="shared" si="44"/>
        <v>0</v>
      </c>
    </row>
    <row r="1374" spans="1:14" x14ac:dyDescent="0.35">
      <c r="A1374" s="33">
        <v>1371</v>
      </c>
      <c r="B1374" s="34" t="s">
        <v>1737</v>
      </c>
      <c r="C1374" s="33" t="s">
        <v>346</v>
      </c>
      <c r="D1374" s="33" t="s">
        <v>100</v>
      </c>
      <c r="E1374" s="33" t="s">
        <v>1642</v>
      </c>
      <c r="F1374" s="35">
        <v>0.1</v>
      </c>
      <c r="G1374" s="40">
        <v>0</v>
      </c>
      <c r="H1374" s="40">
        <v>0</v>
      </c>
      <c r="I1374" s="40">
        <v>0</v>
      </c>
      <c r="J1374" s="40">
        <v>0</v>
      </c>
      <c r="K1374" s="40">
        <v>0</v>
      </c>
      <c r="L1374" s="40">
        <v>0</v>
      </c>
      <c r="M1374" s="40">
        <f t="shared" si="43"/>
        <v>0</v>
      </c>
      <c r="N1374" s="40">
        <f t="shared" si="44"/>
        <v>0</v>
      </c>
    </row>
    <row r="1375" spans="1:14" x14ac:dyDescent="0.35">
      <c r="A1375" s="33">
        <v>1372</v>
      </c>
      <c r="B1375" s="34" t="s">
        <v>1738</v>
      </c>
      <c r="C1375" s="33" t="s">
        <v>346</v>
      </c>
      <c r="D1375" s="33" t="s">
        <v>100</v>
      </c>
      <c r="E1375" s="33" t="s">
        <v>1642</v>
      </c>
      <c r="F1375" s="35">
        <v>0.1</v>
      </c>
      <c r="G1375" s="40">
        <v>0</v>
      </c>
      <c r="H1375" s="40">
        <v>0</v>
      </c>
      <c r="I1375" s="40">
        <v>0</v>
      </c>
      <c r="J1375" s="40">
        <v>0</v>
      </c>
      <c r="K1375" s="40">
        <v>0</v>
      </c>
      <c r="L1375" s="40">
        <v>0</v>
      </c>
      <c r="M1375" s="40">
        <f t="shared" si="43"/>
        <v>0</v>
      </c>
      <c r="N1375" s="40">
        <f t="shared" si="44"/>
        <v>0</v>
      </c>
    </row>
    <row r="1376" spans="1:14" x14ac:dyDescent="0.35">
      <c r="A1376" s="33">
        <v>1373</v>
      </c>
      <c r="B1376" s="34" t="s">
        <v>1739</v>
      </c>
      <c r="C1376" s="33" t="s">
        <v>346</v>
      </c>
      <c r="D1376" s="33" t="s">
        <v>100</v>
      </c>
      <c r="E1376" s="33" t="s">
        <v>1642</v>
      </c>
      <c r="F1376" s="35">
        <v>0.1</v>
      </c>
      <c r="G1376" s="40">
        <v>0</v>
      </c>
      <c r="H1376" s="40">
        <v>0</v>
      </c>
      <c r="I1376" s="40">
        <v>0</v>
      </c>
      <c r="J1376" s="40">
        <v>0</v>
      </c>
      <c r="K1376" s="40">
        <v>0</v>
      </c>
      <c r="L1376" s="40">
        <v>0</v>
      </c>
      <c r="M1376" s="40">
        <f t="shared" si="43"/>
        <v>0</v>
      </c>
      <c r="N1376" s="40">
        <f t="shared" si="44"/>
        <v>0</v>
      </c>
    </row>
    <row r="1377" spans="1:14" x14ac:dyDescent="0.35">
      <c r="A1377" s="33">
        <v>1374</v>
      </c>
      <c r="B1377" s="34" t="s">
        <v>1740</v>
      </c>
      <c r="C1377" s="33" t="s">
        <v>346</v>
      </c>
      <c r="D1377" s="33" t="s">
        <v>100</v>
      </c>
      <c r="E1377" s="33" t="s">
        <v>1642</v>
      </c>
      <c r="F1377" s="35">
        <v>0.1</v>
      </c>
      <c r="G1377" s="40">
        <v>0</v>
      </c>
      <c r="H1377" s="40">
        <v>0</v>
      </c>
      <c r="I1377" s="40">
        <v>0</v>
      </c>
      <c r="J1377" s="40">
        <v>0</v>
      </c>
      <c r="K1377" s="40">
        <v>0</v>
      </c>
      <c r="L1377" s="40">
        <v>0</v>
      </c>
      <c r="M1377" s="40">
        <f t="shared" si="43"/>
        <v>0</v>
      </c>
      <c r="N1377" s="40">
        <f t="shared" si="44"/>
        <v>0</v>
      </c>
    </row>
    <row r="1378" spans="1:14" x14ac:dyDescent="0.35">
      <c r="A1378" s="33">
        <v>1375</v>
      </c>
      <c r="B1378" s="34" t="s">
        <v>1645</v>
      </c>
      <c r="C1378" s="33" t="s">
        <v>297</v>
      </c>
      <c r="D1378" s="33" t="s">
        <v>100</v>
      </c>
      <c r="E1378" s="33" t="s">
        <v>1646</v>
      </c>
      <c r="F1378" s="35">
        <v>1</v>
      </c>
      <c r="G1378" s="40">
        <v>0</v>
      </c>
      <c r="H1378" s="40">
        <v>0</v>
      </c>
      <c r="I1378" s="40">
        <v>0</v>
      </c>
      <c r="J1378" s="40">
        <v>0</v>
      </c>
      <c r="K1378" s="40">
        <v>0</v>
      </c>
      <c r="L1378" s="40">
        <v>0</v>
      </c>
      <c r="M1378" s="40">
        <f t="shared" si="43"/>
        <v>0</v>
      </c>
      <c r="N1378" s="40">
        <f t="shared" si="44"/>
        <v>0</v>
      </c>
    </row>
    <row r="1379" spans="1:14" x14ac:dyDescent="0.35">
      <c r="A1379" s="33">
        <v>1376</v>
      </c>
      <c r="B1379" s="34" t="s">
        <v>1647</v>
      </c>
      <c r="C1379" s="33" t="s">
        <v>297</v>
      </c>
      <c r="D1379" s="33" t="s">
        <v>100</v>
      </c>
      <c r="E1379" s="33" t="s">
        <v>1646</v>
      </c>
      <c r="F1379" s="35">
        <v>1</v>
      </c>
      <c r="G1379" s="40">
        <v>0</v>
      </c>
      <c r="H1379" s="40">
        <v>0</v>
      </c>
      <c r="I1379" s="40">
        <v>0</v>
      </c>
      <c r="J1379" s="40">
        <v>0</v>
      </c>
      <c r="K1379" s="40">
        <v>0</v>
      </c>
      <c r="L1379" s="40">
        <v>0</v>
      </c>
      <c r="M1379" s="40">
        <f t="shared" si="43"/>
        <v>0</v>
      </c>
      <c r="N1379" s="40">
        <f t="shared" si="44"/>
        <v>0</v>
      </c>
    </row>
    <row r="1380" spans="1:14" x14ac:dyDescent="0.35">
      <c r="A1380" s="33">
        <v>1377</v>
      </c>
      <c r="B1380" s="34" t="s">
        <v>1741</v>
      </c>
      <c r="C1380" s="33" t="s">
        <v>346</v>
      </c>
      <c r="D1380" s="33" t="s">
        <v>100</v>
      </c>
      <c r="E1380" s="33" t="s">
        <v>1646</v>
      </c>
      <c r="F1380" s="35">
        <v>0.25</v>
      </c>
      <c r="G1380" s="40">
        <v>0</v>
      </c>
      <c r="H1380" s="40">
        <v>0</v>
      </c>
      <c r="I1380" s="40">
        <v>0</v>
      </c>
      <c r="J1380" s="40">
        <v>0</v>
      </c>
      <c r="K1380" s="40">
        <v>0</v>
      </c>
      <c r="L1380" s="40">
        <v>0</v>
      </c>
      <c r="M1380" s="40">
        <f t="shared" si="43"/>
        <v>0</v>
      </c>
      <c r="N1380" s="40">
        <f t="shared" si="44"/>
        <v>0</v>
      </c>
    </row>
    <row r="1381" spans="1:14" x14ac:dyDescent="0.35">
      <c r="A1381" s="33">
        <v>1378</v>
      </c>
      <c r="B1381" s="34" t="s">
        <v>1742</v>
      </c>
      <c r="C1381" s="33" t="s">
        <v>346</v>
      </c>
      <c r="D1381" s="33" t="s">
        <v>100</v>
      </c>
      <c r="E1381" s="33" t="s">
        <v>1646</v>
      </c>
      <c r="F1381" s="35">
        <v>0.1</v>
      </c>
      <c r="G1381" s="40">
        <v>0</v>
      </c>
      <c r="H1381" s="40">
        <v>0</v>
      </c>
      <c r="I1381" s="40">
        <v>0</v>
      </c>
      <c r="J1381" s="40">
        <v>0</v>
      </c>
      <c r="K1381" s="40">
        <v>0</v>
      </c>
      <c r="L1381" s="40">
        <v>0</v>
      </c>
      <c r="M1381" s="40">
        <f t="shared" si="43"/>
        <v>0</v>
      </c>
      <c r="N1381" s="40">
        <f t="shared" si="44"/>
        <v>0</v>
      </c>
    </row>
    <row r="1382" spans="1:14" x14ac:dyDescent="0.35">
      <c r="A1382" s="33">
        <v>1379</v>
      </c>
      <c r="B1382" s="34" t="s">
        <v>1743</v>
      </c>
      <c r="C1382" s="33" t="s">
        <v>346</v>
      </c>
      <c r="D1382" s="33" t="s">
        <v>100</v>
      </c>
      <c r="E1382" s="33" t="s">
        <v>1646</v>
      </c>
      <c r="F1382" s="35">
        <v>0.1</v>
      </c>
      <c r="G1382" s="40">
        <v>0</v>
      </c>
      <c r="H1382" s="40">
        <v>0</v>
      </c>
      <c r="I1382" s="40">
        <v>0</v>
      </c>
      <c r="J1382" s="40">
        <v>0</v>
      </c>
      <c r="K1382" s="40">
        <v>0</v>
      </c>
      <c r="L1382" s="40">
        <v>0</v>
      </c>
      <c r="M1382" s="40">
        <f t="shared" si="43"/>
        <v>0</v>
      </c>
      <c r="N1382" s="40">
        <f t="shared" si="44"/>
        <v>0</v>
      </c>
    </row>
    <row r="1383" spans="1:14" x14ac:dyDescent="0.35">
      <c r="A1383" s="33">
        <v>1380</v>
      </c>
      <c r="B1383" s="34" t="s">
        <v>1744</v>
      </c>
      <c r="C1383" s="33" t="s">
        <v>346</v>
      </c>
      <c r="D1383" s="33" t="s">
        <v>100</v>
      </c>
      <c r="E1383" s="33" t="s">
        <v>1646</v>
      </c>
      <c r="F1383" s="35">
        <v>1</v>
      </c>
      <c r="G1383" s="40">
        <v>0</v>
      </c>
      <c r="H1383" s="40">
        <v>0</v>
      </c>
      <c r="I1383" s="40">
        <v>0</v>
      </c>
      <c r="J1383" s="40">
        <v>0</v>
      </c>
      <c r="K1383" s="40">
        <v>0</v>
      </c>
      <c r="L1383" s="40">
        <v>0</v>
      </c>
      <c r="M1383" s="40">
        <f t="shared" si="43"/>
        <v>0</v>
      </c>
      <c r="N1383" s="40">
        <f t="shared" si="44"/>
        <v>0</v>
      </c>
    </row>
    <row r="1384" spans="1:14" x14ac:dyDescent="0.35">
      <c r="A1384" s="33">
        <v>1381</v>
      </c>
      <c r="B1384" s="34" t="s">
        <v>1745</v>
      </c>
      <c r="C1384" s="33" t="s">
        <v>346</v>
      </c>
      <c r="D1384" s="33" t="s">
        <v>100</v>
      </c>
      <c r="E1384" s="33" t="s">
        <v>1646</v>
      </c>
      <c r="F1384" s="35">
        <v>0.25</v>
      </c>
      <c r="G1384" s="40">
        <v>0</v>
      </c>
      <c r="H1384" s="40">
        <v>0</v>
      </c>
      <c r="I1384" s="40">
        <v>0</v>
      </c>
      <c r="J1384" s="40">
        <v>0</v>
      </c>
      <c r="K1384" s="40">
        <v>0</v>
      </c>
      <c r="L1384" s="40">
        <v>0</v>
      </c>
      <c r="M1384" s="40">
        <f t="shared" si="43"/>
        <v>0</v>
      </c>
      <c r="N1384" s="40">
        <f t="shared" si="44"/>
        <v>0</v>
      </c>
    </row>
    <row r="1385" spans="1:14" x14ac:dyDescent="0.35">
      <c r="A1385" s="33">
        <v>1382</v>
      </c>
      <c r="B1385" s="34" t="s">
        <v>1746</v>
      </c>
      <c r="C1385" s="33" t="s">
        <v>297</v>
      </c>
      <c r="D1385" s="33" t="s">
        <v>124</v>
      </c>
      <c r="E1385" s="33" t="s">
        <v>1746</v>
      </c>
      <c r="F1385" s="35">
        <v>1</v>
      </c>
      <c r="G1385" s="40">
        <v>0</v>
      </c>
      <c r="H1385" s="40">
        <v>0</v>
      </c>
      <c r="I1385" s="40">
        <v>0</v>
      </c>
      <c r="J1385" s="40">
        <v>0</v>
      </c>
      <c r="K1385" s="40">
        <v>0</v>
      </c>
      <c r="L1385" s="40">
        <v>0</v>
      </c>
      <c r="M1385" s="40">
        <f t="shared" si="43"/>
        <v>0</v>
      </c>
      <c r="N1385" s="40">
        <f t="shared" si="44"/>
        <v>0</v>
      </c>
    </row>
    <row r="1386" spans="1:14" x14ac:dyDescent="0.35">
      <c r="A1386" s="33">
        <v>1383</v>
      </c>
      <c r="B1386" s="34" t="s">
        <v>1747</v>
      </c>
      <c r="C1386" s="33" t="s">
        <v>297</v>
      </c>
      <c r="D1386" s="33" t="s">
        <v>124</v>
      </c>
      <c r="E1386" s="33" t="s">
        <v>1748</v>
      </c>
      <c r="F1386" s="35">
        <v>1</v>
      </c>
      <c r="G1386" s="40">
        <v>0</v>
      </c>
      <c r="H1386" s="40">
        <v>0</v>
      </c>
      <c r="I1386" s="40">
        <v>0</v>
      </c>
      <c r="J1386" s="40">
        <v>0</v>
      </c>
      <c r="K1386" s="40">
        <v>0</v>
      </c>
      <c r="L1386" s="40">
        <v>0</v>
      </c>
      <c r="M1386" s="40">
        <f t="shared" si="43"/>
        <v>0</v>
      </c>
      <c r="N1386" s="40">
        <f t="shared" si="44"/>
        <v>0</v>
      </c>
    </row>
    <row r="1387" spans="1:14" x14ac:dyDescent="0.35">
      <c r="A1387" s="33">
        <v>1384</v>
      </c>
      <c r="B1387" s="34" t="s">
        <v>1749</v>
      </c>
      <c r="C1387" s="33" t="s">
        <v>346</v>
      </c>
      <c r="D1387" s="33" t="s">
        <v>124</v>
      </c>
      <c r="E1387" s="33" t="s">
        <v>1748</v>
      </c>
      <c r="F1387" s="35">
        <v>0.3</v>
      </c>
      <c r="G1387" s="40">
        <v>0</v>
      </c>
      <c r="H1387" s="40">
        <v>0</v>
      </c>
      <c r="I1387" s="40">
        <v>0</v>
      </c>
      <c r="J1387" s="40">
        <v>0</v>
      </c>
      <c r="K1387" s="40">
        <v>0</v>
      </c>
      <c r="L1387" s="40">
        <v>0</v>
      </c>
      <c r="M1387" s="40">
        <f t="shared" si="43"/>
        <v>0</v>
      </c>
      <c r="N1387" s="40">
        <f t="shared" si="44"/>
        <v>0</v>
      </c>
    </row>
    <row r="1388" spans="1:14" x14ac:dyDescent="0.35">
      <c r="A1388" s="33">
        <v>1385</v>
      </c>
      <c r="B1388" s="34" t="s">
        <v>1750</v>
      </c>
      <c r="C1388" s="33" t="s">
        <v>346</v>
      </c>
      <c r="D1388" s="33" t="s">
        <v>124</v>
      </c>
      <c r="E1388" s="33" t="s">
        <v>1748</v>
      </c>
      <c r="F1388" s="35">
        <v>0.1</v>
      </c>
      <c r="G1388" s="40">
        <v>0</v>
      </c>
      <c r="H1388" s="40">
        <v>0</v>
      </c>
      <c r="I1388" s="40">
        <v>0</v>
      </c>
      <c r="J1388" s="40">
        <v>0</v>
      </c>
      <c r="K1388" s="40">
        <v>0</v>
      </c>
      <c r="L1388" s="40">
        <v>0</v>
      </c>
      <c r="M1388" s="40">
        <f t="shared" si="43"/>
        <v>0</v>
      </c>
      <c r="N1388" s="40">
        <f t="shared" si="44"/>
        <v>0</v>
      </c>
    </row>
    <row r="1389" spans="1:14" x14ac:dyDescent="0.35">
      <c r="A1389" s="33">
        <v>1386</v>
      </c>
      <c r="B1389" s="34" t="s">
        <v>1751</v>
      </c>
      <c r="C1389" s="33" t="s">
        <v>346</v>
      </c>
      <c r="D1389" s="33" t="s">
        <v>124</v>
      </c>
      <c r="E1389" s="33" t="s">
        <v>1748</v>
      </c>
      <c r="F1389" s="35">
        <v>0.25</v>
      </c>
      <c r="G1389" s="40">
        <v>0</v>
      </c>
      <c r="H1389" s="40">
        <v>0</v>
      </c>
      <c r="I1389" s="40">
        <v>0</v>
      </c>
      <c r="J1389" s="40">
        <v>0</v>
      </c>
      <c r="K1389" s="40">
        <v>0</v>
      </c>
      <c r="L1389" s="40">
        <v>0</v>
      </c>
      <c r="M1389" s="40">
        <f t="shared" si="43"/>
        <v>0</v>
      </c>
      <c r="N1389" s="40">
        <f t="shared" si="44"/>
        <v>0</v>
      </c>
    </row>
    <row r="1390" spans="1:14" x14ac:dyDescent="0.35">
      <c r="A1390" s="33">
        <v>1387</v>
      </c>
      <c r="B1390" s="34" t="s">
        <v>1752</v>
      </c>
      <c r="C1390" s="33" t="s">
        <v>346</v>
      </c>
      <c r="D1390" s="33" t="s">
        <v>124</v>
      </c>
      <c r="E1390" s="33" t="s">
        <v>1748</v>
      </c>
      <c r="F1390" s="35">
        <v>1</v>
      </c>
      <c r="G1390" s="40">
        <v>0</v>
      </c>
      <c r="H1390" s="40">
        <v>0</v>
      </c>
      <c r="I1390" s="40">
        <v>0</v>
      </c>
      <c r="J1390" s="40">
        <v>0</v>
      </c>
      <c r="K1390" s="40">
        <v>0</v>
      </c>
      <c r="L1390" s="40">
        <v>0</v>
      </c>
      <c r="M1390" s="40">
        <f t="shared" si="43"/>
        <v>0</v>
      </c>
      <c r="N1390" s="40">
        <f t="shared" si="44"/>
        <v>0</v>
      </c>
    </row>
    <row r="1391" spans="1:14" x14ac:dyDescent="0.35">
      <c r="A1391" s="33">
        <v>1388</v>
      </c>
      <c r="B1391" s="34" t="s">
        <v>1753</v>
      </c>
      <c r="C1391" s="33" t="s">
        <v>346</v>
      </c>
      <c r="D1391" s="33" t="s">
        <v>124</v>
      </c>
      <c r="E1391" s="33" t="s">
        <v>1748</v>
      </c>
      <c r="F1391" s="35">
        <v>0.3</v>
      </c>
      <c r="G1391" s="40">
        <v>0</v>
      </c>
      <c r="H1391" s="40">
        <v>0</v>
      </c>
      <c r="I1391" s="40">
        <v>0</v>
      </c>
      <c r="J1391" s="40">
        <v>0</v>
      </c>
      <c r="K1391" s="40">
        <v>0</v>
      </c>
      <c r="L1391" s="40">
        <v>0</v>
      </c>
      <c r="M1391" s="40">
        <f t="shared" si="43"/>
        <v>0</v>
      </c>
      <c r="N1391" s="40">
        <f t="shared" si="44"/>
        <v>0</v>
      </c>
    </row>
    <row r="1392" spans="1:14" x14ac:dyDescent="0.35">
      <c r="A1392" s="33">
        <v>1389</v>
      </c>
      <c r="B1392" s="34" t="s">
        <v>1754</v>
      </c>
      <c r="C1392" s="33" t="s">
        <v>346</v>
      </c>
      <c r="D1392" s="33" t="s">
        <v>124</v>
      </c>
      <c r="E1392" s="33" t="s">
        <v>1748</v>
      </c>
      <c r="F1392" s="35">
        <v>0.2</v>
      </c>
      <c r="G1392" s="40">
        <v>0</v>
      </c>
      <c r="H1392" s="40">
        <v>0</v>
      </c>
      <c r="I1392" s="40">
        <v>0</v>
      </c>
      <c r="J1392" s="40">
        <v>0</v>
      </c>
      <c r="K1392" s="40">
        <v>0</v>
      </c>
      <c r="L1392" s="40">
        <v>0</v>
      </c>
      <c r="M1392" s="40">
        <f t="shared" si="43"/>
        <v>0</v>
      </c>
      <c r="N1392" s="40">
        <f t="shared" si="44"/>
        <v>0</v>
      </c>
    </row>
    <row r="1393" spans="1:14" x14ac:dyDescent="0.35">
      <c r="A1393" s="33">
        <v>1390</v>
      </c>
      <c r="B1393" s="34" t="s">
        <v>1755</v>
      </c>
      <c r="C1393" s="33" t="s">
        <v>346</v>
      </c>
      <c r="D1393" s="33" t="s">
        <v>124</v>
      </c>
      <c r="E1393" s="33" t="s">
        <v>1748</v>
      </c>
      <c r="F1393" s="35">
        <v>0.13</v>
      </c>
      <c r="G1393" s="40">
        <v>0</v>
      </c>
      <c r="H1393" s="40">
        <v>0</v>
      </c>
      <c r="I1393" s="40">
        <v>0</v>
      </c>
      <c r="J1393" s="40">
        <v>0</v>
      </c>
      <c r="K1393" s="40">
        <v>0</v>
      </c>
      <c r="L1393" s="40">
        <v>0</v>
      </c>
      <c r="M1393" s="40">
        <f t="shared" si="43"/>
        <v>0</v>
      </c>
      <c r="N1393" s="40">
        <f t="shared" si="44"/>
        <v>0</v>
      </c>
    </row>
    <row r="1394" spans="1:14" x14ac:dyDescent="0.35">
      <c r="A1394" s="33">
        <v>1391</v>
      </c>
      <c r="B1394" s="34" t="s">
        <v>1756</v>
      </c>
      <c r="C1394" s="33" t="s">
        <v>346</v>
      </c>
      <c r="D1394" s="33" t="s">
        <v>124</v>
      </c>
      <c r="E1394" s="33" t="s">
        <v>1748</v>
      </c>
      <c r="F1394" s="35">
        <v>5.2</v>
      </c>
      <c r="G1394" s="40">
        <v>0</v>
      </c>
      <c r="H1394" s="40">
        <v>0</v>
      </c>
      <c r="I1394" s="40">
        <v>0</v>
      </c>
      <c r="J1394" s="40">
        <v>0</v>
      </c>
      <c r="K1394" s="40">
        <v>0</v>
      </c>
      <c r="L1394" s="40">
        <v>0</v>
      </c>
      <c r="M1394" s="40">
        <f t="shared" si="43"/>
        <v>0</v>
      </c>
      <c r="N1394" s="40">
        <f t="shared" si="44"/>
        <v>0</v>
      </c>
    </row>
    <row r="1395" spans="1:14" x14ac:dyDescent="0.35">
      <c r="A1395" s="33">
        <v>1392</v>
      </c>
      <c r="B1395" s="34" t="s">
        <v>1757</v>
      </c>
      <c r="C1395" s="33" t="s">
        <v>346</v>
      </c>
      <c r="D1395" s="33" t="s">
        <v>124</v>
      </c>
      <c r="E1395" s="33" t="s">
        <v>1748</v>
      </c>
      <c r="F1395" s="35">
        <v>0.34</v>
      </c>
      <c r="G1395" s="40">
        <v>0</v>
      </c>
      <c r="H1395" s="40">
        <v>0</v>
      </c>
      <c r="I1395" s="40">
        <v>0</v>
      </c>
      <c r="J1395" s="40">
        <v>0</v>
      </c>
      <c r="K1395" s="40">
        <v>0</v>
      </c>
      <c r="L1395" s="40">
        <v>0</v>
      </c>
      <c r="M1395" s="40">
        <f t="shared" si="43"/>
        <v>0</v>
      </c>
      <c r="N1395" s="40">
        <f t="shared" si="44"/>
        <v>0</v>
      </c>
    </row>
    <row r="1396" spans="1:14" x14ac:dyDescent="0.35">
      <c r="A1396" s="33">
        <v>1393</v>
      </c>
      <c r="B1396" s="34" t="s">
        <v>1758</v>
      </c>
      <c r="C1396" s="33" t="s">
        <v>346</v>
      </c>
      <c r="D1396" s="33" t="s">
        <v>124</v>
      </c>
      <c r="E1396" s="33" t="s">
        <v>1748</v>
      </c>
      <c r="F1396" s="35">
        <v>6.8</v>
      </c>
      <c r="G1396" s="40">
        <v>0</v>
      </c>
      <c r="H1396" s="40">
        <v>0</v>
      </c>
      <c r="I1396" s="40">
        <v>0</v>
      </c>
      <c r="J1396" s="40">
        <v>0</v>
      </c>
      <c r="K1396" s="40">
        <v>0</v>
      </c>
      <c r="L1396" s="40">
        <v>0</v>
      </c>
      <c r="M1396" s="40">
        <f t="shared" si="43"/>
        <v>0</v>
      </c>
      <c r="N1396" s="40">
        <f t="shared" si="44"/>
        <v>0</v>
      </c>
    </row>
    <row r="1397" spans="1:14" x14ac:dyDescent="0.35">
      <c r="A1397" s="33">
        <v>1394</v>
      </c>
      <c r="B1397" s="34" t="s">
        <v>1759</v>
      </c>
      <c r="C1397" s="33" t="s">
        <v>346</v>
      </c>
      <c r="D1397" s="33" t="s">
        <v>124</v>
      </c>
      <c r="E1397" s="33" t="s">
        <v>1748</v>
      </c>
      <c r="F1397" s="35">
        <v>0.27500000000000002</v>
      </c>
      <c r="G1397" s="40">
        <v>0</v>
      </c>
      <c r="H1397" s="40">
        <v>0</v>
      </c>
      <c r="I1397" s="40">
        <v>0</v>
      </c>
      <c r="J1397" s="40">
        <v>0</v>
      </c>
      <c r="K1397" s="40">
        <v>0</v>
      </c>
      <c r="L1397" s="40">
        <v>0</v>
      </c>
      <c r="M1397" s="40">
        <f t="shared" si="43"/>
        <v>0</v>
      </c>
      <c r="N1397" s="40">
        <f t="shared" si="44"/>
        <v>0</v>
      </c>
    </row>
    <row r="1398" spans="1:14" x14ac:dyDescent="0.35">
      <c r="A1398" s="33">
        <v>1395</v>
      </c>
      <c r="B1398" s="34" t="s">
        <v>1760</v>
      </c>
      <c r="C1398" s="33" t="s">
        <v>346</v>
      </c>
      <c r="D1398" s="33" t="s">
        <v>124</v>
      </c>
      <c r="E1398" s="33" t="s">
        <v>1748</v>
      </c>
      <c r="F1398" s="35">
        <v>1</v>
      </c>
      <c r="G1398" s="40">
        <v>0</v>
      </c>
      <c r="H1398" s="40">
        <v>0</v>
      </c>
      <c r="I1398" s="40">
        <v>0</v>
      </c>
      <c r="J1398" s="40">
        <v>0</v>
      </c>
      <c r="K1398" s="40">
        <v>0</v>
      </c>
      <c r="L1398" s="40">
        <v>0</v>
      </c>
      <c r="M1398" s="40">
        <f t="shared" si="43"/>
        <v>0</v>
      </c>
      <c r="N1398" s="40">
        <f t="shared" si="44"/>
        <v>0</v>
      </c>
    </row>
    <row r="1399" spans="1:14" x14ac:dyDescent="0.35">
      <c r="A1399" s="33">
        <v>1396</v>
      </c>
      <c r="B1399" s="34" t="s">
        <v>1761</v>
      </c>
      <c r="C1399" s="33" t="s">
        <v>346</v>
      </c>
      <c r="D1399" s="33" t="s">
        <v>124</v>
      </c>
      <c r="E1399" s="33" t="s">
        <v>1748</v>
      </c>
      <c r="F1399" s="35">
        <v>0.2</v>
      </c>
      <c r="G1399" s="40">
        <v>0</v>
      </c>
      <c r="H1399" s="40">
        <v>0</v>
      </c>
      <c r="I1399" s="40">
        <v>0</v>
      </c>
      <c r="J1399" s="40">
        <v>0</v>
      </c>
      <c r="K1399" s="40">
        <v>0</v>
      </c>
      <c r="L1399" s="40">
        <v>0</v>
      </c>
      <c r="M1399" s="40">
        <f t="shared" si="43"/>
        <v>0</v>
      </c>
      <c r="N1399" s="40">
        <f t="shared" si="44"/>
        <v>0</v>
      </c>
    </row>
    <row r="1400" spans="1:14" x14ac:dyDescent="0.35">
      <c r="A1400" s="33">
        <v>1397</v>
      </c>
      <c r="B1400" s="34" t="s">
        <v>1762</v>
      </c>
      <c r="C1400" s="33" t="s">
        <v>346</v>
      </c>
      <c r="D1400" s="33" t="s">
        <v>124</v>
      </c>
      <c r="E1400" s="33" t="s">
        <v>1748</v>
      </c>
      <c r="F1400" s="35">
        <v>0.1</v>
      </c>
      <c r="G1400" s="40">
        <v>0</v>
      </c>
      <c r="H1400" s="40">
        <v>0</v>
      </c>
      <c r="I1400" s="40">
        <v>0</v>
      </c>
      <c r="J1400" s="40">
        <v>0</v>
      </c>
      <c r="K1400" s="40">
        <v>195</v>
      </c>
      <c r="L1400" s="40">
        <v>19.5</v>
      </c>
      <c r="M1400" s="40">
        <f t="shared" si="43"/>
        <v>195</v>
      </c>
      <c r="N1400" s="40">
        <f t="shared" si="44"/>
        <v>19.5</v>
      </c>
    </row>
    <row r="1401" spans="1:14" x14ac:dyDescent="0.35">
      <c r="A1401" s="33">
        <v>1398</v>
      </c>
      <c r="B1401" s="34" t="s">
        <v>1763</v>
      </c>
      <c r="C1401" s="33" t="s">
        <v>346</v>
      </c>
      <c r="D1401" s="33" t="s">
        <v>124</v>
      </c>
      <c r="E1401" s="33" t="s">
        <v>1748</v>
      </c>
      <c r="F1401" s="35">
        <v>1</v>
      </c>
      <c r="G1401" s="40">
        <v>0</v>
      </c>
      <c r="H1401" s="40">
        <v>0</v>
      </c>
      <c r="I1401" s="40">
        <v>0</v>
      </c>
      <c r="J1401" s="40">
        <v>0</v>
      </c>
      <c r="K1401" s="40">
        <v>0</v>
      </c>
      <c r="L1401" s="40">
        <v>0</v>
      </c>
      <c r="M1401" s="40">
        <f t="shared" si="43"/>
        <v>0</v>
      </c>
      <c r="N1401" s="40">
        <f t="shared" si="44"/>
        <v>0</v>
      </c>
    </row>
    <row r="1402" spans="1:14" x14ac:dyDescent="0.35">
      <c r="A1402" s="33">
        <v>1399</v>
      </c>
      <c r="B1402" s="34" t="s">
        <v>1764</v>
      </c>
      <c r="C1402" s="33" t="s">
        <v>346</v>
      </c>
      <c r="D1402" s="33" t="s">
        <v>124</v>
      </c>
      <c r="E1402" s="33" t="s">
        <v>1748</v>
      </c>
      <c r="F1402" s="35">
        <v>0.2</v>
      </c>
      <c r="G1402" s="40">
        <v>0</v>
      </c>
      <c r="H1402" s="40">
        <v>0</v>
      </c>
      <c r="I1402" s="40">
        <v>0</v>
      </c>
      <c r="J1402" s="40">
        <v>0</v>
      </c>
      <c r="K1402" s="40">
        <v>0</v>
      </c>
      <c r="L1402" s="40">
        <v>0</v>
      </c>
      <c r="M1402" s="40">
        <f t="shared" si="43"/>
        <v>0</v>
      </c>
      <c r="N1402" s="40">
        <f t="shared" si="44"/>
        <v>0</v>
      </c>
    </row>
    <row r="1403" spans="1:14" x14ac:dyDescent="0.35">
      <c r="A1403" s="33">
        <v>1400</v>
      </c>
      <c r="B1403" s="34" t="s">
        <v>1765</v>
      </c>
      <c r="C1403" s="33" t="s">
        <v>346</v>
      </c>
      <c r="D1403" s="33" t="s">
        <v>124</v>
      </c>
      <c r="E1403" s="33" t="s">
        <v>1748</v>
      </c>
      <c r="F1403" s="35">
        <v>0.5</v>
      </c>
      <c r="G1403" s="40">
        <v>0</v>
      </c>
      <c r="H1403" s="40">
        <v>0</v>
      </c>
      <c r="I1403" s="40">
        <v>0</v>
      </c>
      <c r="J1403" s="40">
        <v>0</v>
      </c>
      <c r="K1403" s="40">
        <v>0</v>
      </c>
      <c r="L1403" s="40">
        <v>0</v>
      </c>
      <c r="M1403" s="40">
        <f t="shared" si="43"/>
        <v>0</v>
      </c>
      <c r="N1403" s="40">
        <f t="shared" si="44"/>
        <v>0</v>
      </c>
    </row>
    <row r="1404" spans="1:14" x14ac:dyDescent="0.35">
      <c r="A1404" s="33">
        <v>1401</v>
      </c>
      <c r="B1404" s="34" t="s">
        <v>1766</v>
      </c>
      <c r="C1404" s="33" t="s">
        <v>346</v>
      </c>
      <c r="D1404" s="33" t="s">
        <v>124</v>
      </c>
      <c r="E1404" s="33" t="s">
        <v>1748</v>
      </c>
      <c r="F1404" s="35">
        <v>0.2</v>
      </c>
      <c r="G1404" s="40">
        <v>0</v>
      </c>
      <c r="H1404" s="40">
        <v>0</v>
      </c>
      <c r="I1404" s="40">
        <v>0</v>
      </c>
      <c r="J1404" s="40">
        <v>0</v>
      </c>
      <c r="K1404" s="40">
        <v>0</v>
      </c>
      <c r="L1404" s="40">
        <v>0</v>
      </c>
      <c r="M1404" s="40">
        <f t="shared" si="43"/>
        <v>0</v>
      </c>
      <c r="N1404" s="40">
        <f t="shared" si="44"/>
        <v>0</v>
      </c>
    </row>
    <row r="1405" spans="1:14" x14ac:dyDescent="0.35">
      <c r="A1405" s="33">
        <v>1402</v>
      </c>
      <c r="B1405" s="34" t="s">
        <v>1767</v>
      </c>
      <c r="C1405" s="33" t="s">
        <v>297</v>
      </c>
      <c r="D1405" s="33" t="s">
        <v>43</v>
      </c>
      <c r="E1405" s="33" t="s">
        <v>1767</v>
      </c>
      <c r="F1405" s="35">
        <v>1</v>
      </c>
      <c r="G1405" s="40">
        <v>0</v>
      </c>
      <c r="H1405" s="40">
        <v>0</v>
      </c>
      <c r="I1405" s="40">
        <v>0</v>
      </c>
      <c r="J1405" s="40">
        <v>0</v>
      </c>
      <c r="K1405" s="40">
        <v>0</v>
      </c>
      <c r="L1405" s="40">
        <v>0</v>
      </c>
      <c r="M1405" s="40">
        <f t="shared" si="43"/>
        <v>0</v>
      </c>
      <c r="N1405" s="40">
        <f t="shared" si="44"/>
        <v>0</v>
      </c>
    </row>
    <row r="1406" spans="1:14" x14ac:dyDescent="0.35">
      <c r="A1406" s="33">
        <v>1403</v>
      </c>
      <c r="B1406" s="34" t="s">
        <v>1768</v>
      </c>
      <c r="C1406" s="33" t="s">
        <v>297</v>
      </c>
      <c r="D1406" s="33" t="s">
        <v>43</v>
      </c>
      <c r="E1406" s="33" t="s">
        <v>1769</v>
      </c>
      <c r="F1406" s="35">
        <v>1</v>
      </c>
      <c r="G1406" s="40">
        <v>0</v>
      </c>
      <c r="H1406" s="40">
        <v>0</v>
      </c>
      <c r="I1406" s="40">
        <v>0</v>
      </c>
      <c r="J1406" s="40">
        <v>0</v>
      </c>
      <c r="K1406" s="40">
        <v>0</v>
      </c>
      <c r="L1406" s="40">
        <v>0</v>
      </c>
      <c r="M1406" s="40">
        <f t="shared" si="43"/>
        <v>0</v>
      </c>
      <c r="N1406" s="40">
        <f t="shared" si="44"/>
        <v>0</v>
      </c>
    </row>
    <row r="1407" spans="1:14" x14ac:dyDescent="0.35">
      <c r="A1407" s="33">
        <v>1404</v>
      </c>
      <c r="B1407" s="34" t="s">
        <v>1770</v>
      </c>
      <c r="C1407" s="33" t="s">
        <v>297</v>
      </c>
      <c r="D1407" s="33" t="s">
        <v>43</v>
      </c>
      <c r="E1407" s="33" t="s">
        <v>1769</v>
      </c>
      <c r="F1407" s="35">
        <v>1</v>
      </c>
      <c r="G1407" s="40">
        <v>0</v>
      </c>
      <c r="H1407" s="40">
        <v>0</v>
      </c>
      <c r="I1407" s="40">
        <v>0</v>
      </c>
      <c r="J1407" s="40">
        <v>0</v>
      </c>
      <c r="K1407" s="40">
        <v>0</v>
      </c>
      <c r="L1407" s="40">
        <v>94.3</v>
      </c>
      <c r="M1407" s="40">
        <f t="shared" si="43"/>
        <v>0</v>
      </c>
      <c r="N1407" s="40">
        <f t="shared" si="44"/>
        <v>94.3</v>
      </c>
    </row>
    <row r="1408" spans="1:14" x14ac:dyDescent="0.35">
      <c r="A1408" s="33">
        <v>1405</v>
      </c>
      <c r="B1408" s="34" t="s">
        <v>1787</v>
      </c>
      <c r="C1408" s="33" t="s">
        <v>346</v>
      </c>
      <c r="D1408" s="33" t="s">
        <v>43</v>
      </c>
      <c r="E1408" s="33" t="s">
        <v>1769</v>
      </c>
      <c r="F1408" s="35">
        <v>0.1</v>
      </c>
      <c r="G1408" s="40">
        <v>0</v>
      </c>
      <c r="H1408" s="40">
        <v>0</v>
      </c>
      <c r="I1408" s="40">
        <v>0</v>
      </c>
      <c r="J1408" s="40">
        <v>0</v>
      </c>
      <c r="K1408" s="40">
        <v>0</v>
      </c>
      <c r="L1408" s="40">
        <v>0</v>
      </c>
      <c r="M1408" s="40">
        <f t="shared" si="43"/>
        <v>0</v>
      </c>
      <c r="N1408" s="40">
        <f t="shared" si="44"/>
        <v>0</v>
      </c>
    </row>
    <row r="1409" spans="1:14" x14ac:dyDescent="0.35">
      <c r="A1409" s="33">
        <v>1406</v>
      </c>
      <c r="B1409" s="34" t="s">
        <v>1788</v>
      </c>
      <c r="C1409" s="33" t="s">
        <v>346</v>
      </c>
      <c r="D1409" s="33" t="s">
        <v>43</v>
      </c>
      <c r="E1409" s="33" t="s">
        <v>1769</v>
      </c>
      <c r="F1409" s="35">
        <v>0.1</v>
      </c>
      <c r="G1409" s="40">
        <v>0</v>
      </c>
      <c r="H1409" s="40">
        <v>0</v>
      </c>
      <c r="I1409" s="40">
        <v>0</v>
      </c>
      <c r="J1409" s="40">
        <v>0</v>
      </c>
      <c r="K1409" s="40">
        <v>0</v>
      </c>
      <c r="L1409" s="40">
        <v>0</v>
      </c>
      <c r="M1409" s="40">
        <f t="shared" si="43"/>
        <v>0</v>
      </c>
      <c r="N1409" s="40">
        <f t="shared" si="44"/>
        <v>0</v>
      </c>
    </row>
    <row r="1410" spans="1:14" x14ac:dyDescent="0.35">
      <c r="A1410" s="33">
        <v>1407</v>
      </c>
      <c r="B1410" s="34" t="s">
        <v>1789</v>
      </c>
      <c r="C1410" s="33" t="s">
        <v>346</v>
      </c>
      <c r="D1410" s="33" t="s">
        <v>43</v>
      </c>
      <c r="E1410" s="33" t="s">
        <v>1769</v>
      </c>
      <c r="F1410" s="35">
        <v>1</v>
      </c>
      <c r="G1410" s="40">
        <v>0</v>
      </c>
      <c r="H1410" s="40">
        <v>0</v>
      </c>
      <c r="I1410" s="40">
        <v>0</v>
      </c>
      <c r="J1410" s="40">
        <v>0</v>
      </c>
      <c r="K1410" s="40">
        <v>0</v>
      </c>
      <c r="L1410" s="40">
        <v>0</v>
      </c>
      <c r="M1410" s="40">
        <f t="shared" si="43"/>
        <v>0</v>
      </c>
      <c r="N1410" s="40">
        <f t="shared" si="44"/>
        <v>0</v>
      </c>
    </row>
    <row r="1411" spans="1:14" x14ac:dyDescent="0.35">
      <c r="A1411" s="33">
        <v>1408</v>
      </c>
      <c r="B1411" s="34" t="s">
        <v>1790</v>
      </c>
      <c r="C1411" s="33" t="s">
        <v>346</v>
      </c>
      <c r="D1411" s="33" t="s">
        <v>43</v>
      </c>
      <c r="E1411" s="33" t="s">
        <v>1769</v>
      </c>
      <c r="F1411" s="35">
        <v>1</v>
      </c>
      <c r="G1411" s="40">
        <v>0</v>
      </c>
      <c r="H1411" s="40">
        <v>0</v>
      </c>
      <c r="I1411" s="40">
        <v>0</v>
      </c>
      <c r="J1411" s="40">
        <v>0</v>
      </c>
      <c r="K1411" s="40">
        <v>0</v>
      </c>
      <c r="L1411" s="40">
        <v>0</v>
      </c>
      <c r="M1411" s="40">
        <f t="shared" si="43"/>
        <v>0</v>
      </c>
      <c r="N1411" s="40">
        <f t="shared" si="44"/>
        <v>0</v>
      </c>
    </row>
    <row r="1412" spans="1:14" x14ac:dyDescent="0.35">
      <c r="A1412" s="33">
        <v>1409</v>
      </c>
      <c r="B1412" s="34" t="s">
        <v>1771</v>
      </c>
      <c r="C1412" s="33" t="s">
        <v>297</v>
      </c>
      <c r="D1412" s="33" t="s">
        <v>43</v>
      </c>
      <c r="E1412" s="33" t="s">
        <v>1772</v>
      </c>
      <c r="F1412" s="35">
        <v>1</v>
      </c>
      <c r="G1412" s="40">
        <v>0</v>
      </c>
      <c r="H1412" s="40">
        <v>0</v>
      </c>
      <c r="I1412" s="40">
        <v>0</v>
      </c>
      <c r="J1412" s="40">
        <v>0</v>
      </c>
      <c r="K1412" s="40">
        <v>0</v>
      </c>
      <c r="L1412" s="40">
        <v>0</v>
      </c>
      <c r="M1412" s="40">
        <f t="shared" si="43"/>
        <v>0</v>
      </c>
      <c r="N1412" s="40">
        <f t="shared" si="44"/>
        <v>0</v>
      </c>
    </row>
    <row r="1413" spans="1:14" x14ac:dyDescent="0.35">
      <c r="A1413" s="33">
        <v>1410</v>
      </c>
      <c r="B1413" s="34" t="s">
        <v>1773</v>
      </c>
      <c r="C1413" s="33" t="s">
        <v>297</v>
      </c>
      <c r="D1413" s="33" t="s">
        <v>43</v>
      </c>
      <c r="E1413" s="33" t="s">
        <v>1772</v>
      </c>
      <c r="F1413" s="35">
        <v>1</v>
      </c>
      <c r="G1413" s="40">
        <v>0</v>
      </c>
      <c r="H1413" s="40">
        <v>0</v>
      </c>
      <c r="I1413" s="40">
        <v>0</v>
      </c>
      <c r="J1413" s="40">
        <v>0</v>
      </c>
      <c r="K1413" s="40">
        <v>0</v>
      </c>
      <c r="L1413" s="40">
        <v>0</v>
      </c>
      <c r="M1413" s="40">
        <f t="shared" ref="M1413:M1476" si="45">G1413+I1413+K1413</f>
        <v>0</v>
      </c>
      <c r="N1413" s="40">
        <f t="shared" ref="N1413:N1476" si="46">H1413+J1413+L1413</f>
        <v>0</v>
      </c>
    </row>
    <row r="1414" spans="1:14" x14ac:dyDescent="0.35">
      <c r="A1414" s="33">
        <v>1411</v>
      </c>
      <c r="B1414" s="34" t="s">
        <v>1791</v>
      </c>
      <c r="C1414" s="33" t="s">
        <v>346</v>
      </c>
      <c r="D1414" s="33" t="s">
        <v>43</v>
      </c>
      <c r="E1414" s="33" t="s">
        <v>1772</v>
      </c>
      <c r="F1414" s="35">
        <v>1</v>
      </c>
      <c r="G1414" s="40">
        <v>0</v>
      </c>
      <c r="H1414" s="40">
        <v>0</v>
      </c>
      <c r="I1414" s="40">
        <v>0</v>
      </c>
      <c r="J1414" s="40">
        <v>0</v>
      </c>
      <c r="K1414" s="40">
        <v>0</v>
      </c>
      <c r="L1414" s="40">
        <v>0</v>
      </c>
      <c r="M1414" s="40">
        <f t="shared" si="45"/>
        <v>0</v>
      </c>
      <c r="N1414" s="40">
        <f t="shared" si="46"/>
        <v>0</v>
      </c>
    </row>
    <row r="1415" spans="1:14" x14ac:dyDescent="0.35">
      <c r="A1415" s="33">
        <v>1412</v>
      </c>
      <c r="B1415" s="34" t="s">
        <v>1792</v>
      </c>
      <c r="C1415" s="33" t="s">
        <v>346</v>
      </c>
      <c r="D1415" s="33" t="s">
        <v>43</v>
      </c>
      <c r="E1415" s="33" t="s">
        <v>1772</v>
      </c>
      <c r="F1415" s="35">
        <v>0.23</v>
      </c>
      <c r="G1415" s="40">
        <v>0</v>
      </c>
      <c r="H1415" s="40">
        <v>0</v>
      </c>
      <c r="I1415" s="40">
        <v>0</v>
      </c>
      <c r="J1415" s="40">
        <v>0</v>
      </c>
      <c r="K1415" s="40">
        <v>0</v>
      </c>
      <c r="L1415" s="40">
        <v>0</v>
      </c>
      <c r="M1415" s="40">
        <f t="shared" si="45"/>
        <v>0</v>
      </c>
      <c r="N1415" s="40">
        <f t="shared" si="46"/>
        <v>0</v>
      </c>
    </row>
    <row r="1416" spans="1:14" x14ac:dyDescent="0.35">
      <c r="A1416" s="33">
        <v>1413</v>
      </c>
      <c r="B1416" s="34" t="s">
        <v>1774</v>
      </c>
      <c r="C1416" s="33" t="s">
        <v>297</v>
      </c>
      <c r="D1416" s="33" t="s">
        <v>43</v>
      </c>
      <c r="E1416" s="33" t="s">
        <v>1775</v>
      </c>
      <c r="F1416" s="35">
        <v>1</v>
      </c>
      <c r="G1416" s="40">
        <v>0</v>
      </c>
      <c r="H1416" s="40">
        <v>0</v>
      </c>
      <c r="I1416" s="40">
        <v>0</v>
      </c>
      <c r="J1416" s="40">
        <v>0</v>
      </c>
      <c r="K1416" s="40">
        <v>0</v>
      </c>
      <c r="L1416" s="40">
        <v>0</v>
      </c>
      <c r="M1416" s="40">
        <f t="shared" si="45"/>
        <v>0</v>
      </c>
      <c r="N1416" s="40">
        <f t="shared" si="46"/>
        <v>0</v>
      </c>
    </row>
    <row r="1417" spans="1:14" x14ac:dyDescent="0.35">
      <c r="A1417" s="33">
        <v>1414</v>
      </c>
      <c r="B1417" s="34" t="s">
        <v>1776</v>
      </c>
      <c r="C1417" s="33" t="s">
        <v>297</v>
      </c>
      <c r="D1417" s="33" t="s">
        <v>43</v>
      </c>
      <c r="E1417" s="33" t="s">
        <v>1775</v>
      </c>
      <c r="F1417" s="35">
        <v>1</v>
      </c>
      <c r="G1417" s="40">
        <v>0</v>
      </c>
      <c r="H1417" s="40">
        <v>0</v>
      </c>
      <c r="I1417" s="40">
        <v>0</v>
      </c>
      <c r="J1417" s="40">
        <v>0</v>
      </c>
      <c r="K1417" s="40">
        <v>0</v>
      </c>
      <c r="L1417" s="40">
        <v>0</v>
      </c>
      <c r="M1417" s="40">
        <f t="shared" si="45"/>
        <v>0</v>
      </c>
      <c r="N1417" s="40">
        <f t="shared" si="46"/>
        <v>0</v>
      </c>
    </row>
    <row r="1418" spans="1:14" x14ac:dyDescent="0.35">
      <c r="A1418" s="33">
        <v>1415</v>
      </c>
      <c r="B1418" s="34" t="s">
        <v>1777</v>
      </c>
      <c r="C1418" s="33" t="s">
        <v>297</v>
      </c>
      <c r="D1418" s="33" t="s">
        <v>43</v>
      </c>
      <c r="E1418" s="33" t="s">
        <v>1775</v>
      </c>
      <c r="F1418" s="35">
        <v>1</v>
      </c>
      <c r="G1418" s="40">
        <v>0</v>
      </c>
      <c r="H1418" s="40">
        <v>289.8</v>
      </c>
      <c r="I1418" s="40">
        <v>0</v>
      </c>
      <c r="J1418" s="40">
        <v>0.25</v>
      </c>
      <c r="K1418" s="40">
        <v>0</v>
      </c>
      <c r="L1418" s="40">
        <v>0</v>
      </c>
      <c r="M1418" s="40">
        <f t="shared" si="45"/>
        <v>0</v>
      </c>
      <c r="N1418" s="40">
        <f t="shared" si="46"/>
        <v>290.05</v>
      </c>
    </row>
    <row r="1419" spans="1:14" x14ac:dyDescent="0.35">
      <c r="A1419" s="33">
        <v>1416</v>
      </c>
      <c r="B1419" s="34" t="s">
        <v>1778</v>
      </c>
      <c r="C1419" s="33" t="s">
        <v>297</v>
      </c>
      <c r="D1419" s="33" t="s">
        <v>43</v>
      </c>
      <c r="E1419" s="33" t="s">
        <v>1775</v>
      </c>
      <c r="F1419" s="35">
        <v>1</v>
      </c>
      <c r="G1419" s="40">
        <v>0</v>
      </c>
      <c r="H1419" s="40">
        <v>0</v>
      </c>
      <c r="I1419" s="40">
        <v>0</v>
      </c>
      <c r="J1419" s="40">
        <v>0</v>
      </c>
      <c r="K1419" s="40">
        <v>0</v>
      </c>
      <c r="L1419" s="40">
        <v>0</v>
      </c>
      <c r="M1419" s="40">
        <f t="shared" si="45"/>
        <v>0</v>
      </c>
      <c r="N1419" s="40">
        <f t="shared" si="46"/>
        <v>0</v>
      </c>
    </row>
    <row r="1420" spans="1:14" x14ac:dyDescent="0.35">
      <c r="A1420" s="33">
        <v>1417</v>
      </c>
      <c r="B1420" s="34" t="s">
        <v>1779</v>
      </c>
      <c r="C1420" s="33" t="s">
        <v>297</v>
      </c>
      <c r="D1420" s="33" t="s">
        <v>43</v>
      </c>
      <c r="E1420" s="33" t="s">
        <v>1775</v>
      </c>
      <c r="F1420" s="35">
        <v>1</v>
      </c>
      <c r="G1420" s="40">
        <v>0</v>
      </c>
      <c r="H1420" s="40">
        <v>0</v>
      </c>
      <c r="I1420" s="40">
        <v>0</v>
      </c>
      <c r="J1420" s="40">
        <v>0</v>
      </c>
      <c r="K1420" s="40">
        <v>0</v>
      </c>
      <c r="L1420" s="40">
        <v>0</v>
      </c>
      <c r="M1420" s="40">
        <f t="shared" si="45"/>
        <v>0</v>
      </c>
      <c r="N1420" s="40">
        <f t="shared" si="46"/>
        <v>0</v>
      </c>
    </row>
    <row r="1421" spans="1:14" x14ac:dyDescent="0.35">
      <c r="A1421" s="33">
        <v>1418</v>
      </c>
      <c r="B1421" s="34" t="s">
        <v>1793</v>
      </c>
      <c r="C1421" s="33" t="s">
        <v>346</v>
      </c>
      <c r="D1421" s="33" t="s">
        <v>43</v>
      </c>
      <c r="E1421" s="33" t="s">
        <v>1775</v>
      </c>
      <c r="F1421" s="35">
        <v>0.1</v>
      </c>
      <c r="G1421" s="40">
        <v>0</v>
      </c>
      <c r="H1421" s="40">
        <v>0</v>
      </c>
      <c r="I1421" s="40">
        <v>0</v>
      </c>
      <c r="J1421" s="40">
        <v>0</v>
      </c>
      <c r="K1421" s="40">
        <v>0</v>
      </c>
      <c r="L1421" s="40">
        <v>0</v>
      </c>
      <c r="M1421" s="40">
        <f t="shared" si="45"/>
        <v>0</v>
      </c>
      <c r="N1421" s="40">
        <f t="shared" si="46"/>
        <v>0</v>
      </c>
    </row>
    <row r="1422" spans="1:14" x14ac:dyDescent="0.35">
      <c r="A1422" s="33">
        <v>1419</v>
      </c>
      <c r="B1422" s="34" t="s">
        <v>1794</v>
      </c>
      <c r="C1422" s="33" t="s">
        <v>346</v>
      </c>
      <c r="D1422" s="33" t="s">
        <v>43</v>
      </c>
      <c r="E1422" s="33" t="s">
        <v>1775</v>
      </c>
      <c r="F1422" s="35">
        <v>0.25</v>
      </c>
      <c r="G1422" s="40">
        <v>0</v>
      </c>
      <c r="H1422" s="40">
        <v>0</v>
      </c>
      <c r="I1422" s="40">
        <v>0</v>
      </c>
      <c r="J1422" s="40">
        <v>0</v>
      </c>
      <c r="K1422" s="40">
        <v>0</v>
      </c>
      <c r="L1422" s="40">
        <v>0</v>
      </c>
      <c r="M1422" s="40">
        <f t="shared" si="45"/>
        <v>0</v>
      </c>
      <c r="N1422" s="40">
        <f t="shared" si="46"/>
        <v>0</v>
      </c>
    </row>
    <row r="1423" spans="1:14" x14ac:dyDescent="0.35">
      <c r="A1423" s="33">
        <v>1420</v>
      </c>
      <c r="B1423" s="34" t="s">
        <v>1795</v>
      </c>
      <c r="C1423" s="33" t="s">
        <v>346</v>
      </c>
      <c r="D1423" s="33" t="s">
        <v>43</v>
      </c>
      <c r="E1423" s="33" t="s">
        <v>1775</v>
      </c>
      <c r="F1423" s="35">
        <v>0.15</v>
      </c>
      <c r="G1423" s="40">
        <v>0</v>
      </c>
      <c r="H1423" s="40">
        <v>0</v>
      </c>
      <c r="I1423" s="40">
        <v>0</v>
      </c>
      <c r="J1423" s="40">
        <v>0</v>
      </c>
      <c r="K1423" s="40">
        <v>0</v>
      </c>
      <c r="L1423" s="40">
        <v>0</v>
      </c>
      <c r="M1423" s="40">
        <f t="shared" si="45"/>
        <v>0</v>
      </c>
      <c r="N1423" s="40">
        <f t="shared" si="46"/>
        <v>0</v>
      </c>
    </row>
    <row r="1424" spans="1:14" x14ac:dyDescent="0.35">
      <c r="A1424" s="33">
        <v>1421</v>
      </c>
      <c r="B1424" s="34" t="s">
        <v>1796</v>
      </c>
      <c r="C1424" s="33" t="s">
        <v>346</v>
      </c>
      <c r="D1424" s="33" t="s">
        <v>43</v>
      </c>
      <c r="E1424" s="33" t="s">
        <v>1775</v>
      </c>
      <c r="F1424" s="35">
        <v>0.2</v>
      </c>
      <c r="G1424" s="40">
        <v>0</v>
      </c>
      <c r="H1424" s="40">
        <v>0</v>
      </c>
      <c r="I1424" s="40">
        <v>0</v>
      </c>
      <c r="J1424" s="40">
        <v>0</v>
      </c>
      <c r="K1424" s="40">
        <v>0</v>
      </c>
      <c r="L1424" s="40">
        <v>0</v>
      </c>
      <c r="M1424" s="40">
        <f t="shared" si="45"/>
        <v>0</v>
      </c>
      <c r="N1424" s="40">
        <f t="shared" si="46"/>
        <v>0</v>
      </c>
    </row>
    <row r="1425" spans="1:14" x14ac:dyDescent="0.35">
      <c r="A1425" s="33">
        <v>1422</v>
      </c>
      <c r="B1425" s="34" t="s">
        <v>1797</v>
      </c>
      <c r="C1425" s="33" t="s">
        <v>346</v>
      </c>
      <c r="D1425" s="33" t="s">
        <v>43</v>
      </c>
      <c r="E1425" s="33" t="s">
        <v>1775</v>
      </c>
      <c r="F1425" s="35">
        <v>0.25</v>
      </c>
      <c r="G1425" s="40">
        <v>0</v>
      </c>
      <c r="H1425" s="40">
        <v>0</v>
      </c>
      <c r="I1425" s="40">
        <v>0</v>
      </c>
      <c r="J1425" s="40">
        <v>0</v>
      </c>
      <c r="K1425" s="40">
        <v>0</v>
      </c>
      <c r="L1425" s="40">
        <v>0</v>
      </c>
      <c r="M1425" s="40">
        <f t="shared" si="45"/>
        <v>0</v>
      </c>
      <c r="N1425" s="40">
        <f t="shared" si="46"/>
        <v>0</v>
      </c>
    </row>
    <row r="1426" spans="1:14" x14ac:dyDescent="0.35">
      <c r="A1426" s="33">
        <v>1423</v>
      </c>
      <c r="B1426" s="34" t="s">
        <v>1798</v>
      </c>
      <c r="C1426" s="33" t="s">
        <v>346</v>
      </c>
      <c r="D1426" s="33" t="s">
        <v>43</v>
      </c>
      <c r="E1426" s="33" t="s">
        <v>1775</v>
      </c>
      <c r="F1426" s="35">
        <v>0.2</v>
      </c>
      <c r="G1426" s="40">
        <v>0</v>
      </c>
      <c r="H1426" s="40">
        <v>0</v>
      </c>
      <c r="I1426" s="40">
        <v>0</v>
      </c>
      <c r="J1426" s="40">
        <v>0</v>
      </c>
      <c r="K1426" s="40">
        <v>0</v>
      </c>
      <c r="L1426" s="40">
        <v>0</v>
      </c>
      <c r="M1426" s="40">
        <f t="shared" si="45"/>
        <v>0</v>
      </c>
      <c r="N1426" s="40">
        <f t="shared" si="46"/>
        <v>0</v>
      </c>
    </row>
    <row r="1427" spans="1:14" x14ac:dyDescent="0.35">
      <c r="A1427" s="33">
        <v>1424</v>
      </c>
      <c r="B1427" s="34" t="s">
        <v>1799</v>
      </c>
      <c r="C1427" s="33" t="s">
        <v>346</v>
      </c>
      <c r="D1427" s="33" t="s">
        <v>43</v>
      </c>
      <c r="E1427" s="33" t="s">
        <v>1775</v>
      </c>
      <c r="F1427" s="35">
        <v>0.25</v>
      </c>
      <c r="G1427" s="40">
        <v>0</v>
      </c>
      <c r="H1427" s="40">
        <v>0</v>
      </c>
      <c r="I1427" s="40">
        <v>0</v>
      </c>
      <c r="J1427" s="40">
        <v>0</v>
      </c>
      <c r="K1427" s="40">
        <v>0</v>
      </c>
      <c r="L1427" s="40">
        <v>0</v>
      </c>
      <c r="M1427" s="40">
        <f t="shared" si="45"/>
        <v>0</v>
      </c>
      <c r="N1427" s="40">
        <f t="shared" si="46"/>
        <v>0</v>
      </c>
    </row>
    <row r="1428" spans="1:14" x14ac:dyDescent="0.35">
      <c r="A1428" s="33">
        <v>1425</v>
      </c>
      <c r="B1428" s="34" t="s">
        <v>1800</v>
      </c>
      <c r="C1428" s="33" t="s">
        <v>346</v>
      </c>
      <c r="D1428" s="33" t="s">
        <v>43</v>
      </c>
      <c r="E1428" s="33" t="s">
        <v>1775</v>
      </c>
      <c r="F1428" s="35">
        <v>1</v>
      </c>
      <c r="G1428" s="40">
        <v>0</v>
      </c>
      <c r="H1428" s="40">
        <v>0</v>
      </c>
      <c r="I1428" s="40">
        <v>0</v>
      </c>
      <c r="J1428" s="40">
        <v>0</v>
      </c>
      <c r="K1428" s="40">
        <v>0</v>
      </c>
      <c r="L1428" s="40">
        <v>0</v>
      </c>
      <c r="M1428" s="40">
        <f t="shared" si="45"/>
        <v>0</v>
      </c>
      <c r="N1428" s="40">
        <f t="shared" si="46"/>
        <v>0</v>
      </c>
    </row>
    <row r="1429" spans="1:14" x14ac:dyDescent="0.35">
      <c r="A1429" s="33">
        <v>1426</v>
      </c>
      <c r="B1429" s="34" t="s">
        <v>1801</v>
      </c>
      <c r="C1429" s="33" t="s">
        <v>346</v>
      </c>
      <c r="D1429" s="33" t="s">
        <v>43</v>
      </c>
      <c r="E1429" s="33" t="s">
        <v>1775</v>
      </c>
      <c r="F1429" s="35">
        <v>1</v>
      </c>
      <c r="G1429" s="40">
        <v>0</v>
      </c>
      <c r="H1429" s="40">
        <v>0</v>
      </c>
      <c r="I1429" s="40">
        <v>0</v>
      </c>
      <c r="J1429" s="40">
        <v>0</v>
      </c>
      <c r="K1429" s="40">
        <v>0</v>
      </c>
      <c r="L1429" s="40">
        <v>0</v>
      </c>
      <c r="M1429" s="40">
        <f t="shared" si="45"/>
        <v>0</v>
      </c>
      <c r="N1429" s="40">
        <f t="shared" si="46"/>
        <v>0</v>
      </c>
    </row>
    <row r="1430" spans="1:14" x14ac:dyDescent="0.35">
      <c r="A1430" s="33">
        <v>1427</v>
      </c>
      <c r="B1430" s="34" t="s">
        <v>1802</v>
      </c>
      <c r="C1430" s="33" t="s">
        <v>346</v>
      </c>
      <c r="D1430" s="33" t="s">
        <v>43</v>
      </c>
      <c r="E1430" s="33" t="s">
        <v>1775</v>
      </c>
      <c r="F1430" s="35">
        <v>1</v>
      </c>
      <c r="G1430" s="40">
        <v>0</v>
      </c>
      <c r="H1430" s="40">
        <v>0</v>
      </c>
      <c r="I1430" s="40">
        <v>0</v>
      </c>
      <c r="J1430" s="40">
        <v>0</v>
      </c>
      <c r="K1430" s="40">
        <v>0</v>
      </c>
      <c r="L1430" s="40">
        <v>0</v>
      </c>
      <c r="M1430" s="40">
        <f t="shared" si="45"/>
        <v>0</v>
      </c>
      <c r="N1430" s="40">
        <f t="shared" si="46"/>
        <v>0</v>
      </c>
    </row>
    <row r="1431" spans="1:14" x14ac:dyDescent="0.35">
      <c r="A1431" s="33">
        <v>1428</v>
      </c>
      <c r="B1431" s="34" t="s">
        <v>1803</v>
      </c>
      <c r="C1431" s="33" t="s">
        <v>346</v>
      </c>
      <c r="D1431" s="33" t="s">
        <v>43</v>
      </c>
      <c r="E1431" s="33" t="s">
        <v>1775</v>
      </c>
      <c r="F1431" s="35">
        <v>0.1</v>
      </c>
      <c r="G1431" s="40">
        <v>0</v>
      </c>
      <c r="H1431" s="40">
        <v>0</v>
      </c>
      <c r="I1431" s="40">
        <v>0</v>
      </c>
      <c r="J1431" s="40">
        <v>0</v>
      </c>
      <c r="K1431" s="40">
        <v>0</v>
      </c>
      <c r="L1431" s="40">
        <v>0</v>
      </c>
      <c r="M1431" s="40">
        <f t="shared" si="45"/>
        <v>0</v>
      </c>
      <c r="N1431" s="40">
        <f t="shared" si="46"/>
        <v>0</v>
      </c>
    </row>
    <row r="1432" spans="1:14" x14ac:dyDescent="0.35">
      <c r="A1432" s="33">
        <v>1429</v>
      </c>
      <c r="B1432" s="34" t="s">
        <v>1804</v>
      </c>
      <c r="C1432" s="33" t="s">
        <v>346</v>
      </c>
      <c r="D1432" s="33" t="s">
        <v>43</v>
      </c>
      <c r="E1432" s="33" t="s">
        <v>1775</v>
      </c>
      <c r="F1432" s="35">
        <v>0.2</v>
      </c>
      <c r="G1432" s="40">
        <v>0</v>
      </c>
      <c r="H1432" s="40">
        <v>0</v>
      </c>
      <c r="I1432" s="40">
        <v>0</v>
      </c>
      <c r="J1432" s="40">
        <v>0</v>
      </c>
      <c r="K1432" s="40">
        <v>0</v>
      </c>
      <c r="L1432" s="40">
        <v>0</v>
      </c>
      <c r="M1432" s="40">
        <f t="shared" si="45"/>
        <v>0</v>
      </c>
      <c r="N1432" s="40">
        <f t="shared" si="46"/>
        <v>0</v>
      </c>
    </row>
    <row r="1433" spans="1:14" x14ac:dyDescent="0.35">
      <c r="A1433" s="33">
        <v>1430</v>
      </c>
      <c r="B1433" s="34" t="s">
        <v>1805</v>
      </c>
      <c r="C1433" s="33" t="s">
        <v>346</v>
      </c>
      <c r="D1433" s="33" t="s">
        <v>43</v>
      </c>
      <c r="E1433" s="33" t="s">
        <v>1775</v>
      </c>
      <c r="F1433" s="35">
        <v>0.5</v>
      </c>
      <c r="G1433" s="40">
        <v>0</v>
      </c>
      <c r="H1433" s="40">
        <v>0</v>
      </c>
      <c r="I1433" s="40">
        <v>0</v>
      </c>
      <c r="J1433" s="40">
        <v>0</v>
      </c>
      <c r="K1433" s="40">
        <v>0</v>
      </c>
      <c r="L1433" s="40">
        <v>0</v>
      </c>
      <c r="M1433" s="40">
        <f t="shared" si="45"/>
        <v>0</v>
      </c>
      <c r="N1433" s="40">
        <f t="shared" si="46"/>
        <v>0</v>
      </c>
    </row>
    <row r="1434" spans="1:14" x14ac:dyDescent="0.35">
      <c r="A1434" s="33">
        <v>1431</v>
      </c>
      <c r="B1434" s="34" t="s">
        <v>1806</v>
      </c>
      <c r="C1434" s="33" t="s">
        <v>346</v>
      </c>
      <c r="D1434" s="33" t="s">
        <v>43</v>
      </c>
      <c r="E1434" s="33" t="s">
        <v>1775</v>
      </c>
      <c r="F1434" s="35">
        <v>0.2</v>
      </c>
      <c r="G1434" s="40">
        <v>0</v>
      </c>
      <c r="H1434" s="40">
        <v>0</v>
      </c>
      <c r="I1434" s="40">
        <v>0</v>
      </c>
      <c r="J1434" s="40">
        <v>0</v>
      </c>
      <c r="K1434" s="40">
        <v>0</v>
      </c>
      <c r="L1434" s="40">
        <v>0</v>
      </c>
      <c r="M1434" s="40">
        <f t="shared" si="45"/>
        <v>0</v>
      </c>
      <c r="N1434" s="40">
        <f t="shared" si="46"/>
        <v>0</v>
      </c>
    </row>
    <row r="1435" spans="1:14" x14ac:dyDescent="0.35">
      <c r="A1435" s="33">
        <v>1432</v>
      </c>
      <c r="B1435" s="34" t="s">
        <v>1807</v>
      </c>
      <c r="C1435" s="33" t="s">
        <v>346</v>
      </c>
      <c r="D1435" s="33" t="s">
        <v>43</v>
      </c>
      <c r="E1435" s="33" t="s">
        <v>1775</v>
      </c>
      <c r="F1435" s="35">
        <v>1</v>
      </c>
      <c r="G1435" s="40">
        <v>0</v>
      </c>
      <c r="H1435" s="40">
        <v>0</v>
      </c>
      <c r="I1435" s="40">
        <v>0</v>
      </c>
      <c r="J1435" s="40">
        <v>0</v>
      </c>
      <c r="K1435" s="40">
        <v>0</v>
      </c>
      <c r="L1435" s="40">
        <v>0</v>
      </c>
      <c r="M1435" s="40">
        <f t="shared" si="45"/>
        <v>0</v>
      </c>
      <c r="N1435" s="40">
        <f t="shared" si="46"/>
        <v>0</v>
      </c>
    </row>
    <row r="1436" spans="1:14" x14ac:dyDescent="0.35">
      <c r="A1436" s="33">
        <v>1433</v>
      </c>
      <c r="B1436" s="34" t="s">
        <v>1808</v>
      </c>
      <c r="C1436" s="33" t="s">
        <v>346</v>
      </c>
      <c r="D1436" s="33" t="s">
        <v>43</v>
      </c>
      <c r="E1436" s="33" t="s">
        <v>1775</v>
      </c>
      <c r="F1436" s="35">
        <v>0.23</v>
      </c>
      <c r="G1436" s="40">
        <v>0</v>
      </c>
      <c r="H1436" s="40">
        <v>0</v>
      </c>
      <c r="I1436" s="40">
        <v>0</v>
      </c>
      <c r="J1436" s="40">
        <v>0</v>
      </c>
      <c r="K1436" s="40">
        <v>0</v>
      </c>
      <c r="L1436" s="40">
        <v>0</v>
      </c>
      <c r="M1436" s="40">
        <f t="shared" si="45"/>
        <v>0</v>
      </c>
      <c r="N1436" s="40">
        <f t="shared" si="46"/>
        <v>0</v>
      </c>
    </row>
    <row r="1437" spans="1:14" x14ac:dyDescent="0.35">
      <c r="A1437" s="33">
        <v>1434</v>
      </c>
      <c r="B1437" s="34" t="s">
        <v>1809</v>
      </c>
      <c r="C1437" s="33" t="s">
        <v>346</v>
      </c>
      <c r="D1437" s="33" t="s">
        <v>43</v>
      </c>
      <c r="E1437" s="33" t="s">
        <v>1775</v>
      </c>
      <c r="F1437" s="35">
        <v>0.5</v>
      </c>
      <c r="G1437" s="40">
        <v>0</v>
      </c>
      <c r="H1437" s="40">
        <v>0</v>
      </c>
      <c r="I1437" s="40">
        <v>0</v>
      </c>
      <c r="J1437" s="40">
        <v>0</v>
      </c>
      <c r="K1437" s="40">
        <v>0</v>
      </c>
      <c r="L1437" s="40">
        <v>0</v>
      </c>
      <c r="M1437" s="40">
        <f t="shared" si="45"/>
        <v>0</v>
      </c>
      <c r="N1437" s="40">
        <f t="shared" si="46"/>
        <v>0</v>
      </c>
    </row>
    <row r="1438" spans="1:14" x14ac:dyDescent="0.35">
      <c r="A1438" s="33">
        <v>1435</v>
      </c>
      <c r="B1438" s="34" t="s">
        <v>1810</v>
      </c>
      <c r="C1438" s="33" t="s">
        <v>346</v>
      </c>
      <c r="D1438" s="33" t="s">
        <v>43</v>
      </c>
      <c r="E1438" s="33" t="s">
        <v>1775</v>
      </c>
      <c r="F1438" s="35">
        <v>0.1</v>
      </c>
      <c r="G1438" s="40">
        <v>0</v>
      </c>
      <c r="H1438" s="40">
        <v>0</v>
      </c>
      <c r="I1438" s="40">
        <v>0</v>
      </c>
      <c r="J1438" s="40">
        <v>0</v>
      </c>
      <c r="K1438" s="40">
        <v>0</v>
      </c>
      <c r="L1438" s="40">
        <v>0</v>
      </c>
      <c r="M1438" s="40">
        <f t="shared" si="45"/>
        <v>0</v>
      </c>
      <c r="N1438" s="40">
        <f t="shared" si="46"/>
        <v>0</v>
      </c>
    </row>
    <row r="1439" spans="1:14" x14ac:dyDescent="0.35">
      <c r="A1439" s="33">
        <v>1436</v>
      </c>
      <c r="B1439" s="34" t="s">
        <v>1811</v>
      </c>
      <c r="C1439" s="33" t="s">
        <v>346</v>
      </c>
      <c r="D1439" s="33" t="s">
        <v>43</v>
      </c>
      <c r="E1439" s="33" t="s">
        <v>1775</v>
      </c>
      <c r="F1439" s="35">
        <v>0.2</v>
      </c>
      <c r="G1439" s="40">
        <v>0</v>
      </c>
      <c r="H1439" s="40">
        <v>0</v>
      </c>
      <c r="I1439" s="40">
        <v>0</v>
      </c>
      <c r="J1439" s="40">
        <v>0</v>
      </c>
      <c r="K1439" s="40">
        <v>0</v>
      </c>
      <c r="L1439" s="40">
        <v>0</v>
      </c>
      <c r="M1439" s="40">
        <f t="shared" si="45"/>
        <v>0</v>
      </c>
      <c r="N1439" s="40">
        <f t="shared" si="46"/>
        <v>0</v>
      </c>
    </row>
    <row r="1440" spans="1:14" x14ac:dyDescent="0.35">
      <c r="A1440" s="33">
        <v>1437</v>
      </c>
      <c r="B1440" s="34" t="s">
        <v>1780</v>
      </c>
      <c r="C1440" s="33" t="s">
        <v>297</v>
      </c>
      <c r="D1440" s="33" t="s">
        <v>43</v>
      </c>
      <c r="E1440" s="33" t="s">
        <v>1781</v>
      </c>
      <c r="F1440" s="35">
        <v>1</v>
      </c>
      <c r="G1440" s="40">
        <v>0</v>
      </c>
      <c r="H1440" s="40">
        <v>10</v>
      </c>
      <c r="I1440" s="40">
        <v>0</v>
      </c>
      <c r="J1440" s="40">
        <v>6</v>
      </c>
      <c r="K1440" s="40">
        <v>0</v>
      </c>
      <c r="L1440" s="40">
        <v>0</v>
      </c>
      <c r="M1440" s="40">
        <f t="shared" si="45"/>
        <v>0</v>
      </c>
      <c r="N1440" s="40">
        <f t="shared" si="46"/>
        <v>16</v>
      </c>
    </row>
    <row r="1441" spans="1:14" x14ac:dyDescent="0.35">
      <c r="A1441" s="33">
        <v>1438</v>
      </c>
      <c r="B1441" s="34" t="s">
        <v>1782</v>
      </c>
      <c r="C1441" s="33" t="s">
        <v>297</v>
      </c>
      <c r="D1441" s="33" t="s">
        <v>43</v>
      </c>
      <c r="E1441" s="33" t="s">
        <v>1781</v>
      </c>
      <c r="F1441" s="35">
        <v>1</v>
      </c>
      <c r="G1441" s="40">
        <v>0</v>
      </c>
      <c r="H1441" s="40">
        <v>0</v>
      </c>
      <c r="I1441" s="40">
        <v>0</v>
      </c>
      <c r="J1441" s="40">
        <v>0</v>
      </c>
      <c r="K1441" s="40">
        <v>0</v>
      </c>
      <c r="L1441" s="40">
        <v>0</v>
      </c>
      <c r="M1441" s="40">
        <f t="shared" si="45"/>
        <v>0</v>
      </c>
      <c r="N1441" s="40">
        <f t="shared" si="46"/>
        <v>0</v>
      </c>
    </row>
    <row r="1442" spans="1:14" x14ac:dyDescent="0.35">
      <c r="A1442" s="33">
        <v>1439</v>
      </c>
      <c r="B1442" s="34" t="s">
        <v>1783</v>
      </c>
      <c r="C1442" s="33" t="s">
        <v>297</v>
      </c>
      <c r="D1442" s="33" t="s">
        <v>43</v>
      </c>
      <c r="E1442" s="33" t="s">
        <v>1781</v>
      </c>
      <c r="F1442" s="35">
        <v>1</v>
      </c>
      <c r="G1442" s="40">
        <v>0</v>
      </c>
      <c r="H1442" s="40">
        <v>0</v>
      </c>
      <c r="I1442" s="40">
        <v>0</v>
      </c>
      <c r="J1442" s="40">
        <v>0</v>
      </c>
      <c r="K1442" s="40">
        <v>0</v>
      </c>
      <c r="L1442" s="40">
        <v>0</v>
      </c>
      <c r="M1442" s="40">
        <f t="shared" si="45"/>
        <v>0</v>
      </c>
      <c r="N1442" s="40">
        <f t="shared" si="46"/>
        <v>0</v>
      </c>
    </row>
    <row r="1443" spans="1:14" x14ac:dyDescent="0.35">
      <c r="A1443" s="33">
        <v>1440</v>
      </c>
      <c r="B1443" s="34" t="s">
        <v>1812</v>
      </c>
      <c r="C1443" s="33" t="s">
        <v>346</v>
      </c>
      <c r="D1443" s="33" t="s">
        <v>43</v>
      </c>
      <c r="E1443" s="33" t="s">
        <v>1781</v>
      </c>
      <c r="F1443" s="35">
        <v>0.15</v>
      </c>
      <c r="G1443" s="40">
        <v>0</v>
      </c>
      <c r="H1443" s="40">
        <v>0</v>
      </c>
      <c r="I1443" s="40">
        <v>0</v>
      </c>
      <c r="J1443" s="40">
        <v>0</v>
      </c>
      <c r="K1443" s="40">
        <v>0</v>
      </c>
      <c r="L1443" s="40">
        <v>0</v>
      </c>
      <c r="M1443" s="40">
        <f t="shared" si="45"/>
        <v>0</v>
      </c>
      <c r="N1443" s="40">
        <f t="shared" si="46"/>
        <v>0</v>
      </c>
    </row>
    <row r="1444" spans="1:14" x14ac:dyDescent="0.35">
      <c r="A1444" s="33">
        <v>1441</v>
      </c>
      <c r="B1444" s="34" t="s">
        <v>1813</v>
      </c>
      <c r="C1444" s="33" t="s">
        <v>346</v>
      </c>
      <c r="D1444" s="33" t="s">
        <v>43</v>
      </c>
      <c r="E1444" s="33" t="s">
        <v>1781</v>
      </c>
      <c r="F1444" s="35">
        <v>0.5</v>
      </c>
      <c r="G1444" s="40">
        <v>0</v>
      </c>
      <c r="H1444" s="40">
        <v>0</v>
      </c>
      <c r="I1444" s="40">
        <v>0</v>
      </c>
      <c r="J1444" s="40">
        <v>0</v>
      </c>
      <c r="K1444" s="40">
        <v>0</v>
      </c>
      <c r="L1444" s="40">
        <v>0</v>
      </c>
      <c r="M1444" s="40">
        <f t="shared" si="45"/>
        <v>0</v>
      </c>
      <c r="N1444" s="40">
        <f t="shared" si="46"/>
        <v>0</v>
      </c>
    </row>
    <row r="1445" spans="1:14" x14ac:dyDescent="0.35">
      <c r="A1445" s="33">
        <v>1442</v>
      </c>
      <c r="B1445" s="34" t="s">
        <v>1814</v>
      </c>
      <c r="C1445" s="33" t="s">
        <v>346</v>
      </c>
      <c r="D1445" s="33" t="s">
        <v>43</v>
      </c>
      <c r="E1445" s="33" t="s">
        <v>1781</v>
      </c>
      <c r="F1445" s="35">
        <v>0.25</v>
      </c>
      <c r="G1445" s="40">
        <v>0</v>
      </c>
      <c r="H1445" s="40">
        <v>0</v>
      </c>
      <c r="I1445" s="40">
        <v>0</v>
      </c>
      <c r="J1445" s="40">
        <v>0</v>
      </c>
      <c r="K1445" s="40">
        <v>0</v>
      </c>
      <c r="L1445" s="40">
        <v>0</v>
      </c>
      <c r="M1445" s="40">
        <f t="shared" si="45"/>
        <v>0</v>
      </c>
      <c r="N1445" s="40">
        <f t="shared" si="46"/>
        <v>0</v>
      </c>
    </row>
    <row r="1446" spans="1:14" x14ac:dyDescent="0.35">
      <c r="A1446" s="33">
        <v>1443</v>
      </c>
      <c r="B1446" s="34" t="s">
        <v>1815</v>
      </c>
      <c r="C1446" s="33" t="s">
        <v>346</v>
      </c>
      <c r="D1446" s="33" t="s">
        <v>43</v>
      </c>
      <c r="E1446" s="33" t="s">
        <v>1781</v>
      </c>
      <c r="F1446" s="35">
        <v>0.1</v>
      </c>
      <c r="G1446" s="40">
        <v>0</v>
      </c>
      <c r="H1446" s="40">
        <v>0</v>
      </c>
      <c r="I1446" s="40">
        <v>0</v>
      </c>
      <c r="J1446" s="40">
        <v>0</v>
      </c>
      <c r="K1446" s="40">
        <v>0</v>
      </c>
      <c r="L1446" s="40">
        <v>0</v>
      </c>
      <c r="M1446" s="40">
        <f t="shared" si="45"/>
        <v>0</v>
      </c>
      <c r="N1446" s="40">
        <f t="shared" si="46"/>
        <v>0</v>
      </c>
    </row>
    <row r="1447" spans="1:14" x14ac:dyDescent="0.35">
      <c r="A1447" s="33">
        <v>1444</v>
      </c>
      <c r="B1447" s="34" t="s">
        <v>1816</v>
      </c>
      <c r="C1447" s="33" t="s">
        <v>346</v>
      </c>
      <c r="D1447" s="33" t="s">
        <v>43</v>
      </c>
      <c r="E1447" s="33" t="s">
        <v>1781</v>
      </c>
      <c r="F1447" s="35">
        <v>0.15</v>
      </c>
      <c r="G1447" s="40">
        <v>0</v>
      </c>
      <c r="H1447" s="40">
        <v>0</v>
      </c>
      <c r="I1447" s="40">
        <v>0</v>
      </c>
      <c r="J1447" s="40">
        <v>0</v>
      </c>
      <c r="K1447" s="40">
        <v>0</v>
      </c>
      <c r="L1447" s="40">
        <v>0</v>
      </c>
      <c r="M1447" s="40">
        <f t="shared" si="45"/>
        <v>0</v>
      </c>
      <c r="N1447" s="40">
        <f t="shared" si="46"/>
        <v>0</v>
      </c>
    </row>
    <row r="1448" spans="1:14" x14ac:dyDescent="0.35">
      <c r="A1448" s="33">
        <v>1445</v>
      </c>
      <c r="B1448" s="34" t="s">
        <v>1817</v>
      </c>
      <c r="C1448" s="33" t="s">
        <v>346</v>
      </c>
      <c r="D1448" s="33" t="s">
        <v>43</v>
      </c>
      <c r="E1448" s="33" t="s">
        <v>1781</v>
      </c>
      <c r="F1448" s="35">
        <v>0.17499999999999999</v>
      </c>
      <c r="G1448" s="40">
        <v>0</v>
      </c>
      <c r="H1448" s="40">
        <v>0</v>
      </c>
      <c r="I1448" s="40">
        <v>0</v>
      </c>
      <c r="J1448" s="40">
        <v>0</v>
      </c>
      <c r="K1448" s="40">
        <v>0</v>
      </c>
      <c r="L1448" s="40">
        <v>0</v>
      </c>
      <c r="M1448" s="40">
        <f t="shared" si="45"/>
        <v>0</v>
      </c>
      <c r="N1448" s="40">
        <f t="shared" si="46"/>
        <v>0</v>
      </c>
    </row>
    <row r="1449" spans="1:14" x14ac:dyDescent="0.35">
      <c r="A1449" s="33">
        <v>1446</v>
      </c>
      <c r="B1449" s="34" t="s">
        <v>1818</v>
      </c>
      <c r="C1449" s="33" t="s">
        <v>346</v>
      </c>
      <c r="D1449" s="33" t="s">
        <v>43</v>
      </c>
      <c r="E1449" s="33" t="s">
        <v>1781</v>
      </c>
      <c r="F1449" s="35">
        <v>0.2</v>
      </c>
      <c r="G1449" s="40">
        <v>0</v>
      </c>
      <c r="H1449" s="40">
        <v>0</v>
      </c>
      <c r="I1449" s="40">
        <v>0</v>
      </c>
      <c r="J1449" s="40">
        <v>0</v>
      </c>
      <c r="K1449" s="40">
        <v>0</v>
      </c>
      <c r="L1449" s="40">
        <v>0</v>
      </c>
      <c r="M1449" s="40">
        <f t="shared" si="45"/>
        <v>0</v>
      </c>
      <c r="N1449" s="40">
        <f t="shared" si="46"/>
        <v>0</v>
      </c>
    </row>
    <row r="1450" spans="1:14" x14ac:dyDescent="0.35">
      <c r="A1450" s="33">
        <v>1447</v>
      </c>
      <c r="B1450" s="34" t="s">
        <v>1819</v>
      </c>
      <c r="C1450" s="33" t="s">
        <v>346</v>
      </c>
      <c r="D1450" s="33" t="s">
        <v>43</v>
      </c>
      <c r="E1450" s="33" t="s">
        <v>1781</v>
      </c>
      <c r="F1450" s="35">
        <v>0.25</v>
      </c>
      <c r="G1450" s="40">
        <v>0</v>
      </c>
      <c r="H1450" s="40">
        <v>0</v>
      </c>
      <c r="I1450" s="40">
        <v>0</v>
      </c>
      <c r="J1450" s="40">
        <v>0</v>
      </c>
      <c r="K1450" s="40">
        <v>0</v>
      </c>
      <c r="L1450" s="40">
        <v>0</v>
      </c>
      <c r="M1450" s="40">
        <f t="shared" si="45"/>
        <v>0</v>
      </c>
      <c r="N1450" s="40">
        <f t="shared" si="46"/>
        <v>0</v>
      </c>
    </row>
    <row r="1451" spans="1:14" x14ac:dyDescent="0.35">
      <c r="A1451" s="33">
        <v>1448</v>
      </c>
      <c r="B1451" s="34" t="s">
        <v>1820</v>
      </c>
      <c r="C1451" s="33" t="s">
        <v>346</v>
      </c>
      <c r="D1451" s="33" t="s">
        <v>43</v>
      </c>
      <c r="E1451" s="33" t="s">
        <v>1781</v>
      </c>
      <c r="F1451" s="35">
        <v>0.125</v>
      </c>
      <c r="G1451" s="40">
        <v>0</v>
      </c>
      <c r="H1451" s="40">
        <v>0</v>
      </c>
      <c r="I1451" s="40">
        <v>0</v>
      </c>
      <c r="J1451" s="40">
        <v>0</v>
      </c>
      <c r="K1451" s="40">
        <v>0</v>
      </c>
      <c r="L1451" s="40">
        <v>0</v>
      </c>
      <c r="M1451" s="40">
        <f t="shared" si="45"/>
        <v>0</v>
      </c>
      <c r="N1451" s="40">
        <f t="shared" si="46"/>
        <v>0</v>
      </c>
    </row>
    <row r="1452" spans="1:14" x14ac:dyDescent="0.35">
      <c r="A1452" s="33">
        <v>1449</v>
      </c>
      <c r="B1452" s="34" t="s">
        <v>1821</v>
      </c>
      <c r="C1452" s="33" t="s">
        <v>346</v>
      </c>
      <c r="D1452" s="33" t="s">
        <v>43</v>
      </c>
      <c r="E1452" s="33" t="s">
        <v>1781</v>
      </c>
      <c r="F1452" s="35">
        <v>0.2</v>
      </c>
      <c r="G1452" s="40">
        <v>0</v>
      </c>
      <c r="H1452" s="40">
        <v>0</v>
      </c>
      <c r="I1452" s="40">
        <v>0</v>
      </c>
      <c r="J1452" s="40">
        <v>0</v>
      </c>
      <c r="K1452" s="40">
        <v>0</v>
      </c>
      <c r="L1452" s="40">
        <v>0</v>
      </c>
      <c r="M1452" s="40">
        <f t="shared" si="45"/>
        <v>0</v>
      </c>
      <c r="N1452" s="40">
        <f t="shared" si="46"/>
        <v>0</v>
      </c>
    </row>
    <row r="1453" spans="1:14" x14ac:dyDescent="0.35">
      <c r="A1453" s="33">
        <v>1450</v>
      </c>
      <c r="B1453" s="34" t="s">
        <v>1822</v>
      </c>
      <c r="C1453" s="33" t="s">
        <v>346</v>
      </c>
      <c r="D1453" s="33" t="s">
        <v>43</v>
      </c>
      <c r="E1453" s="33" t="s">
        <v>1781</v>
      </c>
      <c r="F1453" s="35">
        <v>0.1</v>
      </c>
      <c r="G1453" s="40">
        <v>0</v>
      </c>
      <c r="H1453" s="40">
        <v>0</v>
      </c>
      <c r="I1453" s="40">
        <v>0</v>
      </c>
      <c r="J1453" s="40">
        <v>0</v>
      </c>
      <c r="K1453" s="40">
        <v>0</v>
      </c>
      <c r="L1453" s="40">
        <v>0</v>
      </c>
      <c r="M1453" s="40">
        <f t="shared" si="45"/>
        <v>0</v>
      </c>
      <c r="N1453" s="40">
        <f t="shared" si="46"/>
        <v>0</v>
      </c>
    </row>
    <row r="1454" spans="1:14" x14ac:dyDescent="0.35">
      <c r="A1454" s="33">
        <v>1451</v>
      </c>
      <c r="B1454" s="34" t="s">
        <v>1823</v>
      </c>
      <c r="C1454" s="33" t="s">
        <v>346</v>
      </c>
      <c r="D1454" s="33" t="s">
        <v>43</v>
      </c>
      <c r="E1454" s="33" t="s">
        <v>1781</v>
      </c>
      <c r="F1454" s="35">
        <v>0.125</v>
      </c>
      <c r="G1454" s="40">
        <v>0</v>
      </c>
      <c r="H1454" s="40">
        <v>0</v>
      </c>
      <c r="I1454" s="40">
        <v>0</v>
      </c>
      <c r="J1454" s="40">
        <v>0</v>
      </c>
      <c r="K1454" s="40">
        <v>0</v>
      </c>
      <c r="L1454" s="40">
        <v>0</v>
      </c>
      <c r="M1454" s="40">
        <f t="shared" si="45"/>
        <v>0</v>
      </c>
      <c r="N1454" s="40">
        <f t="shared" si="46"/>
        <v>0</v>
      </c>
    </row>
    <row r="1455" spans="1:14" x14ac:dyDescent="0.35">
      <c r="A1455" s="33">
        <v>1452</v>
      </c>
      <c r="B1455" s="34" t="s">
        <v>1824</v>
      </c>
      <c r="C1455" s="33" t="s">
        <v>346</v>
      </c>
      <c r="D1455" s="33" t="s">
        <v>43</v>
      </c>
      <c r="E1455" s="33" t="s">
        <v>1781</v>
      </c>
      <c r="F1455" s="35">
        <v>1</v>
      </c>
      <c r="G1455" s="40">
        <v>0</v>
      </c>
      <c r="H1455" s="40">
        <v>0</v>
      </c>
      <c r="I1455" s="40">
        <v>0</v>
      </c>
      <c r="J1455" s="40">
        <v>0</v>
      </c>
      <c r="K1455" s="40">
        <v>0</v>
      </c>
      <c r="L1455" s="40">
        <v>0</v>
      </c>
      <c r="M1455" s="40">
        <f t="shared" si="45"/>
        <v>0</v>
      </c>
      <c r="N1455" s="40">
        <f t="shared" si="46"/>
        <v>0</v>
      </c>
    </row>
    <row r="1456" spans="1:14" x14ac:dyDescent="0.35">
      <c r="A1456" s="33">
        <v>1453</v>
      </c>
      <c r="B1456" s="34" t="s">
        <v>1825</v>
      </c>
      <c r="C1456" s="33" t="s">
        <v>346</v>
      </c>
      <c r="D1456" s="33" t="s">
        <v>43</v>
      </c>
      <c r="E1456" s="33" t="s">
        <v>1781</v>
      </c>
      <c r="F1456" s="35">
        <v>1</v>
      </c>
      <c r="G1456" s="40">
        <v>0</v>
      </c>
      <c r="H1456" s="40">
        <v>0</v>
      </c>
      <c r="I1456" s="40">
        <v>0</v>
      </c>
      <c r="J1456" s="40">
        <v>0</v>
      </c>
      <c r="K1456" s="40">
        <v>0</v>
      </c>
      <c r="L1456" s="40">
        <v>0</v>
      </c>
      <c r="M1456" s="40">
        <f t="shared" si="45"/>
        <v>0</v>
      </c>
      <c r="N1456" s="40">
        <f t="shared" si="46"/>
        <v>0</v>
      </c>
    </row>
    <row r="1457" spans="1:14" x14ac:dyDescent="0.35">
      <c r="A1457" s="33">
        <v>1454</v>
      </c>
      <c r="B1457" s="34" t="s">
        <v>1826</v>
      </c>
      <c r="C1457" s="33" t="s">
        <v>346</v>
      </c>
      <c r="D1457" s="33" t="s">
        <v>43</v>
      </c>
      <c r="E1457" s="33" t="s">
        <v>1781</v>
      </c>
      <c r="F1457" s="35">
        <v>0.2</v>
      </c>
      <c r="G1457" s="40">
        <v>0</v>
      </c>
      <c r="H1457" s="40">
        <v>0</v>
      </c>
      <c r="I1457" s="40">
        <v>0</v>
      </c>
      <c r="J1457" s="40">
        <v>0</v>
      </c>
      <c r="K1457" s="40">
        <v>0</v>
      </c>
      <c r="L1457" s="40">
        <v>0</v>
      </c>
      <c r="M1457" s="40">
        <f t="shared" si="45"/>
        <v>0</v>
      </c>
      <c r="N1457" s="40">
        <f t="shared" si="46"/>
        <v>0</v>
      </c>
    </row>
    <row r="1458" spans="1:14" x14ac:dyDescent="0.35">
      <c r="A1458" s="33">
        <v>1455</v>
      </c>
      <c r="B1458" s="34" t="s">
        <v>1827</v>
      </c>
      <c r="C1458" s="33" t="s">
        <v>346</v>
      </c>
      <c r="D1458" s="33" t="s">
        <v>43</v>
      </c>
      <c r="E1458" s="33" t="s">
        <v>1781</v>
      </c>
      <c r="F1458" s="35">
        <v>0.5</v>
      </c>
      <c r="G1458" s="40">
        <v>0</v>
      </c>
      <c r="H1458" s="40">
        <v>0</v>
      </c>
      <c r="I1458" s="40">
        <v>0</v>
      </c>
      <c r="J1458" s="40">
        <v>0</v>
      </c>
      <c r="K1458" s="40">
        <v>0</v>
      </c>
      <c r="L1458" s="40">
        <v>0</v>
      </c>
      <c r="M1458" s="40">
        <f t="shared" si="45"/>
        <v>0</v>
      </c>
      <c r="N1458" s="40">
        <f t="shared" si="46"/>
        <v>0</v>
      </c>
    </row>
    <row r="1459" spans="1:14" x14ac:dyDescent="0.35">
      <c r="A1459" s="33">
        <v>1456</v>
      </c>
      <c r="B1459" s="34" t="s">
        <v>1828</v>
      </c>
      <c r="C1459" s="33" t="s">
        <v>346</v>
      </c>
      <c r="D1459" s="33" t="s">
        <v>43</v>
      </c>
      <c r="E1459" s="33" t="s">
        <v>1781</v>
      </c>
      <c r="F1459" s="35">
        <v>0.1</v>
      </c>
      <c r="G1459" s="40">
        <v>0</v>
      </c>
      <c r="H1459" s="40">
        <v>0</v>
      </c>
      <c r="I1459" s="40">
        <v>0</v>
      </c>
      <c r="J1459" s="40">
        <v>0</v>
      </c>
      <c r="K1459" s="40">
        <v>0</v>
      </c>
      <c r="L1459" s="40">
        <v>0</v>
      </c>
      <c r="M1459" s="40">
        <f t="shared" si="45"/>
        <v>0</v>
      </c>
      <c r="N1459" s="40">
        <f t="shared" si="46"/>
        <v>0</v>
      </c>
    </row>
    <row r="1460" spans="1:14" x14ac:dyDescent="0.35">
      <c r="A1460" s="33">
        <v>1457</v>
      </c>
      <c r="B1460" s="34" t="s">
        <v>1829</v>
      </c>
      <c r="C1460" s="33" t="s">
        <v>346</v>
      </c>
      <c r="D1460" s="33" t="s">
        <v>43</v>
      </c>
      <c r="E1460" s="33" t="s">
        <v>1781</v>
      </c>
      <c r="F1460" s="35">
        <v>7.0000000000000007E-2</v>
      </c>
      <c r="G1460" s="40">
        <v>0</v>
      </c>
      <c r="H1460" s="40">
        <v>0</v>
      </c>
      <c r="I1460" s="40">
        <v>0</v>
      </c>
      <c r="J1460" s="40">
        <v>0</v>
      </c>
      <c r="K1460" s="40">
        <v>0</v>
      </c>
      <c r="L1460" s="40">
        <v>0</v>
      </c>
      <c r="M1460" s="40">
        <f t="shared" si="45"/>
        <v>0</v>
      </c>
      <c r="N1460" s="40">
        <f t="shared" si="46"/>
        <v>0</v>
      </c>
    </row>
    <row r="1461" spans="1:14" x14ac:dyDescent="0.35">
      <c r="A1461" s="33">
        <v>1458</v>
      </c>
      <c r="B1461" s="34" t="s">
        <v>1830</v>
      </c>
      <c r="C1461" s="33" t="s">
        <v>346</v>
      </c>
      <c r="D1461" s="33" t="s">
        <v>43</v>
      </c>
      <c r="E1461" s="33" t="s">
        <v>1781</v>
      </c>
      <c r="F1461" s="35">
        <v>0.23</v>
      </c>
      <c r="G1461" s="40">
        <v>0</v>
      </c>
      <c r="H1461" s="40">
        <v>0</v>
      </c>
      <c r="I1461" s="40">
        <v>0</v>
      </c>
      <c r="J1461" s="40">
        <v>0</v>
      </c>
      <c r="K1461" s="40">
        <v>0</v>
      </c>
      <c r="L1461" s="40">
        <v>0</v>
      </c>
      <c r="M1461" s="40">
        <f t="shared" si="45"/>
        <v>0</v>
      </c>
      <c r="N1461" s="40">
        <f t="shared" si="46"/>
        <v>0</v>
      </c>
    </row>
    <row r="1462" spans="1:14" x14ac:dyDescent="0.35">
      <c r="A1462" s="33">
        <v>1459</v>
      </c>
      <c r="B1462" s="34" t="s">
        <v>1831</v>
      </c>
      <c r="C1462" s="33" t="s">
        <v>346</v>
      </c>
      <c r="D1462" s="33" t="s">
        <v>43</v>
      </c>
      <c r="E1462" s="33" t="s">
        <v>1781</v>
      </c>
      <c r="F1462" s="35">
        <v>0.09</v>
      </c>
      <c r="G1462" s="40">
        <v>0</v>
      </c>
      <c r="H1462" s="40">
        <v>0</v>
      </c>
      <c r="I1462" s="40">
        <v>0</v>
      </c>
      <c r="J1462" s="40">
        <v>0</v>
      </c>
      <c r="K1462" s="40">
        <v>0</v>
      </c>
      <c r="L1462" s="40">
        <v>0</v>
      </c>
      <c r="M1462" s="40">
        <f t="shared" si="45"/>
        <v>0</v>
      </c>
      <c r="N1462" s="40">
        <f t="shared" si="46"/>
        <v>0</v>
      </c>
    </row>
    <row r="1463" spans="1:14" x14ac:dyDescent="0.35">
      <c r="A1463" s="33">
        <v>1460</v>
      </c>
      <c r="B1463" s="34" t="s">
        <v>1832</v>
      </c>
      <c r="C1463" s="33" t="s">
        <v>346</v>
      </c>
      <c r="D1463" s="33" t="s">
        <v>43</v>
      </c>
      <c r="E1463" s="33" t="s">
        <v>1781</v>
      </c>
      <c r="F1463" s="35">
        <v>1</v>
      </c>
      <c r="G1463" s="40">
        <v>0</v>
      </c>
      <c r="H1463" s="40">
        <v>0</v>
      </c>
      <c r="I1463" s="40">
        <v>0</v>
      </c>
      <c r="J1463" s="40">
        <v>0</v>
      </c>
      <c r="K1463" s="40">
        <v>0</v>
      </c>
      <c r="L1463" s="40">
        <v>0</v>
      </c>
      <c r="M1463" s="40">
        <f t="shared" si="45"/>
        <v>0</v>
      </c>
      <c r="N1463" s="40">
        <f t="shared" si="46"/>
        <v>0</v>
      </c>
    </row>
    <row r="1464" spans="1:14" x14ac:dyDescent="0.35">
      <c r="A1464" s="33">
        <v>1461</v>
      </c>
      <c r="B1464" s="34" t="s">
        <v>1833</v>
      </c>
      <c r="C1464" s="33" t="s">
        <v>346</v>
      </c>
      <c r="D1464" s="33" t="s">
        <v>43</v>
      </c>
      <c r="E1464" s="33" t="s">
        <v>1781</v>
      </c>
      <c r="F1464" s="35">
        <v>0.2</v>
      </c>
      <c r="G1464" s="40">
        <v>0</v>
      </c>
      <c r="H1464" s="40">
        <v>0</v>
      </c>
      <c r="I1464" s="40">
        <v>0</v>
      </c>
      <c r="J1464" s="40">
        <v>0</v>
      </c>
      <c r="K1464" s="40">
        <v>0</v>
      </c>
      <c r="L1464" s="40">
        <v>0</v>
      </c>
      <c r="M1464" s="40">
        <f t="shared" si="45"/>
        <v>0</v>
      </c>
      <c r="N1464" s="40">
        <f t="shared" si="46"/>
        <v>0</v>
      </c>
    </row>
    <row r="1465" spans="1:14" x14ac:dyDescent="0.35">
      <c r="A1465" s="33">
        <v>1462</v>
      </c>
      <c r="B1465" s="34" t="s">
        <v>1834</v>
      </c>
      <c r="C1465" s="33" t="s">
        <v>346</v>
      </c>
      <c r="D1465" s="33" t="s">
        <v>43</v>
      </c>
      <c r="E1465" s="33" t="s">
        <v>1781</v>
      </c>
      <c r="F1465" s="35">
        <v>0.5</v>
      </c>
      <c r="G1465" s="40">
        <v>0</v>
      </c>
      <c r="H1465" s="40">
        <v>0</v>
      </c>
      <c r="I1465" s="40">
        <v>0</v>
      </c>
      <c r="J1465" s="40">
        <v>0</v>
      </c>
      <c r="K1465" s="40">
        <v>0</v>
      </c>
      <c r="L1465" s="40">
        <v>0</v>
      </c>
      <c r="M1465" s="40">
        <f t="shared" si="45"/>
        <v>0</v>
      </c>
      <c r="N1465" s="40">
        <f t="shared" si="46"/>
        <v>0</v>
      </c>
    </row>
    <row r="1466" spans="1:14" x14ac:dyDescent="0.35">
      <c r="A1466" s="33">
        <v>1463</v>
      </c>
      <c r="B1466" s="34" t="s">
        <v>1835</v>
      </c>
      <c r="C1466" s="33" t="s">
        <v>346</v>
      </c>
      <c r="D1466" s="33" t="s">
        <v>43</v>
      </c>
      <c r="E1466" s="33" t="s">
        <v>1781</v>
      </c>
      <c r="F1466" s="35">
        <v>0.1</v>
      </c>
      <c r="G1466" s="40">
        <v>0</v>
      </c>
      <c r="H1466" s="40">
        <v>0</v>
      </c>
      <c r="I1466" s="40">
        <v>0</v>
      </c>
      <c r="J1466" s="40">
        <v>0</v>
      </c>
      <c r="K1466" s="40">
        <v>0</v>
      </c>
      <c r="L1466" s="40">
        <v>0</v>
      </c>
      <c r="M1466" s="40">
        <f t="shared" si="45"/>
        <v>0</v>
      </c>
      <c r="N1466" s="40">
        <f t="shared" si="46"/>
        <v>0</v>
      </c>
    </row>
    <row r="1467" spans="1:14" x14ac:dyDescent="0.35">
      <c r="A1467" s="33">
        <v>1464</v>
      </c>
      <c r="B1467" s="34" t="s">
        <v>1836</v>
      </c>
      <c r="C1467" s="33" t="s">
        <v>346</v>
      </c>
      <c r="D1467" s="33" t="s">
        <v>43</v>
      </c>
      <c r="E1467" s="33" t="s">
        <v>1781</v>
      </c>
      <c r="F1467" s="35">
        <v>0.25</v>
      </c>
      <c r="G1467" s="40">
        <v>0</v>
      </c>
      <c r="H1467" s="40">
        <v>0</v>
      </c>
      <c r="I1467" s="40">
        <v>0</v>
      </c>
      <c r="J1467" s="40">
        <v>0</v>
      </c>
      <c r="K1467" s="40">
        <v>0</v>
      </c>
      <c r="L1467" s="40">
        <v>0</v>
      </c>
      <c r="M1467" s="40">
        <f t="shared" si="45"/>
        <v>0</v>
      </c>
      <c r="N1467" s="40">
        <f t="shared" si="46"/>
        <v>0</v>
      </c>
    </row>
    <row r="1468" spans="1:14" x14ac:dyDescent="0.35">
      <c r="A1468" s="33">
        <v>1465</v>
      </c>
      <c r="B1468" s="34" t="s">
        <v>1837</v>
      </c>
      <c r="C1468" s="33" t="s">
        <v>346</v>
      </c>
      <c r="D1468" s="33" t="s">
        <v>43</v>
      </c>
      <c r="E1468" s="33" t="s">
        <v>1781</v>
      </c>
      <c r="F1468" s="35">
        <v>0.5</v>
      </c>
      <c r="G1468" s="40">
        <v>0</v>
      </c>
      <c r="H1468" s="40">
        <v>0</v>
      </c>
      <c r="I1468" s="40">
        <v>0</v>
      </c>
      <c r="J1468" s="40">
        <v>0</v>
      </c>
      <c r="K1468" s="40">
        <v>0</v>
      </c>
      <c r="L1468" s="40">
        <v>0</v>
      </c>
      <c r="M1468" s="40">
        <f t="shared" si="45"/>
        <v>0</v>
      </c>
      <c r="N1468" s="40">
        <f t="shared" si="46"/>
        <v>0</v>
      </c>
    </row>
    <row r="1469" spans="1:14" x14ac:dyDescent="0.35">
      <c r="A1469" s="33">
        <v>1466</v>
      </c>
      <c r="B1469" s="34" t="s">
        <v>1838</v>
      </c>
      <c r="C1469" s="33" t="s">
        <v>346</v>
      </c>
      <c r="D1469" s="33" t="s">
        <v>43</v>
      </c>
      <c r="E1469" s="33" t="s">
        <v>1781</v>
      </c>
      <c r="F1469" s="35">
        <v>1</v>
      </c>
      <c r="G1469" s="40">
        <v>0</v>
      </c>
      <c r="H1469" s="40">
        <v>0</v>
      </c>
      <c r="I1469" s="40">
        <v>0</v>
      </c>
      <c r="J1469" s="40">
        <v>0</v>
      </c>
      <c r="K1469" s="40">
        <v>0</v>
      </c>
      <c r="L1469" s="40">
        <v>0</v>
      </c>
      <c r="M1469" s="40">
        <f t="shared" si="45"/>
        <v>0</v>
      </c>
      <c r="N1469" s="40">
        <f t="shared" si="46"/>
        <v>0</v>
      </c>
    </row>
    <row r="1470" spans="1:14" x14ac:dyDescent="0.35">
      <c r="A1470" s="33">
        <v>1467</v>
      </c>
      <c r="B1470" s="34" t="s">
        <v>1839</v>
      </c>
      <c r="C1470" s="33" t="s">
        <v>346</v>
      </c>
      <c r="D1470" s="33" t="s">
        <v>43</v>
      </c>
      <c r="E1470" s="33" t="s">
        <v>1781</v>
      </c>
      <c r="F1470" s="35">
        <v>1</v>
      </c>
      <c r="G1470" s="40">
        <v>0</v>
      </c>
      <c r="H1470" s="40">
        <v>0</v>
      </c>
      <c r="I1470" s="40">
        <v>0</v>
      </c>
      <c r="J1470" s="40">
        <v>0</v>
      </c>
      <c r="K1470" s="40">
        <v>0</v>
      </c>
      <c r="L1470" s="40">
        <v>0</v>
      </c>
      <c r="M1470" s="40">
        <f t="shared" si="45"/>
        <v>0</v>
      </c>
      <c r="N1470" s="40">
        <f t="shared" si="46"/>
        <v>0</v>
      </c>
    </row>
    <row r="1471" spans="1:14" x14ac:dyDescent="0.35">
      <c r="A1471" s="33">
        <v>1468</v>
      </c>
      <c r="B1471" s="34" t="s">
        <v>1840</v>
      </c>
      <c r="C1471" s="33" t="s">
        <v>346</v>
      </c>
      <c r="D1471" s="33" t="s">
        <v>43</v>
      </c>
      <c r="E1471" s="33" t="s">
        <v>1781</v>
      </c>
      <c r="F1471" s="35">
        <v>1</v>
      </c>
      <c r="G1471" s="40">
        <v>0</v>
      </c>
      <c r="H1471" s="40">
        <v>0</v>
      </c>
      <c r="I1471" s="40">
        <v>0</v>
      </c>
      <c r="J1471" s="40">
        <v>0</v>
      </c>
      <c r="K1471" s="40">
        <v>0</v>
      </c>
      <c r="L1471" s="40">
        <v>0</v>
      </c>
      <c r="M1471" s="40">
        <f t="shared" si="45"/>
        <v>0</v>
      </c>
      <c r="N1471" s="40">
        <f t="shared" si="46"/>
        <v>0</v>
      </c>
    </row>
    <row r="1472" spans="1:14" x14ac:dyDescent="0.35">
      <c r="A1472" s="33">
        <v>1469</v>
      </c>
      <c r="B1472" s="34" t="s">
        <v>1841</v>
      </c>
      <c r="C1472" s="33" t="s">
        <v>346</v>
      </c>
      <c r="D1472" s="33" t="s">
        <v>43</v>
      </c>
      <c r="E1472" s="33" t="s">
        <v>1781</v>
      </c>
      <c r="F1472" s="35">
        <v>1</v>
      </c>
      <c r="G1472" s="40">
        <v>0</v>
      </c>
      <c r="H1472" s="40">
        <v>0</v>
      </c>
      <c r="I1472" s="40">
        <v>0</v>
      </c>
      <c r="J1472" s="40">
        <v>0</v>
      </c>
      <c r="K1472" s="40">
        <v>0</v>
      </c>
      <c r="L1472" s="40">
        <v>0</v>
      </c>
      <c r="M1472" s="40">
        <f t="shared" si="45"/>
        <v>0</v>
      </c>
      <c r="N1472" s="40">
        <f t="shared" si="46"/>
        <v>0</v>
      </c>
    </row>
    <row r="1473" spans="1:14" x14ac:dyDescent="0.35">
      <c r="A1473" s="33">
        <v>1470</v>
      </c>
      <c r="B1473" s="34" t="s">
        <v>1842</v>
      </c>
      <c r="C1473" s="33" t="s">
        <v>346</v>
      </c>
      <c r="D1473" s="33" t="s">
        <v>43</v>
      </c>
      <c r="E1473" s="33" t="s">
        <v>1781</v>
      </c>
      <c r="F1473" s="35">
        <v>0.5</v>
      </c>
      <c r="G1473" s="40">
        <v>0</v>
      </c>
      <c r="H1473" s="40">
        <v>0</v>
      </c>
      <c r="I1473" s="40">
        <v>0</v>
      </c>
      <c r="J1473" s="40">
        <v>0</v>
      </c>
      <c r="K1473" s="40">
        <v>0</v>
      </c>
      <c r="L1473" s="40">
        <v>0</v>
      </c>
      <c r="M1473" s="40">
        <f t="shared" si="45"/>
        <v>0</v>
      </c>
      <c r="N1473" s="40">
        <f t="shared" si="46"/>
        <v>0</v>
      </c>
    </row>
    <row r="1474" spans="1:14" x14ac:dyDescent="0.35">
      <c r="A1474" s="33">
        <v>1471</v>
      </c>
      <c r="B1474" s="34" t="s">
        <v>1843</v>
      </c>
      <c r="C1474" s="33" t="s">
        <v>346</v>
      </c>
      <c r="D1474" s="33" t="s">
        <v>43</v>
      </c>
      <c r="E1474" s="33" t="s">
        <v>1781</v>
      </c>
      <c r="F1474" s="35">
        <v>0.1</v>
      </c>
      <c r="G1474" s="40">
        <v>0</v>
      </c>
      <c r="H1474" s="40">
        <v>0</v>
      </c>
      <c r="I1474" s="40">
        <v>0</v>
      </c>
      <c r="J1474" s="40">
        <v>0</v>
      </c>
      <c r="K1474" s="40">
        <v>0</v>
      </c>
      <c r="L1474" s="40">
        <v>0</v>
      </c>
      <c r="M1474" s="40">
        <f t="shared" si="45"/>
        <v>0</v>
      </c>
      <c r="N1474" s="40">
        <f t="shared" si="46"/>
        <v>0</v>
      </c>
    </row>
    <row r="1475" spans="1:14" x14ac:dyDescent="0.35">
      <c r="A1475" s="33">
        <v>1472</v>
      </c>
      <c r="B1475" s="34" t="s">
        <v>1844</v>
      </c>
      <c r="C1475" s="33" t="s">
        <v>346</v>
      </c>
      <c r="D1475" s="33" t="s">
        <v>43</v>
      </c>
      <c r="E1475" s="33" t="s">
        <v>1781</v>
      </c>
      <c r="F1475" s="35">
        <v>0.2</v>
      </c>
      <c r="G1475" s="40">
        <v>0</v>
      </c>
      <c r="H1475" s="40">
        <v>0</v>
      </c>
      <c r="I1475" s="40">
        <v>0</v>
      </c>
      <c r="J1475" s="40">
        <v>0</v>
      </c>
      <c r="K1475" s="40">
        <v>0</v>
      </c>
      <c r="L1475" s="40">
        <v>0</v>
      </c>
      <c r="M1475" s="40">
        <f t="shared" si="45"/>
        <v>0</v>
      </c>
      <c r="N1475" s="40">
        <f t="shared" si="46"/>
        <v>0</v>
      </c>
    </row>
    <row r="1476" spans="1:14" x14ac:dyDescent="0.35">
      <c r="A1476" s="33">
        <v>1473</v>
      </c>
      <c r="B1476" s="34" t="s">
        <v>1845</v>
      </c>
      <c r="C1476" s="33" t="s">
        <v>346</v>
      </c>
      <c r="D1476" s="33" t="s">
        <v>43</v>
      </c>
      <c r="E1476" s="33" t="s">
        <v>1781</v>
      </c>
      <c r="F1476" s="35">
        <v>0.1</v>
      </c>
      <c r="G1476" s="40">
        <v>0</v>
      </c>
      <c r="H1476" s="40">
        <v>0</v>
      </c>
      <c r="I1476" s="40">
        <v>0</v>
      </c>
      <c r="J1476" s="40">
        <v>0</v>
      </c>
      <c r="K1476" s="40">
        <v>0</v>
      </c>
      <c r="L1476" s="40">
        <v>0</v>
      </c>
      <c r="M1476" s="40">
        <f t="shared" si="45"/>
        <v>0</v>
      </c>
      <c r="N1476" s="40">
        <f t="shared" si="46"/>
        <v>0</v>
      </c>
    </row>
    <row r="1477" spans="1:14" x14ac:dyDescent="0.35">
      <c r="A1477" s="33">
        <v>1474</v>
      </c>
      <c r="B1477" s="34" t="s">
        <v>1846</v>
      </c>
      <c r="C1477" s="33" t="s">
        <v>346</v>
      </c>
      <c r="D1477" s="33" t="s">
        <v>43</v>
      </c>
      <c r="E1477" s="33" t="s">
        <v>1781</v>
      </c>
      <c r="F1477" s="35">
        <v>0.1</v>
      </c>
      <c r="G1477" s="40">
        <v>0</v>
      </c>
      <c r="H1477" s="40">
        <v>0</v>
      </c>
      <c r="I1477" s="40">
        <v>0</v>
      </c>
      <c r="J1477" s="40">
        <v>0</v>
      </c>
      <c r="K1477" s="40">
        <v>0</v>
      </c>
      <c r="L1477" s="40">
        <v>0</v>
      </c>
      <c r="M1477" s="40">
        <f t="shared" ref="M1477:M1540" si="47">G1477+I1477+K1477</f>
        <v>0</v>
      </c>
      <c r="N1477" s="40">
        <f t="shared" ref="N1477:N1540" si="48">H1477+J1477+L1477</f>
        <v>0</v>
      </c>
    </row>
    <row r="1478" spans="1:14" x14ac:dyDescent="0.35">
      <c r="A1478" s="33">
        <v>1475</v>
      </c>
      <c r="B1478" s="34" t="s">
        <v>1847</v>
      </c>
      <c r="C1478" s="33" t="s">
        <v>346</v>
      </c>
      <c r="D1478" s="33" t="s">
        <v>43</v>
      </c>
      <c r="E1478" s="33" t="s">
        <v>1781</v>
      </c>
      <c r="F1478" s="35">
        <v>0.25</v>
      </c>
      <c r="G1478" s="40">
        <v>0</v>
      </c>
      <c r="H1478" s="40">
        <v>0</v>
      </c>
      <c r="I1478" s="40">
        <v>0</v>
      </c>
      <c r="J1478" s="40">
        <v>0</v>
      </c>
      <c r="K1478" s="40">
        <v>0</v>
      </c>
      <c r="L1478" s="40">
        <v>0</v>
      </c>
      <c r="M1478" s="40">
        <f t="shared" si="47"/>
        <v>0</v>
      </c>
      <c r="N1478" s="40">
        <f t="shared" si="48"/>
        <v>0</v>
      </c>
    </row>
    <row r="1479" spans="1:14" x14ac:dyDescent="0.35">
      <c r="A1479" s="33">
        <v>1476</v>
      </c>
      <c r="B1479" s="34" t="s">
        <v>1848</v>
      </c>
      <c r="C1479" s="33" t="s">
        <v>346</v>
      </c>
      <c r="D1479" s="33" t="s">
        <v>43</v>
      </c>
      <c r="E1479" s="33" t="s">
        <v>1781</v>
      </c>
      <c r="F1479" s="35">
        <v>0.5</v>
      </c>
      <c r="G1479" s="40">
        <v>0</v>
      </c>
      <c r="H1479" s="40">
        <v>0</v>
      </c>
      <c r="I1479" s="40">
        <v>0</v>
      </c>
      <c r="J1479" s="40">
        <v>0</v>
      </c>
      <c r="K1479" s="40">
        <v>0</v>
      </c>
      <c r="L1479" s="40">
        <v>0</v>
      </c>
      <c r="M1479" s="40">
        <f t="shared" si="47"/>
        <v>0</v>
      </c>
      <c r="N1479" s="40">
        <f t="shared" si="48"/>
        <v>0</v>
      </c>
    </row>
    <row r="1480" spans="1:14" x14ac:dyDescent="0.35">
      <c r="A1480" s="33">
        <v>1477</v>
      </c>
      <c r="B1480" s="34" t="s">
        <v>1849</v>
      </c>
      <c r="C1480" s="33" t="s">
        <v>346</v>
      </c>
      <c r="D1480" s="33" t="s">
        <v>43</v>
      </c>
      <c r="E1480" s="33" t="s">
        <v>1781</v>
      </c>
      <c r="F1480" s="35">
        <v>1</v>
      </c>
      <c r="G1480" s="40">
        <v>0</v>
      </c>
      <c r="H1480" s="40">
        <v>0</v>
      </c>
      <c r="I1480" s="40">
        <v>0</v>
      </c>
      <c r="J1480" s="40">
        <v>0</v>
      </c>
      <c r="K1480" s="40">
        <v>0</v>
      </c>
      <c r="L1480" s="40">
        <v>0</v>
      </c>
      <c r="M1480" s="40">
        <f t="shared" si="47"/>
        <v>0</v>
      </c>
      <c r="N1480" s="40">
        <f t="shared" si="48"/>
        <v>0</v>
      </c>
    </row>
    <row r="1481" spans="1:14" x14ac:dyDescent="0.35">
      <c r="A1481" s="33">
        <v>1478</v>
      </c>
      <c r="B1481" s="34" t="s">
        <v>1850</v>
      </c>
      <c r="C1481" s="33" t="s">
        <v>346</v>
      </c>
      <c r="D1481" s="33" t="s">
        <v>43</v>
      </c>
      <c r="E1481" s="33" t="s">
        <v>1781</v>
      </c>
      <c r="F1481" s="35">
        <v>0.1</v>
      </c>
      <c r="G1481" s="40">
        <v>0</v>
      </c>
      <c r="H1481" s="40">
        <v>0</v>
      </c>
      <c r="I1481" s="40">
        <v>0</v>
      </c>
      <c r="J1481" s="40">
        <v>0</v>
      </c>
      <c r="K1481" s="40">
        <v>0</v>
      </c>
      <c r="L1481" s="40">
        <v>0</v>
      </c>
      <c r="M1481" s="40">
        <f t="shared" si="47"/>
        <v>0</v>
      </c>
      <c r="N1481" s="40">
        <f t="shared" si="48"/>
        <v>0</v>
      </c>
    </row>
    <row r="1482" spans="1:14" x14ac:dyDescent="0.35">
      <c r="A1482" s="33">
        <v>1479</v>
      </c>
      <c r="B1482" s="34" t="s">
        <v>1784</v>
      </c>
      <c r="C1482" s="33" t="s">
        <v>297</v>
      </c>
      <c r="D1482" s="33" t="s">
        <v>43</v>
      </c>
      <c r="E1482" s="33" t="s">
        <v>1785</v>
      </c>
      <c r="F1482" s="35">
        <v>1</v>
      </c>
      <c r="G1482" s="40">
        <v>0</v>
      </c>
      <c r="H1482" s="40">
        <v>0</v>
      </c>
      <c r="I1482" s="40">
        <v>0</v>
      </c>
      <c r="J1482" s="40">
        <v>0</v>
      </c>
      <c r="K1482" s="40">
        <v>0</v>
      </c>
      <c r="L1482" s="40">
        <v>0</v>
      </c>
      <c r="M1482" s="40">
        <f t="shared" si="47"/>
        <v>0</v>
      </c>
      <c r="N1482" s="40">
        <f t="shared" si="48"/>
        <v>0</v>
      </c>
    </row>
    <row r="1483" spans="1:14" x14ac:dyDescent="0.35">
      <c r="A1483" s="33">
        <v>1480</v>
      </c>
      <c r="B1483" s="34" t="s">
        <v>1786</v>
      </c>
      <c r="C1483" s="33" t="s">
        <v>297</v>
      </c>
      <c r="D1483" s="33" t="s">
        <v>43</v>
      </c>
      <c r="E1483" s="33" t="s">
        <v>1785</v>
      </c>
      <c r="F1483" s="35">
        <v>1</v>
      </c>
      <c r="G1483" s="40">
        <v>0</v>
      </c>
      <c r="H1483" s="40">
        <v>0</v>
      </c>
      <c r="I1483" s="40">
        <v>0</v>
      </c>
      <c r="J1483" s="40">
        <v>0</v>
      </c>
      <c r="K1483" s="40">
        <v>0</v>
      </c>
      <c r="L1483" s="40">
        <v>0</v>
      </c>
      <c r="M1483" s="40">
        <f t="shared" si="47"/>
        <v>0</v>
      </c>
      <c r="N1483" s="40">
        <f t="shared" si="48"/>
        <v>0</v>
      </c>
    </row>
    <row r="1484" spans="1:14" x14ac:dyDescent="0.35">
      <c r="A1484" s="33">
        <v>1481</v>
      </c>
      <c r="B1484" s="34" t="s">
        <v>1851</v>
      </c>
      <c r="C1484" s="33" t="s">
        <v>346</v>
      </c>
      <c r="D1484" s="33" t="s">
        <v>43</v>
      </c>
      <c r="E1484" s="33" t="s">
        <v>1785</v>
      </c>
      <c r="F1484" s="35">
        <v>0.3</v>
      </c>
      <c r="G1484" s="40">
        <v>0</v>
      </c>
      <c r="H1484" s="40">
        <v>0</v>
      </c>
      <c r="I1484" s="40">
        <v>0</v>
      </c>
      <c r="J1484" s="40">
        <v>0</v>
      </c>
      <c r="K1484" s="40">
        <v>0</v>
      </c>
      <c r="L1484" s="40">
        <v>0</v>
      </c>
      <c r="M1484" s="40">
        <f t="shared" si="47"/>
        <v>0</v>
      </c>
      <c r="N1484" s="40">
        <f t="shared" si="48"/>
        <v>0</v>
      </c>
    </row>
    <row r="1485" spans="1:14" x14ac:dyDescent="0.35">
      <c r="A1485" s="33">
        <v>1482</v>
      </c>
      <c r="B1485" s="34" t="s">
        <v>1852</v>
      </c>
      <c r="C1485" s="33" t="s">
        <v>346</v>
      </c>
      <c r="D1485" s="33" t="s">
        <v>43</v>
      </c>
      <c r="E1485" s="33" t="s">
        <v>1785</v>
      </c>
      <c r="F1485" s="35">
        <v>0.6</v>
      </c>
      <c r="G1485" s="40">
        <v>0</v>
      </c>
      <c r="H1485" s="40">
        <v>0</v>
      </c>
      <c r="I1485" s="40">
        <v>0</v>
      </c>
      <c r="J1485" s="40">
        <v>0</v>
      </c>
      <c r="K1485" s="40">
        <v>0</v>
      </c>
      <c r="L1485" s="40">
        <v>0</v>
      </c>
      <c r="M1485" s="40">
        <f t="shared" si="47"/>
        <v>0</v>
      </c>
      <c r="N1485" s="40">
        <f t="shared" si="48"/>
        <v>0</v>
      </c>
    </row>
    <row r="1486" spans="1:14" x14ac:dyDescent="0.35">
      <c r="A1486" s="33">
        <v>1483</v>
      </c>
      <c r="B1486" s="34" t="s">
        <v>1853</v>
      </c>
      <c r="C1486" s="33" t="s">
        <v>346</v>
      </c>
      <c r="D1486" s="33" t="s">
        <v>43</v>
      </c>
      <c r="E1486" s="33" t="s">
        <v>1785</v>
      </c>
      <c r="F1486" s="35">
        <v>0.25</v>
      </c>
      <c r="G1486" s="40">
        <v>0</v>
      </c>
      <c r="H1486" s="40">
        <v>0</v>
      </c>
      <c r="I1486" s="40">
        <v>0</v>
      </c>
      <c r="J1486" s="40">
        <v>0</v>
      </c>
      <c r="K1486" s="40">
        <v>0</v>
      </c>
      <c r="L1486" s="40">
        <v>0</v>
      </c>
      <c r="M1486" s="40">
        <f t="shared" si="47"/>
        <v>0</v>
      </c>
      <c r="N1486" s="40">
        <f t="shared" si="48"/>
        <v>0</v>
      </c>
    </row>
    <row r="1487" spans="1:14" x14ac:dyDescent="0.35">
      <c r="A1487" s="33">
        <v>1484</v>
      </c>
      <c r="B1487" s="34" t="s">
        <v>1854</v>
      </c>
      <c r="C1487" s="33" t="s">
        <v>346</v>
      </c>
      <c r="D1487" s="33" t="s">
        <v>43</v>
      </c>
      <c r="E1487" s="33" t="s">
        <v>1785</v>
      </c>
      <c r="F1487" s="35">
        <v>1</v>
      </c>
      <c r="G1487" s="40">
        <v>0</v>
      </c>
      <c r="H1487" s="40">
        <v>0</v>
      </c>
      <c r="I1487" s="40">
        <v>0</v>
      </c>
      <c r="J1487" s="40">
        <v>0</v>
      </c>
      <c r="K1487" s="40">
        <v>0</v>
      </c>
      <c r="L1487" s="40">
        <v>0</v>
      </c>
      <c r="M1487" s="40">
        <f t="shared" si="47"/>
        <v>0</v>
      </c>
      <c r="N1487" s="40">
        <f t="shared" si="48"/>
        <v>0</v>
      </c>
    </row>
    <row r="1488" spans="1:14" x14ac:dyDescent="0.35">
      <c r="A1488" s="33">
        <v>1485</v>
      </c>
      <c r="B1488" s="34" t="s">
        <v>1855</v>
      </c>
      <c r="C1488" s="33" t="s">
        <v>297</v>
      </c>
      <c r="D1488" s="33" t="s">
        <v>66</v>
      </c>
      <c r="E1488" s="33" t="s">
        <v>1856</v>
      </c>
      <c r="F1488" s="35">
        <v>1</v>
      </c>
      <c r="G1488" s="40">
        <v>0</v>
      </c>
      <c r="H1488" s="40">
        <v>0</v>
      </c>
      <c r="I1488" s="40">
        <v>0</v>
      </c>
      <c r="J1488" s="40">
        <v>0</v>
      </c>
      <c r="K1488" s="40">
        <v>0</v>
      </c>
      <c r="L1488" s="40">
        <v>0</v>
      </c>
      <c r="M1488" s="40">
        <f t="shared" si="47"/>
        <v>0</v>
      </c>
      <c r="N1488" s="40">
        <f t="shared" si="48"/>
        <v>0</v>
      </c>
    </row>
    <row r="1489" spans="1:14" x14ac:dyDescent="0.35">
      <c r="A1489" s="33">
        <v>1486</v>
      </c>
      <c r="B1489" s="34" t="s">
        <v>1857</v>
      </c>
      <c r="C1489" s="33" t="s">
        <v>297</v>
      </c>
      <c r="D1489" s="33" t="s">
        <v>66</v>
      </c>
      <c r="E1489" s="33" t="s">
        <v>1856</v>
      </c>
      <c r="F1489" s="35">
        <v>1</v>
      </c>
      <c r="G1489" s="40">
        <v>0</v>
      </c>
      <c r="H1489" s="40">
        <v>0</v>
      </c>
      <c r="I1489" s="40">
        <v>0</v>
      </c>
      <c r="J1489" s="40">
        <v>1.4</v>
      </c>
      <c r="K1489" s="40">
        <v>0</v>
      </c>
      <c r="L1489" s="40">
        <v>0</v>
      </c>
      <c r="M1489" s="40">
        <f t="shared" si="47"/>
        <v>0</v>
      </c>
      <c r="N1489" s="40">
        <f t="shared" si="48"/>
        <v>1.4</v>
      </c>
    </row>
    <row r="1490" spans="1:14" x14ac:dyDescent="0.35">
      <c r="A1490" s="33">
        <v>1487</v>
      </c>
      <c r="B1490" s="34" t="s">
        <v>1858</v>
      </c>
      <c r="C1490" s="33" t="s">
        <v>297</v>
      </c>
      <c r="D1490" s="33" t="s">
        <v>66</v>
      </c>
      <c r="E1490" s="33" t="s">
        <v>1856</v>
      </c>
      <c r="F1490" s="35">
        <v>1</v>
      </c>
      <c r="G1490" s="40">
        <v>0</v>
      </c>
      <c r="H1490" s="40">
        <v>0</v>
      </c>
      <c r="I1490" s="40">
        <v>0</v>
      </c>
      <c r="J1490" s="40">
        <v>0</v>
      </c>
      <c r="K1490" s="40">
        <v>0</v>
      </c>
      <c r="L1490" s="40">
        <v>0</v>
      </c>
      <c r="M1490" s="40">
        <f t="shared" si="47"/>
        <v>0</v>
      </c>
      <c r="N1490" s="40">
        <f t="shared" si="48"/>
        <v>0</v>
      </c>
    </row>
    <row r="1491" spans="1:14" x14ac:dyDescent="0.35">
      <c r="A1491" s="33">
        <v>1488</v>
      </c>
      <c r="B1491" s="34" t="s">
        <v>1859</v>
      </c>
      <c r="C1491" s="33" t="s">
        <v>297</v>
      </c>
      <c r="D1491" s="33" t="s">
        <v>66</v>
      </c>
      <c r="E1491" s="33" t="s">
        <v>1856</v>
      </c>
      <c r="F1491" s="35">
        <v>1</v>
      </c>
      <c r="G1491" s="40">
        <v>0</v>
      </c>
      <c r="H1491" s="40">
        <v>550</v>
      </c>
      <c r="I1491" s="40">
        <v>0</v>
      </c>
      <c r="J1491" s="40">
        <v>45</v>
      </c>
      <c r="K1491" s="40">
        <v>0</v>
      </c>
      <c r="L1491" s="40">
        <v>0</v>
      </c>
      <c r="M1491" s="40">
        <f t="shared" si="47"/>
        <v>0</v>
      </c>
      <c r="N1491" s="40">
        <f t="shared" si="48"/>
        <v>595</v>
      </c>
    </row>
    <row r="1492" spans="1:14" x14ac:dyDescent="0.35">
      <c r="A1492" s="33">
        <v>1489</v>
      </c>
      <c r="B1492" s="34" t="s">
        <v>1860</v>
      </c>
      <c r="C1492" s="33" t="s">
        <v>297</v>
      </c>
      <c r="D1492" s="33" t="s">
        <v>66</v>
      </c>
      <c r="E1492" s="33" t="s">
        <v>1856</v>
      </c>
      <c r="F1492" s="35">
        <v>1</v>
      </c>
      <c r="G1492" s="40">
        <v>0</v>
      </c>
      <c r="H1492" s="40">
        <v>0</v>
      </c>
      <c r="I1492" s="40">
        <v>0</v>
      </c>
      <c r="J1492" s="40">
        <v>0</v>
      </c>
      <c r="K1492" s="40">
        <v>0</v>
      </c>
      <c r="L1492" s="40">
        <v>0</v>
      </c>
      <c r="M1492" s="40">
        <f t="shared" si="47"/>
        <v>0</v>
      </c>
      <c r="N1492" s="40">
        <f t="shared" si="48"/>
        <v>0</v>
      </c>
    </row>
    <row r="1493" spans="1:14" x14ac:dyDescent="0.35">
      <c r="A1493" s="33">
        <v>1490</v>
      </c>
      <c r="B1493" s="34" t="s">
        <v>1856</v>
      </c>
      <c r="C1493" s="33" t="s">
        <v>297</v>
      </c>
      <c r="D1493" s="33" t="s">
        <v>66</v>
      </c>
      <c r="E1493" s="33" t="s">
        <v>1856</v>
      </c>
      <c r="F1493" s="35">
        <v>1</v>
      </c>
      <c r="G1493" s="40">
        <v>0</v>
      </c>
      <c r="H1493" s="40">
        <v>0</v>
      </c>
      <c r="I1493" s="40">
        <v>0</v>
      </c>
      <c r="J1493" s="40">
        <v>0</v>
      </c>
      <c r="K1493" s="40">
        <v>0</v>
      </c>
      <c r="L1493" s="40">
        <v>0</v>
      </c>
      <c r="M1493" s="40">
        <f t="shared" si="47"/>
        <v>0</v>
      </c>
      <c r="N1493" s="40">
        <f t="shared" si="48"/>
        <v>0</v>
      </c>
    </row>
    <row r="1494" spans="1:14" x14ac:dyDescent="0.35">
      <c r="A1494" s="33">
        <v>1491</v>
      </c>
      <c r="B1494" s="34" t="s">
        <v>1861</v>
      </c>
      <c r="C1494" s="33" t="s">
        <v>297</v>
      </c>
      <c r="D1494" s="33" t="s">
        <v>61</v>
      </c>
      <c r="E1494" s="33" t="s">
        <v>1861</v>
      </c>
      <c r="F1494" s="35">
        <v>1</v>
      </c>
      <c r="G1494" s="40">
        <v>0</v>
      </c>
      <c r="H1494" s="40">
        <v>0</v>
      </c>
      <c r="I1494" s="40">
        <v>0</v>
      </c>
      <c r="J1494" s="40">
        <v>0</v>
      </c>
      <c r="K1494" s="40">
        <v>0</v>
      </c>
      <c r="L1494" s="40">
        <v>0</v>
      </c>
      <c r="M1494" s="40">
        <f t="shared" si="47"/>
        <v>0</v>
      </c>
      <c r="N1494" s="40">
        <f t="shared" si="48"/>
        <v>0</v>
      </c>
    </row>
    <row r="1495" spans="1:14" x14ac:dyDescent="0.35">
      <c r="A1495" s="33">
        <v>1492</v>
      </c>
      <c r="B1495" s="34" t="s">
        <v>1862</v>
      </c>
      <c r="C1495" s="33" t="s">
        <v>297</v>
      </c>
      <c r="D1495" s="33" t="s">
        <v>61</v>
      </c>
      <c r="E1495" s="33" t="s">
        <v>1863</v>
      </c>
      <c r="F1495" s="35">
        <v>1</v>
      </c>
      <c r="G1495" s="40">
        <v>0</v>
      </c>
      <c r="H1495" s="40">
        <v>0</v>
      </c>
      <c r="I1495" s="40">
        <v>0</v>
      </c>
      <c r="J1495" s="40">
        <v>0</v>
      </c>
      <c r="K1495" s="40">
        <v>0</v>
      </c>
      <c r="L1495" s="40">
        <v>0</v>
      </c>
      <c r="M1495" s="40">
        <f t="shared" si="47"/>
        <v>0</v>
      </c>
      <c r="N1495" s="40">
        <f t="shared" si="48"/>
        <v>0</v>
      </c>
    </row>
    <row r="1496" spans="1:14" x14ac:dyDescent="0.35">
      <c r="A1496" s="33">
        <v>1493</v>
      </c>
      <c r="B1496" s="34" t="s">
        <v>1864</v>
      </c>
      <c r="C1496" s="33" t="s">
        <v>297</v>
      </c>
      <c r="D1496" s="33" t="s">
        <v>61</v>
      </c>
      <c r="E1496" s="33" t="s">
        <v>1863</v>
      </c>
      <c r="F1496" s="35">
        <v>1</v>
      </c>
      <c r="G1496" s="40">
        <v>0</v>
      </c>
      <c r="H1496" s="40">
        <v>0</v>
      </c>
      <c r="I1496" s="40">
        <v>0</v>
      </c>
      <c r="J1496" s="40">
        <v>0</v>
      </c>
      <c r="K1496" s="40">
        <v>0</v>
      </c>
      <c r="L1496" s="40">
        <v>0</v>
      </c>
      <c r="M1496" s="40">
        <f t="shared" si="47"/>
        <v>0</v>
      </c>
      <c r="N1496" s="40">
        <f t="shared" si="48"/>
        <v>0</v>
      </c>
    </row>
    <row r="1497" spans="1:14" x14ac:dyDescent="0.35">
      <c r="A1497" s="33">
        <v>1494</v>
      </c>
      <c r="B1497" s="34" t="s">
        <v>1865</v>
      </c>
      <c r="C1497" s="33" t="s">
        <v>297</v>
      </c>
      <c r="D1497" s="33" t="s">
        <v>61</v>
      </c>
      <c r="E1497" s="33" t="s">
        <v>1863</v>
      </c>
      <c r="F1497" s="35">
        <v>1</v>
      </c>
      <c r="G1497" s="40">
        <v>0</v>
      </c>
      <c r="H1497" s="40">
        <v>0</v>
      </c>
      <c r="I1497" s="40">
        <v>0</v>
      </c>
      <c r="J1497" s="40">
        <v>0</v>
      </c>
      <c r="K1497" s="40">
        <v>0</v>
      </c>
      <c r="L1497" s="40">
        <v>0</v>
      </c>
      <c r="M1497" s="40">
        <f t="shared" si="47"/>
        <v>0</v>
      </c>
      <c r="N1497" s="40">
        <f t="shared" si="48"/>
        <v>0</v>
      </c>
    </row>
    <row r="1498" spans="1:14" x14ac:dyDescent="0.35">
      <c r="A1498" s="33">
        <v>1495</v>
      </c>
      <c r="B1498" s="34" t="s">
        <v>1866</v>
      </c>
      <c r="C1498" s="33" t="s">
        <v>297</v>
      </c>
      <c r="D1498" s="33" t="s">
        <v>61</v>
      </c>
      <c r="E1498" s="33" t="s">
        <v>1863</v>
      </c>
      <c r="F1498" s="35">
        <v>1</v>
      </c>
      <c r="G1498" s="40">
        <v>0</v>
      </c>
      <c r="H1498" s="40">
        <v>0</v>
      </c>
      <c r="I1498" s="40">
        <v>0</v>
      </c>
      <c r="J1498" s="40">
        <v>0</v>
      </c>
      <c r="K1498" s="40">
        <v>0</v>
      </c>
      <c r="L1498" s="40">
        <v>0</v>
      </c>
      <c r="M1498" s="40">
        <f t="shared" si="47"/>
        <v>0</v>
      </c>
      <c r="N1498" s="40">
        <f t="shared" si="48"/>
        <v>0</v>
      </c>
    </row>
    <row r="1499" spans="1:14" x14ac:dyDescent="0.35">
      <c r="A1499" s="33">
        <v>1496</v>
      </c>
      <c r="B1499" s="34" t="s">
        <v>1867</v>
      </c>
      <c r="C1499" s="33" t="s">
        <v>297</v>
      </c>
      <c r="D1499" s="33" t="s">
        <v>61</v>
      </c>
      <c r="E1499" s="33" t="s">
        <v>1863</v>
      </c>
      <c r="F1499" s="35">
        <v>1</v>
      </c>
      <c r="G1499" s="40">
        <v>0</v>
      </c>
      <c r="H1499" s="40">
        <v>25</v>
      </c>
      <c r="I1499" s="40">
        <v>0</v>
      </c>
      <c r="J1499" s="40">
        <v>19</v>
      </c>
      <c r="K1499" s="40">
        <v>0</v>
      </c>
      <c r="L1499" s="40">
        <v>0</v>
      </c>
      <c r="M1499" s="40">
        <f t="shared" si="47"/>
        <v>0</v>
      </c>
      <c r="N1499" s="40">
        <f t="shared" si="48"/>
        <v>44</v>
      </c>
    </row>
    <row r="1500" spans="1:14" x14ac:dyDescent="0.35">
      <c r="A1500" s="33">
        <v>1497</v>
      </c>
      <c r="B1500" s="34" t="s">
        <v>1868</v>
      </c>
      <c r="C1500" s="33" t="s">
        <v>297</v>
      </c>
      <c r="D1500" s="33" t="s">
        <v>61</v>
      </c>
      <c r="E1500" s="33" t="s">
        <v>1863</v>
      </c>
      <c r="F1500" s="35">
        <v>1</v>
      </c>
      <c r="G1500" s="40">
        <v>0</v>
      </c>
      <c r="H1500" s="40">
        <v>0</v>
      </c>
      <c r="I1500" s="40">
        <v>0</v>
      </c>
      <c r="J1500" s="40">
        <v>0</v>
      </c>
      <c r="K1500" s="40">
        <v>0</v>
      </c>
      <c r="L1500" s="40">
        <v>0</v>
      </c>
      <c r="M1500" s="40">
        <f t="shared" si="47"/>
        <v>0</v>
      </c>
      <c r="N1500" s="40">
        <f t="shared" si="48"/>
        <v>0</v>
      </c>
    </row>
    <row r="1501" spans="1:14" x14ac:dyDescent="0.35">
      <c r="A1501" s="33">
        <v>1498</v>
      </c>
      <c r="B1501" s="34" t="s">
        <v>1869</v>
      </c>
      <c r="C1501" s="33" t="s">
        <v>297</v>
      </c>
      <c r="D1501" s="33" t="s">
        <v>61</v>
      </c>
      <c r="E1501" s="33" t="s">
        <v>1863</v>
      </c>
      <c r="F1501" s="35">
        <v>1</v>
      </c>
      <c r="G1501" s="40">
        <v>0</v>
      </c>
      <c r="H1501" s="40">
        <v>0</v>
      </c>
      <c r="I1501" s="40">
        <v>0</v>
      </c>
      <c r="J1501" s="40">
        <v>3</v>
      </c>
      <c r="K1501" s="40">
        <v>0</v>
      </c>
      <c r="L1501" s="40">
        <v>0</v>
      </c>
      <c r="M1501" s="40">
        <f t="shared" si="47"/>
        <v>0</v>
      </c>
      <c r="N1501" s="40">
        <f t="shared" si="48"/>
        <v>3</v>
      </c>
    </row>
    <row r="1502" spans="1:14" x14ac:dyDescent="0.35">
      <c r="A1502" s="33">
        <v>1499</v>
      </c>
      <c r="B1502" s="34" t="s">
        <v>1870</v>
      </c>
      <c r="C1502" s="33" t="s">
        <v>297</v>
      </c>
      <c r="D1502" s="33" t="s">
        <v>61</v>
      </c>
      <c r="E1502" s="33" t="s">
        <v>1863</v>
      </c>
      <c r="F1502" s="35">
        <v>1</v>
      </c>
      <c r="G1502" s="40">
        <v>0</v>
      </c>
      <c r="H1502" s="40">
        <v>0</v>
      </c>
      <c r="I1502" s="40">
        <v>0</v>
      </c>
      <c r="J1502" s="40">
        <v>0</v>
      </c>
      <c r="K1502" s="40">
        <v>0</v>
      </c>
      <c r="L1502" s="40">
        <v>0</v>
      </c>
      <c r="M1502" s="40">
        <f t="shared" si="47"/>
        <v>0</v>
      </c>
      <c r="N1502" s="40">
        <f t="shared" si="48"/>
        <v>0</v>
      </c>
    </row>
    <row r="1503" spans="1:14" x14ac:dyDescent="0.35">
      <c r="A1503" s="33">
        <v>1500</v>
      </c>
      <c r="B1503" s="34" t="s">
        <v>1871</v>
      </c>
      <c r="C1503" s="33" t="s">
        <v>297</v>
      </c>
      <c r="D1503" s="33" t="s">
        <v>61</v>
      </c>
      <c r="E1503" s="33" t="s">
        <v>1863</v>
      </c>
      <c r="F1503" s="35">
        <v>1</v>
      </c>
      <c r="G1503" s="40">
        <v>0</v>
      </c>
      <c r="H1503" s="40">
        <v>0</v>
      </c>
      <c r="I1503" s="40">
        <v>0</v>
      </c>
      <c r="J1503" s="40">
        <v>0</v>
      </c>
      <c r="K1503" s="40">
        <v>0</v>
      </c>
      <c r="L1503" s="40">
        <v>0</v>
      </c>
      <c r="M1503" s="40">
        <f t="shared" si="47"/>
        <v>0</v>
      </c>
      <c r="N1503" s="40">
        <f t="shared" si="48"/>
        <v>0</v>
      </c>
    </row>
    <row r="1504" spans="1:14" x14ac:dyDescent="0.35">
      <c r="A1504" s="33">
        <v>1501</v>
      </c>
      <c r="B1504" s="34" t="s">
        <v>1872</v>
      </c>
      <c r="C1504" s="33" t="s">
        <v>297</v>
      </c>
      <c r="D1504" s="33" t="s">
        <v>61</v>
      </c>
      <c r="E1504" s="33" t="s">
        <v>1863</v>
      </c>
      <c r="F1504" s="35">
        <v>1</v>
      </c>
      <c r="G1504" s="40">
        <v>0</v>
      </c>
      <c r="H1504" s="40">
        <v>0</v>
      </c>
      <c r="I1504" s="40">
        <v>0</v>
      </c>
      <c r="J1504" s="40">
        <v>0</v>
      </c>
      <c r="K1504" s="40">
        <v>0</v>
      </c>
      <c r="L1504" s="40">
        <v>0</v>
      </c>
      <c r="M1504" s="40">
        <f t="shared" si="47"/>
        <v>0</v>
      </c>
      <c r="N1504" s="40">
        <f t="shared" si="48"/>
        <v>0</v>
      </c>
    </row>
    <row r="1505" spans="1:14" x14ac:dyDescent="0.35">
      <c r="A1505" s="33">
        <v>1502</v>
      </c>
      <c r="B1505" s="34" t="s">
        <v>1873</v>
      </c>
      <c r="C1505" s="33" t="s">
        <v>297</v>
      </c>
      <c r="D1505" s="33" t="s">
        <v>61</v>
      </c>
      <c r="E1505" s="33" t="s">
        <v>1863</v>
      </c>
      <c r="F1505" s="35">
        <v>1</v>
      </c>
      <c r="G1505" s="40">
        <v>0</v>
      </c>
      <c r="H1505" s="40">
        <v>0</v>
      </c>
      <c r="I1505" s="40">
        <v>0</v>
      </c>
      <c r="J1505" s="40">
        <v>0</v>
      </c>
      <c r="K1505" s="40">
        <v>0</v>
      </c>
      <c r="L1505" s="40">
        <v>0</v>
      </c>
      <c r="M1505" s="40">
        <f t="shared" si="47"/>
        <v>0</v>
      </c>
      <c r="N1505" s="40">
        <f t="shared" si="48"/>
        <v>0</v>
      </c>
    </row>
    <row r="1506" spans="1:14" x14ac:dyDescent="0.35">
      <c r="A1506" s="33">
        <v>1503</v>
      </c>
      <c r="B1506" s="34" t="s">
        <v>1874</v>
      </c>
      <c r="C1506" s="33" t="s">
        <v>297</v>
      </c>
      <c r="D1506" s="33" t="s">
        <v>61</v>
      </c>
      <c r="E1506" s="33" t="s">
        <v>1863</v>
      </c>
      <c r="F1506" s="35">
        <v>1</v>
      </c>
      <c r="G1506" s="40">
        <v>0</v>
      </c>
      <c r="H1506" s="40">
        <v>0</v>
      </c>
      <c r="I1506" s="40">
        <v>0</v>
      </c>
      <c r="J1506" s="40">
        <v>0</v>
      </c>
      <c r="K1506" s="40">
        <v>0</v>
      </c>
      <c r="L1506" s="40">
        <v>0</v>
      </c>
      <c r="M1506" s="40">
        <f t="shared" si="47"/>
        <v>0</v>
      </c>
      <c r="N1506" s="40">
        <f t="shared" si="48"/>
        <v>0</v>
      </c>
    </row>
    <row r="1507" spans="1:14" x14ac:dyDescent="0.35">
      <c r="A1507" s="33">
        <v>1504</v>
      </c>
      <c r="B1507" s="34" t="s">
        <v>175</v>
      </c>
      <c r="C1507" s="33" t="s">
        <v>297</v>
      </c>
      <c r="D1507" s="33" t="s">
        <v>61</v>
      </c>
      <c r="E1507" s="33" t="s">
        <v>1863</v>
      </c>
      <c r="F1507" s="35">
        <v>1</v>
      </c>
      <c r="G1507" s="40">
        <v>0</v>
      </c>
      <c r="H1507" s="40">
        <v>0</v>
      </c>
      <c r="I1507" s="40">
        <v>0</v>
      </c>
      <c r="J1507" s="40">
        <v>0</v>
      </c>
      <c r="K1507" s="40">
        <v>0</v>
      </c>
      <c r="L1507" s="40">
        <v>0</v>
      </c>
      <c r="M1507" s="40">
        <f t="shared" si="47"/>
        <v>0</v>
      </c>
      <c r="N1507" s="40">
        <f t="shared" si="48"/>
        <v>0</v>
      </c>
    </row>
    <row r="1508" spans="1:14" x14ac:dyDescent="0.35">
      <c r="A1508" s="33">
        <v>1505</v>
      </c>
      <c r="B1508" s="34" t="s">
        <v>1875</v>
      </c>
      <c r="C1508" s="33" t="s">
        <v>297</v>
      </c>
      <c r="D1508" s="33" t="s">
        <v>61</v>
      </c>
      <c r="E1508" s="33" t="s">
        <v>1863</v>
      </c>
      <c r="F1508" s="35">
        <v>1</v>
      </c>
      <c r="G1508" s="40">
        <v>0</v>
      </c>
      <c r="H1508" s="40">
        <v>93.5</v>
      </c>
      <c r="I1508" s="40">
        <v>0</v>
      </c>
      <c r="J1508" s="40">
        <v>74.400000000000006</v>
      </c>
      <c r="K1508" s="40">
        <v>0</v>
      </c>
      <c r="L1508" s="40">
        <v>0</v>
      </c>
      <c r="M1508" s="40">
        <f t="shared" si="47"/>
        <v>0</v>
      </c>
      <c r="N1508" s="40">
        <f t="shared" si="48"/>
        <v>167.9</v>
      </c>
    </row>
    <row r="1509" spans="1:14" x14ac:dyDescent="0.35">
      <c r="A1509" s="33">
        <v>1506</v>
      </c>
      <c r="B1509" s="34" t="s">
        <v>1876</v>
      </c>
      <c r="C1509" s="33" t="s">
        <v>297</v>
      </c>
      <c r="D1509" s="33" t="s">
        <v>61</v>
      </c>
      <c r="E1509" s="33" t="s">
        <v>1863</v>
      </c>
      <c r="F1509" s="35">
        <v>1</v>
      </c>
      <c r="G1509" s="40">
        <v>0</v>
      </c>
      <c r="H1509" s="40">
        <v>0</v>
      </c>
      <c r="I1509" s="40">
        <v>0</v>
      </c>
      <c r="J1509" s="40">
        <v>0</v>
      </c>
      <c r="K1509" s="40">
        <v>0</v>
      </c>
      <c r="L1509" s="40">
        <v>0</v>
      </c>
      <c r="M1509" s="40">
        <f t="shared" si="47"/>
        <v>0</v>
      </c>
      <c r="N1509" s="40">
        <f t="shared" si="48"/>
        <v>0</v>
      </c>
    </row>
    <row r="1510" spans="1:14" x14ac:dyDescent="0.35">
      <c r="A1510" s="33">
        <v>1507</v>
      </c>
      <c r="B1510" s="34" t="s">
        <v>1877</v>
      </c>
      <c r="C1510" s="33" t="s">
        <v>297</v>
      </c>
      <c r="D1510" s="33" t="s">
        <v>61</v>
      </c>
      <c r="E1510" s="33" t="s">
        <v>1863</v>
      </c>
      <c r="F1510" s="35">
        <v>1</v>
      </c>
      <c r="G1510" s="40">
        <v>0</v>
      </c>
      <c r="H1510" s="40">
        <v>0</v>
      </c>
      <c r="I1510" s="40">
        <v>0</v>
      </c>
      <c r="J1510" s="40">
        <v>0</v>
      </c>
      <c r="K1510" s="40">
        <v>0</v>
      </c>
      <c r="L1510" s="40">
        <v>0</v>
      </c>
      <c r="M1510" s="40">
        <f t="shared" si="47"/>
        <v>0</v>
      </c>
      <c r="N1510" s="40">
        <f t="shared" si="48"/>
        <v>0</v>
      </c>
    </row>
    <row r="1511" spans="1:14" x14ac:dyDescent="0.35">
      <c r="A1511" s="33">
        <v>1508</v>
      </c>
      <c r="B1511" s="34" t="s">
        <v>1878</v>
      </c>
      <c r="C1511" s="33" t="s">
        <v>297</v>
      </c>
      <c r="D1511" s="33" t="s">
        <v>61</v>
      </c>
      <c r="E1511" s="33" t="s">
        <v>1863</v>
      </c>
      <c r="F1511" s="35">
        <v>1</v>
      </c>
      <c r="G1511" s="40">
        <v>0</v>
      </c>
      <c r="H1511" s="40">
        <v>0</v>
      </c>
      <c r="I1511" s="40">
        <v>0</v>
      </c>
      <c r="J1511" s="40">
        <v>0</v>
      </c>
      <c r="K1511" s="40">
        <v>0</v>
      </c>
      <c r="L1511" s="40">
        <v>0</v>
      </c>
      <c r="M1511" s="40">
        <f t="shared" si="47"/>
        <v>0</v>
      </c>
      <c r="N1511" s="40">
        <f t="shared" si="48"/>
        <v>0</v>
      </c>
    </row>
    <row r="1512" spans="1:14" x14ac:dyDescent="0.35">
      <c r="A1512" s="33">
        <v>1509</v>
      </c>
      <c r="B1512" s="34" t="s">
        <v>1879</v>
      </c>
      <c r="C1512" s="33" t="s">
        <v>297</v>
      </c>
      <c r="D1512" s="33" t="s">
        <v>61</v>
      </c>
      <c r="E1512" s="33" t="s">
        <v>1863</v>
      </c>
      <c r="F1512" s="35">
        <v>1</v>
      </c>
      <c r="G1512" s="40">
        <v>0</v>
      </c>
      <c r="H1512" s="40">
        <v>0</v>
      </c>
      <c r="I1512" s="40">
        <v>0</v>
      </c>
      <c r="J1512" s="40">
        <v>0</v>
      </c>
      <c r="K1512" s="40">
        <v>0</v>
      </c>
      <c r="L1512" s="40">
        <v>0</v>
      </c>
      <c r="M1512" s="40">
        <f t="shared" si="47"/>
        <v>0</v>
      </c>
      <c r="N1512" s="40">
        <f t="shared" si="48"/>
        <v>0</v>
      </c>
    </row>
    <row r="1513" spans="1:14" x14ac:dyDescent="0.35">
      <c r="A1513" s="33">
        <v>1510</v>
      </c>
      <c r="B1513" s="34" t="s">
        <v>1880</v>
      </c>
      <c r="C1513" s="33" t="s">
        <v>297</v>
      </c>
      <c r="D1513" s="33" t="s">
        <v>61</v>
      </c>
      <c r="E1513" s="33" t="s">
        <v>1863</v>
      </c>
      <c r="F1513" s="35">
        <v>1</v>
      </c>
      <c r="G1513" s="40">
        <v>0</v>
      </c>
      <c r="H1513" s="40">
        <v>0</v>
      </c>
      <c r="I1513" s="40">
        <v>0</v>
      </c>
      <c r="J1513" s="40">
        <v>1</v>
      </c>
      <c r="K1513" s="40">
        <v>0</v>
      </c>
      <c r="L1513" s="40">
        <v>0</v>
      </c>
      <c r="M1513" s="40">
        <f t="shared" si="47"/>
        <v>0</v>
      </c>
      <c r="N1513" s="40">
        <f t="shared" si="48"/>
        <v>1</v>
      </c>
    </row>
    <row r="1514" spans="1:14" x14ac:dyDescent="0.35">
      <c r="A1514" s="33">
        <v>1511</v>
      </c>
      <c r="B1514" s="34" t="s">
        <v>1881</v>
      </c>
      <c r="C1514" s="33" t="s">
        <v>297</v>
      </c>
      <c r="D1514" s="33" t="s">
        <v>61</v>
      </c>
      <c r="E1514" s="33" t="s">
        <v>1863</v>
      </c>
      <c r="F1514" s="35">
        <v>1</v>
      </c>
      <c r="G1514" s="40">
        <v>0</v>
      </c>
      <c r="H1514" s="40">
        <v>0</v>
      </c>
      <c r="I1514" s="40">
        <v>0</v>
      </c>
      <c r="J1514" s="40">
        <v>0</v>
      </c>
      <c r="K1514" s="40">
        <v>0</v>
      </c>
      <c r="L1514" s="40">
        <v>0</v>
      </c>
      <c r="M1514" s="40">
        <f t="shared" si="47"/>
        <v>0</v>
      </c>
      <c r="N1514" s="40">
        <f t="shared" si="48"/>
        <v>0</v>
      </c>
    </row>
    <row r="1515" spans="1:14" x14ac:dyDescent="0.35">
      <c r="A1515" s="33">
        <v>1512</v>
      </c>
      <c r="B1515" s="34" t="s">
        <v>1882</v>
      </c>
      <c r="C1515" s="33" t="s">
        <v>297</v>
      </c>
      <c r="D1515" s="33" t="s">
        <v>61</v>
      </c>
      <c r="E1515" s="33" t="s">
        <v>1863</v>
      </c>
      <c r="F1515" s="35">
        <v>1</v>
      </c>
      <c r="G1515" s="40">
        <v>0</v>
      </c>
      <c r="H1515" s="40">
        <v>0</v>
      </c>
      <c r="I1515" s="40">
        <v>0</v>
      </c>
      <c r="J1515" s="40">
        <v>7.9</v>
      </c>
      <c r="K1515" s="40">
        <v>0</v>
      </c>
      <c r="L1515" s="40">
        <v>0</v>
      </c>
      <c r="M1515" s="40">
        <f t="shared" si="47"/>
        <v>0</v>
      </c>
      <c r="N1515" s="40">
        <f t="shared" si="48"/>
        <v>7.9</v>
      </c>
    </row>
    <row r="1516" spans="1:14" x14ac:dyDescent="0.35">
      <c r="A1516" s="33">
        <v>1513</v>
      </c>
      <c r="B1516" s="34" t="s">
        <v>1883</v>
      </c>
      <c r="C1516" s="33" t="s">
        <v>297</v>
      </c>
      <c r="D1516" s="33" t="s">
        <v>61</v>
      </c>
      <c r="E1516" s="33" t="s">
        <v>1863</v>
      </c>
      <c r="F1516" s="35">
        <v>1</v>
      </c>
      <c r="G1516" s="40">
        <v>0</v>
      </c>
      <c r="H1516" s="40">
        <v>0</v>
      </c>
      <c r="I1516" s="40">
        <v>0</v>
      </c>
      <c r="J1516" s="40">
        <v>0</v>
      </c>
      <c r="K1516" s="40">
        <v>0</v>
      </c>
      <c r="L1516" s="40">
        <v>0</v>
      </c>
      <c r="M1516" s="40">
        <f t="shared" si="47"/>
        <v>0</v>
      </c>
      <c r="N1516" s="40">
        <f t="shared" si="48"/>
        <v>0</v>
      </c>
    </row>
    <row r="1517" spans="1:14" x14ac:dyDescent="0.35">
      <c r="A1517" s="33">
        <v>1514</v>
      </c>
      <c r="B1517" s="34" t="s">
        <v>1884</v>
      </c>
      <c r="C1517" s="33" t="s">
        <v>297</v>
      </c>
      <c r="D1517" s="33" t="s">
        <v>61</v>
      </c>
      <c r="E1517" s="33" t="s">
        <v>1863</v>
      </c>
      <c r="F1517" s="35">
        <v>1</v>
      </c>
      <c r="G1517" s="40">
        <v>0</v>
      </c>
      <c r="H1517" s="40">
        <v>0</v>
      </c>
      <c r="I1517" s="40">
        <v>0</v>
      </c>
      <c r="J1517" s="40">
        <v>0</v>
      </c>
      <c r="K1517" s="40">
        <v>0</v>
      </c>
      <c r="L1517" s="40">
        <v>0</v>
      </c>
      <c r="M1517" s="40">
        <f t="shared" si="47"/>
        <v>0</v>
      </c>
      <c r="N1517" s="40">
        <f t="shared" si="48"/>
        <v>0</v>
      </c>
    </row>
    <row r="1518" spans="1:14" x14ac:dyDescent="0.35">
      <c r="A1518" s="33">
        <v>1515</v>
      </c>
      <c r="B1518" s="34" t="s">
        <v>1885</v>
      </c>
      <c r="C1518" s="33" t="s">
        <v>297</v>
      </c>
      <c r="D1518" s="33" t="s">
        <v>61</v>
      </c>
      <c r="E1518" s="33" t="s">
        <v>1863</v>
      </c>
      <c r="F1518" s="35">
        <v>1</v>
      </c>
      <c r="G1518" s="40">
        <v>0</v>
      </c>
      <c r="H1518" s="40">
        <v>0</v>
      </c>
      <c r="I1518" s="40">
        <v>0</v>
      </c>
      <c r="J1518" s="40">
        <v>0</v>
      </c>
      <c r="K1518" s="40">
        <v>0</v>
      </c>
      <c r="L1518" s="40">
        <v>0</v>
      </c>
      <c r="M1518" s="40">
        <f t="shared" si="47"/>
        <v>0</v>
      </c>
      <c r="N1518" s="40">
        <f t="shared" si="48"/>
        <v>0</v>
      </c>
    </row>
    <row r="1519" spans="1:14" x14ac:dyDescent="0.35">
      <c r="A1519" s="33">
        <v>1516</v>
      </c>
      <c r="B1519" s="34" t="s">
        <v>1886</v>
      </c>
      <c r="C1519" s="33" t="s">
        <v>297</v>
      </c>
      <c r="D1519" s="33" t="s">
        <v>61</v>
      </c>
      <c r="E1519" s="33" t="s">
        <v>1863</v>
      </c>
      <c r="F1519" s="35">
        <v>1</v>
      </c>
      <c r="G1519" s="40">
        <v>0</v>
      </c>
      <c r="H1519" s="40">
        <v>0</v>
      </c>
      <c r="I1519" s="40">
        <v>0</v>
      </c>
      <c r="J1519" s="40">
        <v>0</v>
      </c>
      <c r="K1519" s="40">
        <v>0</v>
      </c>
      <c r="L1519" s="40">
        <v>0</v>
      </c>
      <c r="M1519" s="40">
        <f t="shared" si="47"/>
        <v>0</v>
      </c>
      <c r="N1519" s="40">
        <f t="shared" si="48"/>
        <v>0</v>
      </c>
    </row>
    <row r="1520" spans="1:14" x14ac:dyDescent="0.35">
      <c r="A1520" s="33">
        <v>1517</v>
      </c>
      <c r="B1520" s="34" t="s">
        <v>1887</v>
      </c>
      <c r="C1520" s="33" t="s">
        <v>297</v>
      </c>
      <c r="D1520" s="33" t="s">
        <v>61</v>
      </c>
      <c r="E1520" s="33" t="s">
        <v>1863</v>
      </c>
      <c r="F1520" s="35">
        <v>1</v>
      </c>
      <c r="G1520" s="40">
        <v>0</v>
      </c>
      <c r="H1520" s="40">
        <v>0</v>
      </c>
      <c r="I1520" s="40">
        <v>0</v>
      </c>
      <c r="J1520" s="40">
        <v>0</v>
      </c>
      <c r="K1520" s="40">
        <v>0</v>
      </c>
      <c r="L1520" s="40">
        <v>0</v>
      </c>
      <c r="M1520" s="40">
        <f t="shared" si="47"/>
        <v>0</v>
      </c>
      <c r="N1520" s="40">
        <f t="shared" si="48"/>
        <v>0</v>
      </c>
    </row>
    <row r="1521" spans="1:14" x14ac:dyDescent="0.35">
      <c r="A1521" s="33">
        <v>1518</v>
      </c>
      <c r="B1521" s="34" t="s">
        <v>1888</v>
      </c>
      <c r="C1521" s="33" t="s">
        <v>297</v>
      </c>
      <c r="D1521" s="33" t="s">
        <v>61</v>
      </c>
      <c r="E1521" s="33" t="s">
        <v>1863</v>
      </c>
      <c r="F1521" s="35">
        <v>1</v>
      </c>
      <c r="G1521" s="40">
        <v>0</v>
      </c>
      <c r="H1521" s="40">
        <v>0</v>
      </c>
      <c r="I1521" s="40">
        <v>0</v>
      </c>
      <c r="J1521" s="40">
        <v>0</v>
      </c>
      <c r="K1521" s="40">
        <v>0</v>
      </c>
      <c r="L1521" s="40">
        <v>0</v>
      </c>
      <c r="M1521" s="40">
        <f t="shared" si="47"/>
        <v>0</v>
      </c>
      <c r="N1521" s="40">
        <f t="shared" si="48"/>
        <v>0</v>
      </c>
    </row>
    <row r="1522" spans="1:14" x14ac:dyDescent="0.35">
      <c r="A1522" s="33">
        <v>1519</v>
      </c>
      <c r="B1522" s="34" t="s">
        <v>1889</v>
      </c>
      <c r="C1522" s="33" t="s">
        <v>297</v>
      </c>
      <c r="D1522" s="33" t="s">
        <v>61</v>
      </c>
      <c r="E1522" s="33" t="s">
        <v>1863</v>
      </c>
      <c r="F1522" s="35">
        <v>1</v>
      </c>
      <c r="G1522" s="40">
        <v>0</v>
      </c>
      <c r="H1522" s="40">
        <v>0</v>
      </c>
      <c r="I1522" s="40">
        <v>0</v>
      </c>
      <c r="J1522" s="40">
        <v>0</v>
      </c>
      <c r="K1522" s="40">
        <v>0</v>
      </c>
      <c r="L1522" s="40">
        <v>0</v>
      </c>
      <c r="M1522" s="40">
        <f t="shared" si="47"/>
        <v>0</v>
      </c>
      <c r="N1522" s="40">
        <f t="shared" si="48"/>
        <v>0</v>
      </c>
    </row>
    <row r="1523" spans="1:14" x14ac:dyDescent="0.35">
      <c r="A1523" s="33">
        <v>1520</v>
      </c>
      <c r="B1523" s="34" t="s">
        <v>1890</v>
      </c>
      <c r="C1523" s="33" t="s">
        <v>297</v>
      </c>
      <c r="D1523" s="33" t="s">
        <v>61</v>
      </c>
      <c r="E1523" s="33" t="s">
        <v>1863</v>
      </c>
      <c r="F1523" s="35">
        <v>1</v>
      </c>
      <c r="G1523" s="40">
        <v>0</v>
      </c>
      <c r="H1523" s="40">
        <v>0</v>
      </c>
      <c r="I1523" s="40">
        <v>0</v>
      </c>
      <c r="J1523" s="40">
        <v>0</v>
      </c>
      <c r="K1523" s="40">
        <v>0</v>
      </c>
      <c r="L1523" s="40">
        <v>0</v>
      </c>
      <c r="M1523" s="40">
        <f t="shared" si="47"/>
        <v>0</v>
      </c>
      <c r="N1523" s="40">
        <f t="shared" si="48"/>
        <v>0</v>
      </c>
    </row>
    <row r="1524" spans="1:14" x14ac:dyDescent="0.35">
      <c r="A1524" s="33">
        <v>1521</v>
      </c>
      <c r="B1524" s="34" t="s">
        <v>1891</v>
      </c>
      <c r="C1524" s="33" t="s">
        <v>297</v>
      </c>
      <c r="D1524" s="33" t="s">
        <v>61</v>
      </c>
      <c r="E1524" s="33" t="s">
        <v>1863</v>
      </c>
      <c r="F1524" s="35">
        <v>1</v>
      </c>
      <c r="G1524" s="40">
        <v>0</v>
      </c>
      <c r="H1524" s="40">
        <v>0</v>
      </c>
      <c r="I1524" s="40">
        <v>0</v>
      </c>
      <c r="J1524" s="40">
        <v>0</v>
      </c>
      <c r="K1524" s="40">
        <v>0</v>
      </c>
      <c r="L1524" s="40">
        <v>0</v>
      </c>
      <c r="M1524" s="40">
        <f t="shared" si="47"/>
        <v>0</v>
      </c>
      <c r="N1524" s="40">
        <f t="shared" si="48"/>
        <v>0</v>
      </c>
    </row>
    <row r="1525" spans="1:14" x14ac:dyDescent="0.35">
      <c r="A1525" s="33">
        <v>1522</v>
      </c>
      <c r="B1525" s="34" t="s">
        <v>1892</v>
      </c>
      <c r="C1525" s="33" t="s">
        <v>297</v>
      </c>
      <c r="D1525" s="33" t="s">
        <v>61</v>
      </c>
      <c r="E1525" s="33" t="s">
        <v>1863</v>
      </c>
      <c r="F1525" s="35">
        <v>1</v>
      </c>
      <c r="G1525" s="40">
        <v>0</v>
      </c>
      <c r="H1525" s="40">
        <v>0</v>
      </c>
      <c r="I1525" s="40">
        <v>0</v>
      </c>
      <c r="J1525" s="40">
        <v>0</v>
      </c>
      <c r="K1525" s="40">
        <v>0</v>
      </c>
      <c r="L1525" s="40">
        <v>0</v>
      </c>
      <c r="M1525" s="40">
        <f t="shared" si="47"/>
        <v>0</v>
      </c>
      <c r="N1525" s="40">
        <f t="shared" si="48"/>
        <v>0</v>
      </c>
    </row>
    <row r="1526" spans="1:14" x14ac:dyDescent="0.35">
      <c r="A1526" s="33">
        <v>1523</v>
      </c>
      <c r="B1526" s="34" t="s">
        <v>1893</v>
      </c>
      <c r="C1526" s="33" t="s">
        <v>297</v>
      </c>
      <c r="D1526" s="33" t="s">
        <v>61</v>
      </c>
      <c r="E1526" s="33" t="s">
        <v>1863</v>
      </c>
      <c r="F1526" s="35">
        <v>1</v>
      </c>
      <c r="G1526" s="40">
        <v>0</v>
      </c>
      <c r="H1526" s="40">
        <v>0</v>
      </c>
      <c r="I1526" s="40">
        <v>0</v>
      </c>
      <c r="J1526" s="40">
        <v>0</v>
      </c>
      <c r="K1526" s="40">
        <v>0</v>
      </c>
      <c r="L1526" s="40">
        <v>0</v>
      </c>
      <c r="M1526" s="40">
        <f t="shared" si="47"/>
        <v>0</v>
      </c>
      <c r="N1526" s="40">
        <f t="shared" si="48"/>
        <v>0</v>
      </c>
    </row>
    <row r="1527" spans="1:14" x14ac:dyDescent="0.35">
      <c r="A1527" s="33">
        <v>1524</v>
      </c>
      <c r="B1527" s="34" t="s">
        <v>1894</v>
      </c>
      <c r="C1527" s="33" t="s">
        <v>297</v>
      </c>
      <c r="D1527" s="33" t="s">
        <v>61</v>
      </c>
      <c r="E1527" s="33" t="s">
        <v>1863</v>
      </c>
      <c r="F1527" s="35">
        <v>1</v>
      </c>
      <c r="G1527" s="40">
        <v>0</v>
      </c>
      <c r="H1527" s="40">
        <v>0</v>
      </c>
      <c r="I1527" s="40">
        <v>0</v>
      </c>
      <c r="J1527" s="40">
        <v>0</v>
      </c>
      <c r="K1527" s="40">
        <v>0</v>
      </c>
      <c r="L1527" s="40">
        <v>0</v>
      </c>
      <c r="M1527" s="40">
        <f t="shared" si="47"/>
        <v>0</v>
      </c>
      <c r="N1527" s="40">
        <f t="shared" si="48"/>
        <v>0</v>
      </c>
    </row>
    <row r="1528" spans="1:14" x14ac:dyDescent="0.35">
      <c r="A1528" s="33">
        <v>1525</v>
      </c>
      <c r="B1528" s="34" t="s">
        <v>1895</v>
      </c>
      <c r="C1528" s="33" t="s">
        <v>297</v>
      </c>
      <c r="D1528" s="33" t="s">
        <v>61</v>
      </c>
      <c r="E1528" s="33" t="s">
        <v>1863</v>
      </c>
      <c r="F1528" s="35">
        <v>1</v>
      </c>
      <c r="G1528" s="40">
        <v>0</v>
      </c>
      <c r="H1528" s="40">
        <v>0</v>
      </c>
      <c r="I1528" s="40">
        <v>0</v>
      </c>
      <c r="J1528" s="40">
        <v>0</v>
      </c>
      <c r="K1528" s="40">
        <v>0</v>
      </c>
      <c r="L1528" s="40">
        <v>0</v>
      </c>
      <c r="M1528" s="40">
        <f t="shared" si="47"/>
        <v>0</v>
      </c>
      <c r="N1528" s="40">
        <f t="shared" si="48"/>
        <v>0</v>
      </c>
    </row>
    <row r="1529" spans="1:14" x14ac:dyDescent="0.35">
      <c r="A1529" s="33">
        <v>1526</v>
      </c>
      <c r="B1529" s="34" t="s">
        <v>1896</v>
      </c>
      <c r="C1529" s="33" t="s">
        <v>297</v>
      </c>
      <c r="D1529" s="33" t="s">
        <v>61</v>
      </c>
      <c r="E1529" s="33" t="s">
        <v>1863</v>
      </c>
      <c r="F1529" s="35">
        <v>1</v>
      </c>
      <c r="G1529" s="40">
        <v>0</v>
      </c>
      <c r="H1529" s="40">
        <v>0</v>
      </c>
      <c r="I1529" s="40">
        <v>0</v>
      </c>
      <c r="J1529" s="40">
        <v>0</v>
      </c>
      <c r="K1529" s="40">
        <v>0</v>
      </c>
      <c r="L1529" s="40">
        <v>0</v>
      </c>
      <c r="M1529" s="40">
        <f t="shared" si="47"/>
        <v>0</v>
      </c>
      <c r="N1529" s="40">
        <f t="shared" si="48"/>
        <v>0</v>
      </c>
    </row>
    <row r="1530" spans="1:14" x14ac:dyDescent="0.35">
      <c r="A1530" s="33">
        <v>1527</v>
      </c>
      <c r="B1530" s="34" t="s">
        <v>1897</v>
      </c>
      <c r="C1530" s="33" t="s">
        <v>297</v>
      </c>
      <c r="D1530" s="33" t="s">
        <v>61</v>
      </c>
      <c r="E1530" s="33" t="s">
        <v>1863</v>
      </c>
      <c r="F1530" s="35">
        <v>1</v>
      </c>
      <c r="G1530" s="40">
        <v>0</v>
      </c>
      <c r="H1530" s="40">
        <v>0</v>
      </c>
      <c r="I1530" s="40">
        <v>0</v>
      </c>
      <c r="J1530" s="40">
        <v>0</v>
      </c>
      <c r="K1530" s="40">
        <v>0</v>
      </c>
      <c r="L1530" s="40">
        <v>0</v>
      </c>
      <c r="M1530" s="40">
        <f t="shared" si="47"/>
        <v>0</v>
      </c>
      <c r="N1530" s="40">
        <f t="shared" si="48"/>
        <v>0</v>
      </c>
    </row>
    <row r="1531" spans="1:14" x14ac:dyDescent="0.35">
      <c r="A1531" s="33">
        <v>1528</v>
      </c>
      <c r="B1531" s="34" t="s">
        <v>1898</v>
      </c>
      <c r="C1531" s="33" t="s">
        <v>297</v>
      </c>
      <c r="D1531" s="33" t="s">
        <v>61</v>
      </c>
      <c r="E1531" s="33" t="s">
        <v>1863</v>
      </c>
      <c r="F1531" s="35">
        <v>1</v>
      </c>
      <c r="G1531" s="40">
        <v>0</v>
      </c>
      <c r="H1531" s="40">
        <v>0</v>
      </c>
      <c r="I1531" s="40">
        <v>0</v>
      </c>
      <c r="J1531" s="40">
        <v>0</v>
      </c>
      <c r="K1531" s="40">
        <v>0</v>
      </c>
      <c r="L1531" s="40">
        <v>0</v>
      </c>
      <c r="M1531" s="40">
        <f t="shared" si="47"/>
        <v>0</v>
      </c>
      <c r="N1531" s="40">
        <f t="shared" si="48"/>
        <v>0</v>
      </c>
    </row>
    <row r="1532" spans="1:14" x14ac:dyDescent="0.35">
      <c r="A1532" s="33">
        <v>1529</v>
      </c>
      <c r="B1532" s="34" t="s">
        <v>1899</v>
      </c>
      <c r="C1532" s="33" t="s">
        <v>297</v>
      </c>
      <c r="D1532" s="33" t="s">
        <v>61</v>
      </c>
      <c r="E1532" s="33" t="s">
        <v>1863</v>
      </c>
      <c r="F1532" s="35">
        <v>1</v>
      </c>
      <c r="G1532" s="40">
        <v>0</v>
      </c>
      <c r="H1532" s="40">
        <v>0</v>
      </c>
      <c r="I1532" s="40">
        <v>0</v>
      </c>
      <c r="J1532" s="40">
        <v>0</v>
      </c>
      <c r="K1532" s="40">
        <v>0</v>
      </c>
      <c r="L1532" s="40">
        <v>0</v>
      </c>
      <c r="M1532" s="40">
        <f t="shared" si="47"/>
        <v>0</v>
      </c>
      <c r="N1532" s="40">
        <f t="shared" si="48"/>
        <v>0</v>
      </c>
    </row>
    <row r="1533" spans="1:14" x14ac:dyDescent="0.35">
      <c r="A1533" s="33">
        <v>1530</v>
      </c>
      <c r="B1533" s="34" t="s">
        <v>1900</v>
      </c>
      <c r="C1533" s="33" t="s">
        <v>297</v>
      </c>
      <c r="D1533" s="33" t="s">
        <v>61</v>
      </c>
      <c r="E1533" s="33" t="s">
        <v>1863</v>
      </c>
      <c r="F1533" s="35">
        <v>1</v>
      </c>
      <c r="G1533" s="40">
        <v>0</v>
      </c>
      <c r="H1533" s="40">
        <v>0</v>
      </c>
      <c r="I1533" s="40">
        <v>0</v>
      </c>
      <c r="J1533" s="40">
        <v>0</v>
      </c>
      <c r="K1533" s="40">
        <v>0</v>
      </c>
      <c r="L1533" s="40">
        <v>0</v>
      </c>
      <c r="M1533" s="40">
        <f t="shared" si="47"/>
        <v>0</v>
      </c>
      <c r="N1533" s="40">
        <f t="shared" si="48"/>
        <v>0</v>
      </c>
    </row>
    <row r="1534" spans="1:14" x14ac:dyDescent="0.35">
      <c r="A1534" s="33">
        <v>1531</v>
      </c>
      <c r="B1534" s="34" t="s">
        <v>1901</v>
      </c>
      <c r="C1534" s="33" t="s">
        <v>297</v>
      </c>
      <c r="D1534" s="33" t="s">
        <v>61</v>
      </c>
      <c r="E1534" s="33" t="s">
        <v>1863</v>
      </c>
      <c r="F1534" s="35">
        <v>1</v>
      </c>
      <c r="G1534" s="40">
        <v>0</v>
      </c>
      <c r="H1534" s="40">
        <v>0</v>
      </c>
      <c r="I1534" s="40">
        <v>0</v>
      </c>
      <c r="J1534" s="40">
        <v>0</v>
      </c>
      <c r="K1534" s="40">
        <v>0</v>
      </c>
      <c r="L1534" s="40">
        <v>0</v>
      </c>
      <c r="M1534" s="40">
        <f t="shared" si="47"/>
        <v>0</v>
      </c>
      <c r="N1534" s="40">
        <f t="shared" si="48"/>
        <v>0</v>
      </c>
    </row>
    <row r="1535" spans="1:14" x14ac:dyDescent="0.35">
      <c r="A1535" s="33">
        <v>1532</v>
      </c>
      <c r="B1535" s="34" t="s">
        <v>1902</v>
      </c>
      <c r="C1535" s="33" t="s">
        <v>297</v>
      </c>
      <c r="D1535" s="33" t="s">
        <v>61</v>
      </c>
      <c r="E1535" s="33" t="s">
        <v>1863</v>
      </c>
      <c r="F1535" s="35">
        <v>1</v>
      </c>
      <c r="G1535" s="40">
        <v>0</v>
      </c>
      <c r="H1535" s="40">
        <v>0</v>
      </c>
      <c r="I1535" s="40">
        <v>0</v>
      </c>
      <c r="J1535" s="40">
        <v>0</v>
      </c>
      <c r="K1535" s="40">
        <v>0</v>
      </c>
      <c r="L1535" s="40">
        <v>0</v>
      </c>
      <c r="M1535" s="40">
        <f t="shared" si="47"/>
        <v>0</v>
      </c>
      <c r="N1535" s="40">
        <f t="shared" si="48"/>
        <v>0</v>
      </c>
    </row>
    <row r="1536" spans="1:14" x14ac:dyDescent="0.35">
      <c r="A1536" s="33">
        <v>1533</v>
      </c>
      <c r="B1536" s="34" t="s">
        <v>1903</v>
      </c>
      <c r="C1536" s="33" t="s">
        <v>297</v>
      </c>
      <c r="D1536" s="33" t="s">
        <v>61</v>
      </c>
      <c r="E1536" s="33" t="s">
        <v>1863</v>
      </c>
      <c r="F1536" s="35">
        <v>1</v>
      </c>
      <c r="G1536" s="40">
        <v>0</v>
      </c>
      <c r="H1536" s="40">
        <v>0</v>
      </c>
      <c r="I1536" s="40">
        <v>0</v>
      </c>
      <c r="J1536" s="40">
        <v>0</v>
      </c>
      <c r="K1536" s="40">
        <v>0</v>
      </c>
      <c r="L1536" s="40">
        <v>0</v>
      </c>
      <c r="M1536" s="40">
        <f t="shared" si="47"/>
        <v>0</v>
      </c>
      <c r="N1536" s="40">
        <f t="shared" si="48"/>
        <v>0</v>
      </c>
    </row>
    <row r="1537" spans="1:14" x14ac:dyDescent="0.35">
      <c r="A1537" s="33">
        <v>1534</v>
      </c>
      <c r="B1537" s="34" t="s">
        <v>1904</v>
      </c>
      <c r="C1537" s="33" t="s">
        <v>297</v>
      </c>
      <c r="D1537" s="33" t="s">
        <v>61</v>
      </c>
      <c r="E1537" s="33" t="s">
        <v>1863</v>
      </c>
      <c r="F1537" s="35">
        <v>1</v>
      </c>
      <c r="G1537" s="40">
        <v>0</v>
      </c>
      <c r="H1537" s="40">
        <v>0</v>
      </c>
      <c r="I1537" s="40">
        <v>0</v>
      </c>
      <c r="J1537" s="40">
        <v>0</v>
      </c>
      <c r="K1537" s="40">
        <v>0</v>
      </c>
      <c r="L1537" s="40">
        <v>0</v>
      </c>
      <c r="M1537" s="40">
        <f t="shared" si="47"/>
        <v>0</v>
      </c>
      <c r="N1537" s="40">
        <f t="shared" si="48"/>
        <v>0</v>
      </c>
    </row>
    <row r="1538" spans="1:14" x14ac:dyDescent="0.35">
      <c r="A1538" s="33">
        <v>1535</v>
      </c>
      <c r="B1538" s="34" t="s">
        <v>1905</v>
      </c>
      <c r="C1538" s="33" t="s">
        <v>297</v>
      </c>
      <c r="D1538" s="33" t="s">
        <v>61</v>
      </c>
      <c r="E1538" s="33" t="s">
        <v>1863</v>
      </c>
      <c r="F1538" s="35">
        <v>1</v>
      </c>
      <c r="G1538" s="40">
        <v>0</v>
      </c>
      <c r="H1538" s="40">
        <v>0</v>
      </c>
      <c r="I1538" s="40">
        <v>0</v>
      </c>
      <c r="J1538" s="40">
        <v>0</v>
      </c>
      <c r="K1538" s="40">
        <v>0</v>
      </c>
      <c r="L1538" s="40">
        <v>0</v>
      </c>
      <c r="M1538" s="40">
        <f t="shared" si="47"/>
        <v>0</v>
      </c>
      <c r="N1538" s="40">
        <f t="shared" si="48"/>
        <v>0</v>
      </c>
    </row>
    <row r="1539" spans="1:14" x14ac:dyDescent="0.35">
      <c r="A1539" s="33">
        <v>1536</v>
      </c>
      <c r="B1539" s="34" t="s">
        <v>1906</v>
      </c>
      <c r="C1539" s="33" t="s">
        <v>297</v>
      </c>
      <c r="D1539" s="33" t="s">
        <v>61</v>
      </c>
      <c r="E1539" s="33" t="s">
        <v>1863</v>
      </c>
      <c r="F1539" s="35">
        <v>1</v>
      </c>
      <c r="G1539" s="40">
        <v>0</v>
      </c>
      <c r="H1539" s="40">
        <v>0</v>
      </c>
      <c r="I1539" s="40">
        <v>0</v>
      </c>
      <c r="J1539" s="40">
        <v>0</v>
      </c>
      <c r="K1539" s="40">
        <v>0</v>
      </c>
      <c r="L1539" s="40">
        <v>0</v>
      </c>
      <c r="M1539" s="40">
        <f t="shared" si="47"/>
        <v>0</v>
      </c>
      <c r="N1539" s="40">
        <f t="shared" si="48"/>
        <v>0</v>
      </c>
    </row>
    <row r="1540" spans="1:14" x14ac:dyDescent="0.35">
      <c r="A1540" s="33">
        <v>1537</v>
      </c>
      <c r="B1540" s="34" t="s">
        <v>1907</v>
      </c>
      <c r="C1540" s="33" t="s">
        <v>297</v>
      </c>
      <c r="D1540" s="33" t="s">
        <v>61</v>
      </c>
      <c r="E1540" s="33" t="s">
        <v>1863</v>
      </c>
      <c r="F1540" s="35">
        <v>1</v>
      </c>
      <c r="G1540" s="40">
        <v>0</v>
      </c>
      <c r="H1540" s="40">
        <v>0</v>
      </c>
      <c r="I1540" s="40">
        <v>0</v>
      </c>
      <c r="J1540" s="40">
        <v>0</v>
      </c>
      <c r="K1540" s="40">
        <v>0</v>
      </c>
      <c r="L1540" s="40">
        <v>0</v>
      </c>
      <c r="M1540" s="40">
        <f t="shared" si="47"/>
        <v>0</v>
      </c>
      <c r="N1540" s="40">
        <f t="shared" si="48"/>
        <v>0</v>
      </c>
    </row>
    <row r="1541" spans="1:14" x14ac:dyDescent="0.35">
      <c r="A1541" s="33">
        <v>1538</v>
      </c>
      <c r="B1541" s="34" t="s">
        <v>1908</v>
      </c>
      <c r="C1541" s="33" t="s">
        <v>297</v>
      </c>
      <c r="D1541" s="33" t="s">
        <v>61</v>
      </c>
      <c r="E1541" s="33" t="s">
        <v>1863</v>
      </c>
      <c r="F1541" s="35">
        <v>1</v>
      </c>
      <c r="G1541" s="40">
        <v>0</v>
      </c>
      <c r="H1541" s="40">
        <v>0</v>
      </c>
      <c r="I1541" s="40">
        <v>0</v>
      </c>
      <c r="J1541" s="40">
        <v>0</v>
      </c>
      <c r="K1541" s="40">
        <v>0</v>
      </c>
      <c r="L1541" s="40">
        <v>0</v>
      </c>
      <c r="M1541" s="40">
        <f t="shared" ref="M1541:M1604" si="49">G1541+I1541+K1541</f>
        <v>0</v>
      </c>
      <c r="N1541" s="40">
        <f t="shared" ref="N1541:N1604" si="50">H1541+J1541+L1541</f>
        <v>0</v>
      </c>
    </row>
    <row r="1542" spans="1:14" x14ac:dyDescent="0.35">
      <c r="A1542" s="33">
        <v>1539</v>
      </c>
      <c r="B1542" s="34" t="s">
        <v>1909</v>
      </c>
      <c r="C1542" s="33" t="s">
        <v>297</v>
      </c>
      <c r="D1542" s="33" t="s">
        <v>61</v>
      </c>
      <c r="E1542" s="33" t="s">
        <v>1863</v>
      </c>
      <c r="F1542" s="35">
        <v>1</v>
      </c>
      <c r="G1542" s="40">
        <v>0</v>
      </c>
      <c r="H1542" s="40">
        <v>0</v>
      </c>
      <c r="I1542" s="40">
        <v>0</v>
      </c>
      <c r="J1542" s="40">
        <v>0</v>
      </c>
      <c r="K1542" s="40">
        <v>0</v>
      </c>
      <c r="L1542" s="40">
        <v>0</v>
      </c>
      <c r="M1542" s="40">
        <f t="shared" si="49"/>
        <v>0</v>
      </c>
      <c r="N1542" s="40">
        <f t="shared" si="50"/>
        <v>0</v>
      </c>
    </row>
    <row r="1543" spans="1:14" x14ac:dyDescent="0.35">
      <c r="A1543" s="33">
        <v>1540</v>
      </c>
      <c r="B1543" s="34" t="s">
        <v>1910</v>
      </c>
      <c r="C1543" s="33" t="s">
        <v>297</v>
      </c>
      <c r="D1543" s="33" t="s">
        <v>61</v>
      </c>
      <c r="E1543" s="33" t="s">
        <v>1863</v>
      </c>
      <c r="F1543" s="35">
        <v>1</v>
      </c>
      <c r="G1543" s="40">
        <v>0</v>
      </c>
      <c r="H1543" s="40">
        <v>0</v>
      </c>
      <c r="I1543" s="40">
        <v>0</v>
      </c>
      <c r="J1543" s="40">
        <v>0</v>
      </c>
      <c r="K1543" s="40">
        <v>0</v>
      </c>
      <c r="L1543" s="40">
        <v>0</v>
      </c>
      <c r="M1543" s="40">
        <f t="shared" si="49"/>
        <v>0</v>
      </c>
      <c r="N1543" s="40">
        <f t="shared" si="50"/>
        <v>0</v>
      </c>
    </row>
    <row r="1544" spans="1:14" x14ac:dyDescent="0.35">
      <c r="A1544" s="33">
        <v>1541</v>
      </c>
      <c r="B1544" s="34" t="s">
        <v>1911</v>
      </c>
      <c r="C1544" s="33" t="s">
        <v>297</v>
      </c>
      <c r="D1544" s="33" t="s">
        <v>61</v>
      </c>
      <c r="E1544" s="33" t="s">
        <v>1863</v>
      </c>
      <c r="F1544" s="35">
        <v>1</v>
      </c>
      <c r="G1544" s="40">
        <v>0</v>
      </c>
      <c r="H1544" s="40">
        <v>0</v>
      </c>
      <c r="I1544" s="40">
        <v>0</v>
      </c>
      <c r="J1544" s="40">
        <v>0</v>
      </c>
      <c r="K1544" s="40">
        <v>0</v>
      </c>
      <c r="L1544" s="40">
        <v>0</v>
      </c>
      <c r="M1544" s="40">
        <f t="shared" si="49"/>
        <v>0</v>
      </c>
      <c r="N1544" s="40">
        <f t="shared" si="50"/>
        <v>0</v>
      </c>
    </row>
    <row r="1545" spans="1:14" x14ac:dyDescent="0.35">
      <c r="A1545" s="33">
        <v>1542</v>
      </c>
      <c r="B1545" s="34" t="s">
        <v>1912</v>
      </c>
      <c r="C1545" s="33" t="s">
        <v>297</v>
      </c>
      <c r="D1545" s="33" t="s">
        <v>61</v>
      </c>
      <c r="E1545" s="33" t="s">
        <v>1863</v>
      </c>
      <c r="F1545" s="35">
        <v>1</v>
      </c>
      <c r="G1545" s="40">
        <v>0</v>
      </c>
      <c r="H1545" s="40">
        <v>0</v>
      </c>
      <c r="I1545" s="40">
        <v>0</v>
      </c>
      <c r="J1545" s="40">
        <v>0</v>
      </c>
      <c r="K1545" s="40">
        <v>0</v>
      </c>
      <c r="L1545" s="40">
        <v>0</v>
      </c>
      <c r="M1545" s="40">
        <f t="shared" si="49"/>
        <v>0</v>
      </c>
      <c r="N1545" s="40">
        <f t="shared" si="50"/>
        <v>0</v>
      </c>
    </row>
    <row r="1546" spans="1:14" x14ac:dyDescent="0.35">
      <c r="A1546" s="33">
        <v>1543</v>
      </c>
      <c r="B1546" s="34" t="s">
        <v>1913</v>
      </c>
      <c r="C1546" s="33" t="s">
        <v>297</v>
      </c>
      <c r="D1546" s="33" t="s">
        <v>61</v>
      </c>
      <c r="E1546" s="33" t="s">
        <v>1863</v>
      </c>
      <c r="F1546" s="35">
        <v>1</v>
      </c>
      <c r="G1546" s="40">
        <v>0</v>
      </c>
      <c r="H1546" s="40">
        <v>0</v>
      </c>
      <c r="I1546" s="40">
        <v>0</v>
      </c>
      <c r="J1546" s="40">
        <v>0</v>
      </c>
      <c r="K1546" s="40">
        <v>0</v>
      </c>
      <c r="L1546" s="40">
        <v>0</v>
      </c>
      <c r="M1546" s="40">
        <f t="shared" si="49"/>
        <v>0</v>
      </c>
      <c r="N1546" s="40">
        <f t="shared" si="50"/>
        <v>0</v>
      </c>
    </row>
    <row r="1547" spans="1:14" x14ac:dyDescent="0.35">
      <c r="A1547" s="33">
        <v>1544</v>
      </c>
      <c r="B1547" s="34" t="s">
        <v>1914</v>
      </c>
      <c r="C1547" s="33" t="s">
        <v>297</v>
      </c>
      <c r="D1547" s="33" t="s">
        <v>61</v>
      </c>
      <c r="E1547" s="33" t="s">
        <v>1863</v>
      </c>
      <c r="F1547" s="35">
        <v>1</v>
      </c>
      <c r="G1547" s="40">
        <v>0</v>
      </c>
      <c r="H1547" s="40">
        <v>0</v>
      </c>
      <c r="I1547" s="40">
        <v>0</v>
      </c>
      <c r="J1547" s="40">
        <v>0</v>
      </c>
      <c r="K1547" s="40">
        <v>0</v>
      </c>
      <c r="L1547" s="40">
        <v>0</v>
      </c>
      <c r="M1547" s="40">
        <f t="shared" si="49"/>
        <v>0</v>
      </c>
      <c r="N1547" s="40">
        <f t="shared" si="50"/>
        <v>0</v>
      </c>
    </row>
    <row r="1548" spans="1:14" x14ac:dyDescent="0.35">
      <c r="A1548" s="33">
        <v>1545</v>
      </c>
      <c r="B1548" s="34" t="s">
        <v>1915</v>
      </c>
      <c r="C1548" s="33" t="s">
        <v>297</v>
      </c>
      <c r="D1548" s="33" t="s">
        <v>61</v>
      </c>
      <c r="E1548" s="33" t="s">
        <v>1863</v>
      </c>
      <c r="F1548" s="35">
        <v>1</v>
      </c>
      <c r="G1548" s="40">
        <v>0</v>
      </c>
      <c r="H1548" s="40">
        <v>0</v>
      </c>
      <c r="I1548" s="40">
        <v>0</v>
      </c>
      <c r="J1548" s="40">
        <v>0</v>
      </c>
      <c r="K1548" s="40">
        <v>0</v>
      </c>
      <c r="L1548" s="40">
        <v>0</v>
      </c>
      <c r="M1548" s="40">
        <f t="shared" si="49"/>
        <v>0</v>
      </c>
      <c r="N1548" s="40">
        <f t="shared" si="50"/>
        <v>0</v>
      </c>
    </row>
    <row r="1549" spans="1:14" x14ac:dyDescent="0.35">
      <c r="A1549" s="33">
        <v>1546</v>
      </c>
      <c r="B1549" s="34" t="s">
        <v>1916</v>
      </c>
      <c r="C1549" s="33" t="s">
        <v>297</v>
      </c>
      <c r="D1549" s="33" t="s">
        <v>61</v>
      </c>
      <c r="E1549" s="33" t="s">
        <v>1863</v>
      </c>
      <c r="F1549" s="35">
        <v>1</v>
      </c>
      <c r="G1549" s="40">
        <v>0</v>
      </c>
      <c r="H1549" s="40">
        <v>0</v>
      </c>
      <c r="I1549" s="40">
        <v>0</v>
      </c>
      <c r="J1549" s="40">
        <v>0</v>
      </c>
      <c r="K1549" s="40">
        <v>0</v>
      </c>
      <c r="L1549" s="40">
        <v>0</v>
      </c>
      <c r="M1549" s="40">
        <f t="shared" si="49"/>
        <v>0</v>
      </c>
      <c r="N1549" s="40">
        <f t="shared" si="50"/>
        <v>0</v>
      </c>
    </row>
    <row r="1550" spans="1:14" x14ac:dyDescent="0.35">
      <c r="A1550" s="33">
        <v>1547</v>
      </c>
      <c r="B1550" s="34" t="s">
        <v>1917</v>
      </c>
      <c r="C1550" s="33" t="s">
        <v>297</v>
      </c>
      <c r="D1550" s="33" t="s">
        <v>61</v>
      </c>
      <c r="E1550" s="33" t="s">
        <v>1863</v>
      </c>
      <c r="F1550" s="35">
        <v>1</v>
      </c>
      <c r="G1550" s="40">
        <v>0</v>
      </c>
      <c r="H1550" s="40">
        <v>0</v>
      </c>
      <c r="I1550" s="40">
        <v>0</v>
      </c>
      <c r="J1550" s="40">
        <v>0</v>
      </c>
      <c r="K1550" s="40">
        <v>0</v>
      </c>
      <c r="L1550" s="40">
        <v>0</v>
      </c>
      <c r="M1550" s="40">
        <f t="shared" si="49"/>
        <v>0</v>
      </c>
      <c r="N1550" s="40">
        <f t="shared" si="50"/>
        <v>0</v>
      </c>
    </row>
    <row r="1551" spans="1:14" x14ac:dyDescent="0.35">
      <c r="A1551" s="33">
        <v>1548</v>
      </c>
      <c r="B1551" s="34" t="s">
        <v>1918</v>
      </c>
      <c r="C1551" s="33" t="s">
        <v>297</v>
      </c>
      <c r="D1551" s="33" t="s">
        <v>61</v>
      </c>
      <c r="E1551" s="33" t="s">
        <v>1863</v>
      </c>
      <c r="F1551" s="35">
        <v>1</v>
      </c>
      <c r="G1551" s="40">
        <v>0</v>
      </c>
      <c r="H1551" s="40">
        <v>0</v>
      </c>
      <c r="I1551" s="40">
        <v>0</v>
      </c>
      <c r="J1551" s="40">
        <v>0</v>
      </c>
      <c r="K1551" s="40">
        <v>0</v>
      </c>
      <c r="L1551" s="40">
        <v>0</v>
      </c>
      <c r="M1551" s="40">
        <f t="shared" si="49"/>
        <v>0</v>
      </c>
      <c r="N1551" s="40">
        <f t="shared" si="50"/>
        <v>0</v>
      </c>
    </row>
    <row r="1552" spans="1:14" x14ac:dyDescent="0.35">
      <c r="A1552" s="33">
        <v>1549</v>
      </c>
      <c r="B1552" s="34" t="s">
        <v>1919</v>
      </c>
      <c r="C1552" s="33" t="s">
        <v>297</v>
      </c>
      <c r="D1552" s="33" t="s">
        <v>61</v>
      </c>
      <c r="E1552" s="33" t="s">
        <v>1863</v>
      </c>
      <c r="F1552" s="35">
        <v>1</v>
      </c>
      <c r="G1552" s="40">
        <v>0</v>
      </c>
      <c r="H1552" s="40">
        <v>0</v>
      </c>
      <c r="I1552" s="40">
        <v>0</v>
      </c>
      <c r="J1552" s="40">
        <v>0</v>
      </c>
      <c r="K1552" s="40">
        <v>0</v>
      </c>
      <c r="L1552" s="40">
        <v>0</v>
      </c>
      <c r="M1552" s="40">
        <f t="shared" si="49"/>
        <v>0</v>
      </c>
      <c r="N1552" s="40">
        <f t="shared" si="50"/>
        <v>0</v>
      </c>
    </row>
    <row r="1553" spans="1:14" x14ac:dyDescent="0.35">
      <c r="A1553" s="33">
        <v>1550</v>
      </c>
      <c r="B1553" s="34" t="s">
        <v>1920</v>
      </c>
      <c r="C1553" s="33" t="s">
        <v>297</v>
      </c>
      <c r="D1553" s="33" t="s">
        <v>61</v>
      </c>
      <c r="E1553" s="33" t="s">
        <v>1863</v>
      </c>
      <c r="F1553" s="35">
        <v>1</v>
      </c>
      <c r="G1553" s="40">
        <v>0</v>
      </c>
      <c r="H1553" s="40">
        <v>0</v>
      </c>
      <c r="I1553" s="40">
        <v>0</v>
      </c>
      <c r="J1553" s="40">
        <v>0</v>
      </c>
      <c r="K1553" s="40">
        <v>0</v>
      </c>
      <c r="L1553" s="40">
        <v>0</v>
      </c>
      <c r="M1553" s="40">
        <f t="shared" si="49"/>
        <v>0</v>
      </c>
      <c r="N1553" s="40">
        <f t="shared" si="50"/>
        <v>0</v>
      </c>
    </row>
    <row r="1554" spans="1:14" x14ac:dyDescent="0.35">
      <c r="A1554" s="33">
        <v>1551</v>
      </c>
      <c r="B1554" s="34" t="s">
        <v>1921</v>
      </c>
      <c r="C1554" s="33" t="s">
        <v>297</v>
      </c>
      <c r="D1554" s="33" t="s">
        <v>61</v>
      </c>
      <c r="E1554" s="33" t="s">
        <v>1863</v>
      </c>
      <c r="F1554" s="35">
        <v>1</v>
      </c>
      <c r="G1554" s="40">
        <v>0</v>
      </c>
      <c r="H1554" s="40">
        <v>0</v>
      </c>
      <c r="I1554" s="40">
        <v>0</v>
      </c>
      <c r="J1554" s="40">
        <v>0</v>
      </c>
      <c r="K1554" s="40">
        <v>0</v>
      </c>
      <c r="L1554" s="40">
        <v>0</v>
      </c>
      <c r="M1554" s="40">
        <f t="shared" si="49"/>
        <v>0</v>
      </c>
      <c r="N1554" s="40">
        <f t="shared" si="50"/>
        <v>0</v>
      </c>
    </row>
    <row r="1555" spans="1:14" x14ac:dyDescent="0.35">
      <c r="A1555" s="33">
        <v>1552</v>
      </c>
      <c r="B1555" s="34" t="s">
        <v>1922</v>
      </c>
      <c r="C1555" s="33" t="s">
        <v>297</v>
      </c>
      <c r="D1555" s="33" t="s">
        <v>61</v>
      </c>
      <c r="E1555" s="33" t="s">
        <v>1863</v>
      </c>
      <c r="F1555" s="35">
        <v>1</v>
      </c>
      <c r="G1555" s="40">
        <v>0</v>
      </c>
      <c r="H1555" s="40">
        <v>0</v>
      </c>
      <c r="I1555" s="40">
        <v>0</v>
      </c>
      <c r="J1555" s="40">
        <v>0</v>
      </c>
      <c r="K1555" s="40">
        <v>0</v>
      </c>
      <c r="L1555" s="40">
        <v>0</v>
      </c>
      <c r="M1555" s="40">
        <f t="shared" si="49"/>
        <v>0</v>
      </c>
      <c r="N1555" s="40">
        <f t="shared" si="50"/>
        <v>0</v>
      </c>
    </row>
    <row r="1556" spans="1:14" x14ac:dyDescent="0.35">
      <c r="A1556" s="33">
        <v>1553</v>
      </c>
      <c r="B1556" s="34" t="s">
        <v>1923</v>
      </c>
      <c r="C1556" s="33" t="s">
        <v>297</v>
      </c>
      <c r="D1556" s="33" t="s">
        <v>61</v>
      </c>
      <c r="E1556" s="33" t="s">
        <v>1863</v>
      </c>
      <c r="F1556" s="35">
        <v>1</v>
      </c>
      <c r="G1556" s="40">
        <v>0</v>
      </c>
      <c r="H1556" s="40">
        <v>0</v>
      </c>
      <c r="I1556" s="40">
        <v>0</v>
      </c>
      <c r="J1556" s="40">
        <v>3.1</v>
      </c>
      <c r="K1556" s="40">
        <v>0</v>
      </c>
      <c r="L1556" s="40">
        <v>0</v>
      </c>
      <c r="M1556" s="40">
        <f t="shared" si="49"/>
        <v>0</v>
      </c>
      <c r="N1556" s="40">
        <f t="shared" si="50"/>
        <v>3.1</v>
      </c>
    </row>
    <row r="1557" spans="1:14" x14ac:dyDescent="0.35">
      <c r="A1557" s="33">
        <v>1554</v>
      </c>
      <c r="B1557" s="34" t="s">
        <v>1924</v>
      </c>
      <c r="C1557" s="33" t="s">
        <v>297</v>
      </c>
      <c r="D1557" s="33" t="s">
        <v>61</v>
      </c>
      <c r="E1557" s="33" t="s">
        <v>1863</v>
      </c>
      <c r="F1557" s="35">
        <v>1</v>
      </c>
      <c r="G1557" s="40">
        <v>0</v>
      </c>
      <c r="H1557" s="40">
        <v>0</v>
      </c>
      <c r="I1557" s="40">
        <v>0</v>
      </c>
      <c r="J1557" s="40">
        <v>0</v>
      </c>
      <c r="K1557" s="40">
        <v>0</v>
      </c>
      <c r="L1557" s="40">
        <v>0</v>
      </c>
      <c r="M1557" s="40">
        <f t="shared" si="49"/>
        <v>0</v>
      </c>
      <c r="N1557" s="40">
        <f t="shared" si="50"/>
        <v>0</v>
      </c>
    </row>
    <row r="1558" spans="1:14" x14ac:dyDescent="0.35">
      <c r="A1558" s="33">
        <v>1555</v>
      </c>
      <c r="B1558" s="34" t="s">
        <v>1925</v>
      </c>
      <c r="C1558" s="33" t="s">
        <v>297</v>
      </c>
      <c r="D1558" s="33" t="s">
        <v>61</v>
      </c>
      <c r="E1558" s="33" t="s">
        <v>1863</v>
      </c>
      <c r="F1558" s="35">
        <v>1</v>
      </c>
      <c r="G1558" s="40">
        <v>0</v>
      </c>
      <c r="H1558" s="40">
        <v>0</v>
      </c>
      <c r="I1558" s="40">
        <v>0</v>
      </c>
      <c r="J1558" s="40">
        <v>0</v>
      </c>
      <c r="K1558" s="40">
        <v>0</v>
      </c>
      <c r="L1558" s="40">
        <v>0</v>
      </c>
      <c r="M1558" s="40">
        <f t="shared" si="49"/>
        <v>0</v>
      </c>
      <c r="N1558" s="40">
        <f t="shared" si="50"/>
        <v>0</v>
      </c>
    </row>
    <row r="1559" spans="1:14" x14ac:dyDescent="0.35">
      <c r="A1559" s="33">
        <v>1556</v>
      </c>
      <c r="B1559" s="34" t="s">
        <v>1926</v>
      </c>
      <c r="C1559" s="33" t="s">
        <v>297</v>
      </c>
      <c r="D1559" s="33" t="s">
        <v>61</v>
      </c>
      <c r="E1559" s="33" t="s">
        <v>1863</v>
      </c>
      <c r="F1559" s="35">
        <v>1</v>
      </c>
      <c r="G1559" s="40">
        <v>0</v>
      </c>
      <c r="H1559" s="40">
        <v>0</v>
      </c>
      <c r="I1559" s="40">
        <v>0</v>
      </c>
      <c r="J1559" s="40">
        <v>0</v>
      </c>
      <c r="K1559" s="40">
        <v>0</v>
      </c>
      <c r="L1559" s="40">
        <v>0</v>
      </c>
      <c r="M1559" s="40">
        <f t="shared" si="49"/>
        <v>0</v>
      </c>
      <c r="N1559" s="40">
        <f t="shared" si="50"/>
        <v>0</v>
      </c>
    </row>
    <row r="1560" spans="1:14" x14ac:dyDescent="0.35">
      <c r="A1560" s="33">
        <v>1557</v>
      </c>
      <c r="B1560" s="34" t="s">
        <v>1927</v>
      </c>
      <c r="C1560" s="33" t="s">
        <v>297</v>
      </c>
      <c r="D1560" s="33" t="s">
        <v>61</v>
      </c>
      <c r="E1560" s="33" t="s">
        <v>1863</v>
      </c>
      <c r="F1560" s="35">
        <v>1</v>
      </c>
      <c r="G1560" s="40">
        <v>0</v>
      </c>
      <c r="H1560" s="40">
        <v>0</v>
      </c>
      <c r="I1560" s="40">
        <v>0</v>
      </c>
      <c r="J1560" s="40">
        <v>0</v>
      </c>
      <c r="K1560" s="40">
        <v>0</v>
      </c>
      <c r="L1560" s="40">
        <v>0</v>
      </c>
      <c r="M1560" s="40">
        <f t="shared" si="49"/>
        <v>0</v>
      </c>
      <c r="N1560" s="40">
        <f t="shared" si="50"/>
        <v>0</v>
      </c>
    </row>
    <row r="1561" spans="1:14" x14ac:dyDescent="0.35">
      <c r="A1561" s="33">
        <v>1558</v>
      </c>
      <c r="B1561" s="34" t="s">
        <v>1928</v>
      </c>
      <c r="C1561" s="33" t="s">
        <v>297</v>
      </c>
      <c r="D1561" s="33" t="s">
        <v>61</v>
      </c>
      <c r="E1561" s="33" t="s">
        <v>1863</v>
      </c>
      <c r="F1561" s="35">
        <v>1</v>
      </c>
      <c r="G1561" s="40">
        <v>0</v>
      </c>
      <c r="H1561" s="40">
        <v>0</v>
      </c>
      <c r="I1561" s="40">
        <v>0</v>
      </c>
      <c r="J1561" s="40">
        <v>0</v>
      </c>
      <c r="K1561" s="40">
        <v>0</v>
      </c>
      <c r="L1561" s="40">
        <v>0</v>
      </c>
      <c r="M1561" s="40">
        <f t="shared" si="49"/>
        <v>0</v>
      </c>
      <c r="N1561" s="40">
        <f t="shared" si="50"/>
        <v>0</v>
      </c>
    </row>
    <row r="1562" spans="1:14" x14ac:dyDescent="0.35">
      <c r="A1562" s="33">
        <v>1559</v>
      </c>
      <c r="B1562" s="34" t="s">
        <v>1929</v>
      </c>
      <c r="C1562" s="33" t="s">
        <v>297</v>
      </c>
      <c r="D1562" s="33" t="s">
        <v>61</v>
      </c>
      <c r="E1562" s="33" t="s">
        <v>1863</v>
      </c>
      <c r="F1562" s="35">
        <v>1</v>
      </c>
      <c r="G1562" s="40">
        <v>0</v>
      </c>
      <c r="H1562" s="40">
        <v>0</v>
      </c>
      <c r="I1562" s="40">
        <v>0</v>
      </c>
      <c r="J1562" s="40">
        <v>0</v>
      </c>
      <c r="K1562" s="40">
        <v>0</v>
      </c>
      <c r="L1562" s="40">
        <v>0</v>
      </c>
      <c r="M1562" s="40">
        <f t="shared" si="49"/>
        <v>0</v>
      </c>
      <c r="N1562" s="40">
        <f t="shared" si="50"/>
        <v>0</v>
      </c>
    </row>
    <row r="1563" spans="1:14" x14ac:dyDescent="0.35">
      <c r="A1563" s="33">
        <v>1560</v>
      </c>
      <c r="B1563" s="34" t="s">
        <v>1930</v>
      </c>
      <c r="C1563" s="33" t="s">
        <v>297</v>
      </c>
      <c r="D1563" s="33" t="s">
        <v>61</v>
      </c>
      <c r="E1563" s="33" t="s">
        <v>1863</v>
      </c>
      <c r="F1563" s="35">
        <v>1</v>
      </c>
      <c r="G1563" s="40">
        <v>0</v>
      </c>
      <c r="H1563" s="40">
        <v>0</v>
      </c>
      <c r="I1563" s="40">
        <v>0</v>
      </c>
      <c r="J1563" s="40">
        <v>0</v>
      </c>
      <c r="K1563" s="40">
        <v>0</v>
      </c>
      <c r="L1563" s="40">
        <v>0</v>
      </c>
      <c r="M1563" s="40">
        <f t="shared" si="49"/>
        <v>0</v>
      </c>
      <c r="N1563" s="40">
        <f t="shared" si="50"/>
        <v>0</v>
      </c>
    </row>
    <row r="1564" spans="1:14" x14ac:dyDescent="0.35">
      <c r="A1564" s="33">
        <v>1561</v>
      </c>
      <c r="B1564" s="34" t="s">
        <v>1931</v>
      </c>
      <c r="C1564" s="33" t="s">
        <v>297</v>
      </c>
      <c r="D1564" s="33" t="s">
        <v>61</v>
      </c>
      <c r="E1564" s="33" t="s">
        <v>1863</v>
      </c>
      <c r="F1564" s="35">
        <v>1</v>
      </c>
      <c r="G1564" s="40">
        <v>0</v>
      </c>
      <c r="H1564" s="40">
        <v>0</v>
      </c>
      <c r="I1564" s="40">
        <v>0</v>
      </c>
      <c r="J1564" s="40">
        <v>0</v>
      </c>
      <c r="K1564" s="40">
        <v>0</v>
      </c>
      <c r="L1564" s="40">
        <v>0</v>
      </c>
      <c r="M1564" s="40">
        <f t="shared" si="49"/>
        <v>0</v>
      </c>
      <c r="N1564" s="40">
        <f t="shared" si="50"/>
        <v>0</v>
      </c>
    </row>
    <row r="1565" spans="1:14" x14ac:dyDescent="0.35">
      <c r="A1565" s="33">
        <v>1562</v>
      </c>
      <c r="B1565" s="34" t="s">
        <v>1932</v>
      </c>
      <c r="C1565" s="33" t="s">
        <v>297</v>
      </c>
      <c r="D1565" s="33" t="s">
        <v>61</v>
      </c>
      <c r="E1565" s="33" t="s">
        <v>1863</v>
      </c>
      <c r="F1565" s="35">
        <v>1</v>
      </c>
      <c r="G1565" s="40">
        <v>0</v>
      </c>
      <c r="H1565" s="40">
        <v>0</v>
      </c>
      <c r="I1565" s="40">
        <v>0</v>
      </c>
      <c r="J1565" s="40">
        <v>0</v>
      </c>
      <c r="K1565" s="40">
        <v>0</v>
      </c>
      <c r="L1565" s="40">
        <v>0</v>
      </c>
      <c r="M1565" s="40">
        <f t="shared" si="49"/>
        <v>0</v>
      </c>
      <c r="N1565" s="40">
        <f t="shared" si="50"/>
        <v>0</v>
      </c>
    </row>
    <row r="1566" spans="1:14" x14ac:dyDescent="0.35">
      <c r="A1566" s="33">
        <v>1563</v>
      </c>
      <c r="B1566" s="34" t="s">
        <v>1933</v>
      </c>
      <c r="C1566" s="33" t="s">
        <v>297</v>
      </c>
      <c r="D1566" s="33" t="s">
        <v>61</v>
      </c>
      <c r="E1566" s="33" t="s">
        <v>1863</v>
      </c>
      <c r="F1566" s="35">
        <v>1</v>
      </c>
      <c r="G1566" s="40">
        <v>0</v>
      </c>
      <c r="H1566" s="40">
        <v>0</v>
      </c>
      <c r="I1566" s="40">
        <v>0</v>
      </c>
      <c r="J1566" s="40">
        <v>21.5</v>
      </c>
      <c r="K1566" s="40">
        <v>0</v>
      </c>
      <c r="L1566" s="40">
        <v>0</v>
      </c>
      <c r="M1566" s="40">
        <f t="shared" si="49"/>
        <v>0</v>
      </c>
      <c r="N1566" s="40">
        <f t="shared" si="50"/>
        <v>21.5</v>
      </c>
    </row>
    <row r="1567" spans="1:14" x14ac:dyDescent="0.35">
      <c r="A1567" s="33">
        <v>1564</v>
      </c>
      <c r="B1567" s="34" t="s">
        <v>1934</v>
      </c>
      <c r="C1567" s="33" t="s">
        <v>297</v>
      </c>
      <c r="D1567" s="33" t="s">
        <v>61</v>
      </c>
      <c r="E1567" s="33" t="s">
        <v>1863</v>
      </c>
      <c r="F1567" s="35">
        <v>1</v>
      </c>
      <c r="G1567" s="40">
        <v>0</v>
      </c>
      <c r="H1567" s="40">
        <v>0</v>
      </c>
      <c r="I1567" s="40">
        <v>0</v>
      </c>
      <c r="J1567" s="40">
        <v>0</v>
      </c>
      <c r="K1567" s="40">
        <v>0</v>
      </c>
      <c r="L1567" s="40">
        <v>0</v>
      </c>
      <c r="M1567" s="40">
        <f t="shared" si="49"/>
        <v>0</v>
      </c>
      <c r="N1567" s="40">
        <f t="shared" si="50"/>
        <v>0</v>
      </c>
    </row>
    <row r="1568" spans="1:14" x14ac:dyDescent="0.35">
      <c r="A1568" s="33">
        <v>1565</v>
      </c>
      <c r="B1568" s="34" t="s">
        <v>1935</v>
      </c>
      <c r="C1568" s="33" t="s">
        <v>297</v>
      </c>
      <c r="D1568" s="33" t="s">
        <v>61</v>
      </c>
      <c r="E1568" s="33" t="s">
        <v>1863</v>
      </c>
      <c r="F1568" s="35">
        <v>1</v>
      </c>
      <c r="G1568" s="40">
        <v>0</v>
      </c>
      <c r="H1568" s="40">
        <v>0</v>
      </c>
      <c r="I1568" s="40">
        <v>0</v>
      </c>
      <c r="J1568" s="40">
        <v>0</v>
      </c>
      <c r="K1568" s="40">
        <v>0</v>
      </c>
      <c r="L1568" s="40">
        <v>0</v>
      </c>
      <c r="M1568" s="40">
        <f t="shared" si="49"/>
        <v>0</v>
      </c>
      <c r="N1568" s="40">
        <f t="shared" si="50"/>
        <v>0</v>
      </c>
    </row>
    <row r="1569" spans="1:14" x14ac:dyDescent="0.35">
      <c r="A1569" s="33">
        <v>1566</v>
      </c>
      <c r="B1569" s="34" t="s">
        <v>1936</v>
      </c>
      <c r="C1569" s="33" t="s">
        <v>297</v>
      </c>
      <c r="D1569" s="33" t="s">
        <v>61</v>
      </c>
      <c r="E1569" s="33" t="s">
        <v>1863</v>
      </c>
      <c r="F1569" s="35">
        <v>1</v>
      </c>
      <c r="G1569" s="40">
        <v>0</v>
      </c>
      <c r="H1569" s="40">
        <v>0</v>
      </c>
      <c r="I1569" s="40">
        <v>0</v>
      </c>
      <c r="J1569" s="40">
        <v>0</v>
      </c>
      <c r="K1569" s="40">
        <v>0</v>
      </c>
      <c r="L1569" s="40">
        <v>0</v>
      </c>
      <c r="M1569" s="40">
        <f t="shared" si="49"/>
        <v>0</v>
      </c>
      <c r="N1569" s="40">
        <f t="shared" si="50"/>
        <v>0</v>
      </c>
    </row>
    <row r="1570" spans="1:14" x14ac:dyDescent="0.35">
      <c r="A1570" s="33">
        <v>1567</v>
      </c>
      <c r="B1570" s="34" t="s">
        <v>1937</v>
      </c>
      <c r="C1570" s="33" t="s">
        <v>297</v>
      </c>
      <c r="D1570" s="33" t="s">
        <v>61</v>
      </c>
      <c r="E1570" s="33" t="s">
        <v>1863</v>
      </c>
      <c r="F1570" s="35">
        <v>1</v>
      </c>
      <c r="G1570" s="40">
        <v>0</v>
      </c>
      <c r="H1570" s="40">
        <v>0</v>
      </c>
      <c r="I1570" s="40">
        <v>0</v>
      </c>
      <c r="J1570" s="40">
        <v>0</v>
      </c>
      <c r="K1570" s="40">
        <v>0</v>
      </c>
      <c r="L1570" s="40">
        <v>0</v>
      </c>
      <c r="M1570" s="40">
        <f t="shared" si="49"/>
        <v>0</v>
      </c>
      <c r="N1570" s="40">
        <f t="shared" si="50"/>
        <v>0</v>
      </c>
    </row>
    <row r="1571" spans="1:14" x14ac:dyDescent="0.35">
      <c r="A1571" s="33">
        <v>1568</v>
      </c>
      <c r="B1571" s="34" t="s">
        <v>169</v>
      </c>
      <c r="C1571" s="33" t="s">
        <v>297</v>
      </c>
      <c r="D1571" s="33" t="s">
        <v>61</v>
      </c>
      <c r="E1571" s="33" t="s">
        <v>1863</v>
      </c>
      <c r="F1571" s="35">
        <v>1</v>
      </c>
      <c r="G1571" s="40">
        <v>0</v>
      </c>
      <c r="H1571" s="40">
        <v>0</v>
      </c>
      <c r="I1571" s="40">
        <v>0</v>
      </c>
      <c r="J1571" s="40">
        <v>9.31</v>
      </c>
      <c r="K1571" s="40">
        <v>0</v>
      </c>
      <c r="L1571" s="40">
        <v>0</v>
      </c>
      <c r="M1571" s="40">
        <f t="shared" si="49"/>
        <v>0</v>
      </c>
      <c r="N1571" s="40">
        <f t="shared" si="50"/>
        <v>9.31</v>
      </c>
    </row>
    <row r="1572" spans="1:14" x14ac:dyDescent="0.35">
      <c r="A1572" s="33">
        <v>1569</v>
      </c>
      <c r="B1572" s="34" t="s">
        <v>1938</v>
      </c>
      <c r="C1572" s="33" t="s">
        <v>297</v>
      </c>
      <c r="D1572" s="33" t="s">
        <v>61</v>
      </c>
      <c r="E1572" s="33" t="s">
        <v>1863</v>
      </c>
      <c r="F1572" s="35">
        <v>1</v>
      </c>
      <c r="G1572" s="40">
        <v>0</v>
      </c>
      <c r="H1572" s="40">
        <v>0</v>
      </c>
      <c r="I1572" s="40">
        <v>0</v>
      </c>
      <c r="J1572" s="40">
        <v>0</v>
      </c>
      <c r="K1572" s="40">
        <v>0</v>
      </c>
      <c r="L1572" s="40">
        <v>0</v>
      </c>
      <c r="M1572" s="40">
        <f t="shared" si="49"/>
        <v>0</v>
      </c>
      <c r="N1572" s="40">
        <f t="shared" si="50"/>
        <v>0</v>
      </c>
    </row>
    <row r="1573" spans="1:14" x14ac:dyDescent="0.35">
      <c r="A1573" s="33">
        <v>1570</v>
      </c>
      <c r="B1573" s="34" t="s">
        <v>1939</v>
      </c>
      <c r="C1573" s="33" t="s">
        <v>297</v>
      </c>
      <c r="D1573" s="33" t="s">
        <v>61</v>
      </c>
      <c r="E1573" s="33" t="s">
        <v>1863</v>
      </c>
      <c r="F1573" s="35">
        <v>1</v>
      </c>
      <c r="G1573" s="40">
        <v>0</v>
      </c>
      <c r="H1573" s="40">
        <v>0</v>
      </c>
      <c r="I1573" s="40">
        <v>0</v>
      </c>
      <c r="J1573" s="40">
        <v>0</v>
      </c>
      <c r="K1573" s="40">
        <v>0</v>
      </c>
      <c r="L1573" s="40">
        <v>0</v>
      </c>
      <c r="M1573" s="40">
        <f t="shared" si="49"/>
        <v>0</v>
      </c>
      <c r="N1573" s="40">
        <f t="shared" si="50"/>
        <v>0</v>
      </c>
    </row>
    <row r="1574" spans="1:14" x14ac:dyDescent="0.35">
      <c r="A1574" s="33">
        <v>1571</v>
      </c>
      <c r="B1574" s="34" t="s">
        <v>1940</v>
      </c>
      <c r="C1574" s="33" t="s">
        <v>297</v>
      </c>
      <c r="D1574" s="33" t="s">
        <v>61</v>
      </c>
      <c r="E1574" s="33" t="s">
        <v>1863</v>
      </c>
      <c r="F1574" s="35">
        <v>1</v>
      </c>
      <c r="G1574" s="40">
        <v>0</v>
      </c>
      <c r="H1574" s="40">
        <v>0</v>
      </c>
      <c r="I1574" s="40">
        <v>0</v>
      </c>
      <c r="J1574" s="40">
        <v>0</v>
      </c>
      <c r="K1574" s="40">
        <v>0</v>
      </c>
      <c r="L1574" s="40">
        <v>0</v>
      </c>
      <c r="M1574" s="40">
        <f t="shared" si="49"/>
        <v>0</v>
      </c>
      <c r="N1574" s="40">
        <f t="shared" si="50"/>
        <v>0</v>
      </c>
    </row>
    <row r="1575" spans="1:14" x14ac:dyDescent="0.35">
      <c r="A1575" s="33">
        <v>1572</v>
      </c>
      <c r="B1575" s="34" t="s">
        <v>188</v>
      </c>
      <c r="C1575" s="33" t="s">
        <v>297</v>
      </c>
      <c r="D1575" s="33" t="s">
        <v>61</v>
      </c>
      <c r="E1575" s="33" t="s">
        <v>1863</v>
      </c>
      <c r="F1575" s="35">
        <v>1</v>
      </c>
      <c r="G1575" s="40">
        <v>0</v>
      </c>
      <c r="H1575" s="40">
        <v>0</v>
      </c>
      <c r="I1575" s="40">
        <v>0</v>
      </c>
      <c r="J1575" s="40">
        <v>2.1</v>
      </c>
      <c r="K1575" s="40">
        <v>0</v>
      </c>
      <c r="L1575" s="40">
        <v>0</v>
      </c>
      <c r="M1575" s="40">
        <f t="shared" si="49"/>
        <v>0</v>
      </c>
      <c r="N1575" s="40">
        <f t="shared" si="50"/>
        <v>2.1</v>
      </c>
    </row>
    <row r="1576" spans="1:14" x14ac:dyDescent="0.35">
      <c r="A1576" s="33">
        <v>1573</v>
      </c>
      <c r="B1576" s="34" t="s">
        <v>1941</v>
      </c>
      <c r="C1576" s="33" t="s">
        <v>297</v>
      </c>
      <c r="D1576" s="33" t="s">
        <v>61</v>
      </c>
      <c r="E1576" s="33" t="s">
        <v>1863</v>
      </c>
      <c r="F1576" s="35">
        <v>1</v>
      </c>
      <c r="G1576" s="40">
        <v>0</v>
      </c>
      <c r="H1576" s="40">
        <v>0</v>
      </c>
      <c r="I1576" s="40">
        <v>0</v>
      </c>
      <c r="J1576" s="40">
        <v>0</v>
      </c>
      <c r="K1576" s="40">
        <v>0</v>
      </c>
      <c r="L1576" s="40">
        <v>0</v>
      </c>
      <c r="M1576" s="40">
        <f t="shared" si="49"/>
        <v>0</v>
      </c>
      <c r="N1576" s="40">
        <f t="shared" si="50"/>
        <v>0</v>
      </c>
    </row>
    <row r="1577" spans="1:14" x14ac:dyDescent="0.35">
      <c r="A1577" s="33">
        <v>1574</v>
      </c>
      <c r="B1577" s="34" t="s">
        <v>1942</v>
      </c>
      <c r="C1577" s="33" t="s">
        <v>297</v>
      </c>
      <c r="D1577" s="33" t="s">
        <v>61</v>
      </c>
      <c r="E1577" s="33" t="s">
        <v>1863</v>
      </c>
      <c r="F1577" s="35">
        <v>1</v>
      </c>
      <c r="G1577" s="40">
        <v>0</v>
      </c>
      <c r="H1577" s="40">
        <v>0</v>
      </c>
      <c r="I1577" s="40">
        <v>0</v>
      </c>
      <c r="J1577" s="40">
        <v>0</v>
      </c>
      <c r="K1577" s="40">
        <v>0</v>
      </c>
      <c r="L1577" s="40">
        <v>0</v>
      </c>
      <c r="M1577" s="40">
        <f t="shared" si="49"/>
        <v>0</v>
      </c>
      <c r="N1577" s="40">
        <f t="shared" si="50"/>
        <v>0</v>
      </c>
    </row>
    <row r="1578" spans="1:14" x14ac:dyDescent="0.35">
      <c r="A1578" s="33">
        <v>1575</v>
      </c>
      <c r="B1578" s="34" t="s">
        <v>1943</v>
      </c>
      <c r="C1578" s="33" t="s">
        <v>297</v>
      </c>
      <c r="D1578" s="33" t="s">
        <v>61</v>
      </c>
      <c r="E1578" s="33" t="s">
        <v>1863</v>
      </c>
      <c r="F1578" s="35">
        <v>1</v>
      </c>
      <c r="G1578" s="40">
        <v>0</v>
      </c>
      <c r="H1578" s="40">
        <v>0</v>
      </c>
      <c r="I1578" s="40">
        <v>0</v>
      </c>
      <c r="J1578" s="40">
        <v>0</v>
      </c>
      <c r="K1578" s="40">
        <v>0</v>
      </c>
      <c r="L1578" s="40">
        <v>0</v>
      </c>
      <c r="M1578" s="40">
        <f t="shared" si="49"/>
        <v>0</v>
      </c>
      <c r="N1578" s="40">
        <f t="shared" si="50"/>
        <v>0</v>
      </c>
    </row>
    <row r="1579" spans="1:14" x14ac:dyDescent="0.35">
      <c r="A1579" s="33">
        <v>1576</v>
      </c>
      <c r="B1579" s="34" t="s">
        <v>1944</v>
      </c>
      <c r="C1579" s="33" t="s">
        <v>297</v>
      </c>
      <c r="D1579" s="33" t="s">
        <v>61</v>
      </c>
      <c r="E1579" s="33" t="s">
        <v>1863</v>
      </c>
      <c r="F1579" s="35">
        <v>1</v>
      </c>
      <c r="G1579" s="40">
        <v>0</v>
      </c>
      <c r="H1579" s="40">
        <v>0</v>
      </c>
      <c r="I1579" s="40">
        <v>0</v>
      </c>
      <c r="J1579" s="40">
        <v>0</v>
      </c>
      <c r="K1579" s="40">
        <v>0</v>
      </c>
      <c r="L1579" s="40">
        <v>0</v>
      </c>
      <c r="M1579" s="40">
        <f t="shared" si="49"/>
        <v>0</v>
      </c>
      <c r="N1579" s="40">
        <f t="shared" si="50"/>
        <v>0</v>
      </c>
    </row>
    <row r="1580" spans="1:14" x14ac:dyDescent="0.35">
      <c r="A1580" s="33">
        <v>1577</v>
      </c>
      <c r="B1580" s="34" t="s">
        <v>1945</v>
      </c>
      <c r="C1580" s="33" t="s">
        <v>297</v>
      </c>
      <c r="D1580" s="33" t="s">
        <v>61</v>
      </c>
      <c r="E1580" s="33" t="s">
        <v>1863</v>
      </c>
      <c r="F1580" s="35">
        <v>1</v>
      </c>
      <c r="G1580" s="40">
        <v>0</v>
      </c>
      <c r="H1580" s="40">
        <v>0</v>
      </c>
      <c r="I1580" s="40">
        <v>0</v>
      </c>
      <c r="J1580" s="40">
        <v>0</v>
      </c>
      <c r="K1580" s="40">
        <v>0</v>
      </c>
      <c r="L1580" s="40">
        <v>0</v>
      </c>
      <c r="M1580" s="40">
        <f t="shared" si="49"/>
        <v>0</v>
      </c>
      <c r="N1580" s="40">
        <f t="shared" si="50"/>
        <v>0</v>
      </c>
    </row>
    <row r="1581" spans="1:14" x14ac:dyDescent="0.35">
      <c r="A1581" s="33">
        <v>1578</v>
      </c>
      <c r="B1581" s="34" t="s">
        <v>1946</v>
      </c>
      <c r="C1581" s="33" t="s">
        <v>297</v>
      </c>
      <c r="D1581" s="33" t="s">
        <v>61</v>
      </c>
      <c r="E1581" s="33" t="s">
        <v>1863</v>
      </c>
      <c r="F1581" s="35">
        <v>1</v>
      </c>
      <c r="G1581" s="40">
        <v>0</v>
      </c>
      <c r="H1581" s="40">
        <v>0</v>
      </c>
      <c r="I1581" s="40">
        <v>0</v>
      </c>
      <c r="J1581" s="40">
        <v>0</v>
      </c>
      <c r="K1581" s="40">
        <v>0</v>
      </c>
      <c r="L1581" s="40">
        <v>0</v>
      </c>
      <c r="M1581" s="40">
        <f t="shared" si="49"/>
        <v>0</v>
      </c>
      <c r="N1581" s="40">
        <f t="shared" si="50"/>
        <v>0</v>
      </c>
    </row>
    <row r="1582" spans="1:14" x14ac:dyDescent="0.35">
      <c r="A1582" s="33">
        <v>1579</v>
      </c>
      <c r="B1582" s="34" t="s">
        <v>1947</v>
      </c>
      <c r="C1582" s="33" t="s">
        <v>297</v>
      </c>
      <c r="D1582" s="33" t="s">
        <v>61</v>
      </c>
      <c r="E1582" s="33" t="s">
        <v>1863</v>
      </c>
      <c r="F1582" s="35">
        <v>1</v>
      </c>
      <c r="G1582" s="40">
        <v>0</v>
      </c>
      <c r="H1582" s="40">
        <v>0</v>
      </c>
      <c r="I1582" s="40">
        <v>0</v>
      </c>
      <c r="J1582" s="40">
        <v>0</v>
      </c>
      <c r="K1582" s="40">
        <v>0</v>
      </c>
      <c r="L1582" s="40">
        <v>0</v>
      </c>
      <c r="M1582" s="40">
        <f t="shared" si="49"/>
        <v>0</v>
      </c>
      <c r="N1582" s="40">
        <f t="shared" si="50"/>
        <v>0</v>
      </c>
    </row>
    <row r="1583" spans="1:14" x14ac:dyDescent="0.35">
      <c r="A1583" s="33">
        <v>1580</v>
      </c>
      <c r="B1583" s="34" t="s">
        <v>1948</v>
      </c>
      <c r="C1583" s="33" t="s">
        <v>297</v>
      </c>
      <c r="D1583" s="33" t="s">
        <v>61</v>
      </c>
      <c r="E1583" s="33" t="s">
        <v>1863</v>
      </c>
      <c r="F1583" s="35">
        <v>1</v>
      </c>
      <c r="G1583" s="40">
        <v>0</v>
      </c>
      <c r="H1583" s="40">
        <v>0</v>
      </c>
      <c r="I1583" s="40">
        <v>0</v>
      </c>
      <c r="J1583" s="40">
        <v>0</v>
      </c>
      <c r="K1583" s="40">
        <v>0</v>
      </c>
      <c r="L1583" s="40">
        <v>0</v>
      </c>
      <c r="M1583" s="40">
        <f t="shared" si="49"/>
        <v>0</v>
      </c>
      <c r="N1583" s="40">
        <f t="shared" si="50"/>
        <v>0</v>
      </c>
    </row>
    <row r="1584" spans="1:14" x14ac:dyDescent="0.35">
      <c r="A1584" s="33">
        <v>1581</v>
      </c>
      <c r="B1584" s="34" t="s">
        <v>1949</v>
      </c>
      <c r="C1584" s="33" t="s">
        <v>297</v>
      </c>
      <c r="D1584" s="33" t="s">
        <v>61</v>
      </c>
      <c r="E1584" s="33" t="s">
        <v>1863</v>
      </c>
      <c r="F1584" s="35">
        <v>1</v>
      </c>
      <c r="G1584" s="40">
        <v>0</v>
      </c>
      <c r="H1584" s="40">
        <v>0</v>
      </c>
      <c r="I1584" s="40">
        <v>0</v>
      </c>
      <c r="J1584" s="40">
        <v>0</v>
      </c>
      <c r="K1584" s="40">
        <v>0</v>
      </c>
      <c r="L1584" s="40">
        <v>0</v>
      </c>
      <c r="M1584" s="40">
        <f t="shared" si="49"/>
        <v>0</v>
      </c>
      <c r="N1584" s="40">
        <f t="shared" si="50"/>
        <v>0</v>
      </c>
    </row>
    <row r="1585" spans="1:14" x14ac:dyDescent="0.35">
      <c r="A1585" s="33">
        <v>1582</v>
      </c>
      <c r="B1585" s="34" t="s">
        <v>1950</v>
      </c>
      <c r="C1585" s="33" t="s">
        <v>297</v>
      </c>
      <c r="D1585" s="33" t="s">
        <v>13</v>
      </c>
      <c r="E1585" s="33" t="s">
        <v>1951</v>
      </c>
      <c r="F1585" s="35">
        <v>1</v>
      </c>
      <c r="G1585" s="40">
        <v>0</v>
      </c>
      <c r="H1585" s="40">
        <v>12015</v>
      </c>
      <c r="I1585" s="40">
        <v>0</v>
      </c>
      <c r="J1585" s="40">
        <v>60</v>
      </c>
      <c r="K1585" s="40">
        <v>0</v>
      </c>
      <c r="L1585" s="40">
        <v>157.03</v>
      </c>
      <c r="M1585" s="40">
        <f t="shared" si="49"/>
        <v>0</v>
      </c>
      <c r="N1585" s="40">
        <f t="shared" si="50"/>
        <v>12232.03</v>
      </c>
    </row>
    <row r="1586" spans="1:14" x14ac:dyDescent="0.35">
      <c r="A1586" s="33">
        <v>1583</v>
      </c>
      <c r="B1586" s="34" t="s">
        <v>1981</v>
      </c>
      <c r="C1586" s="33" t="s">
        <v>346</v>
      </c>
      <c r="D1586" s="33" t="s">
        <v>13</v>
      </c>
      <c r="E1586" s="33" t="s">
        <v>1951</v>
      </c>
      <c r="F1586" s="35">
        <v>0.25</v>
      </c>
      <c r="G1586" s="40">
        <v>0</v>
      </c>
      <c r="H1586" s="40">
        <v>0</v>
      </c>
      <c r="I1586" s="40">
        <v>0</v>
      </c>
      <c r="J1586" s="40">
        <v>0</v>
      </c>
      <c r="K1586" s="40">
        <v>0</v>
      </c>
      <c r="L1586" s="40">
        <v>0</v>
      </c>
      <c r="M1586" s="40">
        <f t="shared" si="49"/>
        <v>0</v>
      </c>
      <c r="N1586" s="40">
        <f t="shared" si="50"/>
        <v>0</v>
      </c>
    </row>
    <row r="1587" spans="1:14" x14ac:dyDescent="0.35">
      <c r="A1587" s="33">
        <v>1584</v>
      </c>
      <c r="B1587" s="34" t="s">
        <v>1982</v>
      </c>
      <c r="C1587" s="33" t="s">
        <v>346</v>
      </c>
      <c r="D1587" s="33" t="s">
        <v>13</v>
      </c>
      <c r="E1587" s="33" t="s">
        <v>1951</v>
      </c>
      <c r="F1587" s="35">
        <v>1</v>
      </c>
      <c r="G1587" s="40">
        <v>0</v>
      </c>
      <c r="H1587" s="40">
        <v>0</v>
      </c>
      <c r="I1587" s="40">
        <v>0</v>
      </c>
      <c r="J1587" s="40">
        <v>0</v>
      </c>
      <c r="K1587" s="40">
        <v>0</v>
      </c>
      <c r="L1587" s="40">
        <v>0</v>
      </c>
      <c r="M1587" s="40">
        <f t="shared" si="49"/>
        <v>0</v>
      </c>
      <c r="N1587" s="40">
        <f t="shared" si="50"/>
        <v>0</v>
      </c>
    </row>
    <row r="1588" spans="1:14" x14ac:dyDescent="0.35">
      <c r="A1588" s="33">
        <v>1585</v>
      </c>
      <c r="B1588" s="34" t="s">
        <v>1983</v>
      </c>
      <c r="C1588" s="33" t="s">
        <v>346</v>
      </c>
      <c r="D1588" s="33" t="s">
        <v>13</v>
      </c>
      <c r="E1588" s="33" t="s">
        <v>1951</v>
      </c>
      <c r="F1588" s="35">
        <v>0.1</v>
      </c>
      <c r="G1588" s="40">
        <v>0</v>
      </c>
      <c r="H1588" s="40">
        <v>0</v>
      </c>
      <c r="I1588" s="40">
        <v>0</v>
      </c>
      <c r="J1588" s="40">
        <v>0</v>
      </c>
      <c r="K1588" s="40">
        <v>0</v>
      </c>
      <c r="L1588" s="40">
        <v>0</v>
      </c>
      <c r="M1588" s="40">
        <f t="shared" si="49"/>
        <v>0</v>
      </c>
      <c r="N1588" s="40">
        <f t="shared" si="50"/>
        <v>0</v>
      </c>
    </row>
    <row r="1589" spans="1:14" x14ac:dyDescent="0.35">
      <c r="A1589" s="33">
        <v>1586</v>
      </c>
      <c r="B1589" s="34" t="s">
        <v>1984</v>
      </c>
      <c r="C1589" s="33" t="s">
        <v>346</v>
      </c>
      <c r="D1589" s="33" t="s">
        <v>13</v>
      </c>
      <c r="E1589" s="33" t="s">
        <v>1951</v>
      </c>
      <c r="F1589" s="35">
        <v>0.1</v>
      </c>
      <c r="G1589" s="40">
        <v>0</v>
      </c>
      <c r="H1589" s="40">
        <v>0</v>
      </c>
      <c r="I1589" s="40">
        <v>0</v>
      </c>
      <c r="J1589" s="40">
        <v>0</v>
      </c>
      <c r="K1589" s="40">
        <v>0</v>
      </c>
      <c r="L1589" s="40">
        <v>0</v>
      </c>
      <c r="M1589" s="40">
        <f t="shared" si="49"/>
        <v>0</v>
      </c>
      <c r="N1589" s="40">
        <f t="shared" si="50"/>
        <v>0</v>
      </c>
    </row>
    <row r="1590" spans="1:14" x14ac:dyDescent="0.35">
      <c r="A1590" s="33">
        <v>1587</v>
      </c>
      <c r="B1590" s="34" t="s">
        <v>1985</v>
      </c>
      <c r="C1590" s="33" t="s">
        <v>346</v>
      </c>
      <c r="D1590" s="33" t="s">
        <v>13</v>
      </c>
      <c r="E1590" s="33" t="s">
        <v>1951</v>
      </c>
      <c r="F1590" s="35">
        <v>0.2</v>
      </c>
      <c r="G1590" s="40">
        <v>0</v>
      </c>
      <c r="H1590" s="40">
        <v>0</v>
      </c>
      <c r="I1590" s="40">
        <v>0</v>
      </c>
      <c r="J1590" s="40">
        <v>0</v>
      </c>
      <c r="K1590" s="40">
        <v>0</v>
      </c>
      <c r="L1590" s="40">
        <v>0</v>
      </c>
      <c r="M1590" s="40">
        <f t="shared" si="49"/>
        <v>0</v>
      </c>
      <c r="N1590" s="40">
        <f t="shared" si="50"/>
        <v>0</v>
      </c>
    </row>
    <row r="1591" spans="1:14" x14ac:dyDescent="0.35">
      <c r="A1591" s="33">
        <v>1588</v>
      </c>
      <c r="B1591" s="34" t="s">
        <v>1986</v>
      </c>
      <c r="C1591" s="33" t="s">
        <v>346</v>
      </c>
      <c r="D1591" s="33" t="s">
        <v>13</v>
      </c>
      <c r="E1591" s="33" t="s">
        <v>1951</v>
      </c>
      <c r="F1591" s="35">
        <v>0.5</v>
      </c>
      <c r="G1591" s="40">
        <v>0</v>
      </c>
      <c r="H1591" s="40">
        <v>0</v>
      </c>
      <c r="I1591" s="40">
        <v>0</v>
      </c>
      <c r="J1591" s="40">
        <v>0</v>
      </c>
      <c r="K1591" s="40">
        <v>0</v>
      </c>
      <c r="L1591" s="40">
        <v>0</v>
      </c>
      <c r="M1591" s="40">
        <f t="shared" si="49"/>
        <v>0</v>
      </c>
      <c r="N1591" s="40">
        <f t="shared" si="50"/>
        <v>0</v>
      </c>
    </row>
    <row r="1592" spans="1:14" x14ac:dyDescent="0.35">
      <c r="A1592" s="33">
        <v>1589</v>
      </c>
      <c r="B1592" s="34" t="s">
        <v>1987</v>
      </c>
      <c r="C1592" s="33" t="s">
        <v>346</v>
      </c>
      <c r="D1592" s="33" t="s">
        <v>13</v>
      </c>
      <c r="E1592" s="33" t="s">
        <v>1951</v>
      </c>
      <c r="F1592" s="35">
        <v>0.1</v>
      </c>
      <c r="G1592" s="40">
        <v>0</v>
      </c>
      <c r="H1592" s="40">
        <v>0</v>
      </c>
      <c r="I1592" s="40">
        <v>0</v>
      </c>
      <c r="J1592" s="40">
        <v>0</v>
      </c>
      <c r="K1592" s="40">
        <v>0</v>
      </c>
      <c r="L1592" s="40">
        <v>0</v>
      </c>
      <c r="M1592" s="40">
        <f t="shared" si="49"/>
        <v>0</v>
      </c>
      <c r="N1592" s="40">
        <f t="shared" si="50"/>
        <v>0</v>
      </c>
    </row>
    <row r="1593" spans="1:14" x14ac:dyDescent="0.35">
      <c r="A1593" s="33">
        <v>1590</v>
      </c>
      <c r="B1593" s="34" t="s">
        <v>1988</v>
      </c>
      <c r="C1593" s="33" t="s">
        <v>346</v>
      </c>
      <c r="D1593" s="33" t="s">
        <v>13</v>
      </c>
      <c r="E1593" s="33" t="s">
        <v>1951</v>
      </c>
      <c r="F1593" s="35">
        <v>0.1</v>
      </c>
      <c r="G1593" s="40">
        <v>0</v>
      </c>
      <c r="H1593" s="40">
        <v>0</v>
      </c>
      <c r="I1593" s="40">
        <v>0</v>
      </c>
      <c r="J1593" s="40">
        <v>0</v>
      </c>
      <c r="K1593" s="40">
        <v>30</v>
      </c>
      <c r="L1593" s="40">
        <v>3</v>
      </c>
      <c r="M1593" s="40">
        <f t="shared" si="49"/>
        <v>30</v>
      </c>
      <c r="N1593" s="40">
        <f t="shared" si="50"/>
        <v>3</v>
      </c>
    </row>
    <row r="1594" spans="1:14" x14ac:dyDescent="0.35">
      <c r="A1594" s="33">
        <v>1591</v>
      </c>
      <c r="B1594" s="34" t="s">
        <v>1989</v>
      </c>
      <c r="C1594" s="33" t="s">
        <v>346</v>
      </c>
      <c r="D1594" s="33" t="s">
        <v>13</v>
      </c>
      <c r="E1594" s="33" t="s">
        <v>1951</v>
      </c>
      <c r="F1594" s="35">
        <v>0.2</v>
      </c>
      <c r="G1594" s="40">
        <v>0</v>
      </c>
      <c r="H1594" s="40">
        <v>0</v>
      </c>
      <c r="I1594" s="40">
        <v>0</v>
      </c>
      <c r="J1594" s="40">
        <v>0</v>
      </c>
      <c r="K1594" s="40">
        <v>2023</v>
      </c>
      <c r="L1594" s="40">
        <v>404.6</v>
      </c>
      <c r="M1594" s="40">
        <f t="shared" si="49"/>
        <v>2023</v>
      </c>
      <c r="N1594" s="40">
        <f t="shared" si="50"/>
        <v>404.6</v>
      </c>
    </row>
    <row r="1595" spans="1:14" x14ac:dyDescent="0.35">
      <c r="A1595" s="33">
        <v>1592</v>
      </c>
      <c r="B1595" s="34" t="s">
        <v>1990</v>
      </c>
      <c r="C1595" s="33" t="s">
        <v>346</v>
      </c>
      <c r="D1595" s="33" t="s">
        <v>13</v>
      </c>
      <c r="E1595" s="33" t="s">
        <v>1951</v>
      </c>
      <c r="F1595" s="35">
        <v>1</v>
      </c>
      <c r="G1595" s="40">
        <v>0</v>
      </c>
      <c r="H1595" s="40">
        <v>0</v>
      </c>
      <c r="I1595" s="40">
        <v>0</v>
      </c>
      <c r="J1595" s="40">
        <v>0</v>
      </c>
      <c r="K1595" s="40">
        <v>0</v>
      </c>
      <c r="L1595" s="40">
        <v>0</v>
      </c>
      <c r="M1595" s="40">
        <f t="shared" si="49"/>
        <v>0</v>
      </c>
      <c r="N1595" s="40">
        <f t="shared" si="50"/>
        <v>0</v>
      </c>
    </row>
    <row r="1596" spans="1:14" x14ac:dyDescent="0.35">
      <c r="A1596" s="33">
        <v>1593</v>
      </c>
      <c r="B1596" s="34" t="s">
        <v>1991</v>
      </c>
      <c r="C1596" s="33" t="s">
        <v>346</v>
      </c>
      <c r="D1596" s="33" t="s">
        <v>13</v>
      </c>
      <c r="E1596" s="33" t="s">
        <v>1951</v>
      </c>
      <c r="F1596" s="35">
        <v>0.2</v>
      </c>
      <c r="G1596" s="40">
        <v>0</v>
      </c>
      <c r="H1596" s="40">
        <v>0</v>
      </c>
      <c r="I1596" s="40">
        <v>0</v>
      </c>
      <c r="J1596" s="40">
        <v>0</v>
      </c>
      <c r="K1596" s="40">
        <v>0</v>
      </c>
      <c r="L1596" s="40">
        <v>0</v>
      </c>
      <c r="M1596" s="40">
        <f t="shared" si="49"/>
        <v>0</v>
      </c>
      <c r="N1596" s="40">
        <f t="shared" si="50"/>
        <v>0</v>
      </c>
    </row>
    <row r="1597" spans="1:14" x14ac:dyDescent="0.35">
      <c r="A1597" s="33">
        <v>1594</v>
      </c>
      <c r="B1597" s="34" t="s">
        <v>1992</v>
      </c>
      <c r="C1597" s="33" t="s">
        <v>346</v>
      </c>
      <c r="D1597" s="33" t="s">
        <v>13</v>
      </c>
      <c r="E1597" s="33" t="s">
        <v>1951</v>
      </c>
      <c r="F1597" s="35">
        <v>1</v>
      </c>
      <c r="G1597" s="40">
        <v>0</v>
      </c>
      <c r="H1597" s="40">
        <v>0</v>
      </c>
      <c r="I1597" s="40">
        <v>0</v>
      </c>
      <c r="J1597" s="40">
        <v>0</v>
      </c>
      <c r="K1597" s="40">
        <v>0</v>
      </c>
      <c r="L1597" s="40">
        <v>0</v>
      </c>
      <c r="M1597" s="40">
        <f t="shared" si="49"/>
        <v>0</v>
      </c>
      <c r="N1597" s="40">
        <f t="shared" si="50"/>
        <v>0</v>
      </c>
    </row>
    <row r="1598" spans="1:14" x14ac:dyDescent="0.35">
      <c r="A1598" s="33">
        <v>1595</v>
      </c>
      <c r="B1598" s="34" t="s">
        <v>1952</v>
      </c>
      <c r="C1598" s="33" t="s">
        <v>297</v>
      </c>
      <c r="D1598" s="33" t="s">
        <v>13</v>
      </c>
      <c r="E1598" s="33" t="s">
        <v>1953</v>
      </c>
      <c r="F1598" s="35">
        <v>1</v>
      </c>
      <c r="G1598" s="40">
        <v>0</v>
      </c>
      <c r="H1598" s="40">
        <v>0</v>
      </c>
      <c r="I1598" s="40">
        <v>0</v>
      </c>
      <c r="J1598" s="40">
        <v>0</v>
      </c>
      <c r="K1598" s="40">
        <v>0</v>
      </c>
      <c r="L1598" s="40">
        <v>0</v>
      </c>
      <c r="M1598" s="40">
        <f t="shared" si="49"/>
        <v>0</v>
      </c>
      <c r="N1598" s="40">
        <f t="shared" si="50"/>
        <v>0</v>
      </c>
    </row>
    <row r="1599" spans="1:14" x14ac:dyDescent="0.35">
      <c r="A1599" s="33">
        <v>1596</v>
      </c>
      <c r="B1599" s="34" t="s">
        <v>1954</v>
      </c>
      <c r="C1599" s="33" t="s">
        <v>297</v>
      </c>
      <c r="D1599" s="33" t="s">
        <v>13</v>
      </c>
      <c r="E1599" s="33" t="s">
        <v>1955</v>
      </c>
      <c r="F1599" s="35">
        <v>1</v>
      </c>
      <c r="G1599" s="40">
        <v>0</v>
      </c>
      <c r="H1599" s="40">
        <v>2750</v>
      </c>
      <c r="I1599" s="40">
        <v>0</v>
      </c>
      <c r="J1599" s="40">
        <v>310</v>
      </c>
      <c r="K1599" s="40">
        <v>0</v>
      </c>
      <c r="L1599" s="40">
        <v>0</v>
      </c>
      <c r="M1599" s="40">
        <f t="shared" si="49"/>
        <v>0</v>
      </c>
      <c r="N1599" s="40">
        <f t="shared" si="50"/>
        <v>3060</v>
      </c>
    </row>
    <row r="1600" spans="1:14" x14ac:dyDescent="0.35">
      <c r="A1600" s="33">
        <v>1597</v>
      </c>
      <c r="B1600" s="34" t="s">
        <v>1993</v>
      </c>
      <c r="C1600" s="33" t="s">
        <v>346</v>
      </c>
      <c r="D1600" s="33" t="s">
        <v>13</v>
      </c>
      <c r="E1600" s="33" t="s">
        <v>1955</v>
      </c>
      <c r="F1600" s="35">
        <v>0.25</v>
      </c>
      <c r="G1600" s="40">
        <v>0</v>
      </c>
      <c r="H1600" s="40">
        <v>0</v>
      </c>
      <c r="I1600" s="40">
        <v>0</v>
      </c>
      <c r="J1600" s="40">
        <v>0</v>
      </c>
      <c r="K1600" s="40">
        <v>0</v>
      </c>
      <c r="L1600" s="40">
        <v>0</v>
      </c>
      <c r="M1600" s="40">
        <f t="shared" si="49"/>
        <v>0</v>
      </c>
      <c r="N1600" s="40">
        <f t="shared" si="50"/>
        <v>0</v>
      </c>
    </row>
    <row r="1601" spans="1:14" x14ac:dyDescent="0.35">
      <c r="A1601" s="33">
        <v>1598</v>
      </c>
      <c r="B1601" s="34" t="s">
        <v>1994</v>
      </c>
      <c r="C1601" s="33" t="s">
        <v>346</v>
      </c>
      <c r="D1601" s="33" t="s">
        <v>13</v>
      </c>
      <c r="E1601" s="33" t="s">
        <v>1955</v>
      </c>
      <c r="F1601" s="35">
        <v>0.1</v>
      </c>
      <c r="G1601" s="40">
        <v>0</v>
      </c>
      <c r="H1601" s="40">
        <v>0</v>
      </c>
      <c r="I1601" s="40">
        <v>0</v>
      </c>
      <c r="J1601" s="40">
        <v>0</v>
      </c>
      <c r="K1601" s="40">
        <v>0</v>
      </c>
      <c r="L1601" s="40">
        <v>0</v>
      </c>
      <c r="M1601" s="40">
        <f t="shared" si="49"/>
        <v>0</v>
      </c>
      <c r="N1601" s="40">
        <f t="shared" si="50"/>
        <v>0</v>
      </c>
    </row>
    <row r="1602" spans="1:14" x14ac:dyDescent="0.35">
      <c r="A1602" s="33">
        <v>1599</v>
      </c>
      <c r="B1602" s="34" t="s">
        <v>1995</v>
      </c>
      <c r="C1602" s="33" t="s">
        <v>346</v>
      </c>
      <c r="D1602" s="33" t="s">
        <v>13</v>
      </c>
      <c r="E1602" s="33" t="s">
        <v>1955</v>
      </c>
      <c r="F1602" s="35">
        <v>0.1</v>
      </c>
      <c r="G1602" s="40">
        <v>0</v>
      </c>
      <c r="H1602" s="40">
        <v>0</v>
      </c>
      <c r="I1602" s="40">
        <v>0</v>
      </c>
      <c r="J1602" s="40">
        <v>0</v>
      </c>
      <c r="K1602" s="40">
        <v>0</v>
      </c>
      <c r="L1602" s="40">
        <v>0</v>
      </c>
      <c r="M1602" s="40">
        <f t="shared" si="49"/>
        <v>0</v>
      </c>
      <c r="N1602" s="40">
        <f t="shared" si="50"/>
        <v>0</v>
      </c>
    </row>
    <row r="1603" spans="1:14" x14ac:dyDescent="0.35">
      <c r="A1603" s="33">
        <v>1600</v>
      </c>
      <c r="B1603" s="34" t="s">
        <v>1996</v>
      </c>
      <c r="C1603" s="33" t="s">
        <v>346</v>
      </c>
      <c r="D1603" s="33" t="s">
        <v>13</v>
      </c>
      <c r="E1603" s="33" t="s">
        <v>1955</v>
      </c>
      <c r="F1603" s="35">
        <v>0.2</v>
      </c>
      <c r="G1603" s="40">
        <v>0</v>
      </c>
      <c r="H1603" s="40">
        <v>0</v>
      </c>
      <c r="I1603" s="40">
        <v>0</v>
      </c>
      <c r="J1603" s="40">
        <v>0</v>
      </c>
      <c r="K1603" s="40">
        <v>0</v>
      </c>
      <c r="L1603" s="40">
        <v>0</v>
      </c>
      <c r="M1603" s="40">
        <f t="shared" si="49"/>
        <v>0</v>
      </c>
      <c r="N1603" s="40">
        <f t="shared" si="50"/>
        <v>0</v>
      </c>
    </row>
    <row r="1604" spans="1:14" x14ac:dyDescent="0.35">
      <c r="A1604" s="33">
        <v>1601</v>
      </c>
      <c r="B1604" s="34" t="s">
        <v>1997</v>
      </c>
      <c r="C1604" s="33" t="s">
        <v>346</v>
      </c>
      <c r="D1604" s="33" t="s">
        <v>13</v>
      </c>
      <c r="E1604" s="33" t="s">
        <v>1955</v>
      </c>
      <c r="F1604" s="35">
        <v>0.5</v>
      </c>
      <c r="G1604" s="40">
        <v>0</v>
      </c>
      <c r="H1604" s="40">
        <v>0</v>
      </c>
      <c r="I1604" s="40">
        <v>0</v>
      </c>
      <c r="J1604" s="40">
        <v>0</v>
      </c>
      <c r="K1604" s="40">
        <v>0</v>
      </c>
      <c r="L1604" s="40">
        <v>0</v>
      </c>
      <c r="M1604" s="40">
        <f t="shared" si="49"/>
        <v>0</v>
      </c>
      <c r="N1604" s="40">
        <f t="shared" si="50"/>
        <v>0</v>
      </c>
    </row>
    <row r="1605" spans="1:14" x14ac:dyDescent="0.35">
      <c r="A1605" s="33">
        <v>1602</v>
      </c>
      <c r="B1605" s="34" t="s">
        <v>1998</v>
      </c>
      <c r="C1605" s="33" t="s">
        <v>346</v>
      </c>
      <c r="D1605" s="33" t="s">
        <v>13</v>
      </c>
      <c r="E1605" s="33" t="s">
        <v>1955</v>
      </c>
      <c r="F1605" s="35">
        <v>0.1</v>
      </c>
      <c r="G1605" s="40">
        <v>0</v>
      </c>
      <c r="H1605" s="40">
        <v>0</v>
      </c>
      <c r="I1605" s="40">
        <v>0</v>
      </c>
      <c r="J1605" s="40">
        <v>0</v>
      </c>
      <c r="K1605" s="40">
        <v>0</v>
      </c>
      <c r="L1605" s="40">
        <v>0</v>
      </c>
      <c r="M1605" s="40">
        <f t="shared" ref="M1605:M1668" si="51">G1605+I1605+K1605</f>
        <v>0</v>
      </c>
      <c r="N1605" s="40">
        <f t="shared" ref="N1605:N1668" si="52">H1605+J1605+L1605</f>
        <v>0</v>
      </c>
    </row>
    <row r="1606" spans="1:14" x14ac:dyDescent="0.35">
      <c r="A1606" s="33">
        <v>1603</v>
      </c>
      <c r="B1606" s="34" t="s">
        <v>1999</v>
      </c>
      <c r="C1606" s="33" t="s">
        <v>346</v>
      </c>
      <c r="D1606" s="33" t="s">
        <v>13</v>
      </c>
      <c r="E1606" s="33" t="s">
        <v>1955</v>
      </c>
      <c r="F1606" s="35">
        <v>1</v>
      </c>
      <c r="G1606" s="40">
        <v>0</v>
      </c>
      <c r="H1606" s="40">
        <v>0</v>
      </c>
      <c r="I1606" s="40">
        <v>0</v>
      </c>
      <c r="J1606" s="40">
        <v>0</v>
      </c>
      <c r="K1606" s="40">
        <v>0</v>
      </c>
      <c r="L1606" s="40">
        <v>0</v>
      </c>
      <c r="M1606" s="40">
        <f t="shared" si="51"/>
        <v>0</v>
      </c>
      <c r="N1606" s="40">
        <f t="shared" si="52"/>
        <v>0</v>
      </c>
    </row>
    <row r="1607" spans="1:14" x14ac:dyDescent="0.35">
      <c r="A1607" s="33">
        <v>1604</v>
      </c>
      <c r="B1607" s="34" t="s">
        <v>2000</v>
      </c>
      <c r="C1607" s="33" t="s">
        <v>346</v>
      </c>
      <c r="D1607" s="33" t="s">
        <v>13</v>
      </c>
      <c r="E1607" s="33" t="s">
        <v>2001</v>
      </c>
      <c r="F1607" s="35">
        <v>1</v>
      </c>
      <c r="G1607" s="40">
        <v>0</v>
      </c>
      <c r="H1607" s="40">
        <v>0</v>
      </c>
      <c r="I1607" s="40">
        <v>0</v>
      </c>
      <c r="J1607" s="40">
        <v>0</v>
      </c>
      <c r="K1607" s="40">
        <v>0</v>
      </c>
      <c r="L1607" s="40">
        <v>0</v>
      </c>
      <c r="M1607" s="40">
        <f t="shared" si="51"/>
        <v>0</v>
      </c>
      <c r="N1607" s="40">
        <f t="shared" si="52"/>
        <v>0</v>
      </c>
    </row>
    <row r="1608" spans="1:14" x14ac:dyDescent="0.35">
      <c r="A1608" s="33">
        <v>1605</v>
      </c>
      <c r="B1608" s="34" t="s">
        <v>2002</v>
      </c>
      <c r="C1608" s="33" t="s">
        <v>346</v>
      </c>
      <c r="D1608" s="33" t="s">
        <v>13</v>
      </c>
      <c r="E1608" s="33" t="s">
        <v>1955</v>
      </c>
      <c r="F1608" s="35">
        <v>1</v>
      </c>
      <c r="G1608" s="40">
        <v>0</v>
      </c>
      <c r="H1608" s="40">
        <v>0</v>
      </c>
      <c r="I1608" s="40">
        <v>0</v>
      </c>
      <c r="J1608" s="40">
        <v>0</v>
      </c>
      <c r="K1608" s="40">
        <v>0</v>
      </c>
      <c r="L1608" s="40">
        <v>0</v>
      </c>
      <c r="M1608" s="40">
        <f t="shared" si="51"/>
        <v>0</v>
      </c>
      <c r="N1608" s="40">
        <f t="shared" si="52"/>
        <v>0</v>
      </c>
    </row>
    <row r="1609" spans="1:14" x14ac:dyDescent="0.35">
      <c r="A1609" s="33">
        <v>1606</v>
      </c>
      <c r="B1609" s="34" t="s">
        <v>2003</v>
      </c>
      <c r="C1609" s="33" t="s">
        <v>346</v>
      </c>
      <c r="D1609" s="33" t="s">
        <v>13</v>
      </c>
      <c r="E1609" s="33" t="s">
        <v>1955</v>
      </c>
      <c r="F1609" s="35">
        <v>1</v>
      </c>
      <c r="G1609" s="40">
        <v>0</v>
      </c>
      <c r="H1609" s="40">
        <v>0</v>
      </c>
      <c r="I1609" s="40">
        <v>0</v>
      </c>
      <c r="J1609" s="40">
        <v>0</v>
      </c>
      <c r="K1609" s="40">
        <v>0</v>
      </c>
      <c r="L1609" s="40">
        <v>0</v>
      </c>
      <c r="M1609" s="40">
        <f t="shared" si="51"/>
        <v>0</v>
      </c>
      <c r="N1609" s="40">
        <f t="shared" si="52"/>
        <v>0</v>
      </c>
    </row>
    <row r="1610" spans="1:14" x14ac:dyDescent="0.35">
      <c r="A1610" s="33">
        <v>1607</v>
      </c>
      <c r="B1610" s="34" t="s">
        <v>1956</v>
      </c>
      <c r="C1610" s="33" t="s">
        <v>297</v>
      </c>
      <c r="D1610" s="33" t="s">
        <v>13</v>
      </c>
      <c r="E1610" s="33" t="s">
        <v>1957</v>
      </c>
      <c r="F1610" s="35">
        <v>1</v>
      </c>
      <c r="G1610" s="40">
        <v>0</v>
      </c>
      <c r="H1610" s="40">
        <v>0</v>
      </c>
      <c r="I1610" s="40">
        <v>0</v>
      </c>
      <c r="J1610" s="40">
        <v>0</v>
      </c>
      <c r="K1610" s="40">
        <v>0</v>
      </c>
      <c r="L1610" s="40">
        <v>0</v>
      </c>
      <c r="M1610" s="40">
        <f t="shared" si="51"/>
        <v>0</v>
      </c>
      <c r="N1610" s="40">
        <f t="shared" si="52"/>
        <v>0</v>
      </c>
    </row>
    <row r="1611" spans="1:14" x14ac:dyDescent="0.35">
      <c r="A1611" s="33">
        <v>1608</v>
      </c>
      <c r="B1611" s="34" t="s">
        <v>1958</v>
      </c>
      <c r="C1611" s="33" t="s">
        <v>297</v>
      </c>
      <c r="D1611" s="33" t="s">
        <v>13</v>
      </c>
      <c r="E1611" s="33" t="s">
        <v>1959</v>
      </c>
      <c r="F1611" s="35">
        <v>1</v>
      </c>
      <c r="G1611" s="40">
        <v>0</v>
      </c>
      <c r="H1611" s="40">
        <v>0</v>
      </c>
      <c r="I1611" s="40">
        <v>0</v>
      </c>
      <c r="J1611" s="40">
        <v>0</v>
      </c>
      <c r="K1611" s="40">
        <v>0</v>
      </c>
      <c r="L1611" s="40">
        <v>0</v>
      </c>
      <c r="M1611" s="40">
        <f t="shared" si="51"/>
        <v>0</v>
      </c>
      <c r="N1611" s="40">
        <f t="shared" si="52"/>
        <v>0</v>
      </c>
    </row>
    <row r="1612" spans="1:14" x14ac:dyDescent="0.35">
      <c r="A1612" s="33">
        <v>1609</v>
      </c>
      <c r="B1612" s="34" t="s">
        <v>1960</v>
      </c>
      <c r="C1612" s="33" t="s">
        <v>297</v>
      </c>
      <c r="D1612" s="33" t="s">
        <v>13</v>
      </c>
      <c r="E1612" s="33" t="s">
        <v>1961</v>
      </c>
      <c r="F1612" s="35">
        <v>1</v>
      </c>
      <c r="G1612" s="40">
        <v>0</v>
      </c>
      <c r="H1612" s="40">
        <v>0</v>
      </c>
      <c r="I1612" s="40">
        <v>0</v>
      </c>
      <c r="J1612" s="40">
        <v>0</v>
      </c>
      <c r="K1612" s="40">
        <v>0</v>
      </c>
      <c r="L1612" s="40">
        <v>0</v>
      </c>
      <c r="M1612" s="40">
        <f t="shared" si="51"/>
        <v>0</v>
      </c>
      <c r="N1612" s="40">
        <f t="shared" si="52"/>
        <v>0</v>
      </c>
    </row>
    <row r="1613" spans="1:14" x14ac:dyDescent="0.35">
      <c r="A1613" s="33">
        <v>1610</v>
      </c>
      <c r="B1613" s="34" t="s">
        <v>1963</v>
      </c>
      <c r="C1613" s="33" t="s">
        <v>297</v>
      </c>
      <c r="D1613" s="33" t="s">
        <v>13</v>
      </c>
      <c r="E1613" s="33" t="s">
        <v>1961</v>
      </c>
      <c r="F1613" s="35">
        <v>1</v>
      </c>
      <c r="G1613" s="40">
        <v>0</v>
      </c>
      <c r="H1613" s="40">
        <v>0</v>
      </c>
      <c r="I1613" s="40">
        <v>0</v>
      </c>
      <c r="J1613" s="40">
        <v>0</v>
      </c>
      <c r="K1613" s="40">
        <v>0</v>
      </c>
      <c r="L1613" s="40">
        <v>0</v>
      </c>
      <c r="M1613" s="40">
        <f t="shared" si="51"/>
        <v>0</v>
      </c>
      <c r="N1613" s="40">
        <f t="shared" si="52"/>
        <v>0</v>
      </c>
    </row>
    <row r="1614" spans="1:14" x14ac:dyDescent="0.35">
      <c r="A1614" s="33">
        <v>1611</v>
      </c>
      <c r="B1614" s="34" t="s">
        <v>1962</v>
      </c>
      <c r="C1614" s="33" t="s">
        <v>297</v>
      </c>
      <c r="D1614" s="33" t="s">
        <v>13</v>
      </c>
      <c r="E1614" s="33" t="s">
        <v>1961</v>
      </c>
      <c r="F1614" s="35">
        <v>1</v>
      </c>
      <c r="G1614" s="40">
        <v>0</v>
      </c>
      <c r="H1614" s="40">
        <v>0</v>
      </c>
      <c r="I1614" s="40">
        <v>0</v>
      </c>
      <c r="J1614" s="40">
        <v>0</v>
      </c>
      <c r="K1614" s="40">
        <v>0</v>
      </c>
      <c r="L1614" s="40">
        <v>0</v>
      </c>
      <c r="M1614" s="40">
        <f t="shared" si="51"/>
        <v>0</v>
      </c>
      <c r="N1614" s="40">
        <f t="shared" si="52"/>
        <v>0</v>
      </c>
    </row>
    <row r="1615" spans="1:14" x14ac:dyDescent="0.35">
      <c r="A1615" s="33">
        <v>1612</v>
      </c>
      <c r="B1615" s="34" t="s">
        <v>2004</v>
      </c>
      <c r="C1615" s="33" t="s">
        <v>346</v>
      </c>
      <c r="D1615" s="33" t="s">
        <v>13</v>
      </c>
      <c r="E1615" s="33" t="s">
        <v>1961</v>
      </c>
      <c r="F1615" s="35">
        <v>0.1</v>
      </c>
      <c r="G1615" s="40">
        <v>0</v>
      </c>
      <c r="H1615" s="40">
        <v>0</v>
      </c>
      <c r="I1615" s="40">
        <v>0</v>
      </c>
      <c r="J1615" s="40">
        <v>0</v>
      </c>
      <c r="K1615" s="40">
        <v>0</v>
      </c>
      <c r="L1615" s="40">
        <v>0</v>
      </c>
      <c r="M1615" s="40">
        <f t="shared" si="51"/>
        <v>0</v>
      </c>
      <c r="N1615" s="40">
        <f t="shared" si="52"/>
        <v>0</v>
      </c>
    </row>
    <row r="1616" spans="1:14" x14ac:dyDescent="0.35">
      <c r="A1616" s="33">
        <v>1613</v>
      </c>
      <c r="B1616" s="34" t="s">
        <v>1965</v>
      </c>
      <c r="C1616" s="33" t="s">
        <v>297</v>
      </c>
      <c r="D1616" s="33" t="s">
        <v>13</v>
      </c>
      <c r="E1616" s="33" t="s">
        <v>1965</v>
      </c>
      <c r="F1616" s="35">
        <v>1</v>
      </c>
      <c r="G1616" s="40">
        <v>0</v>
      </c>
      <c r="H1616" s="40">
        <v>0</v>
      </c>
      <c r="I1616" s="40">
        <v>0</v>
      </c>
      <c r="J1616" s="40">
        <v>0</v>
      </c>
      <c r="K1616" s="40">
        <v>0</v>
      </c>
      <c r="L1616" s="40">
        <v>0</v>
      </c>
      <c r="M1616" s="40">
        <f t="shared" si="51"/>
        <v>0</v>
      </c>
      <c r="N1616" s="40">
        <f t="shared" si="52"/>
        <v>0</v>
      </c>
    </row>
    <row r="1617" spans="1:14" x14ac:dyDescent="0.35">
      <c r="A1617" s="33">
        <v>1614</v>
      </c>
      <c r="B1617" s="34" t="s">
        <v>1966</v>
      </c>
      <c r="C1617" s="33" t="s">
        <v>297</v>
      </c>
      <c r="D1617" s="33" t="s">
        <v>13</v>
      </c>
      <c r="E1617" s="33" t="s">
        <v>1967</v>
      </c>
      <c r="F1617" s="35">
        <v>1</v>
      </c>
      <c r="G1617" s="40">
        <v>0</v>
      </c>
      <c r="H1617" s="40">
        <v>0</v>
      </c>
      <c r="I1617" s="40">
        <v>0</v>
      </c>
      <c r="J1617" s="40">
        <v>0</v>
      </c>
      <c r="K1617" s="40">
        <v>0</v>
      </c>
      <c r="L1617" s="40">
        <v>0</v>
      </c>
      <c r="M1617" s="40">
        <f t="shared" si="51"/>
        <v>0</v>
      </c>
      <c r="N1617" s="40">
        <f t="shared" si="52"/>
        <v>0</v>
      </c>
    </row>
    <row r="1618" spans="1:14" x14ac:dyDescent="0.35">
      <c r="A1618" s="33">
        <v>1615</v>
      </c>
      <c r="B1618" s="34" t="s">
        <v>2006</v>
      </c>
      <c r="C1618" s="33" t="s">
        <v>346</v>
      </c>
      <c r="D1618" s="33" t="s">
        <v>13</v>
      </c>
      <c r="E1618" s="33" t="s">
        <v>1967</v>
      </c>
      <c r="F1618" s="35">
        <v>1</v>
      </c>
      <c r="G1618" s="40">
        <v>0</v>
      </c>
      <c r="H1618" s="40">
        <v>0</v>
      </c>
      <c r="I1618" s="40">
        <v>0</v>
      </c>
      <c r="J1618" s="40">
        <v>0</v>
      </c>
      <c r="K1618" s="40">
        <v>0</v>
      </c>
      <c r="L1618" s="40">
        <v>0</v>
      </c>
      <c r="M1618" s="40">
        <f t="shared" si="51"/>
        <v>0</v>
      </c>
      <c r="N1618" s="40">
        <f t="shared" si="52"/>
        <v>0</v>
      </c>
    </row>
    <row r="1619" spans="1:14" x14ac:dyDescent="0.35">
      <c r="A1619" s="33">
        <v>1616</v>
      </c>
      <c r="B1619" s="34" t="s">
        <v>2007</v>
      </c>
      <c r="C1619" s="33" t="s">
        <v>346</v>
      </c>
      <c r="D1619" s="33" t="s">
        <v>13</v>
      </c>
      <c r="E1619" s="33" t="s">
        <v>1967</v>
      </c>
      <c r="F1619" s="35">
        <v>1</v>
      </c>
      <c r="G1619" s="40">
        <v>0</v>
      </c>
      <c r="H1619" s="40">
        <v>0</v>
      </c>
      <c r="I1619" s="40">
        <v>0</v>
      </c>
      <c r="J1619" s="40">
        <v>0</v>
      </c>
      <c r="K1619" s="40">
        <v>0</v>
      </c>
      <c r="L1619" s="40">
        <v>0</v>
      </c>
      <c r="M1619" s="40">
        <f t="shared" si="51"/>
        <v>0</v>
      </c>
      <c r="N1619" s="40">
        <f t="shared" si="52"/>
        <v>0</v>
      </c>
    </row>
    <row r="1620" spans="1:14" x14ac:dyDescent="0.35">
      <c r="A1620" s="33">
        <v>1617</v>
      </c>
      <c r="B1620" s="34" t="s">
        <v>2008</v>
      </c>
      <c r="C1620" s="33" t="s">
        <v>346</v>
      </c>
      <c r="D1620" s="33" t="s">
        <v>13</v>
      </c>
      <c r="E1620" s="33" t="s">
        <v>1967</v>
      </c>
      <c r="F1620" s="35">
        <v>1</v>
      </c>
      <c r="G1620" s="40">
        <v>0</v>
      </c>
      <c r="H1620" s="40">
        <v>0</v>
      </c>
      <c r="I1620" s="40">
        <v>0</v>
      </c>
      <c r="J1620" s="40">
        <v>0</v>
      </c>
      <c r="K1620" s="40">
        <v>0</v>
      </c>
      <c r="L1620" s="40">
        <v>0</v>
      </c>
      <c r="M1620" s="40">
        <f t="shared" si="51"/>
        <v>0</v>
      </c>
      <c r="N1620" s="40">
        <f t="shared" si="52"/>
        <v>0</v>
      </c>
    </row>
    <row r="1621" spans="1:14" x14ac:dyDescent="0.35">
      <c r="A1621" s="33">
        <v>1618</v>
      </c>
      <c r="B1621" s="34" t="s">
        <v>1968</v>
      </c>
      <c r="C1621" s="33" t="s">
        <v>297</v>
      </c>
      <c r="D1621" s="33" t="s">
        <v>13</v>
      </c>
      <c r="E1621" s="33" t="s">
        <v>1969</v>
      </c>
      <c r="F1621" s="35">
        <v>1</v>
      </c>
      <c r="G1621" s="40">
        <v>0</v>
      </c>
      <c r="H1621" s="40">
        <v>14300</v>
      </c>
      <c r="I1621" s="40">
        <v>0</v>
      </c>
      <c r="J1621" s="40">
        <v>0</v>
      </c>
      <c r="K1621" s="40">
        <v>0</v>
      </c>
      <c r="L1621" s="40">
        <v>851.9</v>
      </c>
      <c r="M1621" s="40">
        <f t="shared" si="51"/>
        <v>0</v>
      </c>
      <c r="N1621" s="40">
        <f t="shared" si="52"/>
        <v>15151.9</v>
      </c>
    </row>
    <row r="1622" spans="1:14" x14ac:dyDescent="0.35">
      <c r="A1622" s="33">
        <v>1619</v>
      </c>
      <c r="B1622" s="34" t="s">
        <v>1970</v>
      </c>
      <c r="C1622" s="33" t="s">
        <v>297</v>
      </c>
      <c r="D1622" s="33" t="s">
        <v>13</v>
      </c>
      <c r="E1622" s="33" t="s">
        <v>1969</v>
      </c>
      <c r="F1622" s="35">
        <v>1</v>
      </c>
      <c r="G1622" s="40">
        <v>0</v>
      </c>
      <c r="H1622" s="40">
        <v>0</v>
      </c>
      <c r="I1622" s="40">
        <v>0</v>
      </c>
      <c r="J1622" s="40">
        <v>0</v>
      </c>
      <c r="K1622" s="40">
        <v>0</v>
      </c>
      <c r="L1622" s="40">
        <v>0</v>
      </c>
      <c r="M1622" s="40">
        <f t="shared" si="51"/>
        <v>0</v>
      </c>
      <c r="N1622" s="40">
        <f t="shared" si="52"/>
        <v>0</v>
      </c>
    </row>
    <row r="1623" spans="1:14" x14ac:dyDescent="0.35">
      <c r="A1623" s="33">
        <v>1620</v>
      </c>
      <c r="B1623" s="34" t="s">
        <v>2009</v>
      </c>
      <c r="C1623" s="33" t="s">
        <v>346</v>
      </c>
      <c r="D1623" s="33" t="s">
        <v>13</v>
      </c>
      <c r="E1623" s="33" t="s">
        <v>1969</v>
      </c>
      <c r="F1623" s="35">
        <v>0.25</v>
      </c>
      <c r="G1623" s="40">
        <v>0</v>
      </c>
      <c r="H1623" s="40">
        <v>0</v>
      </c>
      <c r="I1623" s="40">
        <v>0</v>
      </c>
      <c r="J1623" s="40">
        <v>0</v>
      </c>
      <c r="K1623" s="40">
        <v>0</v>
      </c>
      <c r="L1623" s="40">
        <v>0</v>
      </c>
      <c r="M1623" s="40">
        <f t="shared" si="51"/>
        <v>0</v>
      </c>
      <c r="N1623" s="40">
        <f t="shared" si="52"/>
        <v>0</v>
      </c>
    </row>
    <row r="1624" spans="1:14" x14ac:dyDescent="0.35">
      <c r="A1624" s="33">
        <v>1621</v>
      </c>
      <c r="B1624" s="34" t="s">
        <v>2010</v>
      </c>
      <c r="C1624" s="33" t="s">
        <v>346</v>
      </c>
      <c r="D1624" s="33" t="s">
        <v>13</v>
      </c>
      <c r="E1624" s="33" t="s">
        <v>1969</v>
      </c>
      <c r="F1624" s="35">
        <v>0.25</v>
      </c>
      <c r="G1624" s="40">
        <v>0</v>
      </c>
      <c r="H1624" s="40">
        <v>0</v>
      </c>
      <c r="I1624" s="40">
        <v>0</v>
      </c>
      <c r="J1624" s="40">
        <v>0</v>
      </c>
      <c r="K1624" s="40">
        <v>0</v>
      </c>
      <c r="L1624" s="40">
        <v>0</v>
      </c>
      <c r="M1624" s="40">
        <f t="shared" si="51"/>
        <v>0</v>
      </c>
      <c r="N1624" s="40">
        <f t="shared" si="52"/>
        <v>0</v>
      </c>
    </row>
    <row r="1625" spans="1:14" x14ac:dyDescent="0.35">
      <c r="A1625" s="33">
        <v>1622</v>
      </c>
      <c r="B1625" s="34" t="s">
        <v>2011</v>
      </c>
      <c r="C1625" s="33" t="s">
        <v>346</v>
      </c>
      <c r="D1625" s="33" t="s">
        <v>13</v>
      </c>
      <c r="E1625" s="33" t="s">
        <v>1969</v>
      </c>
      <c r="F1625" s="35">
        <v>0.1</v>
      </c>
      <c r="G1625" s="40">
        <v>0</v>
      </c>
      <c r="H1625" s="40">
        <v>0</v>
      </c>
      <c r="I1625" s="40">
        <v>0</v>
      </c>
      <c r="J1625" s="40">
        <v>0</v>
      </c>
      <c r="K1625" s="40">
        <v>0</v>
      </c>
      <c r="L1625" s="40">
        <v>0</v>
      </c>
      <c r="M1625" s="40">
        <f t="shared" si="51"/>
        <v>0</v>
      </c>
      <c r="N1625" s="40">
        <f t="shared" si="52"/>
        <v>0</v>
      </c>
    </row>
    <row r="1626" spans="1:14" x14ac:dyDescent="0.35">
      <c r="A1626" s="33">
        <v>1623</v>
      </c>
      <c r="B1626" s="34" t="s">
        <v>2012</v>
      </c>
      <c r="C1626" s="33" t="s">
        <v>346</v>
      </c>
      <c r="D1626" s="33" t="s">
        <v>13</v>
      </c>
      <c r="E1626" s="33" t="s">
        <v>1969</v>
      </c>
      <c r="F1626" s="35">
        <v>0.1</v>
      </c>
      <c r="G1626" s="40">
        <v>0</v>
      </c>
      <c r="H1626" s="40">
        <v>0</v>
      </c>
      <c r="I1626" s="40">
        <v>0</v>
      </c>
      <c r="J1626" s="40">
        <v>0</v>
      </c>
      <c r="K1626" s="40">
        <v>0</v>
      </c>
      <c r="L1626" s="40">
        <v>0</v>
      </c>
      <c r="M1626" s="40">
        <f t="shared" si="51"/>
        <v>0</v>
      </c>
      <c r="N1626" s="40">
        <f t="shared" si="52"/>
        <v>0</v>
      </c>
    </row>
    <row r="1627" spans="1:14" x14ac:dyDescent="0.35">
      <c r="A1627" s="33">
        <v>1624</v>
      </c>
      <c r="B1627" s="34" t="s">
        <v>2013</v>
      </c>
      <c r="C1627" s="33" t="s">
        <v>346</v>
      </c>
      <c r="D1627" s="33" t="s">
        <v>13</v>
      </c>
      <c r="E1627" s="33" t="s">
        <v>1969</v>
      </c>
      <c r="F1627" s="35">
        <v>0.1</v>
      </c>
      <c r="G1627" s="40">
        <v>0</v>
      </c>
      <c r="H1627" s="40">
        <v>0</v>
      </c>
      <c r="I1627" s="40">
        <v>0</v>
      </c>
      <c r="J1627" s="40">
        <v>0</v>
      </c>
      <c r="K1627" s="40">
        <v>0</v>
      </c>
      <c r="L1627" s="40">
        <v>0</v>
      </c>
      <c r="M1627" s="40">
        <f t="shared" si="51"/>
        <v>0</v>
      </c>
      <c r="N1627" s="40">
        <f t="shared" si="52"/>
        <v>0</v>
      </c>
    </row>
    <row r="1628" spans="1:14" x14ac:dyDescent="0.35">
      <c r="A1628" s="33">
        <v>1625</v>
      </c>
      <c r="B1628" s="34" t="s">
        <v>2014</v>
      </c>
      <c r="C1628" s="33" t="s">
        <v>346</v>
      </c>
      <c r="D1628" s="33" t="s">
        <v>13</v>
      </c>
      <c r="E1628" s="33" t="s">
        <v>1969</v>
      </c>
      <c r="F1628" s="35">
        <v>0.1</v>
      </c>
      <c r="G1628" s="40">
        <v>30</v>
      </c>
      <c r="H1628" s="40">
        <v>3</v>
      </c>
      <c r="I1628" s="40">
        <v>0</v>
      </c>
      <c r="J1628" s="40">
        <v>0</v>
      </c>
      <c r="K1628" s="40">
        <v>16150</v>
      </c>
      <c r="L1628" s="40">
        <v>1615</v>
      </c>
      <c r="M1628" s="40">
        <f t="shared" si="51"/>
        <v>16180</v>
      </c>
      <c r="N1628" s="40">
        <f t="shared" si="52"/>
        <v>1618</v>
      </c>
    </row>
    <row r="1629" spans="1:14" x14ac:dyDescent="0.35">
      <c r="A1629" s="33">
        <v>1626</v>
      </c>
      <c r="B1629" s="34" t="s">
        <v>2015</v>
      </c>
      <c r="C1629" s="33" t="s">
        <v>346</v>
      </c>
      <c r="D1629" s="33" t="s">
        <v>13</v>
      </c>
      <c r="E1629" s="33" t="s">
        <v>1969</v>
      </c>
      <c r="F1629" s="35">
        <v>0.2</v>
      </c>
      <c r="G1629" s="40">
        <v>50</v>
      </c>
      <c r="H1629" s="40">
        <v>10</v>
      </c>
      <c r="I1629" s="40">
        <v>0</v>
      </c>
      <c r="J1629" s="40">
        <v>0</v>
      </c>
      <c r="K1629" s="40">
        <v>8200</v>
      </c>
      <c r="L1629" s="40">
        <v>1640</v>
      </c>
      <c r="M1629" s="40">
        <f t="shared" si="51"/>
        <v>8250</v>
      </c>
      <c r="N1629" s="40">
        <f t="shared" si="52"/>
        <v>1650</v>
      </c>
    </row>
    <row r="1630" spans="1:14" x14ac:dyDescent="0.35">
      <c r="A1630" s="33">
        <v>1627</v>
      </c>
      <c r="B1630" s="34" t="s">
        <v>2016</v>
      </c>
      <c r="C1630" s="33" t="s">
        <v>346</v>
      </c>
      <c r="D1630" s="33" t="s">
        <v>13</v>
      </c>
      <c r="E1630" s="33" t="s">
        <v>1969</v>
      </c>
      <c r="F1630" s="35">
        <v>1</v>
      </c>
      <c r="G1630" s="40">
        <v>0</v>
      </c>
      <c r="H1630" s="40">
        <v>0</v>
      </c>
      <c r="I1630" s="40">
        <v>0</v>
      </c>
      <c r="J1630" s="40">
        <v>0</v>
      </c>
      <c r="K1630" s="40">
        <v>0</v>
      </c>
      <c r="L1630" s="40">
        <v>0</v>
      </c>
      <c r="M1630" s="40">
        <f t="shared" si="51"/>
        <v>0</v>
      </c>
      <c r="N1630" s="40">
        <f t="shared" si="52"/>
        <v>0</v>
      </c>
    </row>
    <row r="1631" spans="1:14" x14ac:dyDescent="0.35">
      <c r="A1631" s="33">
        <v>1628</v>
      </c>
      <c r="B1631" s="34" t="s">
        <v>2017</v>
      </c>
      <c r="C1631" s="33" t="s">
        <v>346</v>
      </c>
      <c r="D1631" s="33" t="s">
        <v>13</v>
      </c>
      <c r="E1631" s="33" t="s">
        <v>1969</v>
      </c>
      <c r="F1631" s="35">
        <v>0.2</v>
      </c>
      <c r="G1631" s="40">
        <v>0</v>
      </c>
      <c r="H1631" s="40">
        <v>0</v>
      </c>
      <c r="I1631" s="40">
        <v>0</v>
      </c>
      <c r="J1631" s="40">
        <v>0</v>
      </c>
      <c r="K1631" s="40">
        <v>0</v>
      </c>
      <c r="L1631" s="40">
        <v>0</v>
      </c>
      <c r="M1631" s="40">
        <f t="shared" si="51"/>
        <v>0</v>
      </c>
      <c r="N1631" s="40">
        <f t="shared" si="52"/>
        <v>0</v>
      </c>
    </row>
    <row r="1632" spans="1:14" x14ac:dyDescent="0.35">
      <c r="A1632" s="33">
        <v>1629</v>
      </c>
      <c r="B1632" s="34" t="s">
        <v>2018</v>
      </c>
      <c r="C1632" s="33" t="s">
        <v>346</v>
      </c>
      <c r="D1632" s="33" t="s">
        <v>13</v>
      </c>
      <c r="E1632" s="33" t="s">
        <v>1969</v>
      </c>
      <c r="F1632" s="35">
        <v>0.1</v>
      </c>
      <c r="G1632" s="40">
        <v>0</v>
      </c>
      <c r="H1632" s="40">
        <v>0</v>
      </c>
      <c r="I1632" s="40">
        <v>0</v>
      </c>
      <c r="J1632" s="40">
        <v>0</v>
      </c>
      <c r="K1632" s="40">
        <v>0</v>
      </c>
      <c r="L1632" s="40">
        <v>0</v>
      </c>
      <c r="M1632" s="40">
        <f t="shared" si="51"/>
        <v>0</v>
      </c>
      <c r="N1632" s="40">
        <f t="shared" si="52"/>
        <v>0</v>
      </c>
    </row>
    <row r="1633" spans="1:14" x14ac:dyDescent="0.35">
      <c r="A1633" s="33">
        <v>1630</v>
      </c>
      <c r="B1633" s="34" t="s">
        <v>2019</v>
      </c>
      <c r="C1633" s="33" t="s">
        <v>346</v>
      </c>
      <c r="D1633" s="33" t="s">
        <v>13</v>
      </c>
      <c r="E1633" s="33" t="s">
        <v>1969</v>
      </c>
      <c r="F1633" s="35">
        <v>0.5</v>
      </c>
      <c r="G1633" s="40">
        <v>0</v>
      </c>
      <c r="H1633" s="40">
        <v>0</v>
      </c>
      <c r="I1633" s="40">
        <v>0</v>
      </c>
      <c r="J1633" s="40">
        <v>0</v>
      </c>
      <c r="K1633" s="40">
        <v>0</v>
      </c>
      <c r="L1633" s="40">
        <v>0</v>
      </c>
      <c r="M1633" s="40">
        <f t="shared" si="51"/>
        <v>0</v>
      </c>
      <c r="N1633" s="40">
        <f t="shared" si="52"/>
        <v>0</v>
      </c>
    </row>
    <row r="1634" spans="1:14" x14ac:dyDescent="0.35">
      <c r="A1634" s="33">
        <v>1631</v>
      </c>
      <c r="B1634" s="34" t="s">
        <v>2020</v>
      </c>
      <c r="C1634" s="33" t="s">
        <v>346</v>
      </c>
      <c r="D1634" s="33" t="s">
        <v>13</v>
      </c>
      <c r="E1634" s="33" t="s">
        <v>1969</v>
      </c>
      <c r="F1634" s="35">
        <v>1</v>
      </c>
      <c r="G1634" s="40">
        <v>0</v>
      </c>
      <c r="H1634" s="40">
        <v>0</v>
      </c>
      <c r="I1634" s="40">
        <v>0</v>
      </c>
      <c r="J1634" s="40">
        <v>179</v>
      </c>
      <c r="K1634" s="40">
        <v>0</v>
      </c>
      <c r="L1634" s="40">
        <v>0</v>
      </c>
      <c r="M1634" s="40">
        <f t="shared" si="51"/>
        <v>0</v>
      </c>
      <c r="N1634" s="40">
        <f t="shared" si="52"/>
        <v>179</v>
      </c>
    </row>
    <row r="1635" spans="1:14" x14ac:dyDescent="0.35">
      <c r="A1635" s="33">
        <v>1632</v>
      </c>
      <c r="B1635" s="34" t="s">
        <v>2021</v>
      </c>
      <c r="C1635" s="33" t="s">
        <v>346</v>
      </c>
      <c r="D1635" s="33" t="s">
        <v>13</v>
      </c>
      <c r="E1635" s="33" t="s">
        <v>1969</v>
      </c>
      <c r="F1635" s="35">
        <v>1</v>
      </c>
      <c r="G1635" s="40">
        <v>0</v>
      </c>
      <c r="H1635" s="40">
        <v>0</v>
      </c>
      <c r="I1635" s="40">
        <v>0</v>
      </c>
      <c r="J1635" s="40">
        <v>0</v>
      </c>
      <c r="K1635" s="40">
        <v>0</v>
      </c>
      <c r="L1635" s="40">
        <v>0</v>
      </c>
      <c r="M1635" s="40">
        <f t="shared" si="51"/>
        <v>0</v>
      </c>
      <c r="N1635" s="40">
        <f t="shared" si="52"/>
        <v>0</v>
      </c>
    </row>
    <row r="1636" spans="1:14" x14ac:dyDescent="0.35">
      <c r="A1636" s="33">
        <v>1633</v>
      </c>
      <c r="B1636" s="34" t="s">
        <v>2022</v>
      </c>
      <c r="C1636" s="33" t="s">
        <v>346</v>
      </c>
      <c r="D1636" s="33" t="s">
        <v>13</v>
      </c>
      <c r="E1636" s="33" t="s">
        <v>1969</v>
      </c>
      <c r="F1636" s="35">
        <v>0.2</v>
      </c>
      <c r="G1636" s="40">
        <v>0</v>
      </c>
      <c r="H1636" s="40">
        <v>0</v>
      </c>
      <c r="I1636" s="40">
        <v>0</v>
      </c>
      <c r="J1636" s="40">
        <v>0</v>
      </c>
      <c r="K1636" s="40">
        <v>0</v>
      </c>
      <c r="L1636" s="40">
        <v>0</v>
      </c>
      <c r="M1636" s="40">
        <f t="shared" si="51"/>
        <v>0</v>
      </c>
      <c r="N1636" s="40">
        <f t="shared" si="52"/>
        <v>0</v>
      </c>
    </row>
    <row r="1637" spans="1:14" x14ac:dyDescent="0.35">
      <c r="A1637" s="33">
        <v>1634</v>
      </c>
      <c r="B1637" s="34" t="s">
        <v>2023</v>
      </c>
      <c r="C1637" s="33" t="s">
        <v>346</v>
      </c>
      <c r="D1637" s="33" t="s">
        <v>13</v>
      </c>
      <c r="E1637" s="33" t="s">
        <v>1969</v>
      </c>
      <c r="F1637" s="35">
        <v>1</v>
      </c>
      <c r="G1637" s="40">
        <v>0</v>
      </c>
      <c r="H1637" s="40">
        <v>0</v>
      </c>
      <c r="I1637" s="40">
        <v>0</v>
      </c>
      <c r="J1637" s="40">
        <v>0</v>
      </c>
      <c r="K1637" s="40">
        <v>0</v>
      </c>
      <c r="L1637" s="40">
        <v>0</v>
      </c>
      <c r="M1637" s="40">
        <f t="shared" si="51"/>
        <v>0</v>
      </c>
      <c r="N1637" s="40">
        <f t="shared" si="52"/>
        <v>0</v>
      </c>
    </row>
    <row r="1638" spans="1:14" x14ac:dyDescent="0.35">
      <c r="A1638" s="33">
        <v>1635</v>
      </c>
      <c r="B1638" s="34" t="s">
        <v>1971</v>
      </c>
      <c r="C1638" s="33" t="s">
        <v>297</v>
      </c>
      <c r="D1638" s="33" t="s">
        <v>13</v>
      </c>
      <c r="E1638" s="33" t="s">
        <v>1972</v>
      </c>
      <c r="F1638" s="35">
        <v>1</v>
      </c>
      <c r="G1638" s="40">
        <v>0</v>
      </c>
      <c r="H1638" s="40">
        <v>0</v>
      </c>
      <c r="I1638" s="40">
        <v>0</v>
      </c>
      <c r="J1638" s="40">
        <v>0</v>
      </c>
      <c r="K1638" s="40">
        <v>0</v>
      </c>
      <c r="L1638" s="40">
        <v>0</v>
      </c>
      <c r="M1638" s="40">
        <f t="shared" si="51"/>
        <v>0</v>
      </c>
      <c r="N1638" s="40">
        <f t="shared" si="52"/>
        <v>0</v>
      </c>
    </row>
    <row r="1639" spans="1:14" x14ac:dyDescent="0.35">
      <c r="A1639" s="33">
        <v>1636</v>
      </c>
      <c r="B1639" s="34" t="s">
        <v>1973</v>
      </c>
      <c r="C1639" s="33" t="s">
        <v>297</v>
      </c>
      <c r="D1639" s="33" t="s">
        <v>13</v>
      </c>
      <c r="E1639" s="33" t="s">
        <v>1974</v>
      </c>
      <c r="F1639" s="35">
        <v>1</v>
      </c>
      <c r="G1639" s="40">
        <v>0</v>
      </c>
      <c r="H1639" s="40">
        <v>0</v>
      </c>
      <c r="I1639" s="40">
        <v>0</v>
      </c>
      <c r="J1639" s="40">
        <v>0</v>
      </c>
      <c r="K1639" s="40">
        <v>0</v>
      </c>
      <c r="L1639" s="40">
        <v>0</v>
      </c>
      <c r="M1639" s="40">
        <f t="shared" si="51"/>
        <v>0</v>
      </c>
      <c r="N1639" s="40">
        <f t="shared" si="52"/>
        <v>0</v>
      </c>
    </row>
    <row r="1640" spans="1:14" x14ac:dyDescent="0.35">
      <c r="A1640" s="33">
        <v>1637</v>
      </c>
      <c r="B1640" s="34" t="s">
        <v>1975</v>
      </c>
      <c r="C1640" s="33" t="s">
        <v>297</v>
      </c>
      <c r="D1640" s="33" t="s">
        <v>13</v>
      </c>
      <c r="E1640" s="33" t="s">
        <v>1976</v>
      </c>
      <c r="F1640" s="35">
        <v>1</v>
      </c>
      <c r="G1640" s="40">
        <v>0</v>
      </c>
      <c r="H1640" s="40">
        <v>11854.5</v>
      </c>
      <c r="I1640" s="40">
        <v>0</v>
      </c>
      <c r="J1640" s="40">
        <v>0</v>
      </c>
      <c r="K1640" s="40">
        <v>0</v>
      </c>
      <c r="L1640" s="40">
        <v>0</v>
      </c>
      <c r="M1640" s="40">
        <f t="shared" si="51"/>
        <v>0</v>
      </c>
      <c r="N1640" s="40">
        <f t="shared" si="52"/>
        <v>11854.5</v>
      </c>
    </row>
    <row r="1641" spans="1:14" x14ac:dyDescent="0.35">
      <c r="A1641" s="33">
        <v>1638</v>
      </c>
      <c r="B1641" s="34" t="s">
        <v>1977</v>
      </c>
      <c r="C1641" s="33" t="s">
        <v>297</v>
      </c>
      <c r="D1641" s="33" t="s">
        <v>13</v>
      </c>
      <c r="E1641" s="33" t="s">
        <v>1976</v>
      </c>
      <c r="F1641" s="35">
        <v>1</v>
      </c>
      <c r="G1641" s="40">
        <v>0</v>
      </c>
      <c r="H1641" s="40">
        <v>0</v>
      </c>
      <c r="I1641" s="40">
        <v>0</v>
      </c>
      <c r="J1641" s="40">
        <v>0</v>
      </c>
      <c r="K1641" s="40">
        <v>0</v>
      </c>
      <c r="L1641" s="40">
        <v>0</v>
      </c>
      <c r="M1641" s="40">
        <f t="shared" si="51"/>
        <v>0</v>
      </c>
      <c r="N1641" s="40">
        <f t="shared" si="52"/>
        <v>0</v>
      </c>
    </row>
    <row r="1642" spans="1:14" x14ac:dyDescent="0.35">
      <c r="A1642" s="33">
        <v>1639</v>
      </c>
      <c r="B1642" s="34" t="s">
        <v>2024</v>
      </c>
      <c r="C1642" s="33" t="s">
        <v>346</v>
      </c>
      <c r="D1642" s="33" t="s">
        <v>13</v>
      </c>
      <c r="E1642" s="33" t="s">
        <v>1976</v>
      </c>
      <c r="F1642" s="35">
        <v>1</v>
      </c>
      <c r="G1642" s="40">
        <v>0</v>
      </c>
      <c r="H1642" s="40">
        <v>0</v>
      </c>
      <c r="I1642" s="40">
        <v>0</v>
      </c>
      <c r="J1642" s="40">
        <v>0</v>
      </c>
      <c r="K1642" s="40">
        <v>0</v>
      </c>
      <c r="L1642" s="40">
        <v>0</v>
      </c>
      <c r="M1642" s="40">
        <f t="shared" si="51"/>
        <v>0</v>
      </c>
      <c r="N1642" s="40">
        <f t="shared" si="52"/>
        <v>0</v>
      </c>
    </row>
    <row r="1643" spans="1:14" x14ac:dyDescent="0.35">
      <c r="A1643" s="33">
        <v>1640</v>
      </c>
      <c r="B1643" s="34" t="s">
        <v>2025</v>
      </c>
      <c r="C1643" s="33" t="s">
        <v>346</v>
      </c>
      <c r="D1643" s="33" t="s">
        <v>13</v>
      </c>
      <c r="E1643" s="33" t="s">
        <v>1976</v>
      </c>
      <c r="F1643" s="35">
        <v>0.25</v>
      </c>
      <c r="G1643" s="40">
        <v>0</v>
      </c>
      <c r="H1643" s="40">
        <v>0</v>
      </c>
      <c r="I1643" s="40">
        <v>0</v>
      </c>
      <c r="J1643" s="40">
        <v>0</v>
      </c>
      <c r="K1643" s="40">
        <v>0</v>
      </c>
      <c r="L1643" s="40">
        <v>0</v>
      </c>
      <c r="M1643" s="40">
        <f t="shared" si="51"/>
        <v>0</v>
      </c>
      <c r="N1643" s="40">
        <f t="shared" si="52"/>
        <v>0</v>
      </c>
    </row>
    <row r="1644" spans="1:14" x14ac:dyDescent="0.35">
      <c r="A1644" s="33">
        <v>1641</v>
      </c>
      <c r="B1644" s="34" t="s">
        <v>2026</v>
      </c>
      <c r="C1644" s="33" t="s">
        <v>346</v>
      </c>
      <c r="D1644" s="33" t="s">
        <v>13</v>
      </c>
      <c r="E1644" s="33" t="s">
        <v>1976</v>
      </c>
      <c r="F1644" s="35">
        <v>0.1</v>
      </c>
      <c r="G1644" s="40">
        <v>0</v>
      </c>
      <c r="H1644" s="40">
        <v>0</v>
      </c>
      <c r="I1644" s="40">
        <v>0</v>
      </c>
      <c r="J1644" s="40">
        <v>0</v>
      </c>
      <c r="K1644" s="40">
        <v>0</v>
      </c>
      <c r="L1644" s="40">
        <v>0</v>
      </c>
      <c r="M1644" s="40">
        <f t="shared" si="51"/>
        <v>0</v>
      </c>
      <c r="N1644" s="40">
        <f t="shared" si="52"/>
        <v>0</v>
      </c>
    </row>
    <row r="1645" spans="1:14" x14ac:dyDescent="0.35">
      <c r="A1645" s="33">
        <v>1642</v>
      </c>
      <c r="B1645" s="34" t="s">
        <v>2027</v>
      </c>
      <c r="C1645" s="33" t="s">
        <v>346</v>
      </c>
      <c r="D1645" s="33" t="s">
        <v>13</v>
      </c>
      <c r="E1645" s="33" t="s">
        <v>1976</v>
      </c>
      <c r="F1645" s="35">
        <v>0.1</v>
      </c>
      <c r="G1645" s="40">
        <v>0</v>
      </c>
      <c r="H1645" s="40">
        <v>0</v>
      </c>
      <c r="I1645" s="40">
        <v>0</v>
      </c>
      <c r="J1645" s="40">
        <v>0</v>
      </c>
      <c r="K1645" s="40">
        <v>0</v>
      </c>
      <c r="L1645" s="40">
        <v>0</v>
      </c>
      <c r="M1645" s="40">
        <f t="shared" si="51"/>
        <v>0</v>
      </c>
      <c r="N1645" s="40">
        <f t="shared" si="52"/>
        <v>0</v>
      </c>
    </row>
    <row r="1646" spans="1:14" x14ac:dyDescent="0.35">
      <c r="A1646" s="33">
        <v>1643</v>
      </c>
      <c r="B1646" s="34" t="s">
        <v>2028</v>
      </c>
      <c r="C1646" s="33" t="s">
        <v>346</v>
      </c>
      <c r="D1646" s="33" t="s">
        <v>13</v>
      </c>
      <c r="E1646" s="33" t="s">
        <v>1976</v>
      </c>
      <c r="F1646" s="35">
        <v>0.1</v>
      </c>
      <c r="G1646" s="40">
        <v>0</v>
      </c>
      <c r="H1646" s="40">
        <v>0</v>
      </c>
      <c r="I1646" s="40">
        <v>0</v>
      </c>
      <c r="J1646" s="40">
        <v>0</v>
      </c>
      <c r="K1646" s="40">
        <v>0</v>
      </c>
      <c r="L1646" s="40">
        <v>0</v>
      </c>
      <c r="M1646" s="40">
        <f t="shared" si="51"/>
        <v>0</v>
      </c>
      <c r="N1646" s="40">
        <f t="shared" si="52"/>
        <v>0</v>
      </c>
    </row>
    <row r="1647" spans="1:14" x14ac:dyDescent="0.35">
      <c r="A1647" s="33">
        <v>1644</v>
      </c>
      <c r="B1647" s="34" t="s">
        <v>2029</v>
      </c>
      <c r="C1647" s="33" t="s">
        <v>346</v>
      </c>
      <c r="D1647" s="33" t="s">
        <v>13</v>
      </c>
      <c r="E1647" s="33" t="s">
        <v>1976</v>
      </c>
      <c r="F1647" s="35">
        <v>0.1</v>
      </c>
      <c r="G1647" s="40">
        <v>0</v>
      </c>
      <c r="H1647" s="40">
        <v>0</v>
      </c>
      <c r="I1647" s="40">
        <v>0</v>
      </c>
      <c r="J1647" s="40">
        <v>0</v>
      </c>
      <c r="K1647" s="40">
        <v>6395</v>
      </c>
      <c r="L1647" s="40">
        <v>639.5</v>
      </c>
      <c r="M1647" s="40">
        <f t="shared" si="51"/>
        <v>6395</v>
      </c>
      <c r="N1647" s="40">
        <f t="shared" si="52"/>
        <v>639.5</v>
      </c>
    </row>
    <row r="1648" spans="1:14" x14ac:dyDescent="0.35">
      <c r="A1648" s="33">
        <v>1645</v>
      </c>
      <c r="B1648" s="34" t="s">
        <v>2030</v>
      </c>
      <c r="C1648" s="33" t="s">
        <v>346</v>
      </c>
      <c r="D1648" s="33" t="s">
        <v>13</v>
      </c>
      <c r="E1648" s="33" t="s">
        <v>1976</v>
      </c>
      <c r="F1648" s="35">
        <v>0.2</v>
      </c>
      <c r="G1648" s="40">
        <v>100</v>
      </c>
      <c r="H1648" s="40">
        <v>20</v>
      </c>
      <c r="I1648" s="40">
        <v>0</v>
      </c>
      <c r="J1648" s="40">
        <v>0</v>
      </c>
      <c r="K1648" s="40">
        <v>6600</v>
      </c>
      <c r="L1648" s="40">
        <v>1320</v>
      </c>
      <c r="M1648" s="40">
        <f t="shared" si="51"/>
        <v>6700</v>
      </c>
      <c r="N1648" s="40">
        <f t="shared" si="52"/>
        <v>1340</v>
      </c>
    </row>
    <row r="1649" spans="1:14" x14ac:dyDescent="0.35">
      <c r="A1649" s="33">
        <v>1646</v>
      </c>
      <c r="B1649" s="34" t="s">
        <v>2031</v>
      </c>
      <c r="C1649" s="33" t="s">
        <v>346</v>
      </c>
      <c r="D1649" s="33" t="s">
        <v>13</v>
      </c>
      <c r="E1649" s="33" t="s">
        <v>1976</v>
      </c>
      <c r="F1649" s="35">
        <v>1</v>
      </c>
      <c r="G1649" s="40">
        <v>0</v>
      </c>
      <c r="H1649" s="40">
        <v>0</v>
      </c>
      <c r="I1649" s="40">
        <v>0</v>
      </c>
      <c r="J1649" s="40">
        <v>0</v>
      </c>
      <c r="K1649" s="40">
        <v>0</v>
      </c>
      <c r="L1649" s="40">
        <v>0</v>
      </c>
      <c r="M1649" s="40">
        <f t="shared" si="51"/>
        <v>0</v>
      </c>
      <c r="N1649" s="40">
        <f t="shared" si="52"/>
        <v>0</v>
      </c>
    </row>
    <row r="1650" spans="1:14" x14ac:dyDescent="0.35">
      <c r="A1650" s="33">
        <v>1647</v>
      </c>
      <c r="B1650" s="34" t="s">
        <v>2032</v>
      </c>
      <c r="C1650" s="33" t="s">
        <v>346</v>
      </c>
      <c r="D1650" s="33" t="s">
        <v>13</v>
      </c>
      <c r="E1650" s="33" t="s">
        <v>1976</v>
      </c>
      <c r="F1650" s="35">
        <v>0.1</v>
      </c>
      <c r="G1650" s="40">
        <v>0</v>
      </c>
      <c r="H1650" s="40">
        <v>0</v>
      </c>
      <c r="I1650" s="40">
        <v>0</v>
      </c>
      <c r="J1650" s="40">
        <v>0</v>
      </c>
      <c r="K1650" s="40">
        <v>0</v>
      </c>
      <c r="L1650" s="40">
        <v>0</v>
      </c>
      <c r="M1650" s="40">
        <f t="shared" si="51"/>
        <v>0</v>
      </c>
      <c r="N1650" s="40">
        <f t="shared" si="52"/>
        <v>0</v>
      </c>
    </row>
    <row r="1651" spans="1:14" x14ac:dyDescent="0.35">
      <c r="A1651" s="33">
        <v>1648</v>
      </c>
      <c r="B1651" s="34" t="s">
        <v>2033</v>
      </c>
      <c r="C1651" s="33" t="s">
        <v>346</v>
      </c>
      <c r="D1651" s="33" t="s">
        <v>13</v>
      </c>
      <c r="E1651" s="33" t="s">
        <v>1976</v>
      </c>
      <c r="F1651" s="35">
        <v>0.2</v>
      </c>
      <c r="G1651" s="40">
        <v>0</v>
      </c>
      <c r="H1651" s="40">
        <v>0</v>
      </c>
      <c r="I1651" s="40">
        <v>0</v>
      </c>
      <c r="J1651" s="40">
        <v>0</v>
      </c>
      <c r="K1651" s="40">
        <v>0</v>
      </c>
      <c r="L1651" s="40">
        <v>0</v>
      </c>
      <c r="M1651" s="40">
        <f t="shared" si="51"/>
        <v>0</v>
      </c>
      <c r="N1651" s="40">
        <f t="shared" si="52"/>
        <v>0</v>
      </c>
    </row>
    <row r="1652" spans="1:14" x14ac:dyDescent="0.35">
      <c r="A1652" s="33">
        <v>1649</v>
      </c>
      <c r="B1652" s="34" t="s">
        <v>2034</v>
      </c>
      <c r="C1652" s="33" t="s">
        <v>346</v>
      </c>
      <c r="D1652" s="33" t="s">
        <v>13</v>
      </c>
      <c r="E1652" s="33" t="s">
        <v>1976</v>
      </c>
      <c r="F1652" s="35">
        <v>1</v>
      </c>
      <c r="G1652" s="40">
        <v>0</v>
      </c>
      <c r="H1652" s="40">
        <v>0</v>
      </c>
      <c r="I1652" s="40">
        <v>0</v>
      </c>
      <c r="J1652" s="40">
        <v>229</v>
      </c>
      <c r="K1652" s="40">
        <v>0</v>
      </c>
      <c r="L1652" s="40">
        <v>2325.6499999999996</v>
      </c>
      <c r="M1652" s="40">
        <f t="shared" si="51"/>
        <v>0</v>
      </c>
      <c r="N1652" s="40">
        <f t="shared" si="52"/>
        <v>2554.6499999999996</v>
      </c>
    </row>
    <row r="1653" spans="1:14" x14ac:dyDescent="0.35">
      <c r="A1653" s="33">
        <v>1650</v>
      </c>
      <c r="B1653" s="34" t="s">
        <v>2035</v>
      </c>
      <c r="C1653" s="33" t="s">
        <v>346</v>
      </c>
      <c r="D1653" s="33" t="s">
        <v>13</v>
      </c>
      <c r="E1653" s="33" t="s">
        <v>1976</v>
      </c>
      <c r="F1653" s="35">
        <v>0.5</v>
      </c>
      <c r="G1653" s="40">
        <v>0</v>
      </c>
      <c r="H1653" s="40">
        <v>0</v>
      </c>
      <c r="I1653" s="40">
        <v>0</v>
      </c>
      <c r="J1653" s="40">
        <v>0</v>
      </c>
      <c r="K1653" s="40">
        <v>0</v>
      </c>
      <c r="L1653" s="40">
        <v>0</v>
      </c>
      <c r="M1653" s="40">
        <f t="shared" si="51"/>
        <v>0</v>
      </c>
      <c r="N1653" s="40">
        <f t="shared" si="52"/>
        <v>0</v>
      </c>
    </row>
    <row r="1654" spans="1:14" x14ac:dyDescent="0.35">
      <c r="A1654" s="33">
        <v>1651</v>
      </c>
      <c r="B1654" s="34" t="s">
        <v>1978</v>
      </c>
      <c r="C1654" s="33" t="s">
        <v>297</v>
      </c>
      <c r="D1654" s="33" t="s">
        <v>13</v>
      </c>
      <c r="E1654" s="33" t="s">
        <v>1979</v>
      </c>
      <c r="F1654" s="35">
        <v>1</v>
      </c>
      <c r="G1654" s="40">
        <v>0</v>
      </c>
      <c r="H1654" s="40">
        <v>5050</v>
      </c>
      <c r="I1654" s="40">
        <v>0</v>
      </c>
      <c r="J1654" s="40">
        <v>0</v>
      </c>
      <c r="K1654" s="40">
        <v>0</v>
      </c>
      <c r="L1654" s="40">
        <v>0</v>
      </c>
      <c r="M1654" s="40">
        <f t="shared" si="51"/>
        <v>0</v>
      </c>
      <c r="N1654" s="40">
        <f t="shared" si="52"/>
        <v>5050</v>
      </c>
    </row>
    <row r="1655" spans="1:14" x14ac:dyDescent="0.35">
      <c r="A1655" s="33">
        <v>1652</v>
      </c>
      <c r="B1655" s="34" t="s">
        <v>1980</v>
      </c>
      <c r="C1655" s="33" t="s">
        <v>297</v>
      </c>
      <c r="D1655" s="33" t="s">
        <v>13</v>
      </c>
      <c r="E1655" s="33" t="s">
        <v>1979</v>
      </c>
      <c r="F1655" s="35">
        <v>1</v>
      </c>
      <c r="G1655" s="40">
        <v>0</v>
      </c>
      <c r="H1655" s="40">
        <v>0</v>
      </c>
      <c r="I1655" s="40">
        <v>0</v>
      </c>
      <c r="J1655" s="40">
        <v>0</v>
      </c>
      <c r="K1655" s="40">
        <v>0</v>
      </c>
      <c r="L1655" s="40">
        <v>2585.8399999999997</v>
      </c>
      <c r="M1655" s="40">
        <f t="shared" si="51"/>
        <v>0</v>
      </c>
      <c r="N1655" s="40">
        <f t="shared" si="52"/>
        <v>2585.8399999999997</v>
      </c>
    </row>
    <row r="1656" spans="1:14" x14ac:dyDescent="0.35">
      <c r="A1656" s="33">
        <v>1653</v>
      </c>
      <c r="B1656" s="34" t="s">
        <v>2036</v>
      </c>
      <c r="C1656" s="33" t="s">
        <v>346</v>
      </c>
      <c r="D1656" s="33" t="s">
        <v>13</v>
      </c>
      <c r="E1656" s="33" t="s">
        <v>1979</v>
      </c>
      <c r="F1656" s="35">
        <v>0.1</v>
      </c>
      <c r="G1656" s="40">
        <v>0</v>
      </c>
      <c r="H1656" s="40">
        <v>0</v>
      </c>
      <c r="I1656" s="40">
        <v>0</v>
      </c>
      <c r="J1656" s="40">
        <v>0</v>
      </c>
      <c r="K1656" s="40">
        <v>2900</v>
      </c>
      <c r="L1656" s="40">
        <v>290</v>
      </c>
      <c r="M1656" s="40">
        <f t="shared" si="51"/>
        <v>2900</v>
      </c>
      <c r="N1656" s="40">
        <f t="shared" si="52"/>
        <v>290</v>
      </c>
    </row>
    <row r="1657" spans="1:14" x14ac:dyDescent="0.35">
      <c r="A1657" s="33">
        <v>1654</v>
      </c>
      <c r="B1657" s="34" t="s">
        <v>2037</v>
      </c>
      <c r="C1657" s="33" t="s">
        <v>346</v>
      </c>
      <c r="D1657" s="33" t="s">
        <v>13</v>
      </c>
      <c r="E1657" s="33" t="s">
        <v>1979</v>
      </c>
      <c r="F1657" s="35">
        <v>0.2</v>
      </c>
      <c r="G1657" s="40">
        <v>0</v>
      </c>
      <c r="H1657" s="40">
        <v>0</v>
      </c>
      <c r="I1657" s="40">
        <v>0</v>
      </c>
      <c r="J1657" s="40">
        <v>0</v>
      </c>
      <c r="K1657" s="40">
        <v>2050</v>
      </c>
      <c r="L1657" s="40">
        <v>410</v>
      </c>
      <c r="M1657" s="40">
        <f t="shared" si="51"/>
        <v>2050</v>
      </c>
      <c r="N1657" s="40">
        <f t="shared" si="52"/>
        <v>410</v>
      </c>
    </row>
    <row r="1658" spans="1:14" x14ac:dyDescent="0.35">
      <c r="A1658" s="33">
        <v>1655</v>
      </c>
      <c r="B1658" s="34" t="s">
        <v>2038</v>
      </c>
      <c r="C1658" s="33" t="s">
        <v>346</v>
      </c>
      <c r="D1658" s="33" t="s">
        <v>13</v>
      </c>
      <c r="E1658" s="33" t="s">
        <v>1979</v>
      </c>
      <c r="F1658" s="35">
        <v>1</v>
      </c>
      <c r="G1658" s="40">
        <v>0</v>
      </c>
      <c r="H1658" s="40">
        <v>0</v>
      </c>
      <c r="I1658" s="40">
        <v>0</v>
      </c>
      <c r="J1658" s="40">
        <v>0</v>
      </c>
      <c r="K1658" s="40">
        <v>0</v>
      </c>
      <c r="L1658" s="40">
        <v>0</v>
      </c>
      <c r="M1658" s="40">
        <f t="shared" si="51"/>
        <v>0</v>
      </c>
      <c r="N1658" s="40">
        <f t="shared" si="52"/>
        <v>0</v>
      </c>
    </row>
    <row r="1659" spans="1:14" x14ac:dyDescent="0.35">
      <c r="A1659" s="33">
        <v>1656</v>
      </c>
      <c r="B1659" s="34" t="s">
        <v>2039</v>
      </c>
      <c r="C1659" s="33" t="s">
        <v>297</v>
      </c>
      <c r="D1659" s="33" t="s">
        <v>2040</v>
      </c>
      <c r="E1659" s="33" t="s">
        <v>2041</v>
      </c>
      <c r="F1659" s="35">
        <v>1</v>
      </c>
      <c r="G1659" s="40">
        <v>0</v>
      </c>
      <c r="H1659" s="40">
        <v>0</v>
      </c>
      <c r="I1659" s="40">
        <v>0</v>
      </c>
      <c r="J1659" s="40">
        <v>0</v>
      </c>
      <c r="K1659" s="40">
        <v>0</v>
      </c>
      <c r="L1659" s="40">
        <v>0</v>
      </c>
      <c r="M1659" s="40">
        <f t="shared" si="51"/>
        <v>0</v>
      </c>
      <c r="N1659" s="40">
        <f t="shared" si="52"/>
        <v>0</v>
      </c>
    </row>
    <row r="1660" spans="1:14" x14ac:dyDescent="0.35">
      <c r="A1660" s="33">
        <v>1657</v>
      </c>
      <c r="B1660" s="34" t="s">
        <v>2042</v>
      </c>
      <c r="C1660" s="33" t="s">
        <v>297</v>
      </c>
      <c r="D1660" s="33" t="s">
        <v>2040</v>
      </c>
      <c r="E1660" s="33" t="s">
        <v>2041</v>
      </c>
      <c r="F1660" s="35">
        <v>1</v>
      </c>
      <c r="G1660" s="40">
        <v>0</v>
      </c>
      <c r="H1660" s="40">
        <v>0</v>
      </c>
      <c r="I1660" s="40">
        <v>0</v>
      </c>
      <c r="J1660" s="40">
        <v>0</v>
      </c>
      <c r="K1660" s="40">
        <v>0</v>
      </c>
      <c r="L1660" s="40">
        <v>0</v>
      </c>
      <c r="M1660" s="40">
        <f t="shared" si="51"/>
        <v>0</v>
      </c>
      <c r="N1660" s="40">
        <f t="shared" si="52"/>
        <v>0</v>
      </c>
    </row>
    <row r="1661" spans="1:14" x14ac:dyDescent="0.35">
      <c r="A1661" s="33">
        <v>1658</v>
      </c>
      <c r="B1661" s="34" t="s">
        <v>2043</v>
      </c>
      <c r="C1661" s="33" t="s">
        <v>297</v>
      </c>
      <c r="D1661" s="33" t="s">
        <v>2040</v>
      </c>
      <c r="E1661" s="33" t="s">
        <v>2041</v>
      </c>
      <c r="F1661" s="35">
        <v>1</v>
      </c>
      <c r="G1661" s="40">
        <v>0</v>
      </c>
      <c r="H1661" s="40">
        <v>0</v>
      </c>
      <c r="I1661" s="40">
        <v>0</v>
      </c>
      <c r="J1661" s="40">
        <v>0</v>
      </c>
      <c r="K1661" s="40">
        <v>0</v>
      </c>
      <c r="L1661" s="40">
        <v>0</v>
      </c>
      <c r="M1661" s="40">
        <f t="shared" si="51"/>
        <v>0</v>
      </c>
      <c r="N1661" s="40">
        <f t="shared" si="52"/>
        <v>0</v>
      </c>
    </row>
    <row r="1662" spans="1:14" x14ac:dyDescent="0.35">
      <c r="A1662" s="33">
        <v>1659</v>
      </c>
      <c r="B1662" s="34" t="s">
        <v>2044</v>
      </c>
      <c r="C1662" s="33" t="s">
        <v>297</v>
      </c>
      <c r="D1662" s="33" t="s">
        <v>2040</v>
      </c>
      <c r="E1662" s="33" t="s">
        <v>2045</v>
      </c>
      <c r="F1662" s="35">
        <v>1</v>
      </c>
      <c r="G1662" s="40">
        <v>0</v>
      </c>
      <c r="H1662" s="40">
        <v>0</v>
      </c>
      <c r="I1662" s="40">
        <v>0</v>
      </c>
      <c r="J1662" s="40">
        <v>0</v>
      </c>
      <c r="K1662" s="40">
        <v>0</v>
      </c>
      <c r="L1662" s="40">
        <v>0</v>
      </c>
      <c r="M1662" s="40">
        <f t="shared" si="51"/>
        <v>0</v>
      </c>
      <c r="N1662" s="40">
        <f t="shared" si="52"/>
        <v>0</v>
      </c>
    </row>
    <row r="1663" spans="1:14" x14ac:dyDescent="0.35">
      <c r="A1663" s="33">
        <v>1660</v>
      </c>
      <c r="B1663" s="34" t="s">
        <v>2046</v>
      </c>
      <c r="C1663" s="33" t="s">
        <v>297</v>
      </c>
      <c r="D1663" s="33" t="s">
        <v>2040</v>
      </c>
      <c r="E1663" s="33" t="s">
        <v>2045</v>
      </c>
      <c r="F1663" s="35">
        <v>1</v>
      </c>
      <c r="G1663" s="40">
        <v>0</v>
      </c>
      <c r="H1663" s="40">
        <v>0</v>
      </c>
      <c r="I1663" s="40">
        <v>0</v>
      </c>
      <c r="J1663" s="40">
        <v>0</v>
      </c>
      <c r="K1663" s="40">
        <v>0</v>
      </c>
      <c r="L1663" s="40">
        <v>0</v>
      </c>
      <c r="M1663" s="40">
        <f t="shared" si="51"/>
        <v>0</v>
      </c>
      <c r="N1663" s="40">
        <f t="shared" si="52"/>
        <v>0</v>
      </c>
    </row>
    <row r="1664" spans="1:14" x14ac:dyDescent="0.35">
      <c r="A1664" s="33">
        <v>1661</v>
      </c>
      <c r="B1664" s="34" t="s">
        <v>2047</v>
      </c>
      <c r="C1664" s="33" t="s">
        <v>297</v>
      </c>
      <c r="D1664" s="33" t="s">
        <v>2040</v>
      </c>
      <c r="E1664" s="33" t="s">
        <v>2045</v>
      </c>
      <c r="F1664" s="35">
        <v>1</v>
      </c>
      <c r="G1664" s="40">
        <v>0</v>
      </c>
      <c r="H1664" s="40">
        <v>0</v>
      </c>
      <c r="I1664" s="40">
        <v>0</v>
      </c>
      <c r="J1664" s="40">
        <v>0</v>
      </c>
      <c r="K1664" s="40">
        <v>0</v>
      </c>
      <c r="L1664" s="40">
        <v>0</v>
      </c>
      <c r="M1664" s="40">
        <f t="shared" si="51"/>
        <v>0</v>
      </c>
      <c r="N1664" s="40">
        <f t="shared" si="52"/>
        <v>0</v>
      </c>
    </row>
    <row r="1665" spans="1:14" x14ac:dyDescent="0.35">
      <c r="A1665" s="33">
        <v>1662</v>
      </c>
      <c r="B1665" s="34" t="s">
        <v>2048</v>
      </c>
      <c r="C1665" s="33" t="s">
        <v>297</v>
      </c>
      <c r="D1665" s="33" t="s">
        <v>2040</v>
      </c>
      <c r="E1665" s="33" t="s">
        <v>2045</v>
      </c>
      <c r="F1665" s="35">
        <v>1</v>
      </c>
      <c r="G1665" s="40">
        <v>0</v>
      </c>
      <c r="H1665" s="40">
        <v>0</v>
      </c>
      <c r="I1665" s="40">
        <v>0</v>
      </c>
      <c r="J1665" s="40">
        <v>0</v>
      </c>
      <c r="K1665" s="40">
        <v>0</v>
      </c>
      <c r="L1665" s="40">
        <v>0</v>
      </c>
      <c r="M1665" s="40">
        <f t="shared" si="51"/>
        <v>0</v>
      </c>
      <c r="N1665" s="40">
        <f t="shared" si="52"/>
        <v>0</v>
      </c>
    </row>
    <row r="1666" spans="1:14" x14ac:dyDescent="0.35">
      <c r="A1666" s="33">
        <v>1663</v>
      </c>
      <c r="B1666" s="34" t="s">
        <v>2049</v>
      </c>
      <c r="C1666" s="33" t="s">
        <v>297</v>
      </c>
      <c r="D1666" s="33" t="s">
        <v>2040</v>
      </c>
      <c r="E1666" s="33" t="s">
        <v>2045</v>
      </c>
      <c r="F1666" s="35">
        <v>1</v>
      </c>
      <c r="G1666" s="40">
        <v>0</v>
      </c>
      <c r="H1666" s="40">
        <v>0</v>
      </c>
      <c r="I1666" s="40">
        <v>0</v>
      </c>
      <c r="J1666" s="40">
        <v>0</v>
      </c>
      <c r="K1666" s="40">
        <v>0</v>
      </c>
      <c r="L1666" s="40">
        <v>0</v>
      </c>
      <c r="M1666" s="40">
        <f t="shared" si="51"/>
        <v>0</v>
      </c>
      <c r="N1666" s="40">
        <f t="shared" si="52"/>
        <v>0</v>
      </c>
    </row>
    <row r="1667" spans="1:14" x14ac:dyDescent="0.35">
      <c r="A1667" s="33">
        <v>1664</v>
      </c>
      <c r="B1667" s="34" t="s">
        <v>2050</v>
      </c>
      <c r="C1667" s="33" t="s">
        <v>297</v>
      </c>
      <c r="D1667" s="33" t="s">
        <v>2040</v>
      </c>
      <c r="E1667" s="33" t="s">
        <v>2045</v>
      </c>
      <c r="F1667" s="35">
        <v>1</v>
      </c>
      <c r="G1667" s="40">
        <v>0</v>
      </c>
      <c r="H1667" s="40">
        <v>0</v>
      </c>
      <c r="I1667" s="40">
        <v>0</v>
      </c>
      <c r="J1667" s="40">
        <v>0</v>
      </c>
      <c r="K1667" s="40">
        <v>0</v>
      </c>
      <c r="L1667" s="40">
        <v>0</v>
      </c>
      <c r="M1667" s="40">
        <f t="shared" si="51"/>
        <v>0</v>
      </c>
      <c r="N1667" s="40">
        <f t="shared" si="52"/>
        <v>0</v>
      </c>
    </row>
    <row r="1668" spans="1:14" x14ac:dyDescent="0.35">
      <c r="A1668" s="33">
        <v>1665</v>
      </c>
      <c r="B1668" s="34" t="s">
        <v>2051</v>
      </c>
      <c r="C1668" s="33" t="s">
        <v>297</v>
      </c>
      <c r="D1668" s="33" t="s">
        <v>2040</v>
      </c>
      <c r="E1668" s="33" t="s">
        <v>2045</v>
      </c>
      <c r="F1668" s="35">
        <v>1</v>
      </c>
      <c r="G1668" s="40">
        <v>0</v>
      </c>
      <c r="H1668" s="40">
        <v>0</v>
      </c>
      <c r="I1668" s="40">
        <v>0</v>
      </c>
      <c r="J1668" s="40">
        <v>0</v>
      </c>
      <c r="K1668" s="40">
        <v>0</v>
      </c>
      <c r="L1668" s="40">
        <v>0</v>
      </c>
      <c r="M1668" s="40">
        <f t="shared" si="51"/>
        <v>0</v>
      </c>
      <c r="N1668" s="40">
        <f t="shared" si="52"/>
        <v>0</v>
      </c>
    </row>
    <row r="1669" spans="1:14" x14ac:dyDescent="0.35">
      <c r="A1669" s="33">
        <v>1666</v>
      </c>
      <c r="B1669" s="34" t="s">
        <v>2052</v>
      </c>
      <c r="C1669" s="33" t="s">
        <v>297</v>
      </c>
      <c r="D1669" s="33" t="s">
        <v>2040</v>
      </c>
      <c r="E1669" s="33" t="s">
        <v>2045</v>
      </c>
      <c r="F1669" s="35">
        <v>1</v>
      </c>
      <c r="G1669" s="40">
        <v>0</v>
      </c>
      <c r="H1669" s="40">
        <v>0</v>
      </c>
      <c r="I1669" s="40">
        <v>0</v>
      </c>
      <c r="J1669" s="40">
        <v>0</v>
      </c>
      <c r="K1669" s="40">
        <v>0</v>
      </c>
      <c r="L1669" s="40">
        <v>0</v>
      </c>
      <c r="M1669" s="40">
        <f t="shared" ref="M1669:M1732" si="53">G1669+I1669+K1669</f>
        <v>0</v>
      </c>
      <c r="N1669" s="40">
        <f t="shared" ref="N1669:N1732" si="54">H1669+J1669+L1669</f>
        <v>0</v>
      </c>
    </row>
    <row r="1670" spans="1:14" x14ac:dyDescent="0.35">
      <c r="A1670" s="33">
        <v>1667</v>
      </c>
      <c r="B1670" s="34" t="s">
        <v>2053</v>
      </c>
      <c r="C1670" s="33" t="s">
        <v>346</v>
      </c>
      <c r="D1670" s="33" t="s">
        <v>2040</v>
      </c>
      <c r="E1670" s="33" t="s">
        <v>2045</v>
      </c>
      <c r="F1670" s="35">
        <v>5.0000000000000001E-4</v>
      </c>
      <c r="G1670" s="40">
        <v>0</v>
      </c>
      <c r="H1670" s="40">
        <v>0</v>
      </c>
      <c r="I1670" s="40">
        <v>0</v>
      </c>
      <c r="J1670" s="40">
        <v>0</v>
      </c>
      <c r="K1670" s="40">
        <v>0</v>
      </c>
      <c r="L1670" s="40">
        <v>0</v>
      </c>
      <c r="M1670" s="40">
        <f t="shared" si="53"/>
        <v>0</v>
      </c>
      <c r="N1670" s="40">
        <f t="shared" si="54"/>
        <v>0</v>
      </c>
    </row>
    <row r="1671" spans="1:14" x14ac:dyDescent="0.35">
      <c r="A1671" s="33">
        <v>1668</v>
      </c>
      <c r="B1671" s="34" t="s">
        <v>2054</v>
      </c>
      <c r="C1671" s="33" t="s">
        <v>297</v>
      </c>
      <c r="D1671" s="33" t="s">
        <v>33</v>
      </c>
      <c r="E1671" s="33" t="s">
        <v>2055</v>
      </c>
      <c r="F1671" s="35">
        <v>1</v>
      </c>
      <c r="G1671" s="40">
        <v>0</v>
      </c>
      <c r="H1671" s="40">
        <v>0</v>
      </c>
      <c r="I1671" s="40">
        <v>0</v>
      </c>
      <c r="J1671" s="40">
        <v>0</v>
      </c>
      <c r="K1671" s="40">
        <v>0</v>
      </c>
      <c r="L1671" s="40">
        <v>0</v>
      </c>
      <c r="M1671" s="40">
        <f t="shared" si="53"/>
        <v>0</v>
      </c>
      <c r="N1671" s="40">
        <f t="shared" si="54"/>
        <v>0</v>
      </c>
    </row>
    <row r="1672" spans="1:14" x14ac:dyDescent="0.35">
      <c r="A1672" s="33">
        <v>1669</v>
      </c>
      <c r="B1672" s="34" t="s">
        <v>2056</v>
      </c>
      <c r="C1672" s="33" t="s">
        <v>297</v>
      </c>
      <c r="D1672" s="33" t="s">
        <v>33</v>
      </c>
      <c r="E1672" s="33" t="s">
        <v>2055</v>
      </c>
      <c r="F1672" s="35">
        <v>1</v>
      </c>
      <c r="G1672" s="40">
        <v>0</v>
      </c>
      <c r="H1672" s="40">
        <v>0</v>
      </c>
      <c r="I1672" s="40">
        <v>0</v>
      </c>
      <c r="J1672" s="40">
        <v>0</v>
      </c>
      <c r="K1672" s="40">
        <v>0</v>
      </c>
      <c r="L1672" s="40">
        <v>0</v>
      </c>
      <c r="M1672" s="40">
        <f t="shared" si="53"/>
        <v>0</v>
      </c>
      <c r="N1672" s="40">
        <f t="shared" si="54"/>
        <v>0</v>
      </c>
    </row>
    <row r="1673" spans="1:14" x14ac:dyDescent="0.35">
      <c r="A1673" s="33">
        <v>1670</v>
      </c>
      <c r="B1673" s="34" t="s">
        <v>2072</v>
      </c>
      <c r="C1673" s="33" t="s">
        <v>346</v>
      </c>
      <c r="D1673" s="33" t="s">
        <v>33</v>
      </c>
      <c r="E1673" s="33" t="s">
        <v>2055</v>
      </c>
      <c r="F1673" s="35">
        <v>1</v>
      </c>
      <c r="G1673" s="40">
        <v>0</v>
      </c>
      <c r="H1673" s="40">
        <v>0</v>
      </c>
      <c r="I1673" s="40">
        <v>0</v>
      </c>
      <c r="J1673" s="40">
        <v>0</v>
      </c>
      <c r="K1673" s="40">
        <v>0</v>
      </c>
      <c r="L1673" s="40">
        <v>0</v>
      </c>
      <c r="M1673" s="40">
        <f t="shared" si="53"/>
        <v>0</v>
      </c>
      <c r="N1673" s="40">
        <f t="shared" si="54"/>
        <v>0</v>
      </c>
    </row>
    <row r="1674" spans="1:14" x14ac:dyDescent="0.35">
      <c r="A1674" s="33">
        <v>1671</v>
      </c>
      <c r="B1674" s="34" t="s">
        <v>2073</v>
      </c>
      <c r="C1674" s="33" t="s">
        <v>346</v>
      </c>
      <c r="D1674" s="33" t="s">
        <v>33</v>
      </c>
      <c r="E1674" s="33" t="s">
        <v>2055</v>
      </c>
      <c r="F1674" s="35">
        <v>1</v>
      </c>
      <c r="G1674" s="40">
        <v>0</v>
      </c>
      <c r="H1674" s="40">
        <v>0</v>
      </c>
      <c r="I1674" s="40">
        <v>0</v>
      </c>
      <c r="J1674" s="40">
        <v>0</v>
      </c>
      <c r="K1674" s="40">
        <v>0</v>
      </c>
      <c r="L1674" s="40">
        <v>0</v>
      </c>
      <c r="M1674" s="40">
        <f t="shared" si="53"/>
        <v>0</v>
      </c>
      <c r="N1674" s="40">
        <f t="shared" si="54"/>
        <v>0</v>
      </c>
    </row>
    <row r="1675" spans="1:14" x14ac:dyDescent="0.35">
      <c r="A1675" s="33">
        <v>1672</v>
      </c>
      <c r="B1675" s="34" t="s">
        <v>2074</v>
      </c>
      <c r="C1675" s="33" t="s">
        <v>346</v>
      </c>
      <c r="D1675" s="33" t="s">
        <v>33</v>
      </c>
      <c r="E1675" s="33" t="s">
        <v>2055</v>
      </c>
      <c r="F1675" s="35">
        <v>1</v>
      </c>
      <c r="G1675" s="40">
        <v>0</v>
      </c>
      <c r="H1675" s="40">
        <v>0</v>
      </c>
      <c r="I1675" s="40">
        <v>0</v>
      </c>
      <c r="J1675" s="40">
        <v>0</v>
      </c>
      <c r="K1675" s="40">
        <v>0</v>
      </c>
      <c r="L1675" s="40">
        <v>0</v>
      </c>
      <c r="M1675" s="40">
        <f t="shared" si="53"/>
        <v>0</v>
      </c>
      <c r="N1675" s="40">
        <f t="shared" si="54"/>
        <v>0</v>
      </c>
    </row>
    <row r="1676" spans="1:14" x14ac:dyDescent="0.35">
      <c r="A1676" s="33">
        <v>1673</v>
      </c>
      <c r="B1676" s="34" t="s">
        <v>2057</v>
      </c>
      <c r="C1676" s="33" t="s">
        <v>297</v>
      </c>
      <c r="D1676" s="33" t="s">
        <v>33</v>
      </c>
      <c r="E1676" s="33" t="s">
        <v>2058</v>
      </c>
      <c r="F1676" s="35">
        <v>1</v>
      </c>
      <c r="G1676" s="40">
        <v>0</v>
      </c>
      <c r="H1676" s="40">
        <v>0</v>
      </c>
      <c r="I1676" s="40">
        <v>0</v>
      </c>
      <c r="J1676" s="40">
        <v>0</v>
      </c>
      <c r="K1676" s="40">
        <v>0</v>
      </c>
      <c r="L1676" s="40">
        <v>0</v>
      </c>
      <c r="M1676" s="40">
        <f t="shared" si="53"/>
        <v>0</v>
      </c>
      <c r="N1676" s="40">
        <f t="shared" si="54"/>
        <v>0</v>
      </c>
    </row>
    <row r="1677" spans="1:14" x14ac:dyDescent="0.35">
      <c r="A1677" s="33">
        <v>1674</v>
      </c>
      <c r="B1677" s="34" t="s">
        <v>2059</v>
      </c>
      <c r="C1677" s="33" t="s">
        <v>297</v>
      </c>
      <c r="D1677" s="33" t="s">
        <v>33</v>
      </c>
      <c r="E1677" s="33" t="s">
        <v>2058</v>
      </c>
      <c r="F1677" s="35">
        <v>1</v>
      </c>
      <c r="G1677" s="40">
        <v>0</v>
      </c>
      <c r="H1677" s="40">
        <v>0</v>
      </c>
      <c r="I1677" s="40">
        <v>0</v>
      </c>
      <c r="J1677" s="40">
        <v>0</v>
      </c>
      <c r="K1677" s="40">
        <v>0</v>
      </c>
      <c r="L1677" s="40">
        <v>0</v>
      </c>
      <c r="M1677" s="40">
        <f t="shared" si="53"/>
        <v>0</v>
      </c>
      <c r="N1677" s="40">
        <f t="shared" si="54"/>
        <v>0</v>
      </c>
    </row>
    <row r="1678" spans="1:14" x14ac:dyDescent="0.35">
      <c r="A1678" s="33">
        <v>1675</v>
      </c>
      <c r="B1678" s="34" t="s">
        <v>2060</v>
      </c>
      <c r="C1678" s="33" t="s">
        <v>297</v>
      </c>
      <c r="D1678" s="33" t="s">
        <v>33</v>
      </c>
      <c r="E1678" s="33" t="s">
        <v>2058</v>
      </c>
      <c r="F1678" s="35">
        <v>1</v>
      </c>
      <c r="G1678" s="40">
        <v>0</v>
      </c>
      <c r="H1678" s="40">
        <v>0</v>
      </c>
      <c r="I1678" s="40">
        <v>0</v>
      </c>
      <c r="J1678" s="40">
        <v>0</v>
      </c>
      <c r="K1678" s="40">
        <v>0</v>
      </c>
      <c r="L1678" s="40">
        <v>0</v>
      </c>
      <c r="M1678" s="40">
        <f t="shared" si="53"/>
        <v>0</v>
      </c>
      <c r="N1678" s="40">
        <f t="shared" si="54"/>
        <v>0</v>
      </c>
    </row>
    <row r="1679" spans="1:14" x14ac:dyDescent="0.35">
      <c r="A1679" s="33">
        <v>1676</v>
      </c>
      <c r="B1679" s="34" t="s">
        <v>2061</v>
      </c>
      <c r="C1679" s="33" t="s">
        <v>297</v>
      </c>
      <c r="D1679" s="33" t="s">
        <v>33</v>
      </c>
      <c r="E1679" s="33" t="s">
        <v>2058</v>
      </c>
      <c r="F1679" s="35">
        <v>1</v>
      </c>
      <c r="G1679" s="40">
        <v>0</v>
      </c>
      <c r="H1679" s="40">
        <v>0</v>
      </c>
      <c r="I1679" s="40">
        <v>0</v>
      </c>
      <c r="J1679" s="40">
        <v>0</v>
      </c>
      <c r="K1679" s="40">
        <v>0</v>
      </c>
      <c r="L1679" s="40">
        <v>0</v>
      </c>
      <c r="M1679" s="40">
        <f t="shared" si="53"/>
        <v>0</v>
      </c>
      <c r="N1679" s="40">
        <f t="shared" si="54"/>
        <v>0</v>
      </c>
    </row>
    <row r="1680" spans="1:14" x14ac:dyDescent="0.35">
      <c r="A1680" s="33">
        <v>1677</v>
      </c>
      <c r="B1680" s="34" t="s">
        <v>2062</v>
      </c>
      <c r="C1680" s="33" t="s">
        <v>297</v>
      </c>
      <c r="D1680" s="33" t="s">
        <v>33</v>
      </c>
      <c r="E1680" s="33" t="s">
        <v>2058</v>
      </c>
      <c r="F1680" s="35">
        <v>1</v>
      </c>
      <c r="G1680" s="40">
        <v>0</v>
      </c>
      <c r="H1680" s="40">
        <v>0</v>
      </c>
      <c r="I1680" s="40">
        <v>0</v>
      </c>
      <c r="J1680" s="40">
        <v>0</v>
      </c>
      <c r="K1680" s="40">
        <v>0</v>
      </c>
      <c r="L1680" s="40">
        <v>0</v>
      </c>
      <c r="M1680" s="40">
        <f t="shared" si="53"/>
        <v>0</v>
      </c>
      <c r="N1680" s="40">
        <f t="shared" si="54"/>
        <v>0</v>
      </c>
    </row>
    <row r="1681" spans="1:14" x14ac:dyDescent="0.35">
      <c r="A1681" s="33">
        <v>1678</v>
      </c>
      <c r="B1681" s="34" t="s">
        <v>2063</v>
      </c>
      <c r="C1681" s="33" t="s">
        <v>297</v>
      </c>
      <c r="D1681" s="33" t="s">
        <v>33</v>
      </c>
      <c r="E1681" s="33" t="s">
        <v>2058</v>
      </c>
      <c r="F1681" s="35">
        <v>1</v>
      </c>
      <c r="G1681" s="40">
        <v>0</v>
      </c>
      <c r="H1681" s="40">
        <v>0</v>
      </c>
      <c r="I1681" s="40">
        <v>0</v>
      </c>
      <c r="J1681" s="40">
        <v>0</v>
      </c>
      <c r="K1681" s="40">
        <v>0</v>
      </c>
      <c r="L1681" s="40">
        <v>0</v>
      </c>
      <c r="M1681" s="40">
        <f t="shared" si="53"/>
        <v>0</v>
      </c>
      <c r="N1681" s="40">
        <f t="shared" si="54"/>
        <v>0</v>
      </c>
    </row>
    <row r="1682" spans="1:14" x14ac:dyDescent="0.35">
      <c r="A1682" s="33">
        <v>1679</v>
      </c>
      <c r="B1682" s="34" t="s">
        <v>2064</v>
      </c>
      <c r="C1682" s="33" t="s">
        <v>297</v>
      </c>
      <c r="D1682" s="33" t="s">
        <v>33</v>
      </c>
      <c r="E1682" s="33" t="s">
        <v>2058</v>
      </c>
      <c r="F1682" s="35">
        <v>1</v>
      </c>
      <c r="G1682" s="40">
        <v>0</v>
      </c>
      <c r="H1682" s="40">
        <v>500</v>
      </c>
      <c r="I1682" s="40">
        <v>0</v>
      </c>
      <c r="J1682" s="40">
        <v>0</v>
      </c>
      <c r="K1682" s="40">
        <v>0</v>
      </c>
      <c r="L1682" s="40">
        <v>0</v>
      </c>
      <c r="M1682" s="40">
        <f t="shared" si="53"/>
        <v>0</v>
      </c>
      <c r="N1682" s="40">
        <f t="shared" si="54"/>
        <v>500</v>
      </c>
    </row>
    <row r="1683" spans="1:14" x14ac:dyDescent="0.35">
      <c r="A1683" s="33">
        <v>1680</v>
      </c>
      <c r="B1683" s="34" t="s">
        <v>2065</v>
      </c>
      <c r="C1683" s="33" t="s">
        <v>297</v>
      </c>
      <c r="D1683" s="33" t="s">
        <v>33</v>
      </c>
      <c r="E1683" s="33" t="s">
        <v>2058</v>
      </c>
      <c r="F1683" s="35">
        <v>1</v>
      </c>
      <c r="G1683" s="40">
        <v>0</v>
      </c>
      <c r="H1683" s="40">
        <v>0</v>
      </c>
      <c r="I1683" s="40">
        <v>0</v>
      </c>
      <c r="J1683" s="40">
        <v>0</v>
      </c>
      <c r="K1683" s="40">
        <v>0</v>
      </c>
      <c r="L1683" s="40">
        <v>0</v>
      </c>
      <c r="M1683" s="40">
        <f t="shared" si="53"/>
        <v>0</v>
      </c>
      <c r="N1683" s="40">
        <f t="shared" si="54"/>
        <v>0</v>
      </c>
    </row>
    <row r="1684" spans="1:14" x14ac:dyDescent="0.35">
      <c r="A1684" s="33">
        <v>1681</v>
      </c>
      <c r="B1684" s="34" t="s">
        <v>2066</v>
      </c>
      <c r="C1684" s="33" t="s">
        <v>297</v>
      </c>
      <c r="D1684" s="33" t="s">
        <v>33</v>
      </c>
      <c r="E1684" s="33" t="s">
        <v>2058</v>
      </c>
      <c r="F1684" s="35">
        <v>1</v>
      </c>
      <c r="G1684" s="40">
        <v>0</v>
      </c>
      <c r="H1684" s="40">
        <v>0</v>
      </c>
      <c r="I1684" s="40">
        <v>0</v>
      </c>
      <c r="J1684" s="40">
        <v>0</v>
      </c>
      <c r="K1684" s="40">
        <v>0</v>
      </c>
      <c r="L1684" s="40">
        <v>0</v>
      </c>
      <c r="M1684" s="40">
        <f t="shared" si="53"/>
        <v>0</v>
      </c>
      <c r="N1684" s="40">
        <f t="shared" si="54"/>
        <v>0</v>
      </c>
    </row>
    <row r="1685" spans="1:14" x14ac:dyDescent="0.35">
      <c r="A1685" s="33">
        <v>1682</v>
      </c>
      <c r="B1685" s="34" t="s">
        <v>2067</v>
      </c>
      <c r="C1685" s="33" t="s">
        <v>297</v>
      </c>
      <c r="D1685" s="33" t="s">
        <v>33</v>
      </c>
      <c r="E1685" s="33" t="s">
        <v>2058</v>
      </c>
      <c r="F1685" s="35">
        <v>1</v>
      </c>
      <c r="G1685" s="40">
        <v>0</v>
      </c>
      <c r="H1685" s="40">
        <v>0</v>
      </c>
      <c r="I1685" s="40">
        <v>0</v>
      </c>
      <c r="J1685" s="40">
        <v>0</v>
      </c>
      <c r="K1685" s="40">
        <v>0</v>
      </c>
      <c r="L1685" s="40">
        <v>0</v>
      </c>
      <c r="M1685" s="40">
        <f t="shared" si="53"/>
        <v>0</v>
      </c>
      <c r="N1685" s="40">
        <f t="shared" si="54"/>
        <v>0</v>
      </c>
    </row>
    <row r="1686" spans="1:14" x14ac:dyDescent="0.35">
      <c r="A1686" s="33">
        <v>1683</v>
      </c>
      <c r="B1686" s="34" t="s">
        <v>2068</v>
      </c>
      <c r="C1686" s="33" t="s">
        <v>297</v>
      </c>
      <c r="D1686" s="33" t="s">
        <v>33</v>
      </c>
      <c r="E1686" s="33" t="s">
        <v>2058</v>
      </c>
      <c r="F1686" s="35">
        <v>1</v>
      </c>
      <c r="G1686" s="40">
        <v>0</v>
      </c>
      <c r="H1686" s="40">
        <v>0</v>
      </c>
      <c r="I1686" s="40">
        <v>0</v>
      </c>
      <c r="J1686" s="40">
        <v>0</v>
      </c>
      <c r="K1686" s="40">
        <v>0</v>
      </c>
      <c r="L1686" s="40">
        <v>0</v>
      </c>
      <c r="M1686" s="40">
        <f t="shared" si="53"/>
        <v>0</v>
      </c>
      <c r="N1686" s="40">
        <f t="shared" si="54"/>
        <v>0</v>
      </c>
    </row>
    <row r="1687" spans="1:14" x14ac:dyDescent="0.35">
      <c r="A1687" s="33">
        <v>1684</v>
      </c>
      <c r="B1687" s="34" t="s">
        <v>2069</v>
      </c>
      <c r="C1687" s="33" t="s">
        <v>297</v>
      </c>
      <c r="D1687" s="33" t="s">
        <v>33</v>
      </c>
      <c r="E1687" s="33" t="s">
        <v>2058</v>
      </c>
      <c r="F1687" s="35">
        <v>1</v>
      </c>
      <c r="G1687" s="40">
        <v>0</v>
      </c>
      <c r="H1687" s="40">
        <v>0</v>
      </c>
      <c r="I1687" s="40">
        <v>0</v>
      </c>
      <c r="J1687" s="40">
        <v>0</v>
      </c>
      <c r="K1687" s="40">
        <v>0</v>
      </c>
      <c r="L1687" s="40">
        <v>0</v>
      </c>
      <c r="M1687" s="40">
        <f t="shared" si="53"/>
        <v>0</v>
      </c>
      <c r="N1687" s="40">
        <f t="shared" si="54"/>
        <v>0</v>
      </c>
    </row>
    <row r="1688" spans="1:14" x14ac:dyDescent="0.35">
      <c r="A1688" s="33">
        <v>1685</v>
      </c>
      <c r="B1688" s="34" t="s">
        <v>2070</v>
      </c>
      <c r="C1688" s="33" t="s">
        <v>297</v>
      </c>
      <c r="D1688" s="33" t="s">
        <v>33</v>
      </c>
      <c r="E1688" s="33" t="s">
        <v>2058</v>
      </c>
      <c r="F1688" s="35">
        <v>1</v>
      </c>
      <c r="G1688" s="40">
        <v>0</v>
      </c>
      <c r="H1688" s="40">
        <v>1139.7</v>
      </c>
      <c r="I1688" s="40">
        <v>0</v>
      </c>
      <c r="J1688" s="40">
        <v>0</v>
      </c>
      <c r="K1688" s="40">
        <v>0</v>
      </c>
      <c r="L1688" s="40">
        <v>0</v>
      </c>
      <c r="M1688" s="40">
        <f t="shared" si="53"/>
        <v>0</v>
      </c>
      <c r="N1688" s="40">
        <f t="shared" si="54"/>
        <v>1139.7</v>
      </c>
    </row>
    <row r="1689" spans="1:14" x14ac:dyDescent="0.35">
      <c r="A1689" s="33">
        <v>1686</v>
      </c>
      <c r="B1689" s="34" t="s">
        <v>2071</v>
      </c>
      <c r="C1689" s="33" t="s">
        <v>297</v>
      </c>
      <c r="D1689" s="33" t="s">
        <v>33</v>
      </c>
      <c r="E1689" s="33" t="s">
        <v>2058</v>
      </c>
      <c r="F1689" s="35">
        <v>1</v>
      </c>
      <c r="G1689" s="40">
        <v>0</v>
      </c>
      <c r="H1689" s="40">
        <v>0</v>
      </c>
      <c r="I1689" s="40">
        <v>0</v>
      </c>
      <c r="J1689" s="40">
        <v>0</v>
      </c>
      <c r="K1689" s="40">
        <v>0</v>
      </c>
      <c r="L1689" s="40">
        <v>0</v>
      </c>
      <c r="M1689" s="40">
        <f t="shared" si="53"/>
        <v>0</v>
      </c>
      <c r="N1689" s="40">
        <f t="shared" si="54"/>
        <v>0</v>
      </c>
    </row>
    <row r="1690" spans="1:14" x14ac:dyDescent="0.35">
      <c r="A1690" s="33">
        <v>1687</v>
      </c>
      <c r="B1690" s="34" t="s">
        <v>2075</v>
      </c>
      <c r="C1690" s="33" t="s">
        <v>346</v>
      </c>
      <c r="D1690" s="33" t="s">
        <v>33</v>
      </c>
      <c r="E1690" s="33" t="s">
        <v>2058</v>
      </c>
      <c r="F1690" s="35">
        <v>1</v>
      </c>
      <c r="G1690" s="40">
        <v>0</v>
      </c>
      <c r="H1690" s="40">
        <v>0</v>
      </c>
      <c r="I1690" s="40">
        <v>0</v>
      </c>
      <c r="J1690" s="40">
        <v>0</v>
      </c>
      <c r="K1690" s="40">
        <v>0</v>
      </c>
      <c r="L1690" s="40">
        <v>0</v>
      </c>
      <c r="M1690" s="40">
        <f t="shared" si="53"/>
        <v>0</v>
      </c>
      <c r="N1690" s="40">
        <f t="shared" si="54"/>
        <v>0</v>
      </c>
    </row>
    <row r="1691" spans="1:14" x14ac:dyDescent="0.35">
      <c r="A1691" s="33">
        <v>1688</v>
      </c>
      <c r="B1691" s="34" t="s">
        <v>2076</v>
      </c>
      <c r="C1691" s="33" t="s">
        <v>346</v>
      </c>
      <c r="D1691" s="33" t="s">
        <v>33</v>
      </c>
      <c r="E1691" s="33" t="s">
        <v>2058</v>
      </c>
      <c r="F1691" s="35">
        <v>1</v>
      </c>
      <c r="G1691" s="40">
        <v>0</v>
      </c>
      <c r="H1691" s="40">
        <v>0</v>
      </c>
      <c r="I1691" s="40">
        <v>0</v>
      </c>
      <c r="J1691" s="40">
        <v>0</v>
      </c>
      <c r="K1691" s="40">
        <v>0</v>
      </c>
      <c r="L1691" s="40">
        <v>0</v>
      </c>
      <c r="M1691" s="40">
        <f t="shared" si="53"/>
        <v>0</v>
      </c>
      <c r="N1691" s="40">
        <f t="shared" si="54"/>
        <v>0</v>
      </c>
    </row>
    <row r="1692" spans="1:14" x14ac:dyDescent="0.35">
      <c r="A1692" s="33">
        <v>1689</v>
      </c>
      <c r="B1692" s="34" t="s">
        <v>2077</v>
      </c>
      <c r="C1692" s="33" t="s">
        <v>346</v>
      </c>
      <c r="D1692" s="33" t="s">
        <v>33</v>
      </c>
      <c r="E1692" s="33" t="s">
        <v>2058</v>
      </c>
      <c r="F1692" s="35">
        <v>1</v>
      </c>
      <c r="G1692" s="40">
        <v>0</v>
      </c>
      <c r="H1692" s="40">
        <v>0</v>
      </c>
      <c r="I1692" s="40">
        <v>0</v>
      </c>
      <c r="J1692" s="40">
        <v>0</v>
      </c>
      <c r="K1692" s="40">
        <v>0</v>
      </c>
      <c r="L1692" s="40">
        <v>0</v>
      </c>
      <c r="M1692" s="40">
        <f t="shared" si="53"/>
        <v>0</v>
      </c>
      <c r="N1692" s="40">
        <f t="shared" si="54"/>
        <v>0</v>
      </c>
    </row>
    <row r="1693" spans="1:14" x14ac:dyDescent="0.35">
      <c r="A1693" s="33">
        <v>1690</v>
      </c>
      <c r="B1693" s="34" t="s">
        <v>2078</v>
      </c>
      <c r="C1693" s="33" t="s">
        <v>346</v>
      </c>
      <c r="D1693" s="33" t="s">
        <v>33</v>
      </c>
      <c r="E1693" s="33" t="s">
        <v>2058</v>
      </c>
      <c r="F1693" s="35">
        <v>1</v>
      </c>
      <c r="G1693" s="40">
        <v>0</v>
      </c>
      <c r="H1693" s="40">
        <v>0</v>
      </c>
      <c r="I1693" s="40">
        <v>0</v>
      </c>
      <c r="J1693" s="40">
        <v>0</v>
      </c>
      <c r="K1693" s="40">
        <v>0</v>
      </c>
      <c r="L1693" s="40">
        <v>0</v>
      </c>
      <c r="M1693" s="40">
        <f t="shared" si="53"/>
        <v>0</v>
      </c>
      <c r="N1693" s="40">
        <f t="shared" si="54"/>
        <v>0</v>
      </c>
    </row>
    <row r="1694" spans="1:14" x14ac:dyDescent="0.35">
      <c r="A1694" s="33">
        <v>1691</v>
      </c>
      <c r="B1694" s="34" t="s">
        <v>2079</v>
      </c>
      <c r="C1694" s="33" t="s">
        <v>346</v>
      </c>
      <c r="D1694" s="33" t="s">
        <v>33</v>
      </c>
      <c r="E1694" s="33" t="s">
        <v>2058</v>
      </c>
      <c r="F1694" s="35">
        <v>1</v>
      </c>
      <c r="G1694" s="40">
        <v>0</v>
      </c>
      <c r="H1694" s="40">
        <v>0</v>
      </c>
      <c r="I1694" s="40">
        <v>0</v>
      </c>
      <c r="J1694" s="40">
        <v>0</v>
      </c>
      <c r="K1694" s="40">
        <v>0</v>
      </c>
      <c r="L1694" s="40">
        <v>0</v>
      </c>
      <c r="M1694" s="40">
        <f t="shared" si="53"/>
        <v>0</v>
      </c>
      <c r="N1694" s="40">
        <f t="shared" si="54"/>
        <v>0</v>
      </c>
    </row>
    <row r="1695" spans="1:14" x14ac:dyDescent="0.35">
      <c r="A1695" s="33">
        <v>1692</v>
      </c>
      <c r="B1695" s="34" t="s">
        <v>2080</v>
      </c>
      <c r="C1695" s="33" t="s">
        <v>346</v>
      </c>
      <c r="D1695" s="33" t="s">
        <v>33</v>
      </c>
      <c r="E1695" s="33" t="s">
        <v>2058</v>
      </c>
      <c r="F1695" s="35">
        <v>1</v>
      </c>
      <c r="G1695" s="40">
        <v>0</v>
      </c>
      <c r="H1695" s="40">
        <v>0</v>
      </c>
      <c r="I1695" s="40">
        <v>0</v>
      </c>
      <c r="J1695" s="40">
        <v>0</v>
      </c>
      <c r="K1695" s="40">
        <v>0</v>
      </c>
      <c r="L1695" s="40">
        <v>0</v>
      </c>
      <c r="M1695" s="40">
        <f t="shared" si="53"/>
        <v>0</v>
      </c>
      <c r="N1695" s="40">
        <f t="shared" si="54"/>
        <v>0</v>
      </c>
    </row>
    <row r="1696" spans="1:14" x14ac:dyDescent="0.35">
      <c r="A1696" s="33">
        <v>1693</v>
      </c>
      <c r="B1696" s="34" t="s">
        <v>2082</v>
      </c>
      <c r="C1696" s="33" t="s">
        <v>346</v>
      </c>
      <c r="D1696" s="33" t="s">
        <v>70</v>
      </c>
      <c r="E1696" s="33" t="s">
        <v>524</v>
      </c>
      <c r="F1696" s="35">
        <v>0.4</v>
      </c>
      <c r="G1696" s="40">
        <v>0</v>
      </c>
      <c r="H1696" s="40">
        <v>0</v>
      </c>
      <c r="I1696" s="40">
        <v>0</v>
      </c>
      <c r="J1696" s="40">
        <v>0</v>
      </c>
      <c r="K1696" s="40">
        <v>0</v>
      </c>
      <c r="L1696" s="40">
        <v>0</v>
      </c>
      <c r="M1696" s="40">
        <f t="shared" si="53"/>
        <v>0</v>
      </c>
      <c r="N1696" s="40">
        <f t="shared" si="54"/>
        <v>0</v>
      </c>
    </row>
    <row r="1697" spans="1:14" x14ac:dyDescent="0.35">
      <c r="A1697" s="33">
        <v>1694</v>
      </c>
      <c r="B1697" s="34" t="s">
        <v>2083</v>
      </c>
      <c r="C1697" s="33" t="s">
        <v>346</v>
      </c>
      <c r="D1697" s="33" t="s">
        <v>70</v>
      </c>
      <c r="E1697" s="33" t="s">
        <v>524</v>
      </c>
      <c r="F1697" s="35">
        <v>1</v>
      </c>
      <c r="G1697" s="40">
        <v>0</v>
      </c>
      <c r="H1697" s="40">
        <v>0</v>
      </c>
      <c r="I1697" s="40">
        <v>0</v>
      </c>
      <c r="J1697" s="40">
        <v>0</v>
      </c>
      <c r="K1697" s="40">
        <v>0</v>
      </c>
      <c r="L1697" s="40">
        <v>0</v>
      </c>
      <c r="M1697" s="40">
        <f t="shared" si="53"/>
        <v>0</v>
      </c>
      <c r="N1697" s="40">
        <f t="shared" si="54"/>
        <v>0</v>
      </c>
    </row>
    <row r="1698" spans="1:14" x14ac:dyDescent="0.35">
      <c r="A1698" s="33">
        <v>1695</v>
      </c>
      <c r="B1698" s="34" t="s">
        <v>2084</v>
      </c>
      <c r="C1698" s="33" t="s">
        <v>346</v>
      </c>
      <c r="D1698" s="33" t="s">
        <v>70</v>
      </c>
      <c r="E1698" s="33" t="s">
        <v>524</v>
      </c>
      <c r="F1698" s="35">
        <v>8.9999999999999993E-3</v>
      </c>
      <c r="G1698" s="40">
        <v>0</v>
      </c>
      <c r="H1698" s="40">
        <v>0</v>
      </c>
      <c r="I1698" s="40">
        <v>0</v>
      </c>
      <c r="J1698" s="40">
        <v>0</v>
      </c>
      <c r="K1698" s="40">
        <v>0</v>
      </c>
      <c r="L1698" s="40">
        <v>0</v>
      </c>
      <c r="M1698" s="40">
        <f t="shared" si="53"/>
        <v>0</v>
      </c>
      <c r="N1698" s="40">
        <f t="shared" si="54"/>
        <v>0</v>
      </c>
    </row>
    <row r="1699" spans="1:14" x14ac:dyDescent="0.35">
      <c r="A1699" s="33">
        <v>1696</v>
      </c>
      <c r="B1699" s="34" t="s">
        <v>2085</v>
      </c>
      <c r="C1699" s="33" t="s">
        <v>346</v>
      </c>
      <c r="D1699" s="33" t="s">
        <v>70</v>
      </c>
      <c r="E1699" s="33" t="s">
        <v>524</v>
      </c>
      <c r="F1699" s="35">
        <v>0.05</v>
      </c>
      <c r="G1699" s="40">
        <v>0</v>
      </c>
      <c r="H1699" s="40">
        <v>0</v>
      </c>
      <c r="I1699" s="40">
        <v>0</v>
      </c>
      <c r="J1699" s="40">
        <v>0</v>
      </c>
      <c r="K1699" s="40">
        <v>0</v>
      </c>
      <c r="L1699" s="40">
        <v>0</v>
      </c>
      <c r="M1699" s="40">
        <f t="shared" si="53"/>
        <v>0</v>
      </c>
      <c r="N1699" s="40">
        <f t="shared" si="54"/>
        <v>0</v>
      </c>
    </row>
    <row r="1700" spans="1:14" x14ac:dyDescent="0.35">
      <c r="A1700" s="33">
        <v>1697</v>
      </c>
      <c r="B1700" s="34" t="s">
        <v>2086</v>
      </c>
      <c r="C1700" s="33" t="s">
        <v>346</v>
      </c>
      <c r="D1700" s="33" t="s">
        <v>70</v>
      </c>
      <c r="E1700" s="33" t="s">
        <v>561</v>
      </c>
      <c r="F1700" s="35">
        <v>6.6000000000000003E-2</v>
      </c>
      <c r="G1700" s="40">
        <v>0</v>
      </c>
      <c r="H1700" s="40">
        <v>0</v>
      </c>
      <c r="I1700" s="40">
        <v>0</v>
      </c>
      <c r="J1700" s="40">
        <v>0</v>
      </c>
      <c r="K1700" s="40">
        <v>0</v>
      </c>
      <c r="L1700" s="40">
        <v>0</v>
      </c>
      <c r="M1700" s="40">
        <f t="shared" si="53"/>
        <v>0</v>
      </c>
      <c r="N1700" s="40">
        <f t="shared" si="54"/>
        <v>0</v>
      </c>
    </row>
    <row r="1701" spans="1:14" x14ac:dyDescent="0.35">
      <c r="A1701" s="33">
        <v>1698</v>
      </c>
      <c r="B1701" s="34" t="s">
        <v>2087</v>
      </c>
      <c r="C1701" s="33" t="s">
        <v>346</v>
      </c>
      <c r="D1701" s="33" t="s">
        <v>70</v>
      </c>
      <c r="E1701" s="33" t="s">
        <v>561</v>
      </c>
      <c r="F1701" s="35">
        <v>6.6000000000000003E-2</v>
      </c>
      <c r="G1701" s="40">
        <v>0</v>
      </c>
      <c r="H1701" s="40">
        <v>0</v>
      </c>
      <c r="I1701" s="40">
        <v>0</v>
      </c>
      <c r="J1701" s="40">
        <v>0</v>
      </c>
      <c r="K1701" s="40">
        <v>0</v>
      </c>
      <c r="L1701" s="40">
        <v>0</v>
      </c>
      <c r="M1701" s="40">
        <f t="shared" si="53"/>
        <v>0</v>
      </c>
      <c r="N1701" s="40">
        <f t="shared" si="54"/>
        <v>0</v>
      </c>
    </row>
    <row r="1702" spans="1:14" x14ac:dyDescent="0.35">
      <c r="A1702" s="33">
        <v>1699</v>
      </c>
      <c r="B1702" s="34" t="s">
        <v>2088</v>
      </c>
      <c r="C1702" s="33" t="s">
        <v>346</v>
      </c>
      <c r="D1702" s="33" t="s">
        <v>70</v>
      </c>
      <c r="E1702" s="33" t="s">
        <v>561</v>
      </c>
      <c r="F1702" s="35">
        <v>6.6000000000000003E-2</v>
      </c>
      <c r="G1702" s="40">
        <v>0</v>
      </c>
      <c r="H1702" s="40">
        <v>0</v>
      </c>
      <c r="I1702" s="40">
        <v>0</v>
      </c>
      <c r="J1702" s="40">
        <v>0</v>
      </c>
      <c r="K1702" s="40">
        <v>0</v>
      </c>
      <c r="L1702" s="40">
        <v>0</v>
      </c>
      <c r="M1702" s="40">
        <f t="shared" si="53"/>
        <v>0</v>
      </c>
      <c r="N1702" s="40">
        <f t="shared" si="54"/>
        <v>0</v>
      </c>
    </row>
    <row r="1703" spans="1:14" x14ac:dyDescent="0.35">
      <c r="A1703" s="33">
        <v>1700</v>
      </c>
      <c r="B1703" s="34" t="s">
        <v>2089</v>
      </c>
      <c r="C1703" s="33" t="s">
        <v>346</v>
      </c>
      <c r="D1703" s="33" t="s">
        <v>70</v>
      </c>
      <c r="E1703" s="33" t="s">
        <v>561</v>
      </c>
      <c r="F1703" s="35">
        <v>6.6000000000000003E-2</v>
      </c>
      <c r="G1703" s="40">
        <v>0</v>
      </c>
      <c r="H1703" s="40">
        <v>0</v>
      </c>
      <c r="I1703" s="40">
        <v>0</v>
      </c>
      <c r="J1703" s="40">
        <v>0</v>
      </c>
      <c r="K1703" s="40">
        <v>0</v>
      </c>
      <c r="L1703" s="40">
        <v>0</v>
      </c>
      <c r="M1703" s="40">
        <f t="shared" si="53"/>
        <v>0</v>
      </c>
      <c r="N1703" s="40">
        <f t="shared" si="54"/>
        <v>0</v>
      </c>
    </row>
    <row r="1704" spans="1:14" x14ac:dyDescent="0.35">
      <c r="A1704" s="33">
        <v>1701</v>
      </c>
      <c r="B1704" s="34" t="s">
        <v>2081</v>
      </c>
      <c r="C1704" s="33" t="s">
        <v>297</v>
      </c>
      <c r="D1704" s="33" t="s">
        <v>70</v>
      </c>
      <c r="E1704" s="33" t="s">
        <v>2081</v>
      </c>
      <c r="F1704" s="35">
        <v>1</v>
      </c>
      <c r="G1704" s="40">
        <v>0</v>
      </c>
      <c r="H1704" s="40">
        <v>0</v>
      </c>
      <c r="I1704" s="40">
        <v>0</v>
      </c>
      <c r="J1704" s="40">
        <v>0</v>
      </c>
      <c r="K1704" s="40">
        <v>0</v>
      </c>
      <c r="L1704" s="40">
        <v>0</v>
      </c>
      <c r="M1704" s="40">
        <f t="shared" si="53"/>
        <v>0</v>
      </c>
      <c r="N1704" s="40">
        <f t="shared" si="54"/>
        <v>0</v>
      </c>
    </row>
    <row r="1705" spans="1:14" x14ac:dyDescent="0.35">
      <c r="A1705" s="33">
        <v>1702</v>
      </c>
      <c r="B1705" s="34" t="s">
        <v>2090</v>
      </c>
      <c r="C1705" s="33" t="s">
        <v>346</v>
      </c>
      <c r="D1705" s="33" t="s">
        <v>70</v>
      </c>
      <c r="E1705" s="33" t="s">
        <v>2091</v>
      </c>
      <c r="F1705" s="35">
        <v>0.125</v>
      </c>
      <c r="G1705" s="40">
        <v>0</v>
      </c>
      <c r="H1705" s="40">
        <v>0</v>
      </c>
      <c r="I1705" s="40">
        <v>0</v>
      </c>
      <c r="J1705" s="40">
        <v>0</v>
      </c>
      <c r="K1705" s="40">
        <v>0</v>
      </c>
      <c r="L1705" s="40">
        <v>0</v>
      </c>
      <c r="M1705" s="40">
        <f t="shared" si="53"/>
        <v>0</v>
      </c>
      <c r="N1705" s="40">
        <f t="shared" si="54"/>
        <v>0</v>
      </c>
    </row>
    <row r="1706" spans="1:14" x14ac:dyDescent="0.35">
      <c r="A1706" s="33">
        <v>1703</v>
      </c>
      <c r="B1706" s="34" t="s">
        <v>2092</v>
      </c>
      <c r="C1706" s="33" t="s">
        <v>346</v>
      </c>
      <c r="D1706" s="33" t="s">
        <v>70</v>
      </c>
      <c r="E1706" s="33" t="s">
        <v>2091</v>
      </c>
      <c r="F1706" s="35">
        <v>0.125</v>
      </c>
      <c r="G1706" s="40">
        <v>0</v>
      </c>
      <c r="H1706" s="40">
        <v>0</v>
      </c>
      <c r="I1706" s="40">
        <v>0</v>
      </c>
      <c r="J1706" s="40">
        <v>0</v>
      </c>
      <c r="K1706" s="40">
        <v>0</v>
      </c>
      <c r="L1706" s="40">
        <v>0</v>
      </c>
      <c r="M1706" s="40">
        <f t="shared" si="53"/>
        <v>0</v>
      </c>
      <c r="N1706" s="40">
        <f t="shared" si="54"/>
        <v>0</v>
      </c>
    </row>
    <row r="1707" spans="1:14" x14ac:dyDescent="0.35">
      <c r="A1707" s="33">
        <v>1704</v>
      </c>
      <c r="B1707" s="34" t="s">
        <v>2093</v>
      </c>
      <c r="C1707" s="33" t="s">
        <v>346</v>
      </c>
      <c r="D1707" s="33" t="s">
        <v>70</v>
      </c>
      <c r="E1707" s="33" t="s">
        <v>2091</v>
      </c>
      <c r="F1707" s="35">
        <v>0.125</v>
      </c>
      <c r="G1707" s="40">
        <v>0</v>
      </c>
      <c r="H1707" s="40">
        <v>0</v>
      </c>
      <c r="I1707" s="40">
        <v>0</v>
      </c>
      <c r="J1707" s="40">
        <v>0</v>
      </c>
      <c r="K1707" s="40">
        <v>0</v>
      </c>
      <c r="L1707" s="40">
        <v>0</v>
      </c>
      <c r="M1707" s="40">
        <f t="shared" si="53"/>
        <v>0</v>
      </c>
      <c r="N1707" s="40">
        <f t="shared" si="54"/>
        <v>0</v>
      </c>
    </row>
    <row r="1708" spans="1:14" x14ac:dyDescent="0.35">
      <c r="A1708" s="33">
        <v>1705</v>
      </c>
      <c r="B1708" s="34" t="s">
        <v>2094</v>
      </c>
      <c r="C1708" s="33" t="s">
        <v>346</v>
      </c>
      <c r="D1708" s="33" t="s">
        <v>70</v>
      </c>
      <c r="E1708" s="33" t="s">
        <v>2091</v>
      </c>
      <c r="F1708" s="35">
        <v>4.8000000000000001E-2</v>
      </c>
      <c r="G1708" s="40">
        <v>0</v>
      </c>
      <c r="H1708" s="40">
        <v>0</v>
      </c>
      <c r="I1708" s="40">
        <v>0</v>
      </c>
      <c r="J1708" s="40">
        <v>0</v>
      </c>
      <c r="K1708" s="40">
        <v>0</v>
      </c>
      <c r="L1708" s="40">
        <v>0</v>
      </c>
      <c r="M1708" s="40">
        <f t="shared" si="53"/>
        <v>0</v>
      </c>
      <c r="N1708" s="40">
        <f t="shared" si="54"/>
        <v>0</v>
      </c>
    </row>
    <row r="1709" spans="1:14" x14ac:dyDescent="0.35">
      <c r="A1709" s="33">
        <v>1706</v>
      </c>
      <c r="B1709" s="34" t="s">
        <v>2095</v>
      </c>
      <c r="C1709" s="33" t="s">
        <v>346</v>
      </c>
      <c r="D1709" s="33" t="s">
        <v>70</v>
      </c>
      <c r="E1709" s="33" t="s">
        <v>2091</v>
      </c>
      <c r="F1709" s="35">
        <v>4.8000000000000001E-2</v>
      </c>
      <c r="G1709" s="40">
        <v>0</v>
      </c>
      <c r="H1709" s="40">
        <v>0</v>
      </c>
      <c r="I1709" s="40">
        <v>0</v>
      </c>
      <c r="J1709" s="40">
        <v>0</v>
      </c>
      <c r="K1709" s="40">
        <v>0</v>
      </c>
      <c r="L1709" s="40">
        <v>0</v>
      </c>
      <c r="M1709" s="40">
        <f t="shared" si="53"/>
        <v>0</v>
      </c>
      <c r="N1709" s="40">
        <f t="shared" si="54"/>
        <v>0</v>
      </c>
    </row>
    <row r="1710" spans="1:14" x14ac:dyDescent="0.35">
      <c r="A1710" s="33">
        <v>1707</v>
      </c>
      <c r="B1710" s="34" t="s">
        <v>2096</v>
      </c>
      <c r="C1710" s="33" t="s">
        <v>346</v>
      </c>
      <c r="D1710" s="33" t="s">
        <v>70</v>
      </c>
      <c r="E1710" s="33" t="s">
        <v>2091</v>
      </c>
      <c r="F1710" s="35">
        <v>0.2</v>
      </c>
      <c r="G1710" s="40">
        <v>0</v>
      </c>
      <c r="H1710" s="40">
        <v>0</v>
      </c>
      <c r="I1710" s="40">
        <v>0</v>
      </c>
      <c r="J1710" s="40">
        <v>0</v>
      </c>
      <c r="K1710" s="40">
        <v>0</v>
      </c>
      <c r="L1710" s="40">
        <v>0</v>
      </c>
      <c r="M1710" s="40">
        <f t="shared" si="53"/>
        <v>0</v>
      </c>
      <c r="N1710" s="40">
        <f t="shared" si="54"/>
        <v>0</v>
      </c>
    </row>
    <row r="1711" spans="1:14" x14ac:dyDescent="0.35">
      <c r="A1711" s="33">
        <v>1708</v>
      </c>
      <c r="B1711" s="34" t="s">
        <v>2097</v>
      </c>
      <c r="C1711" s="33" t="s">
        <v>346</v>
      </c>
      <c r="D1711" s="33" t="s">
        <v>70</v>
      </c>
      <c r="E1711" s="33" t="s">
        <v>2091</v>
      </c>
      <c r="F1711" s="35">
        <v>0.2</v>
      </c>
      <c r="G1711" s="40">
        <v>0</v>
      </c>
      <c r="H1711" s="40">
        <v>0</v>
      </c>
      <c r="I1711" s="40">
        <v>0</v>
      </c>
      <c r="J1711" s="40">
        <v>0</v>
      </c>
      <c r="K1711" s="40">
        <v>0</v>
      </c>
      <c r="L1711" s="40">
        <v>0</v>
      </c>
      <c r="M1711" s="40">
        <f t="shared" si="53"/>
        <v>0</v>
      </c>
      <c r="N1711" s="40">
        <f t="shared" si="54"/>
        <v>0</v>
      </c>
    </row>
    <row r="1712" spans="1:14" x14ac:dyDescent="0.35">
      <c r="A1712" s="33">
        <v>1709</v>
      </c>
      <c r="B1712" s="34" t="s">
        <v>2098</v>
      </c>
      <c r="C1712" s="33" t="s">
        <v>346</v>
      </c>
      <c r="D1712" s="33" t="s">
        <v>70</v>
      </c>
      <c r="E1712" s="33" t="s">
        <v>2091</v>
      </c>
      <c r="F1712" s="35">
        <v>0.2</v>
      </c>
      <c r="G1712" s="40">
        <v>0</v>
      </c>
      <c r="H1712" s="40">
        <v>0</v>
      </c>
      <c r="I1712" s="40">
        <v>0</v>
      </c>
      <c r="J1712" s="40">
        <v>0</v>
      </c>
      <c r="K1712" s="40">
        <v>0</v>
      </c>
      <c r="L1712" s="40">
        <v>0</v>
      </c>
      <c r="M1712" s="40">
        <f t="shared" si="53"/>
        <v>0</v>
      </c>
      <c r="N1712" s="40">
        <f t="shared" si="54"/>
        <v>0</v>
      </c>
    </row>
    <row r="1713" spans="1:14" x14ac:dyDescent="0.35">
      <c r="A1713" s="33">
        <v>1710</v>
      </c>
      <c r="B1713" s="34" t="s">
        <v>2099</v>
      </c>
      <c r="C1713" s="33" t="s">
        <v>346</v>
      </c>
      <c r="D1713" s="33" t="s">
        <v>70</v>
      </c>
      <c r="E1713" s="33" t="s">
        <v>2091</v>
      </c>
      <c r="F1713" s="35">
        <v>3.3000000000000002E-2</v>
      </c>
      <c r="G1713" s="40">
        <v>0</v>
      </c>
      <c r="H1713" s="40">
        <v>0</v>
      </c>
      <c r="I1713" s="40">
        <v>0</v>
      </c>
      <c r="J1713" s="40">
        <v>0</v>
      </c>
      <c r="K1713" s="40">
        <v>145</v>
      </c>
      <c r="L1713" s="40">
        <v>4.79</v>
      </c>
      <c r="M1713" s="40">
        <f t="shared" si="53"/>
        <v>145</v>
      </c>
      <c r="N1713" s="40">
        <f t="shared" si="54"/>
        <v>4.79</v>
      </c>
    </row>
    <row r="1714" spans="1:14" x14ac:dyDescent="0.35">
      <c r="A1714" s="33">
        <v>1711</v>
      </c>
      <c r="B1714" s="34" t="s">
        <v>2100</v>
      </c>
      <c r="C1714" s="33" t="s">
        <v>346</v>
      </c>
      <c r="D1714" s="33" t="s">
        <v>70</v>
      </c>
      <c r="E1714" s="33" t="s">
        <v>2091</v>
      </c>
      <c r="F1714" s="35">
        <v>3.5000000000000003E-2</v>
      </c>
      <c r="G1714" s="40">
        <v>0</v>
      </c>
      <c r="H1714" s="40">
        <v>0</v>
      </c>
      <c r="I1714" s="40">
        <v>0</v>
      </c>
      <c r="J1714" s="40">
        <v>0</v>
      </c>
      <c r="K1714" s="40">
        <v>0</v>
      </c>
      <c r="L1714" s="40">
        <v>0</v>
      </c>
      <c r="M1714" s="40">
        <f t="shared" si="53"/>
        <v>0</v>
      </c>
      <c r="N1714" s="40">
        <f t="shared" si="54"/>
        <v>0</v>
      </c>
    </row>
    <row r="1715" spans="1:14" x14ac:dyDescent="0.35">
      <c r="A1715" s="33">
        <v>1712</v>
      </c>
      <c r="B1715" s="34" t="s">
        <v>2101</v>
      </c>
      <c r="C1715" s="33" t="s">
        <v>346</v>
      </c>
      <c r="D1715" s="33" t="s">
        <v>70</v>
      </c>
      <c r="E1715" s="33" t="s">
        <v>2091</v>
      </c>
      <c r="F1715" s="35">
        <v>1</v>
      </c>
      <c r="G1715" s="40">
        <v>0</v>
      </c>
      <c r="H1715" s="40">
        <v>0</v>
      </c>
      <c r="I1715" s="40">
        <v>0</v>
      </c>
      <c r="J1715" s="40">
        <v>0</v>
      </c>
      <c r="K1715" s="40">
        <v>0</v>
      </c>
      <c r="L1715" s="40">
        <v>0</v>
      </c>
      <c r="M1715" s="40">
        <f t="shared" si="53"/>
        <v>0</v>
      </c>
      <c r="N1715" s="40">
        <f t="shared" si="54"/>
        <v>0</v>
      </c>
    </row>
    <row r="1716" spans="1:14" x14ac:dyDescent="0.35">
      <c r="A1716" s="33">
        <v>1713</v>
      </c>
      <c r="B1716" s="34" t="s">
        <v>2102</v>
      </c>
      <c r="C1716" s="33" t="s">
        <v>346</v>
      </c>
      <c r="D1716" s="33" t="s">
        <v>70</v>
      </c>
      <c r="E1716" s="33" t="s">
        <v>2091</v>
      </c>
      <c r="F1716" s="35">
        <v>0.25</v>
      </c>
      <c r="G1716" s="40">
        <v>0</v>
      </c>
      <c r="H1716" s="40">
        <v>0</v>
      </c>
      <c r="I1716" s="40">
        <v>0</v>
      </c>
      <c r="J1716" s="40">
        <v>0</v>
      </c>
      <c r="K1716" s="40">
        <v>0</v>
      </c>
      <c r="L1716" s="40">
        <v>0</v>
      </c>
      <c r="M1716" s="40">
        <f t="shared" si="53"/>
        <v>0</v>
      </c>
      <c r="N1716" s="40">
        <f t="shared" si="54"/>
        <v>0</v>
      </c>
    </row>
    <row r="1717" spans="1:14" x14ac:dyDescent="0.35">
      <c r="A1717" s="33">
        <v>1714</v>
      </c>
      <c r="B1717" s="34" t="s">
        <v>2103</v>
      </c>
      <c r="C1717" s="33" t="s">
        <v>346</v>
      </c>
      <c r="D1717" s="33" t="s">
        <v>70</v>
      </c>
      <c r="E1717" s="33" t="s">
        <v>2091</v>
      </c>
      <c r="F1717" s="35">
        <v>4.8000000000000001E-2</v>
      </c>
      <c r="G1717" s="40">
        <v>0</v>
      </c>
      <c r="H1717" s="40">
        <v>0</v>
      </c>
      <c r="I1717" s="40">
        <v>0</v>
      </c>
      <c r="J1717" s="40">
        <v>0</v>
      </c>
      <c r="K1717" s="40">
        <v>0</v>
      </c>
      <c r="L1717" s="40">
        <v>0</v>
      </c>
      <c r="M1717" s="40">
        <f t="shared" si="53"/>
        <v>0</v>
      </c>
      <c r="N1717" s="40">
        <f t="shared" si="54"/>
        <v>0</v>
      </c>
    </row>
    <row r="1718" spans="1:14" x14ac:dyDescent="0.35">
      <c r="A1718" s="33">
        <v>1715</v>
      </c>
      <c r="B1718" s="34" t="s">
        <v>2104</v>
      </c>
      <c r="C1718" s="33" t="s">
        <v>346</v>
      </c>
      <c r="D1718" s="33" t="s">
        <v>70</v>
      </c>
      <c r="E1718" s="33" t="s">
        <v>2091</v>
      </c>
      <c r="F1718" s="35">
        <v>3.3000000000000002E-2</v>
      </c>
      <c r="G1718" s="40">
        <v>0</v>
      </c>
      <c r="H1718" s="40">
        <v>0</v>
      </c>
      <c r="I1718" s="40">
        <v>0</v>
      </c>
      <c r="J1718" s="40">
        <v>0</v>
      </c>
      <c r="K1718" s="40">
        <v>59</v>
      </c>
      <c r="L1718" s="40">
        <v>1.95</v>
      </c>
      <c r="M1718" s="40">
        <f t="shared" si="53"/>
        <v>59</v>
      </c>
      <c r="N1718" s="40">
        <f t="shared" si="54"/>
        <v>1.95</v>
      </c>
    </row>
    <row r="1719" spans="1:14" x14ac:dyDescent="0.35">
      <c r="A1719" s="33">
        <v>1716</v>
      </c>
      <c r="B1719" s="34" t="s">
        <v>2105</v>
      </c>
      <c r="C1719" s="33" t="s">
        <v>346</v>
      </c>
      <c r="D1719" s="33" t="s">
        <v>70</v>
      </c>
      <c r="E1719" s="33" t="s">
        <v>2091</v>
      </c>
      <c r="F1719" s="35">
        <v>3.5000000000000003E-2</v>
      </c>
      <c r="G1719" s="40">
        <v>0</v>
      </c>
      <c r="H1719" s="40">
        <v>0</v>
      </c>
      <c r="I1719" s="40">
        <v>0</v>
      </c>
      <c r="J1719" s="40">
        <v>0</v>
      </c>
      <c r="K1719" s="40">
        <v>0</v>
      </c>
      <c r="L1719" s="40">
        <v>0</v>
      </c>
      <c r="M1719" s="40">
        <f t="shared" si="53"/>
        <v>0</v>
      </c>
      <c r="N1719" s="40">
        <f t="shared" si="54"/>
        <v>0</v>
      </c>
    </row>
    <row r="1720" spans="1:14" x14ac:dyDescent="0.35">
      <c r="A1720" s="33">
        <v>1717</v>
      </c>
      <c r="B1720" s="34" t="s">
        <v>2106</v>
      </c>
      <c r="C1720" s="33" t="s">
        <v>346</v>
      </c>
      <c r="D1720" s="33" t="s">
        <v>70</v>
      </c>
      <c r="E1720" s="33" t="s">
        <v>2091</v>
      </c>
      <c r="F1720" s="35">
        <v>1</v>
      </c>
      <c r="G1720" s="40">
        <v>0</v>
      </c>
      <c r="H1720" s="40">
        <v>0</v>
      </c>
      <c r="I1720" s="40">
        <v>0</v>
      </c>
      <c r="J1720" s="40">
        <v>200</v>
      </c>
      <c r="K1720" s="40">
        <v>0</v>
      </c>
      <c r="L1720" s="40">
        <v>30.66</v>
      </c>
      <c r="M1720" s="40">
        <f t="shared" si="53"/>
        <v>0</v>
      </c>
      <c r="N1720" s="40">
        <f t="shared" si="54"/>
        <v>230.66</v>
      </c>
    </row>
    <row r="1721" spans="1:14" x14ac:dyDescent="0.35">
      <c r="A1721" s="33">
        <v>1718</v>
      </c>
      <c r="B1721" s="34" t="s">
        <v>2107</v>
      </c>
      <c r="C1721" s="33" t="s">
        <v>346</v>
      </c>
      <c r="D1721" s="33" t="s">
        <v>70</v>
      </c>
      <c r="E1721" s="33" t="s">
        <v>2091</v>
      </c>
      <c r="F1721" s="35">
        <v>0.25</v>
      </c>
      <c r="G1721" s="40">
        <v>0</v>
      </c>
      <c r="H1721" s="40">
        <v>0</v>
      </c>
      <c r="I1721" s="40">
        <v>0</v>
      </c>
      <c r="J1721" s="40">
        <v>0</v>
      </c>
      <c r="K1721" s="40">
        <v>0</v>
      </c>
      <c r="L1721" s="40">
        <v>0</v>
      </c>
      <c r="M1721" s="40">
        <f t="shared" si="53"/>
        <v>0</v>
      </c>
      <c r="N1721" s="40">
        <f t="shared" si="54"/>
        <v>0</v>
      </c>
    </row>
    <row r="1722" spans="1:14" x14ac:dyDescent="0.35">
      <c r="A1722" s="33">
        <v>1719</v>
      </c>
      <c r="B1722" s="34" t="s">
        <v>2108</v>
      </c>
      <c r="C1722" s="33" t="s">
        <v>346</v>
      </c>
      <c r="D1722" s="33" t="s">
        <v>70</v>
      </c>
      <c r="E1722" s="33" t="s">
        <v>2091</v>
      </c>
      <c r="F1722" s="35">
        <v>0.25</v>
      </c>
      <c r="G1722" s="40">
        <v>0</v>
      </c>
      <c r="H1722" s="40">
        <v>0</v>
      </c>
      <c r="I1722" s="40">
        <v>0</v>
      </c>
      <c r="J1722" s="40">
        <v>0</v>
      </c>
      <c r="K1722" s="40">
        <v>0</v>
      </c>
      <c r="L1722" s="40">
        <v>0</v>
      </c>
      <c r="M1722" s="40">
        <f t="shared" si="53"/>
        <v>0</v>
      </c>
      <c r="N1722" s="40">
        <f t="shared" si="54"/>
        <v>0</v>
      </c>
    </row>
    <row r="1723" spans="1:14" x14ac:dyDescent="0.35">
      <c r="A1723" s="33">
        <v>1720</v>
      </c>
      <c r="B1723" s="34" t="s">
        <v>2109</v>
      </c>
      <c r="C1723" s="33" t="s">
        <v>346</v>
      </c>
      <c r="D1723" s="33" t="s">
        <v>70</v>
      </c>
      <c r="E1723" s="33" t="s">
        <v>2091</v>
      </c>
      <c r="F1723" s="35">
        <v>0.25</v>
      </c>
      <c r="G1723" s="40">
        <v>0</v>
      </c>
      <c r="H1723" s="40">
        <v>0</v>
      </c>
      <c r="I1723" s="40">
        <v>0</v>
      </c>
      <c r="J1723" s="40">
        <v>0</v>
      </c>
      <c r="K1723" s="40">
        <v>0</v>
      </c>
      <c r="L1723" s="40">
        <v>0</v>
      </c>
      <c r="M1723" s="40">
        <f t="shared" si="53"/>
        <v>0</v>
      </c>
      <c r="N1723" s="40">
        <f t="shared" si="54"/>
        <v>0</v>
      </c>
    </row>
    <row r="1724" spans="1:14" x14ac:dyDescent="0.35">
      <c r="A1724" s="33">
        <v>1721</v>
      </c>
      <c r="B1724" s="34" t="s">
        <v>2110</v>
      </c>
      <c r="C1724" s="33" t="s">
        <v>346</v>
      </c>
      <c r="D1724" s="33" t="s">
        <v>70</v>
      </c>
      <c r="E1724" s="33" t="s">
        <v>2091</v>
      </c>
      <c r="F1724" s="35">
        <v>0.25</v>
      </c>
      <c r="G1724" s="40">
        <v>0</v>
      </c>
      <c r="H1724" s="40">
        <v>0</v>
      </c>
      <c r="I1724" s="40">
        <v>0</v>
      </c>
      <c r="J1724" s="40">
        <v>0</v>
      </c>
      <c r="K1724" s="40">
        <v>0</v>
      </c>
      <c r="L1724" s="40">
        <v>0</v>
      </c>
      <c r="M1724" s="40">
        <f t="shared" si="53"/>
        <v>0</v>
      </c>
      <c r="N1724" s="40">
        <f t="shared" si="54"/>
        <v>0</v>
      </c>
    </row>
    <row r="1725" spans="1:14" x14ac:dyDescent="0.35">
      <c r="A1725" s="33">
        <v>1722</v>
      </c>
      <c r="B1725" s="34" t="s">
        <v>2111</v>
      </c>
      <c r="C1725" s="33" t="s">
        <v>346</v>
      </c>
      <c r="D1725" s="33" t="s">
        <v>70</v>
      </c>
      <c r="E1725" s="33" t="s">
        <v>2091</v>
      </c>
      <c r="F1725" s="35">
        <v>0.2</v>
      </c>
      <c r="G1725" s="40">
        <v>0</v>
      </c>
      <c r="H1725" s="40">
        <v>0</v>
      </c>
      <c r="I1725" s="40">
        <v>0</v>
      </c>
      <c r="J1725" s="40">
        <v>0</v>
      </c>
      <c r="K1725" s="40">
        <v>0</v>
      </c>
      <c r="L1725" s="40">
        <v>0</v>
      </c>
      <c r="M1725" s="40">
        <f t="shared" si="53"/>
        <v>0</v>
      </c>
      <c r="N1725" s="40">
        <f t="shared" si="54"/>
        <v>0</v>
      </c>
    </row>
    <row r="1726" spans="1:14" x14ac:dyDescent="0.35">
      <c r="A1726" s="33">
        <v>1723</v>
      </c>
      <c r="B1726" s="34" t="s">
        <v>2112</v>
      </c>
      <c r="C1726" s="33" t="s">
        <v>346</v>
      </c>
      <c r="D1726" s="33" t="s">
        <v>70</v>
      </c>
      <c r="E1726" s="33" t="s">
        <v>2091</v>
      </c>
      <c r="F1726" s="35">
        <v>0.1</v>
      </c>
      <c r="G1726" s="40">
        <v>0</v>
      </c>
      <c r="H1726" s="40">
        <v>0</v>
      </c>
      <c r="I1726" s="40">
        <v>0</v>
      </c>
      <c r="J1726" s="40">
        <v>0</v>
      </c>
      <c r="K1726" s="40">
        <v>0</v>
      </c>
      <c r="L1726" s="40">
        <v>0</v>
      </c>
      <c r="M1726" s="40">
        <f t="shared" si="53"/>
        <v>0</v>
      </c>
      <c r="N1726" s="40">
        <f t="shared" si="54"/>
        <v>0</v>
      </c>
    </row>
    <row r="1727" spans="1:14" x14ac:dyDescent="0.35">
      <c r="A1727" s="33">
        <v>1724</v>
      </c>
      <c r="B1727" s="34" t="s">
        <v>2113</v>
      </c>
      <c r="C1727" s="33" t="s">
        <v>346</v>
      </c>
      <c r="D1727" s="33" t="s">
        <v>70</v>
      </c>
      <c r="E1727" s="33" t="s">
        <v>2091</v>
      </c>
      <c r="F1727" s="35">
        <v>0.02</v>
      </c>
      <c r="G1727" s="40">
        <v>0</v>
      </c>
      <c r="H1727" s="40">
        <v>0</v>
      </c>
      <c r="I1727" s="40">
        <v>0</v>
      </c>
      <c r="J1727" s="40">
        <v>0</v>
      </c>
      <c r="K1727" s="40">
        <v>0</v>
      </c>
      <c r="L1727" s="40">
        <v>0</v>
      </c>
      <c r="M1727" s="40">
        <f t="shared" si="53"/>
        <v>0</v>
      </c>
      <c r="N1727" s="40">
        <f t="shared" si="54"/>
        <v>0</v>
      </c>
    </row>
    <row r="1728" spans="1:14" x14ac:dyDescent="0.35">
      <c r="A1728" s="33">
        <v>1725</v>
      </c>
      <c r="B1728" s="34" t="s">
        <v>2114</v>
      </c>
      <c r="C1728" s="33" t="s">
        <v>346</v>
      </c>
      <c r="D1728" s="33" t="s">
        <v>70</v>
      </c>
      <c r="E1728" s="33" t="s">
        <v>2091</v>
      </c>
      <c r="F1728" s="35">
        <v>0.25</v>
      </c>
      <c r="G1728" s="40">
        <v>0</v>
      </c>
      <c r="H1728" s="40">
        <v>0</v>
      </c>
      <c r="I1728" s="40">
        <v>0</v>
      </c>
      <c r="J1728" s="40">
        <v>0</v>
      </c>
      <c r="K1728" s="40">
        <v>0</v>
      </c>
      <c r="L1728" s="40">
        <v>0</v>
      </c>
      <c r="M1728" s="40">
        <f t="shared" si="53"/>
        <v>0</v>
      </c>
      <c r="N1728" s="40">
        <f t="shared" si="54"/>
        <v>0</v>
      </c>
    </row>
    <row r="1729" spans="1:14" x14ac:dyDescent="0.35">
      <c r="A1729" s="33">
        <v>1726</v>
      </c>
      <c r="B1729" s="34" t="s">
        <v>2115</v>
      </c>
      <c r="C1729" s="33" t="s">
        <v>346</v>
      </c>
      <c r="D1729" s="33" t="s">
        <v>70</v>
      </c>
      <c r="E1729" s="33" t="s">
        <v>2091</v>
      </c>
      <c r="F1729" s="35">
        <v>0.1</v>
      </c>
      <c r="G1729" s="40">
        <v>0</v>
      </c>
      <c r="H1729" s="40">
        <v>0</v>
      </c>
      <c r="I1729" s="40">
        <v>0</v>
      </c>
      <c r="J1729" s="40">
        <v>0</v>
      </c>
      <c r="K1729" s="40">
        <v>0</v>
      </c>
      <c r="L1729" s="40">
        <v>0</v>
      </c>
      <c r="M1729" s="40">
        <f t="shared" si="53"/>
        <v>0</v>
      </c>
      <c r="N1729" s="40">
        <f t="shared" si="54"/>
        <v>0</v>
      </c>
    </row>
    <row r="1730" spans="1:14" x14ac:dyDescent="0.35">
      <c r="A1730" s="33">
        <v>1727</v>
      </c>
      <c r="B1730" s="34" t="s">
        <v>2116</v>
      </c>
      <c r="C1730" s="33" t="s">
        <v>346</v>
      </c>
      <c r="D1730" s="33" t="s">
        <v>70</v>
      </c>
      <c r="E1730" s="33" t="s">
        <v>2091</v>
      </c>
      <c r="F1730" s="35">
        <v>0.1</v>
      </c>
      <c r="G1730" s="40">
        <v>0</v>
      </c>
      <c r="H1730" s="40">
        <v>0</v>
      </c>
      <c r="I1730" s="40">
        <v>0</v>
      </c>
      <c r="J1730" s="40">
        <v>0</v>
      </c>
      <c r="K1730" s="40">
        <v>0</v>
      </c>
      <c r="L1730" s="40">
        <v>0</v>
      </c>
      <c r="M1730" s="40">
        <f t="shared" si="53"/>
        <v>0</v>
      </c>
      <c r="N1730" s="40">
        <f t="shared" si="54"/>
        <v>0</v>
      </c>
    </row>
    <row r="1731" spans="1:14" x14ac:dyDescent="0.35">
      <c r="A1731" s="33">
        <v>1728</v>
      </c>
      <c r="B1731" s="34" t="s">
        <v>2117</v>
      </c>
      <c r="C1731" s="33" t="s">
        <v>346</v>
      </c>
      <c r="D1731" s="33" t="s">
        <v>70</v>
      </c>
      <c r="E1731" s="33" t="s">
        <v>2091</v>
      </c>
      <c r="F1731" s="35">
        <v>0.2</v>
      </c>
      <c r="G1731" s="40">
        <v>0</v>
      </c>
      <c r="H1731" s="40">
        <v>0</v>
      </c>
      <c r="I1731" s="40">
        <v>0</v>
      </c>
      <c r="J1731" s="40">
        <v>0</v>
      </c>
      <c r="K1731" s="40">
        <v>0</v>
      </c>
      <c r="L1731" s="40">
        <v>0</v>
      </c>
      <c r="M1731" s="40">
        <f t="shared" si="53"/>
        <v>0</v>
      </c>
      <c r="N1731" s="40">
        <f t="shared" si="54"/>
        <v>0</v>
      </c>
    </row>
    <row r="1732" spans="1:14" x14ac:dyDescent="0.35">
      <c r="A1732" s="33">
        <v>1729</v>
      </c>
      <c r="B1732" s="34" t="s">
        <v>2118</v>
      </c>
      <c r="C1732" s="33" t="s">
        <v>346</v>
      </c>
      <c r="D1732" s="33" t="s">
        <v>70</v>
      </c>
      <c r="E1732" s="33" t="s">
        <v>2091</v>
      </c>
      <c r="F1732" s="35">
        <v>0.25</v>
      </c>
      <c r="G1732" s="40">
        <v>0</v>
      </c>
      <c r="H1732" s="40">
        <v>0</v>
      </c>
      <c r="I1732" s="40">
        <v>0</v>
      </c>
      <c r="J1732" s="40">
        <v>0</v>
      </c>
      <c r="K1732" s="40">
        <v>0</v>
      </c>
      <c r="L1732" s="40">
        <v>0</v>
      </c>
      <c r="M1732" s="40">
        <f t="shared" si="53"/>
        <v>0</v>
      </c>
      <c r="N1732" s="40">
        <f t="shared" si="54"/>
        <v>0</v>
      </c>
    </row>
    <row r="1733" spans="1:14" x14ac:dyDescent="0.35">
      <c r="A1733" s="33">
        <v>1730</v>
      </c>
      <c r="B1733" s="34" t="s">
        <v>2119</v>
      </c>
      <c r="C1733" s="33" t="s">
        <v>346</v>
      </c>
      <c r="D1733" s="33" t="s">
        <v>70</v>
      </c>
      <c r="E1733" s="33" t="s">
        <v>2091</v>
      </c>
      <c r="F1733" s="35">
        <v>0.25</v>
      </c>
      <c r="G1733" s="40">
        <v>0</v>
      </c>
      <c r="H1733" s="40">
        <v>0</v>
      </c>
      <c r="I1733" s="40">
        <v>0</v>
      </c>
      <c r="J1733" s="40">
        <v>0</v>
      </c>
      <c r="K1733" s="40">
        <v>0</v>
      </c>
      <c r="L1733" s="40">
        <v>0</v>
      </c>
      <c r="M1733" s="40">
        <f t="shared" ref="M1733:M1796" si="55">G1733+I1733+K1733</f>
        <v>0</v>
      </c>
      <c r="N1733" s="40">
        <f t="shared" ref="N1733:N1796" si="56">H1733+J1733+L1733</f>
        <v>0</v>
      </c>
    </row>
    <row r="1734" spans="1:14" x14ac:dyDescent="0.35">
      <c r="A1734" s="33">
        <v>1731</v>
      </c>
      <c r="B1734" s="34" t="s">
        <v>2120</v>
      </c>
      <c r="C1734" s="33" t="s">
        <v>346</v>
      </c>
      <c r="D1734" s="33" t="s">
        <v>70</v>
      </c>
      <c r="E1734" s="33" t="s">
        <v>2091</v>
      </c>
      <c r="F1734" s="35">
        <v>0.25</v>
      </c>
      <c r="G1734" s="40">
        <v>0</v>
      </c>
      <c r="H1734" s="40">
        <v>0</v>
      </c>
      <c r="I1734" s="40">
        <v>0</v>
      </c>
      <c r="J1734" s="40">
        <v>0</v>
      </c>
      <c r="K1734" s="40">
        <v>0</v>
      </c>
      <c r="L1734" s="40">
        <v>0</v>
      </c>
      <c r="M1734" s="40">
        <f t="shared" si="55"/>
        <v>0</v>
      </c>
      <c r="N1734" s="40">
        <f t="shared" si="56"/>
        <v>0</v>
      </c>
    </row>
    <row r="1735" spans="1:14" x14ac:dyDescent="0.35">
      <c r="A1735" s="33">
        <v>1732</v>
      </c>
      <c r="B1735" s="34" t="s">
        <v>2121</v>
      </c>
      <c r="C1735" s="33" t="s">
        <v>346</v>
      </c>
      <c r="D1735" s="33" t="s">
        <v>70</v>
      </c>
      <c r="E1735" s="33" t="s">
        <v>2091</v>
      </c>
      <c r="F1735" s="35">
        <v>0.12</v>
      </c>
      <c r="G1735" s="40">
        <v>0</v>
      </c>
      <c r="H1735" s="40">
        <v>0</v>
      </c>
      <c r="I1735" s="40">
        <v>0</v>
      </c>
      <c r="J1735" s="40">
        <v>0</v>
      </c>
      <c r="K1735" s="40">
        <v>0</v>
      </c>
      <c r="L1735" s="40">
        <v>0</v>
      </c>
      <c r="M1735" s="40">
        <f t="shared" si="55"/>
        <v>0</v>
      </c>
      <c r="N1735" s="40">
        <f t="shared" si="56"/>
        <v>0</v>
      </c>
    </row>
    <row r="1736" spans="1:14" x14ac:dyDescent="0.35">
      <c r="A1736" s="33">
        <v>1733</v>
      </c>
      <c r="B1736" s="34" t="s">
        <v>2122</v>
      </c>
      <c r="C1736" s="33" t="s">
        <v>346</v>
      </c>
      <c r="D1736" s="33" t="s">
        <v>70</v>
      </c>
      <c r="E1736" s="33" t="s">
        <v>2091</v>
      </c>
      <c r="F1736" s="35">
        <v>0.1</v>
      </c>
      <c r="G1736" s="40">
        <v>0</v>
      </c>
      <c r="H1736" s="40">
        <v>0</v>
      </c>
      <c r="I1736" s="40">
        <v>0</v>
      </c>
      <c r="J1736" s="40">
        <v>0</v>
      </c>
      <c r="K1736" s="40">
        <v>0</v>
      </c>
      <c r="L1736" s="40">
        <v>0</v>
      </c>
      <c r="M1736" s="40">
        <f t="shared" si="55"/>
        <v>0</v>
      </c>
      <c r="N1736" s="40">
        <f t="shared" si="56"/>
        <v>0</v>
      </c>
    </row>
    <row r="1737" spans="1:14" x14ac:dyDescent="0.35">
      <c r="A1737" s="33">
        <v>1734</v>
      </c>
      <c r="B1737" s="34" t="s">
        <v>2123</v>
      </c>
      <c r="C1737" s="33" t="s">
        <v>346</v>
      </c>
      <c r="D1737" s="33" t="s">
        <v>70</v>
      </c>
      <c r="E1737" s="33" t="s">
        <v>2091</v>
      </c>
      <c r="F1737" s="35">
        <v>0.1</v>
      </c>
      <c r="G1737" s="40">
        <v>0</v>
      </c>
      <c r="H1737" s="40">
        <v>0</v>
      </c>
      <c r="I1737" s="40">
        <v>0</v>
      </c>
      <c r="J1737" s="40">
        <v>0</v>
      </c>
      <c r="K1737" s="40">
        <v>0</v>
      </c>
      <c r="L1737" s="40">
        <v>0</v>
      </c>
      <c r="M1737" s="40">
        <f t="shared" si="55"/>
        <v>0</v>
      </c>
      <c r="N1737" s="40">
        <f t="shared" si="56"/>
        <v>0</v>
      </c>
    </row>
    <row r="1738" spans="1:14" x14ac:dyDescent="0.35">
      <c r="A1738" s="33">
        <v>1735</v>
      </c>
      <c r="B1738" s="34" t="s">
        <v>2124</v>
      </c>
      <c r="C1738" s="33" t="s">
        <v>346</v>
      </c>
      <c r="D1738" s="33" t="s">
        <v>70</v>
      </c>
      <c r="E1738" s="33" t="s">
        <v>2091</v>
      </c>
      <c r="F1738" s="35">
        <v>0.2</v>
      </c>
      <c r="G1738" s="40">
        <v>0</v>
      </c>
      <c r="H1738" s="40">
        <v>0</v>
      </c>
      <c r="I1738" s="40">
        <v>0</v>
      </c>
      <c r="J1738" s="40">
        <v>0</v>
      </c>
      <c r="K1738" s="40">
        <v>0</v>
      </c>
      <c r="L1738" s="40">
        <v>0</v>
      </c>
      <c r="M1738" s="40">
        <f t="shared" si="55"/>
        <v>0</v>
      </c>
      <c r="N1738" s="40">
        <f t="shared" si="56"/>
        <v>0</v>
      </c>
    </row>
    <row r="1739" spans="1:14" x14ac:dyDescent="0.35">
      <c r="A1739" s="33">
        <v>1736</v>
      </c>
      <c r="B1739" s="34" t="s">
        <v>2125</v>
      </c>
      <c r="C1739" s="33" t="s">
        <v>346</v>
      </c>
      <c r="D1739" s="33" t="s">
        <v>70</v>
      </c>
      <c r="E1739" s="33" t="s">
        <v>2091</v>
      </c>
      <c r="F1739" s="35">
        <v>0.25</v>
      </c>
      <c r="G1739" s="40">
        <v>0</v>
      </c>
      <c r="H1739" s="40">
        <v>0</v>
      </c>
      <c r="I1739" s="40">
        <v>0</v>
      </c>
      <c r="J1739" s="40">
        <v>0</v>
      </c>
      <c r="K1739" s="40">
        <v>0</v>
      </c>
      <c r="L1739" s="40">
        <v>0</v>
      </c>
      <c r="M1739" s="40">
        <f t="shared" si="55"/>
        <v>0</v>
      </c>
      <c r="N1739" s="40">
        <f t="shared" si="56"/>
        <v>0</v>
      </c>
    </row>
    <row r="1740" spans="1:14" x14ac:dyDescent="0.35">
      <c r="A1740" s="33">
        <v>1737</v>
      </c>
      <c r="B1740" s="34" t="s">
        <v>2126</v>
      </c>
      <c r="C1740" s="33" t="s">
        <v>346</v>
      </c>
      <c r="D1740" s="33" t="s">
        <v>70</v>
      </c>
      <c r="E1740" s="33" t="s">
        <v>2091</v>
      </c>
      <c r="F1740" s="35">
        <v>0.1</v>
      </c>
      <c r="G1740" s="40">
        <v>0</v>
      </c>
      <c r="H1740" s="40">
        <v>0</v>
      </c>
      <c r="I1740" s="40">
        <v>0</v>
      </c>
      <c r="J1740" s="40">
        <v>0</v>
      </c>
      <c r="K1740" s="40">
        <v>0</v>
      </c>
      <c r="L1740" s="40">
        <v>0</v>
      </c>
      <c r="M1740" s="40">
        <f t="shared" si="55"/>
        <v>0</v>
      </c>
      <c r="N1740" s="40">
        <f t="shared" si="56"/>
        <v>0</v>
      </c>
    </row>
    <row r="1741" spans="1:14" x14ac:dyDescent="0.35">
      <c r="A1741" s="33">
        <v>1738</v>
      </c>
      <c r="B1741" s="34" t="s">
        <v>2127</v>
      </c>
      <c r="C1741" s="33" t="s">
        <v>346</v>
      </c>
      <c r="D1741" s="33" t="s">
        <v>70</v>
      </c>
      <c r="E1741" s="33" t="s">
        <v>2091</v>
      </c>
      <c r="F1741" s="35">
        <v>0.1</v>
      </c>
      <c r="G1741" s="40">
        <v>0</v>
      </c>
      <c r="H1741" s="40">
        <v>0</v>
      </c>
      <c r="I1741" s="40">
        <v>0</v>
      </c>
      <c r="J1741" s="40">
        <v>0</v>
      </c>
      <c r="K1741" s="40">
        <v>0</v>
      </c>
      <c r="L1741" s="40">
        <v>0</v>
      </c>
      <c r="M1741" s="40">
        <f t="shared" si="55"/>
        <v>0</v>
      </c>
      <c r="N1741" s="40">
        <f t="shared" si="56"/>
        <v>0</v>
      </c>
    </row>
    <row r="1742" spans="1:14" x14ac:dyDescent="0.35">
      <c r="A1742" s="33">
        <v>1739</v>
      </c>
      <c r="B1742" s="34" t="s">
        <v>2128</v>
      </c>
      <c r="C1742" s="33" t="s">
        <v>346</v>
      </c>
      <c r="D1742" s="33" t="s">
        <v>70</v>
      </c>
      <c r="E1742" s="33" t="s">
        <v>2091</v>
      </c>
      <c r="F1742" s="35">
        <v>0.25</v>
      </c>
      <c r="G1742" s="40">
        <v>0</v>
      </c>
      <c r="H1742" s="40">
        <v>0</v>
      </c>
      <c r="I1742" s="40">
        <v>0</v>
      </c>
      <c r="J1742" s="40">
        <v>0</v>
      </c>
      <c r="K1742" s="40">
        <v>0</v>
      </c>
      <c r="L1742" s="40">
        <v>0</v>
      </c>
      <c r="M1742" s="40">
        <f t="shared" si="55"/>
        <v>0</v>
      </c>
      <c r="N1742" s="40">
        <f t="shared" si="56"/>
        <v>0</v>
      </c>
    </row>
    <row r="1743" spans="1:14" x14ac:dyDescent="0.35">
      <c r="A1743" s="33">
        <v>1740</v>
      </c>
      <c r="B1743" s="34" t="s">
        <v>2129</v>
      </c>
      <c r="C1743" s="33" t="s">
        <v>346</v>
      </c>
      <c r="D1743" s="33" t="s">
        <v>70</v>
      </c>
      <c r="E1743" s="33" t="s">
        <v>2091</v>
      </c>
      <c r="F1743" s="35">
        <v>0.1</v>
      </c>
      <c r="G1743" s="40">
        <v>0</v>
      </c>
      <c r="H1743" s="40">
        <v>0</v>
      </c>
      <c r="I1743" s="40">
        <v>0</v>
      </c>
      <c r="J1743" s="40">
        <v>0</v>
      </c>
      <c r="K1743" s="40">
        <v>0</v>
      </c>
      <c r="L1743" s="40">
        <v>0</v>
      </c>
      <c r="M1743" s="40">
        <f t="shared" si="55"/>
        <v>0</v>
      </c>
      <c r="N1743" s="40">
        <f t="shared" si="56"/>
        <v>0</v>
      </c>
    </row>
    <row r="1744" spans="1:14" x14ac:dyDescent="0.35">
      <c r="A1744" s="33">
        <v>1741</v>
      </c>
      <c r="B1744" s="34" t="s">
        <v>2130</v>
      </c>
      <c r="C1744" s="33" t="s">
        <v>346</v>
      </c>
      <c r="D1744" s="33" t="s">
        <v>70</v>
      </c>
      <c r="E1744" s="33" t="s">
        <v>2091</v>
      </c>
      <c r="F1744" s="35">
        <v>0.2</v>
      </c>
      <c r="G1744" s="40">
        <v>0</v>
      </c>
      <c r="H1744" s="40">
        <v>0</v>
      </c>
      <c r="I1744" s="40">
        <v>0</v>
      </c>
      <c r="J1744" s="40">
        <v>0</v>
      </c>
      <c r="K1744" s="40">
        <v>0</v>
      </c>
      <c r="L1744" s="40">
        <v>0</v>
      </c>
      <c r="M1744" s="40">
        <f t="shared" si="55"/>
        <v>0</v>
      </c>
      <c r="N1744" s="40">
        <f t="shared" si="56"/>
        <v>0</v>
      </c>
    </row>
    <row r="1745" spans="1:14" x14ac:dyDescent="0.35">
      <c r="A1745" s="33">
        <v>1742</v>
      </c>
      <c r="B1745" s="34" t="s">
        <v>268</v>
      </c>
      <c r="C1745" s="33" t="s">
        <v>346</v>
      </c>
      <c r="D1745" s="33" t="s">
        <v>70</v>
      </c>
      <c r="E1745" s="33" t="s">
        <v>2091</v>
      </c>
      <c r="F1745" s="35">
        <v>1</v>
      </c>
      <c r="G1745" s="40">
        <v>0</v>
      </c>
      <c r="H1745" s="40">
        <v>0</v>
      </c>
      <c r="I1745" s="40">
        <v>0</v>
      </c>
      <c r="J1745" s="40">
        <v>0</v>
      </c>
      <c r="K1745" s="40">
        <v>0</v>
      </c>
      <c r="L1745" s="40">
        <v>1.4</v>
      </c>
      <c r="M1745" s="40">
        <f t="shared" si="55"/>
        <v>0</v>
      </c>
      <c r="N1745" s="40">
        <f t="shared" si="56"/>
        <v>1.4</v>
      </c>
    </row>
    <row r="1746" spans="1:14" x14ac:dyDescent="0.35">
      <c r="A1746" s="33">
        <v>1743</v>
      </c>
      <c r="B1746" s="34" t="s">
        <v>2131</v>
      </c>
      <c r="C1746" s="33" t="s">
        <v>346</v>
      </c>
      <c r="D1746" s="33" t="s">
        <v>70</v>
      </c>
      <c r="E1746" s="33" t="s">
        <v>2091</v>
      </c>
      <c r="F1746" s="35">
        <v>0.25</v>
      </c>
      <c r="G1746" s="40">
        <v>0</v>
      </c>
      <c r="H1746" s="40">
        <v>0</v>
      </c>
      <c r="I1746" s="40">
        <v>0</v>
      </c>
      <c r="J1746" s="40">
        <v>0</v>
      </c>
      <c r="K1746" s="40">
        <v>0</v>
      </c>
      <c r="L1746" s="40">
        <v>0</v>
      </c>
      <c r="M1746" s="40">
        <f t="shared" si="55"/>
        <v>0</v>
      </c>
      <c r="N1746" s="40">
        <f t="shared" si="56"/>
        <v>0</v>
      </c>
    </row>
    <row r="1747" spans="1:14" x14ac:dyDescent="0.35">
      <c r="A1747" s="33">
        <v>1744</v>
      </c>
      <c r="B1747" s="34" t="s">
        <v>2132</v>
      </c>
      <c r="C1747" s="33" t="s">
        <v>346</v>
      </c>
      <c r="D1747" s="33" t="s">
        <v>70</v>
      </c>
      <c r="E1747" s="33" t="s">
        <v>2091</v>
      </c>
      <c r="F1747" s="35">
        <v>0.05</v>
      </c>
      <c r="G1747" s="40">
        <v>0</v>
      </c>
      <c r="H1747" s="40">
        <v>0</v>
      </c>
      <c r="I1747" s="40">
        <v>0</v>
      </c>
      <c r="J1747" s="40">
        <v>0</v>
      </c>
      <c r="K1747" s="40">
        <v>0</v>
      </c>
      <c r="L1747" s="40">
        <v>0</v>
      </c>
      <c r="M1747" s="40">
        <f t="shared" si="55"/>
        <v>0</v>
      </c>
      <c r="N1747" s="40">
        <f t="shared" si="56"/>
        <v>0</v>
      </c>
    </row>
    <row r="1748" spans="1:14" x14ac:dyDescent="0.35">
      <c r="A1748" s="33">
        <v>1745</v>
      </c>
      <c r="B1748" s="34" t="s">
        <v>2133</v>
      </c>
      <c r="C1748" s="33" t="s">
        <v>346</v>
      </c>
      <c r="D1748" s="33" t="s">
        <v>70</v>
      </c>
      <c r="E1748" s="33" t="s">
        <v>2091</v>
      </c>
      <c r="F1748" s="35">
        <v>0.05</v>
      </c>
      <c r="G1748" s="40">
        <v>0</v>
      </c>
      <c r="H1748" s="40">
        <v>0</v>
      </c>
      <c r="I1748" s="40">
        <v>0</v>
      </c>
      <c r="J1748" s="40">
        <v>0</v>
      </c>
      <c r="K1748" s="40">
        <v>0</v>
      </c>
      <c r="L1748" s="40">
        <v>0</v>
      </c>
      <c r="M1748" s="40">
        <f t="shared" si="55"/>
        <v>0</v>
      </c>
      <c r="N1748" s="40">
        <f t="shared" si="56"/>
        <v>0</v>
      </c>
    </row>
    <row r="1749" spans="1:14" x14ac:dyDescent="0.35">
      <c r="A1749" s="33">
        <v>1746</v>
      </c>
      <c r="B1749" s="34" t="s">
        <v>2134</v>
      </c>
      <c r="C1749" s="33" t="s">
        <v>346</v>
      </c>
      <c r="D1749" s="33" t="s">
        <v>70</v>
      </c>
      <c r="E1749" s="33" t="s">
        <v>2091</v>
      </c>
      <c r="F1749" s="35">
        <v>0.11</v>
      </c>
      <c r="G1749" s="40">
        <v>0</v>
      </c>
      <c r="H1749" s="40">
        <v>0</v>
      </c>
      <c r="I1749" s="40">
        <v>0</v>
      </c>
      <c r="J1749" s="40">
        <v>0</v>
      </c>
      <c r="K1749" s="40">
        <v>0</v>
      </c>
      <c r="L1749" s="40">
        <v>0</v>
      </c>
      <c r="M1749" s="40">
        <f t="shared" si="55"/>
        <v>0</v>
      </c>
      <c r="N1749" s="40">
        <f t="shared" si="56"/>
        <v>0</v>
      </c>
    </row>
    <row r="1750" spans="1:14" x14ac:dyDescent="0.35">
      <c r="A1750" s="33">
        <v>1747</v>
      </c>
      <c r="B1750" s="34" t="s">
        <v>277</v>
      </c>
      <c r="C1750" s="33" t="s">
        <v>346</v>
      </c>
      <c r="D1750" s="33" t="s">
        <v>70</v>
      </c>
      <c r="E1750" s="33" t="s">
        <v>2091</v>
      </c>
      <c r="F1750" s="35">
        <v>1</v>
      </c>
      <c r="G1750" s="40">
        <v>0</v>
      </c>
      <c r="H1750" s="40">
        <v>5.18</v>
      </c>
      <c r="I1750" s="40">
        <v>0</v>
      </c>
      <c r="J1750" s="40">
        <v>170</v>
      </c>
      <c r="K1750" s="40">
        <v>0</v>
      </c>
      <c r="L1750" s="40">
        <v>0</v>
      </c>
      <c r="M1750" s="40">
        <f t="shared" si="55"/>
        <v>0</v>
      </c>
      <c r="N1750" s="40">
        <f t="shared" si="56"/>
        <v>175.18</v>
      </c>
    </row>
    <row r="1751" spans="1:14" x14ac:dyDescent="0.35">
      <c r="A1751" s="33">
        <v>1748</v>
      </c>
      <c r="B1751" s="34" t="s">
        <v>2135</v>
      </c>
      <c r="C1751" s="33" t="s">
        <v>346</v>
      </c>
      <c r="D1751" s="33" t="s">
        <v>70</v>
      </c>
      <c r="E1751" s="33" t="s">
        <v>2091</v>
      </c>
      <c r="F1751" s="35">
        <v>0.23</v>
      </c>
      <c r="G1751" s="40">
        <v>0</v>
      </c>
      <c r="H1751" s="40">
        <v>0</v>
      </c>
      <c r="I1751" s="40">
        <v>0</v>
      </c>
      <c r="J1751" s="40">
        <v>0</v>
      </c>
      <c r="K1751" s="40">
        <v>0</v>
      </c>
      <c r="L1751" s="40">
        <v>0</v>
      </c>
      <c r="M1751" s="40">
        <f t="shared" si="55"/>
        <v>0</v>
      </c>
      <c r="N1751" s="40">
        <f t="shared" si="56"/>
        <v>0</v>
      </c>
    </row>
    <row r="1752" spans="1:14" x14ac:dyDescent="0.35">
      <c r="A1752" s="33">
        <v>1749</v>
      </c>
      <c r="B1752" s="34" t="s">
        <v>2136</v>
      </c>
      <c r="C1752" s="33" t="s">
        <v>346</v>
      </c>
      <c r="D1752" s="33" t="s">
        <v>70</v>
      </c>
      <c r="E1752" s="33" t="s">
        <v>2091</v>
      </c>
      <c r="F1752" s="35">
        <v>4.8000000000000001E-2</v>
      </c>
      <c r="G1752" s="40">
        <v>0</v>
      </c>
      <c r="H1752" s="40">
        <v>0</v>
      </c>
      <c r="I1752" s="40">
        <v>0</v>
      </c>
      <c r="J1752" s="40">
        <v>0</v>
      </c>
      <c r="K1752" s="40">
        <v>0</v>
      </c>
      <c r="L1752" s="40">
        <v>0</v>
      </c>
      <c r="M1752" s="40">
        <f t="shared" si="55"/>
        <v>0</v>
      </c>
      <c r="N1752" s="40">
        <f t="shared" si="56"/>
        <v>0</v>
      </c>
    </row>
    <row r="1753" spans="1:14" x14ac:dyDescent="0.35">
      <c r="A1753" s="33">
        <v>1750</v>
      </c>
      <c r="B1753" s="34" t="s">
        <v>2137</v>
      </c>
      <c r="C1753" s="33" t="s">
        <v>346</v>
      </c>
      <c r="D1753" s="33" t="s">
        <v>70</v>
      </c>
      <c r="E1753" s="33" t="s">
        <v>2091</v>
      </c>
      <c r="F1753" s="35">
        <v>0.06</v>
      </c>
      <c r="G1753" s="40">
        <v>0</v>
      </c>
      <c r="H1753" s="40">
        <v>0</v>
      </c>
      <c r="I1753" s="40">
        <v>0</v>
      </c>
      <c r="J1753" s="40">
        <v>0</v>
      </c>
      <c r="K1753" s="40">
        <v>0</v>
      </c>
      <c r="L1753" s="40">
        <v>0</v>
      </c>
      <c r="M1753" s="40">
        <f t="shared" si="55"/>
        <v>0</v>
      </c>
      <c r="N1753" s="40">
        <f t="shared" si="56"/>
        <v>0</v>
      </c>
    </row>
    <row r="1754" spans="1:14" x14ac:dyDescent="0.35">
      <c r="A1754" s="33">
        <v>1751</v>
      </c>
      <c r="B1754" s="34" t="s">
        <v>2138</v>
      </c>
      <c r="C1754" s="33" t="s">
        <v>346</v>
      </c>
      <c r="D1754" s="33" t="s">
        <v>70</v>
      </c>
      <c r="E1754" s="33" t="s">
        <v>2091</v>
      </c>
      <c r="F1754" s="35">
        <v>0.06</v>
      </c>
      <c r="G1754" s="40">
        <v>0</v>
      </c>
      <c r="H1754" s="40">
        <v>0</v>
      </c>
      <c r="I1754" s="40">
        <v>0</v>
      </c>
      <c r="J1754" s="40">
        <v>0</v>
      </c>
      <c r="K1754" s="40">
        <v>0</v>
      </c>
      <c r="L1754" s="40">
        <v>0</v>
      </c>
      <c r="M1754" s="40">
        <f t="shared" si="55"/>
        <v>0</v>
      </c>
      <c r="N1754" s="40">
        <f t="shared" si="56"/>
        <v>0</v>
      </c>
    </row>
    <row r="1755" spans="1:14" x14ac:dyDescent="0.35">
      <c r="A1755" s="33">
        <v>1752</v>
      </c>
      <c r="B1755" s="34" t="s">
        <v>2139</v>
      </c>
      <c r="C1755" s="33" t="s">
        <v>346</v>
      </c>
      <c r="D1755" s="33" t="s">
        <v>70</v>
      </c>
      <c r="E1755" s="33" t="s">
        <v>2091</v>
      </c>
      <c r="F1755" s="35">
        <v>7.4999999999999997E-2</v>
      </c>
      <c r="G1755" s="40">
        <v>0</v>
      </c>
      <c r="H1755" s="40">
        <v>0</v>
      </c>
      <c r="I1755" s="40">
        <v>0</v>
      </c>
      <c r="J1755" s="40">
        <v>0</v>
      </c>
      <c r="K1755" s="40">
        <v>0</v>
      </c>
      <c r="L1755" s="40">
        <v>0</v>
      </c>
      <c r="M1755" s="40">
        <f t="shared" si="55"/>
        <v>0</v>
      </c>
      <c r="N1755" s="40">
        <f t="shared" si="56"/>
        <v>0</v>
      </c>
    </row>
    <row r="1756" spans="1:14" x14ac:dyDescent="0.35">
      <c r="A1756" s="33">
        <v>1753</v>
      </c>
      <c r="B1756" s="34" t="s">
        <v>2140</v>
      </c>
      <c r="C1756" s="33" t="s">
        <v>346</v>
      </c>
      <c r="D1756" s="33" t="s">
        <v>70</v>
      </c>
      <c r="E1756" s="33" t="s">
        <v>2091</v>
      </c>
      <c r="F1756" s="35">
        <v>0.06</v>
      </c>
      <c r="G1756" s="40">
        <v>0</v>
      </c>
      <c r="H1756" s="40">
        <v>0</v>
      </c>
      <c r="I1756" s="40">
        <v>0</v>
      </c>
      <c r="J1756" s="40">
        <v>0</v>
      </c>
      <c r="K1756" s="40">
        <v>0</v>
      </c>
      <c r="L1756" s="40">
        <v>0</v>
      </c>
      <c r="M1756" s="40">
        <f t="shared" si="55"/>
        <v>0</v>
      </c>
      <c r="N1756" s="40">
        <f t="shared" si="56"/>
        <v>0</v>
      </c>
    </row>
    <row r="1757" spans="1:14" x14ac:dyDescent="0.35">
      <c r="A1757" s="33">
        <v>1754</v>
      </c>
      <c r="B1757" s="34" t="s">
        <v>2141</v>
      </c>
      <c r="C1757" s="33" t="s">
        <v>346</v>
      </c>
      <c r="D1757" s="33" t="s">
        <v>70</v>
      </c>
      <c r="E1757" s="33" t="s">
        <v>2091</v>
      </c>
      <c r="F1757" s="35">
        <v>4.8000000000000001E-2</v>
      </c>
      <c r="G1757" s="40">
        <v>0</v>
      </c>
      <c r="H1757" s="40">
        <v>0</v>
      </c>
      <c r="I1757" s="40">
        <v>0</v>
      </c>
      <c r="J1757" s="40">
        <v>0</v>
      </c>
      <c r="K1757" s="40">
        <v>0</v>
      </c>
      <c r="L1757" s="40">
        <v>0</v>
      </c>
      <c r="M1757" s="40">
        <f t="shared" si="55"/>
        <v>0</v>
      </c>
      <c r="N1757" s="40">
        <f t="shared" si="56"/>
        <v>0</v>
      </c>
    </row>
    <row r="1758" spans="1:14" x14ac:dyDescent="0.35">
      <c r="A1758" s="33">
        <v>1755</v>
      </c>
      <c r="B1758" s="34" t="s">
        <v>2142</v>
      </c>
      <c r="C1758" s="33" t="s">
        <v>346</v>
      </c>
      <c r="D1758" s="33" t="s">
        <v>70</v>
      </c>
      <c r="E1758" s="33" t="s">
        <v>2091</v>
      </c>
      <c r="F1758" s="35">
        <v>1</v>
      </c>
      <c r="G1758" s="40">
        <v>0</v>
      </c>
      <c r="H1758" s="40">
        <v>0</v>
      </c>
      <c r="I1758" s="40">
        <v>0</v>
      </c>
      <c r="J1758" s="40">
        <v>0</v>
      </c>
      <c r="K1758" s="40">
        <v>0</v>
      </c>
      <c r="L1758" s="40">
        <v>0</v>
      </c>
      <c r="M1758" s="40">
        <f t="shared" si="55"/>
        <v>0</v>
      </c>
      <c r="N1758" s="40">
        <f t="shared" si="56"/>
        <v>0</v>
      </c>
    </row>
    <row r="1759" spans="1:14" x14ac:dyDescent="0.35">
      <c r="A1759" s="33">
        <v>1756</v>
      </c>
      <c r="B1759" s="34" t="s">
        <v>2143</v>
      </c>
      <c r="C1759" s="33" t="s">
        <v>346</v>
      </c>
      <c r="D1759" s="33" t="s">
        <v>70</v>
      </c>
      <c r="E1759" s="33" t="s">
        <v>2091</v>
      </c>
      <c r="F1759" s="35">
        <v>0.23</v>
      </c>
      <c r="G1759" s="40">
        <v>0</v>
      </c>
      <c r="H1759" s="40">
        <v>0</v>
      </c>
      <c r="I1759" s="40">
        <v>0</v>
      </c>
      <c r="J1759" s="40">
        <v>0</v>
      </c>
      <c r="K1759" s="40">
        <v>0</v>
      </c>
      <c r="L1759" s="40">
        <v>0</v>
      </c>
      <c r="M1759" s="40">
        <f t="shared" si="55"/>
        <v>0</v>
      </c>
      <c r="N1759" s="40">
        <f t="shared" si="56"/>
        <v>0</v>
      </c>
    </row>
    <row r="1760" spans="1:14" x14ac:dyDescent="0.35">
      <c r="A1760" s="33">
        <v>1757</v>
      </c>
      <c r="B1760" s="34" t="s">
        <v>2144</v>
      </c>
      <c r="C1760" s="33" t="s">
        <v>346</v>
      </c>
      <c r="D1760" s="33" t="s">
        <v>70</v>
      </c>
      <c r="E1760" s="33" t="s">
        <v>2091</v>
      </c>
      <c r="F1760" s="35">
        <v>1</v>
      </c>
      <c r="G1760" s="40">
        <v>0</v>
      </c>
      <c r="H1760" s="40">
        <v>0</v>
      </c>
      <c r="I1760" s="40">
        <v>0</v>
      </c>
      <c r="J1760" s="40">
        <v>0</v>
      </c>
      <c r="K1760" s="40">
        <v>0</v>
      </c>
      <c r="L1760" s="40">
        <v>0</v>
      </c>
      <c r="M1760" s="40">
        <f t="shared" si="55"/>
        <v>0</v>
      </c>
      <c r="N1760" s="40">
        <f t="shared" si="56"/>
        <v>0</v>
      </c>
    </row>
    <row r="1761" spans="1:14" x14ac:dyDescent="0.35">
      <c r="A1761" s="33">
        <v>1758</v>
      </c>
      <c r="B1761" s="34" t="s">
        <v>2145</v>
      </c>
      <c r="C1761" s="33" t="s">
        <v>346</v>
      </c>
      <c r="D1761" s="33" t="s">
        <v>70</v>
      </c>
      <c r="E1761" s="33" t="s">
        <v>2091</v>
      </c>
      <c r="F1761" s="35">
        <v>1.15E-2</v>
      </c>
      <c r="G1761" s="40">
        <v>0</v>
      </c>
      <c r="H1761" s="40">
        <v>0</v>
      </c>
      <c r="I1761" s="40">
        <v>0</v>
      </c>
      <c r="J1761" s="40">
        <v>0</v>
      </c>
      <c r="K1761" s="40">
        <v>0</v>
      </c>
      <c r="L1761" s="40">
        <v>0</v>
      </c>
      <c r="M1761" s="40">
        <f t="shared" si="55"/>
        <v>0</v>
      </c>
      <c r="N1761" s="40">
        <f t="shared" si="56"/>
        <v>0</v>
      </c>
    </row>
    <row r="1762" spans="1:14" x14ac:dyDescent="0.35">
      <c r="A1762" s="33">
        <v>1759</v>
      </c>
      <c r="B1762" s="34" t="s">
        <v>2146</v>
      </c>
      <c r="C1762" s="33" t="s">
        <v>346</v>
      </c>
      <c r="D1762" s="33" t="s">
        <v>70</v>
      </c>
      <c r="E1762" s="33" t="s">
        <v>2091</v>
      </c>
      <c r="F1762" s="35">
        <v>1.15E-2</v>
      </c>
      <c r="G1762" s="40">
        <v>0</v>
      </c>
      <c r="H1762" s="40">
        <v>0</v>
      </c>
      <c r="I1762" s="40">
        <v>0</v>
      </c>
      <c r="J1762" s="40">
        <v>0</v>
      </c>
      <c r="K1762" s="40">
        <v>0</v>
      </c>
      <c r="L1762" s="40">
        <v>0</v>
      </c>
      <c r="M1762" s="40">
        <f t="shared" si="55"/>
        <v>0</v>
      </c>
      <c r="N1762" s="40">
        <f t="shared" si="56"/>
        <v>0</v>
      </c>
    </row>
    <row r="1763" spans="1:14" x14ac:dyDescent="0.35">
      <c r="A1763" s="33">
        <v>1760</v>
      </c>
      <c r="B1763" s="34" t="s">
        <v>2147</v>
      </c>
      <c r="C1763" s="33" t="s">
        <v>346</v>
      </c>
      <c r="D1763" s="33" t="s">
        <v>70</v>
      </c>
      <c r="E1763" s="33" t="s">
        <v>2091</v>
      </c>
      <c r="F1763" s="35">
        <v>1.4500000000000001E-2</v>
      </c>
      <c r="G1763" s="40">
        <v>0</v>
      </c>
      <c r="H1763" s="40">
        <v>0</v>
      </c>
      <c r="I1763" s="40">
        <v>0</v>
      </c>
      <c r="J1763" s="40">
        <v>0</v>
      </c>
      <c r="K1763" s="40">
        <v>0</v>
      </c>
      <c r="L1763" s="40">
        <v>0</v>
      </c>
      <c r="M1763" s="40">
        <f t="shared" si="55"/>
        <v>0</v>
      </c>
      <c r="N1763" s="40">
        <f t="shared" si="56"/>
        <v>0</v>
      </c>
    </row>
    <row r="1764" spans="1:14" x14ac:dyDescent="0.35">
      <c r="A1764" s="33">
        <v>1761</v>
      </c>
      <c r="B1764" s="34" t="s">
        <v>2148</v>
      </c>
      <c r="C1764" s="33" t="s">
        <v>346</v>
      </c>
      <c r="D1764" s="33" t="s">
        <v>70</v>
      </c>
      <c r="E1764" s="33" t="s">
        <v>2091</v>
      </c>
      <c r="F1764" s="35">
        <v>1.35E-2</v>
      </c>
      <c r="G1764" s="40">
        <v>0</v>
      </c>
      <c r="H1764" s="40">
        <v>0</v>
      </c>
      <c r="I1764" s="40">
        <v>0</v>
      </c>
      <c r="J1764" s="40">
        <v>0</v>
      </c>
      <c r="K1764" s="40">
        <v>0</v>
      </c>
      <c r="L1764" s="40">
        <v>0</v>
      </c>
      <c r="M1764" s="40">
        <f t="shared" si="55"/>
        <v>0</v>
      </c>
      <c r="N1764" s="40">
        <f t="shared" si="56"/>
        <v>0</v>
      </c>
    </row>
    <row r="1765" spans="1:14" x14ac:dyDescent="0.35">
      <c r="A1765" s="33">
        <v>1762</v>
      </c>
      <c r="B1765" s="34" t="s">
        <v>2149</v>
      </c>
      <c r="C1765" s="33" t="s">
        <v>346</v>
      </c>
      <c r="D1765" s="33" t="s">
        <v>70</v>
      </c>
      <c r="E1765" s="33" t="s">
        <v>2091</v>
      </c>
      <c r="F1765" s="35">
        <v>0.01</v>
      </c>
      <c r="G1765" s="40">
        <v>0</v>
      </c>
      <c r="H1765" s="40">
        <v>0</v>
      </c>
      <c r="I1765" s="40">
        <v>0</v>
      </c>
      <c r="J1765" s="40">
        <v>0</v>
      </c>
      <c r="K1765" s="40">
        <v>0</v>
      </c>
      <c r="L1765" s="40">
        <v>0</v>
      </c>
      <c r="M1765" s="40">
        <f t="shared" si="55"/>
        <v>0</v>
      </c>
      <c r="N1765" s="40">
        <f t="shared" si="56"/>
        <v>0</v>
      </c>
    </row>
    <row r="1766" spans="1:14" x14ac:dyDescent="0.35">
      <c r="A1766" s="33">
        <v>1763</v>
      </c>
      <c r="B1766" s="34" t="s">
        <v>2150</v>
      </c>
      <c r="C1766" s="33" t="s">
        <v>346</v>
      </c>
      <c r="D1766" s="33" t="s">
        <v>70</v>
      </c>
      <c r="E1766" s="33" t="s">
        <v>2091</v>
      </c>
      <c r="F1766" s="35">
        <v>5.3999999999999999E-2</v>
      </c>
      <c r="G1766" s="40">
        <v>0</v>
      </c>
      <c r="H1766" s="40">
        <v>0</v>
      </c>
      <c r="I1766" s="40">
        <v>0</v>
      </c>
      <c r="J1766" s="40">
        <v>0</v>
      </c>
      <c r="K1766" s="40">
        <v>0</v>
      </c>
      <c r="L1766" s="40">
        <v>0</v>
      </c>
      <c r="M1766" s="40">
        <f t="shared" si="55"/>
        <v>0</v>
      </c>
      <c r="N1766" s="40">
        <f t="shared" si="56"/>
        <v>0</v>
      </c>
    </row>
    <row r="1767" spans="1:14" x14ac:dyDescent="0.35">
      <c r="A1767" s="33">
        <v>1764</v>
      </c>
      <c r="B1767" s="34" t="s">
        <v>2151</v>
      </c>
      <c r="C1767" s="33" t="s">
        <v>346</v>
      </c>
      <c r="D1767" s="33" t="s">
        <v>70</v>
      </c>
      <c r="E1767" s="33" t="s">
        <v>2091</v>
      </c>
      <c r="F1767" s="35">
        <v>1.7999999999999999E-2</v>
      </c>
      <c r="G1767" s="40">
        <v>0</v>
      </c>
      <c r="H1767" s="40">
        <v>0</v>
      </c>
      <c r="I1767" s="40">
        <v>0</v>
      </c>
      <c r="J1767" s="40">
        <v>0</v>
      </c>
      <c r="K1767" s="40">
        <v>0</v>
      </c>
      <c r="L1767" s="40">
        <v>0</v>
      </c>
      <c r="M1767" s="40">
        <f t="shared" si="55"/>
        <v>0</v>
      </c>
      <c r="N1767" s="40">
        <f t="shared" si="56"/>
        <v>0</v>
      </c>
    </row>
    <row r="1768" spans="1:14" x14ac:dyDescent="0.35">
      <c r="A1768" s="33">
        <v>1765</v>
      </c>
      <c r="B1768" s="34" t="s">
        <v>2152</v>
      </c>
      <c r="C1768" s="33" t="s">
        <v>346</v>
      </c>
      <c r="D1768" s="33" t="s">
        <v>70</v>
      </c>
      <c r="E1768" s="33" t="s">
        <v>2091</v>
      </c>
      <c r="F1768" s="35">
        <v>0.375</v>
      </c>
      <c r="G1768" s="40">
        <v>0</v>
      </c>
      <c r="H1768" s="40">
        <v>0</v>
      </c>
      <c r="I1768" s="40">
        <v>0</v>
      </c>
      <c r="J1768" s="40">
        <v>0</v>
      </c>
      <c r="K1768" s="40">
        <v>0</v>
      </c>
      <c r="L1768" s="40">
        <v>0</v>
      </c>
      <c r="M1768" s="40">
        <f t="shared" si="55"/>
        <v>0</v>
      </c>
      <c r="N1768" s="40">
        <f t="shared" si="56"/>
        <v>0</v>
      </c>
    </row>
    <row r="1769" spans="1:14" x14ac:dyDescent="0.35">
      <c r="A1769" s="33">
        <v>1766</v>
      </c>
      <c r="B1769" s="34" t="s">
        <v>2153</v>
      </c>
      <c r="C1769" s="33" t="s">
        <v>346</v>
      </c>
      <c r="D1769" s="33" t="s">
        <v>70</v>
      </c>
      <c r="E1769" s="33" t="s">
        <v>2091</v>
      </c>
      <c r="F1769" s="35">
        <v>0.21</v>
      </c>
      <c r="G1769" s="40">
        <v>0</v>
      </c>
      <c r="H1769" s="40">
        <v>0</v>
      </c>
      <c r="I1769" s="40">
        <v>0</v>
      </c>
      <c r="J1769" s="40">
        <v>0</v>
      </c>
      <c r="K1769" s="40">
        <v>0</v>
      </c>
      <c r="L1769" s="40">
        <v>0</v>
      </c>
      <c r="M1769" s="40">
        <f t="shared" si="55"/>
        <v>0</v>
      </c>
      <c r="N1769" s="40">
        <f t="shared" si="56"/>
        <v>0</v>
      </c>
    </row>
    <row r="1770" spans="1:14" x14ac:dyDescent="0.35">
      <c r="A1770" s="33">
        <v>1767</v>
      </c>
      <c r="B1770" s="34" t="s">
        <v>2154</v>
      </c>
      <c r="C1770" s="33" t="s">
        <v>346</v>
      </c>
      <c r="D1770" s="33" t="s">
        <v>70</v>
      </c>
      <c r="E1770" s="33" t="s">
        <v>2091</v>
      </c>
      <c r="F1770" s="35">
        <v>0.21</v>
      </c>
      <c r="G1770" s="40">
        <v>0</v>
      </c>
      <c r="H1770" s="40">
        <v>0</v>
      </c>
      <c r="I1770" s="40">
        <v>0</v>
      </c>
      <c r="J1770" s="40">
        <v>0</v>
      </c>
      <c r="K1770" s="40">
        <v>0</v>
      </c>
      <c r="L1770" s="40">
        <v>0</v>
      </c>
      <c r="M1770" s="40">
        <f t="shared" si="55"/>
        <v>0</v>
      </c>
      <c r="N1770" s="40">
        <f t="shared" si="56"/>
        <v>0</v>
      </c>
    </row>
    <row r="1771" spans="1:14" x14ac:dyDescent="0.35">
      <c r="A1771" s="33">
        <v>1768</v>
      </c>
      <c r="B1771" s="34" t="s">
        <v>2155</v>
      </c>
      <c r="C1771" s="33" t="s">
        <v>346</v>
      </c>
      <c r="D1771" s="33" t="s">
        <v>70</v>
      </c>
      <c r="E1771" s="33" t="s">
        <v>2091</v>
      </c>
      <c r="F1771" s="35">
        <v>1</v>
      </c>
      <c r="G1771" s="40">
        <v>0</v>
      </c>
      <c r="H1771" s="40">
        <v>0</v>
      </c>
      <c r="I1771" s="40">
        <v>0</v>
      </c>
      <c r="J1771" s="40">
        <v>0</v>
      </c>
      <c r="K1771" s="40">
        <v>0</v>
      </c>
      <c r="L1771" s="40">
        <v>0</v>
      </c>
      <c r="M1771" s="40">
        <f t="shared" si="55"/>
        <v>0</v>
      </c>
      <c r="N1771" s="40">
        <f t="shared" si="56"/>
        <v>0</v>
      </c>
    </row>
    <row r="1772" spans="1:14" x14ac:dyDescent="0.35">
      <c r="A1772" s="33">
        <v>1769</v>
      </c>
      <c r="B1772" s="34" t="s">
        <v>2156</v>
      </c>
      <c r="C1772" s="33" t="s">
        <v>346</v>
      </c>
      <c r="D1772" s="33" t="s">
        <v>70</v>
      </c>
      <c r="E1772" s="33" t="s">
        <v>2091</v>
      </c>
      <c r="F1772" s="35">
        <v>1</v>
      </c>
      <c r="G1772" s="40">
        <v>0</v>
      </c>
      <c r="H1772" s="40">
        <v>0</v>
      </c>
      <c r="I1772" s="40">
        <v>0</v>
      </c>
      <c r="J1772" s="40">
        <v>0</v>
      </c>
      <c r="K1772" s="40">
        <v>0</v>
      </c>
      <c r="L1772" s="40">
        <v>0</v>
      </c>
      <c r="M1772" s="40">
        <f t="shared" si="55"/>
        <v>0</v>
      </c>
      <c r="N1772" s="40">
        <f t="shared" si="56"/>
        <v>0</v>
      </c>
    </row>
    <row r="1773" spans="1:14" x14ac:dyDescent="0.35">
      <c r="A1773" s="33">
        <v>1770</v>
      </c>
      <c r="B1773" s="34" t="s">
        <v>2157</v>
      </c>
      <c r="C1773" s="33" t="s">
        <v>346</v>
      </c>
      <c r="D1773" s="33" t="s">
        <v>70</v>
      </c>
      <c r="E1773" s="33" t="s">
        <v>2091</v>
      </c>
      <c r="F1773" s="35">
        <v>1</v>
      </c>
      <c r="G1773" s="40">
        <v>0</v>
      </c>
      <c r="H1773" s="40">
        <v>0</v>
      </c>
      <c r="I1773" s="40">
        <v>0</v>
      </c>
      <c r="J1773" s="40">
        <v>0</v>
      </c>
      <c r="K1773" s="40">
        <v>0</v>
      </c>
      <c r="L1773" s="40">
        <v>0</v>
      </c>
      <c r="M1773" s="40">
        <f t="shared" si="55"/>
        <v>0</v>
      </c>
      <c r="N1773" s="40">
        <f t="shared" si="56"/>
        <v>0</v>
      </c>
    </row>
    <row r="1774" spans="1:14" x14ac:dyDescent="0.35">
      <c r="A1774" s="33">
        <v>1771</v>
      </c>
      <c r="B1774" s="34" t="s">
        <v>2158</v>
      </c>
      <c r="C1774" s="33" t="s">
        <v>346</v>
      </c>
      <c r="D1774" s="33" t="s">
        <v>70</v>
      </c>
      <c r="E1774" s="33" t="s">
        <v>2091</v>
      </c>
      <c r="F1774" s="35">
        <v>1</v>
      </c>
      <c r="G1774" s="40">
        <v>0</v>
      </c>
      <c r="H1774" s="40">
        <v>0</v>
      </c>
      <c r="I1774" s="40">
        <v>0</v>
      </c>
      <c r="J1774" s="40">
        <v>0</v>
      </c>
      <c r="K1774" s="40">
        <v>0</v>
      </c>
      <c r="L1774" s="40">
        <v>0</v>
      </c>
      <c r="M1774" s="40">
        <f t="shared" si="55"/>
        <v>0</v>
      </c>
      <c r="N1774" s="40">
        <f t="shared" si="56"/>
        <v>0</v>
      </c>
    </row>
    <row r="1775" spans="1:14" x14ac:dyDescent="0.35">
      <c r="A1775" s="33">
        <v>1772</v>
      </c>
      <c r="B1775" s="34" t="s">
        <v>2159</v>
      </c>
      <c r="C1775" s="33" t="s">
        <v>346</v>
      </c>
      <c r="D1775" s="33" t="s">
        <v>70</v>
      </c>
      <c r="E1775" s="33" t="s">
        <v>2091</v>
      </c>
      <c r="F1775" s="35">
        <v>1</v>
      </c>
      <c r="G1775" s="40">
        <v>0</v>
      </c>
      <c r="H1775" s="40">
        <v>0</v>
      </c>
      <c r="I1775" s="40">
        <v>0</v>
      </c>
      <c r="J1775" s="40">
        <v>0</v>
      </c>
      <c r="K1775" s="40">
        <v>0</v>
      </c>
      <c r="L1775" s="40">
        <v>0</v>
      </c>
      <c r="M1775" s="40">
        <f t="shared" si="55"/>
        <v>0</v>
      </c>
      <c r="N1775" s="40">
        <f t="shared" si="56"/>
        <v>0</v>
      </c>
    </row>
    <row r="1776" spans="1:14" x14ac:dyDescent="0.35">
      <c r="A1776" s="33">
        <v>1773</v>
      </c>
      <c r="B1776" s="34" t="s">
        <v>2160</v>
      </c>
      <c r="C1776" s="33" t="s">
        <v>346</v>
      </c>
      <c r="D1776" s="33" t="s">
        <v>70</v>
      </c>
      <c r="E1776" s="33" t="s">
        <v>2091</v>
      </c>
      <c r="F1776" s="35">
        <v>1</v>
      </c>
      <c r="G1776" s="40">
        <v>0</v>
      </c>
      <c r="H1776" s="40">
        <v>0</v>
      </c>
      <c r="I1776" s="40">
        <v>0</v>
      </c>
      <c r="J1776" s="40">
        <v>0</v>
      </c>
      <c r="K1776" s="40">
        <v>0</v>
      </c>
      <c r="L1776" s="40">
        <v>0</v>
      </c>
      <c r="M1776" s="40">
        <f t="shared" si="55"/>
        <v>0</v>
      </c>
      <c r="N1776" s="40">
        <f t="shared" si="56"/>
        <v>0</v>
      </c>
    </row>
    <row r="1777" spans="1:14" x14ac:dyDescent="0.35">
      <c r="A1777" s="33">
        <v>1774</v>
      </c>
      <c r="B1777" s="34" t="s">
        <v>2161</v>
      </c>
      <c r="C1777" s="33" t="s">
        <v>346</v>
      </c>
      <c r="D1777" s="33" t="s">
        <v>70</v>
      </c>
      <c r="E1777" s="33" t="s">
        <v>2091</v>
      </c>
      <c r="F1777" s="35">
        <v>0.2</v>
      </c>
      <c r="G1777" s="40">
        <v>0</v>
      </c>
      <c r="H1777" s="40">
        <v>0</v>
      </c>
      <c r="I1777" s="40">
        <v>0</v>
      </c>
      <c r="J1777" s="40">
        <v>0</v>
      </c>
      <c r="K1777" s="40">
        <v>0</v>
      </c>
      <c r="L1777" s="40">
        <v>0</v>
      </c>
      <c r="M1777" s="40">
        <f t="shared" si="55"/>
        <v>0</v>
      </c>
      <c r="N1777" s="40">
        <f t="shared" si="56"/>
        <v>0</v>
      </c>
    </row>
    <row r="1778" spans="1:14" x14ac:dyDescent="0.35">
      <c r="A1778" s="33">
        <v>1775</v>
      </c>
      <c r="B1778" s="34" t="s">
        <v>2162</v>
      </c>
      <c r="C1778" s="33" t="s">
        <v>346</v>
      </c>
      <c r="D1778" s="33" t="s">
        <v>70</v>
      </c>
      <c r="E1778" s="33" t="s">
        <v>2091</v>
      </c>
      <c r="F1778" s="35">
        <v>1</v>
      </c>
      <c r="G1778" s="40">
        <v>0</v>
      </c>
      <c r="H1778" s="40">
        <v>0</v>
      </c>
      <c r="I1778" s="40">
        <v>0</v>
      </c>
      <c r="J1778" s="40">
        <v>0</v>
      </c>
      <c r="K1778" s="40">
        <v>0</v>
      </c>
      <c r="L1778" s="40">
        <v>0</v>
      </c>
      <c r="M1778" s="40">
        <f t="shared" si="55"/>
        <v>0</v>
      </c>
      <c r="N1778" s="40">
        <f t="shared" si="56"/>
        <v>0</v>
      </c>
    </row>
    <row r="1779" spans="1:14" x14ac:dyDescent="0.35">
      <c r="A1779" s="33">
        <v>1776</v>
      </c>
      <c r="B1779" s="34" t="s">
        <v>2163</v>
      </c>
      <c r="C1779" s="33" t="s">
        <v>346</v>
      </c>
      <c r="D1779" s="33" t="s">
        <v>70</v>
      </c>
      <c r="E1779" s="33" t="s">
        <v>2091</v>
      </c>
      <c r="F1779" s="35">
        <v>1</v>
      </c>
      <c r="G1779" s="40">
        <v>0</v>
      </c>
      <c r="H1779" s="40">
        <v>0</v>
      </c>
      <c r="I1779" s="40">
        <v>0</v>
      </c>
      <c r="J1779" s="40">
        <v>0</v>
      </c>
      <c r="K1779" s="40">
        <v>0</v>
      </c>
      <c r="L1779" s="40">
        <v>0</v>
      </c>
      <c r="M1779" s="40">
        <f t="shared" si="55"/>
        <v>0</v>
      </c>
      <c r="N1779" s="40">
        <f t="shared" si="56"/>
        <v>0</v>
      </c>
    </row>
    <row r="1780" spans="1:14" x14ac:dyDescent="0.35">
      <c r="A1780" s="33">
        <v>1777</v>
      </c>
      <c r="B1780" s="34" t="s">
        <v>2164</v>
      </c>
      <c r="C1780" s="33" t="s">
        <v>346</v>
      </c>
      <c r="D1780" s="33" t="s">
        <v>70</v>
      </c>
      <c r="E1780" s="33" t="s">
        <v>2091</v>
      </c>
      <c r="F1780" s="35">
        <v>0.2</v>
      </c>
      <c r="G1780" s="40">
        <v>0</v>
      </c>
      <c r="H1780" s="40">
        <v>0</v>
      </c>
      <c r="I1780" s="40">
        <v>0</v>
      </c>
      <c r="J1780" s="40">
        <v>0</v>
      </c>
      <c r="K1780" s="40">
        <v>0</v>
      </c>
      <c r="L1780" s="40">
        <v>0</v>
      </c>
      <c r="M1780" s="40">
        <f t="shared" si="55"/>
        <v>0</v>
      </c>
      <c r="N1780" s="40">
        <f t="shared" si="56"/>
        <v>0</v>
      </c>
    </row>
    <row r="1781" spans="1:14" x14ac:dyDescent="0.35">
      <c r="A1781" s="33">
        <v>1778</v>
      </c>
      <c r="B1781" s="34" t="s">
        <v>2165</v>
      </c>
      <c r="C1781" s="33" t="s">
        <v>346</v>
      </c>
      <c r="D1781" s="33" t="s">
        <v>70</v>
      </c>
      <c r="E1781" s="33" t="s">
        <v>2091</v>
      </c>
      <c r="F1781" s="35">
        <v>0.2</v>
      </c>
      <c r="G1781" s="40">
        <v>0</v>
      </c>
      <c r="H1781" s="40">
        <v>0</v>
      </c>
      <c r="I1781" s="40">
        <v>0</v>
      </c>
      <c r="J1781" s="40">
        <v>0</v>
      </c>
      <c r="K1781" s="40">
        <v>0</v>
      </c>
      <c r="L1781" s="40">
        <v>0</v>
      </c>
      <c r="M1781" s="40">
        <f t="shared" si="55"/>
        <v>0</v>
      </c>
      <c r="N1781" s="40">
        <f t="shared" si="56"/>
        <v>0</v>
      </c>
    </row>
    <row r="1782" spans="1:14" x14ac:dyDescent="0.35">
      <c r="A1782" s="33">
        <v>1779</v>
      </c>
      <c r="B1782" s="34" t="s">
        <v>2166</v>
      </c>
      <c r="C1782" s="33" t="s">
        <v>346</v>
      </c>
      <c r="D1782" s="33" t="s">
        <v>70</v>
      </c>
      <c r="E1782" s="33" t="s">
        <v>2091</v>
      </c>
      <c r="F1782" s="35">
        <v>0.2</v>
      </c>
      <c r="G1782" s="40">
        <v>0</v>
      </c>
      <c r="H1782" s="40">
        <v>0</v>
      </c>
      <c r="I1782" s="40">
        <v>0</v>
      </c>
      <c r="J1782" s="40">
        <v>0</v>
      </c>
      <c r="K1782" s="40">
        <v>0</v>
      </c>
      <c r="L1782" s="40">
        <v>0</v>
      </c>
      <c r="M1782" s="40">
        <f t="shared" si="55"/>
        <v>0</v>
      </c>
      <c r="N1782" s="40">
        <f t="shared" si="56"/>
        <v>0</v>
      </c>
    </row>
    <row r="1783" spans="1:14" x14ac:dyDescent="0.35">
      <c r="A1783" s="33">
        <v>1780</v>
      </c>
      <c r="B1783" s="34" t="s">
        <v>2167</v>
      </c>
      <c r="C1783" s="33" t="s">
        <v>346</v>
      </c>
      <c r="D1783" s="33" t="s">
        <v>70</v>
      </c>
      <c r="E1783" s="33" t="s">
        <v>2091</v>
      </c>
      <c r="F1783" s="35">
        <v>0.2</v>
      </c>
      <c r="G1783" s="40">
        <v>0</v>
      </c>
      <c r="H1783" s="40">
        <v>0</v>
      </c>
      <c r="I1783" s="40">
        <v>0</v>
      </c>
      <c r="J1783" s="40">
        <v>0</v>
      </c>
      <c r="K1783" s="40">
        <v>0</v>
      </c>
      <c r="L1783" s="40">
        <v>0</v>
      </c>
      <c r="M1783" s="40">
        <f t="shared" si="55"/>
        <v>0</v>
      </c>
      <c r="N1783" s="40">
        <f t="shared" si="56"/>
        <v>0</v>
      </c>
    </row>
    <row r="1784" spans="1:14" x14ac:dyDescent="0.35">
      <c r="A1784" s="33">
        <v>1781</v>
      </c>
      <c r="B1784" s="34" t="s">
        <v>2168</v>
      </c>
      <c r="C1784" s="33" t="s">
        <v>346</v>
      </c>
      <c r="D1784" s="33" t="s">
        <v>70</v>
      </c>
      <c r="E1784" s="33" t="s">
        <v>2091</v>
      </c>
      <c r="F1784" s="35">
        <v>0.2</v>
      </c>
      <c r="G1784" s="40">
        <v>0</v>
      </c>
      <c r="H1784" s="40">
        <v>0</v>
      </c>
      <c r="I1784" s="40">
        <v>0</v>
      </c>
      <c r="J1784" s="40">
        <v>0</v>
      </c>
      <c r="K1784" s="40">
        <v>0</v>
      </c>
      <c r="L1784" s="40">
        <v>0</v>
      </c>
      <c r="M1784" s="40">
        <f t="shared" si="55"/>
        <v>0</v>
      </c>
      <c r="N1784" s="40">
        <f t="shared" si="56"/>
        <v>0</v>
      </c>
    </row>
    <row r="1785" spans="1:14" x14ac:dyDescent="0.35">
      <c r="A1785" s="33">
        <v>1782</v>
      </c>
      <c r="B1785" s="34" t="s">
        <v>2169</v>
      </c>
      <c r="C1785" s="33" t="s">
        <v>346</v>
      </c>
      <c r="D1785" s="33" t="s">
        <v>70</v>
      </c>
      <c r="E1785" s="33" t="s">
        <v>2091</v>
      </c>
      <c r="F1785" s="35">
        <v>0.2</v>
      </c>
      <c r="G1785" s="40">
        <v>0</v>
      </c>
      <c r="H1785" s="40">
        <v>0</v>
      </c>
      <c r="I1785" s="40">
        <v>0</v>
      </c>
      <c r="J1785" s="40">
        <v>0</v>
      </c>
      <c r="K1785" s="40">
        <v>0</v>
      </c>
      <c r="L1785" s="40">
        <v>0</v>
      </c>
      <c r="M1785" s="40">
        <f t="shared" si="55"/>
        <v>0</v>
      </c>
      <c r="N1785" s="40">
        <f t="shared" si="56"/>
        <v>0</v>
      </c>
    </row>
    <row r="1786" spans="1:14" x14ac:dyDescent="0.35">
      <c r="A1786" s="33">
        <v>1783</v>
      </c>
      <c r="B1786" s="34" t="s">
        <v>2170</v>
      </c>
      <c r="C1786" s="33" t="s">
        <v>346</v>
      </c>
      <c r="D1786" s="33" t="s">
        <v>70</v>
      </c>
      <c r="E1786" s="33" t="s">
        <v>2091</v>
      </c>
      <c r="F1786" s="35">
        <v>0.2</v>
      </c>
      <c r="G1786" s="40">
        <v>0</v>
      </c>
      <c r="H1786" s="40">
        <v>0</v>
      </c>
      <c r="I1786" s="40">
        <v>0</v>
      </c>
      <c r="J1786" s="40">
        <v>0</v>
      </c>
      <c r="K1786" s="40">
        <v>3066</v>
      </c>
      <c r="L1786" s="40">
        <v>613.20000000000005</v>
      </c>
      <c r="M1786" s="40">
        <f t="shared" si="55"/>
        <v>3066</v>
      </c>
      <c r="N1786" s="40">
        <f t="shared" si="56"/>
        <v>613.20000000000005</v>
      </c>
    </row>
    <row r="1787" spans="1:14" x14ac:dyDescent="0.35">
      <c r="A1787" s="33">
        <v>1784</v>
      </c>
      <c r="B1787" s="34" t="s">
        <v>2326</v>
      </c>
      <c r="C1787" s="33" t="s">
        <v>346</v>
      </c>
      <c r="D1787" s="33" t="s">
        <v>70</v>
      </c>
      <c r="E1787" s="33" t="s">
        <v>2091</v>
      </c>
      <c r="F1787" s="35">
        <v>1</v>
      </c>
      <c r="G1787" s="40">
        <v>0</v>
      </c>
      <c r="H1787" s="40">
        <v>0</v>
      </c>
      <c r="I1787" s="40">
        <v>0</v>
      </c>
      <c r="J1787" s="40">
        <v>0</v>
      </c>
      <c r="K1787" s="40">
        <v>0</v>
      </c>
      <c r="L1787" s="40">
        <v>634.87</v>
      </c>
      <c r="M1787" s="40">
        <f t="shared" si="55"/>
        <v>0</v>
      </c>
      <c r="N1787" s="40">
        <f t="shared" si="56"/>
        <v>634.87</v>
      </c>
    </row>
    <row r="1788" spans="1:14" x14ac:dyDescent="0.35">
      <c r="A1788" s="33">
        <v>1785</v>
      </c>
      <c r="B1788" s="34" t="s">
        <v>2171</v>
      </c>
      <c r="C1788" s="33" t="s">
        <v>346</v>
      </c>
      <c r="D1788" s="33" t="s">
        <v>70</v>
      </c>
      <c r="E1788" s="33" t="s">
        <v>2091</v>
      </c>
      <c r="F1788" s="35">
        <v>0.15</v>
      </c>
      <c r="G1788" s="40">
        <v>0</v>
      </c>
      <c r="H1788" s="40">
        <v>0</v>
      </c>
      <c r="I1788" s="40">
        <v>0</v>
      </c>
      <c r="J1788" s="40">
        <v>0</v>
      </c>
      <c r="K1788" s="40">
        <v>0</v>
      </c>
      <c r="L1788" s="40">
        <v>0</v>
      </c>
      <c r="M1788" s="40">
        <f t="shared" si="55"/>
        <v>0</v>
      </c>
      <c r="N1788" s="40">
        <f t="shared" si="56"/>
        <v>0</v>
      </c>
    </row>
    <row r="1789" spans="1:14" x14ac:dyDescent="0.35">
      <c r="A1789" s="33">
        <v>1786</v>
      </c>
      <c r="B1789" s="34" t="s">
        <v>2172</v>
      </c>
      <c r="C1789" s="33" t="s">
        <v>346</v>
      </c>
      <c r="D1789" s="33" t="s">
        <v>70</v>
      </c>
      <c r="E1789" s="33" t="s">
        <v>2091</v>
      </c>
      <c r="F1789" s="35">
        <v>1</v>
      </c>
      <c r="G1789" s="40">
        <v>0</v>
      </c>
      <c r="H1789" s="40">
        <v>0</v>
      </c>
      <c r="I1789" s="40">
        <v>0</v>
      </c>
      <c r="J1789" s="40">
        <v>0</v>
      </c>
      <c r="K1789" s="40">
        <v>0</v>
      </c>
      <c r="L1789" s="40">
        <v>0</v>
      </c>
      <c r="M1789" s="40">
        <f t="shared" si="55"/>
        <v>0</v>
      </c>
      <c r="N1789" s="40">
        <f t="shared" si="56"/>
        <v>0</v>
      </c>
    </row>
    <row r="1790" spans="1:14" x14ac:dyDescent="0.35">
      <c r="A1790" s="33">
        <v>1787</v>
      </c>
      <c r="B1790" s="34" t="s">
        <v>2173</v>
      </c>
      <c r="C1790" s="33" t="s">
        <v>346</v>
      </c>
      <c r="D1790" s="33" t="s">
        <v>70</v>
      </c>
      <c r="E1790" s="33" t="s">
        <v>2091</v>
      </c>
      <c r="F1790" s="35">
        <v>0.15</v>
      </c>
      <c r="G1790" s="40">
        <v>0</v>
      </c>
      <c r="H1790" s="40">
        <v>0</v>
      </c>
      <c r="I1790" s="40">
        <v>0</v>
      </c>
      <c r="J1790" s="40">
        <v>0</v>
      </c>
      <c r="K1790" s="40">
        <v>0</v>
      </c>
      <c r="L1790" s="40">
        <v>0</v>
      </c>
      <c r="M1790" s="40">
        <f t="shared" si="55"/>
        <v>0</v>
      </c>
      <c r="N1790" s="40">
        <f t="shared" si="56"/>
        <v>0</v>
      </c>
    </row>
    <row r="1791" spans="1:14" x14ac:dyDescent="0.35">
      <c r="A1791" s="33">
        <v>1788</v>
      </c>
      <c r="B1791" s="34" t="s">
        <v>2174</v>
      </c>
      <c r="C1791" s="33" t="s">
        <v>346</v>
      </c>
      <c r="D1791" s="33" t="s">
        <v>70</v>
      </c>
      <c r="E1791" s="33" t="s">
        <v>2091</v>
      </c>
      <c r="F1791" s="35">
        <v>0.15</v>
      </c>
      <c r="G1791" s="40">
        <v>0</v>
      </c>
      <c r="H1791" s="40">
        <v>0</v>
      </c>
      <c r="I1791" s="40">
        <v>0</v>
      </c>
      <c r="J1791" s="40">
        <v>0</v>
      </c>
      <c r="K1791" s="40">
        <v>0</v>
      </c>
      <c r="L1791" s="40">
        <v>0</v>
      </c>
      <c r="M1791" s="40">
        <f t="shared" si="55"/>
        <v>0</v>
      </c>
      <c r="N1791" s="40">
        <f t="shared" si="56"/>
        <v>0</v>
      </c>
    </row>
    <row r="1792" spans="1:14" x14ac:dyDescent="0.35">
      <c r="A1792" s="33">
        <v>1789</v>
      </c>
      <c r="B1792" s="34" t="s">
        <v>2175</v>
      </c>
      <c r="C1792" s="33" t="s">
        <v>346</v>
      </c>
      <c r="D1792" s="33" t="s">
        <v>70</v>
      </c>
      <c r="E1792" s="33" t="s">
        <v>2091</v>
      </c>
      <c r="F1792" s="35">
        <v>1</v>
      </c>
      <c r="G1792" s="40">
        <v>0</v>
      </c>
      <c r="H1792" s="40">
        <v>0</v>
      </c>
      <c r="I1792" s="40">
        <v>0</v>
      </c>
      <c r="J1792" s="40">
        <v>0</v>
      </c>
      <c r="K1792" s="40">
        <v>0</v>
      </c>
      <c r="L1792" s="40">
        <v>0</v>
      </c>
      <c r="M1792" s="40">
        <f t="shared" si="55"/>
        <v>0</v>
      </c>
      <c r="N1792" s="40">
        <f t="shared" si="56"/>
        <v>0</v>
      </c>
    </row>
    <row r="1793" spans="1:14" x14ac:dyDescent="0.35">
      <c r="A1793" s="33">
        <v>1790</v>
      </c>
      <c r="B1793" s="34" t="s">
        <v>2176</v>
      </c>
      <c r="C1793" s="33" t="s">
        <v>346</v>
      </c>
      <c r="D1793" s="33" t="s">
        <v>70</v>
      </c>
      <c r="E1793" s="33" t="s">
        <v>2091</v>
      </c>
      <c r="F1793" s="35">
        <v>1.15E-2</v>
      </c>
      <c r="G1793" s="40">
        <v>0</v>
      </c>
      <c r="H1793" s="40">
        <v>0</v>
      </c>
      <c r="I1793" s="40">
        <v>0</v>
      </c>
      <c r="J1793" s="40">
        <v>0</v>
      </c>
      <c r="K1793" s="40">
        <v>0</v>
      </c>
      <c r="L1793" s="40">
        <v>0</v>
      </c>
      <c r="M1793" s="40">
        <f t="shared" si="55"/>
        <v>0</v>
      </c>
      <c r="N1793" s="40">
        <f t="shared" si="56"/>
        <v>0</v>
      </c>
    </row>
    <row r="1794" spans="1:14" x14ac:dyDescent="0.35">
      <c r="A1794" s="33">
        <v>1791</v>
      </c>
      <c r="B1794" s="34" t="s">
        <v>2177</v>
      </c>
      <c r="C1794" s="33" t="s">
        <v>346</v>
      </c>
      <c r="D1794" s="33" t="s">
        <v>70</v>
      </c>
      <c r="E1794" s="33" t="s">
        <v>2091</v>
      </c>
      <c r="F1794" s="35">
        <v>1</v>
      </c>
      <c r="G1794" s="40">
        <v>0</v>
      </c>
      <c r="H1794" s="40">
        <v>0</v>
      </c>
      <c r="I1794" s="40">
        <v>0</v>
      </c>
      <c r="J1794" s="40">
        <v>0</v>
      </c>
      <c r="K1794" s="40">
        <v>0</v>
      </c>
      <c r="L1794" s="40">
        <v>0</v>
      </c>
      <c r="M1794" s="40">
        <f t="shared" si="55"/>
        <v>0</v>
      </c>
      <c r="N1794" s="40">
        <f t="shared" si="56"/>
        <v>0</v>
      </c>
    </row>
    <row r="1795" spans="1:14" x14ac:dyDescent="0.35">
      <c r="A1795" s="33">
        <v>1792</v>
      </c>
      <c r="B1795" s="34" t="s">
        <v>2178</v>
      </c>
      <c r="C1795" s="33" t="s">
        <v>346</v>
      </c>
      <c r="D1795" s="33" t="s">
        <v>70</v>
      </c>
      <c r="E1795" s="33" t="s">
        <v>2091</v>
      </c>
      <c r="F1795" s="35">
        <v>1</v>
      </c>
      <c r="G1795" s="40">
        <v>0</v>
      </c>
      <c r="H1795" s="40">
        <v>0</v>
      </c>
      <c r="I1795" s="40">
        <v>0</v>
      </c>
      <c r="J1795" s="40">
        <v>0</v>
      </c>
      <c r="K1795" s="40">
        <v>0</v>
      </c>
      <c r="L1795" s="40">
        <v>0</v>
      </c>
      <c r="M1795" s="40">
        <f t="shared" si="55"/>
        <v>0</v>
      </c>
      <c r="N1795" s="40">
        <f t="shared" si="56"/>
        <v>0</v>
      </c>
    </row>
    <row r="1796" spans="1:14" x14ac:dyDescent="0.35">
      <c r="A1796" s="33">
        <v>1793</v>
      </c>
      <c r="B1796" s="34" t="s">
        <v>2179</v>
      </c>
      <c r="C1796" s="33" t="s">
        <v>346</v>
      </c>
      <c r="D1796" s="33" t="s">
        <v>70</v>
      </c>
      <c r="E1796" s="33" t="s">
        <v>2091</v>
      </c>
      <c r="F1796" s="35">
        <v>0.12</v>
      </c>
      <c r="G1796" s="40">
        <v>0</v>
      </c>
      <c r="H1796" s="40">
        <v>0</v>
      </c>
      <c r="I1796" s="40">
        <v>0</v>
      </c>
      <c r="J1796" s="40">
        <v>0</v>
      </c>
      <c r="K1796" s="40">
        <v>0</v>
      </c>
      <c r="L1796" s="40">
        <v>0</v>
      </c>
      <c r="M1796" s="40">
        <f t="shared" si="55"/>
        <v>0</v>
      </c>
      <c r="N1796" s="40">
        <f t="shared" si="56"/>
        <v>0</v>
      </c>
    </row>
    <row r="1797" spans="1:14" x14ac:dyDescent="0.35">
      <c r="A1797" s="33">
        <v>1794</v>
      </c>
      <c r="B1797" s="34" t="s">
        <v>2180</v>
      </c>
      <c r="C1797" s="33" t="s">
        <v>346</v>
      </c>
      <c r="D1797" s="33" t="s">
        <v>70</v>
      </c>
      <c r="E1797" s="33" t="s">
        <v>2091</v>
      </c>
      <c r="F1797" s="35">
        <v>0.12</v>
      </c>
      <c r="G1797" s="40">
        <v>0</v>
      </c>
      <c r="H1797" s="40">
        <v>0</v>
      </c>
      <c r="I1797" s="40">
        <v>0</v>
      </c>
      <c r="J1797" s="40">
        <v>0</v>
      </c>
      <c r="K1797" s="40">
        <v>0</v>
      </c>
      <c r="L1797" s="40">
        <v>0</v>
      </c>
      <c r="M1797" s="40">
        <f t="shared" ref="M1797:M1860" si="57">G1797+I1797+K1797</f>
        <v>0</v>
      </c>
      <c r="N1797" s="40">
        <f t="shared" ref="N1797:N1860" si="58">H1797+J1797+L1797</f>
        <v>0</v>
      </c>
    </row>
    <row r="1798" spans="1:14" x14ac:dyDescent="0.35">
      <c r="A1798" s="33">
        <v>1795</v>
      </c>
      <c r="B1798" s="34" t="s">
        <v>2181</v>
      </c>
      <c r="C1798" s="33" t="s">
        <v>346</v>
      </c>
      <c r="D1798" s="33" t="s">
        <v>70</v>
      </c>
      <c r="E1798" s="33" t="s">
        <v>2091</v>
      </c>
      <c r="F1798" s="35">
        <v>0.12</v>
      </c>
      <c r="G1798" s="40">
        <v>0</v>
      </c>
      <c r="H1798" s="40">
        <v>0</v>
      </c>
      <c r="I1798" s="40">
        <v>0</v>
      </c>
      <c r="J1798" s="40">
        <v>0</v>
      </c>
      <c r="K1798" s="40">
        <v>0</v>
      </c>
      <c r="L1798" s="40">
        <v>0</v>
      </c>
      <c r="M1798" s="40">
        <f t="shared" si="57"/>
        <v>0</v>
      </c>
      <c r="N1798" s="40">
        <f t="shared" si="58"/>
        <v>0</v>
      </c>
    </row>
    <row r="1799" spans="1:14" x14ac:dyDescent="0.35">
      <c r="A1799" s="33">
        <v>1796</v>
      </c>
      <c r="B1799" s="34" t="s">
        <v>2182</v>
      </c>
      <c r="C1799" s="33" t="s">
        <v>346</v>
      </c>
      <c r="D1799" s="33" t="s">
        <v>70</v>
      </c>
      <c r="E1799" s="33" t="s">
        <v>2091</v>
      </c>
      <c r="F1799" s="35">
        <v>0.25</v>
      </c>
      <c r="G1799" s="40">
        <v>0</v>
      </c>
      <c r="H1799" s="40">
        <v>0</v>
      </c>
      <c r="I1799" s="40">
        <v>0</v>
      </c>
      <c r="J1799" s="40">
        <v>0</v>
      </c>
      <c r="K1799" s="40">
        <v>0</v>
      </c>
      <c r="L1799" s="40">
        <v>0</v>
      </c>
      <c r="M1799" s="40">
        <f t="shared" si="57"/>
        <v>0</v>
      </c>
      <c r="N1799" s="40">
        <f t="shared" si="58"/>
        <v>0</v>
      </c>
    </row>
    <row r="1800" spans="1:14" x14ac:dyDescent="0.35">
      <c r="A1800" s="33">
        <v>1797</v>
      </c>
      <c r="B1800" s="34" t="s">
        <v>2183</v>
      </c>
      <c r="C1800" s="33" t="s">
        <v>346</v>
      </c>
      <c r="D1800" s="33" t="s">
        <v>70</v>
      </c>
      <c r="E1800" s="33" t="s">
        <v>2091</v>
      </c>
      <c r="F1800" s="35">
        <v>1</v>
      </c>
      <c r="G1800" s="40">
        <v>0</v>
      </c>
      <c r="H1800" s="40">
        <v>0</v>
      </c>
      <c r="I1800" s="40">
        <v>0</v>
      </c>
      <c r="J1800" s="40">
        <v>0</v>
      </c>
      <c r="K1800" s="40">
        <v>0</v>
      </c>
      <c r="L1800" s="40">
        <v>0</v>
      </c>
      <c r="M1800" s="40">
        <f t="shared" si="57"/>
        <v>0</v>
      </c>
      <c r="N1800" s="40">
        <f t="shared" si="58"/>
        <v>0</v>
      </c>
    </row>
    <row r="1801" spans="1:14" x14ac:dyDescent="0.35">
      <c r="A1801" s="33">
        <v>1798</v>
      </c>
      <c r="B1801" s="34" t="s">
        <v>2184</v>
      </c>
      <c r="C1801" s="33" t="s">
        <v>346</v>
      </c>
      <c r="D1801" s="33" t="s">
        <v>70</v>
      </c>
      <c r="E1801" s="33" t="s">
        <v>2091</v>
      </c>
      <c r="F1801" s="35">
        <v>1</v>
      </c>
      <c r="G1801" s="40">
        <v>0</v>
      </c>
      <c r="H1801" s="40">
        <v>0</v>
      </c>
      <c r="I1801" s="40">
        <v>0</v>
      </c>
      <c r="J1801" s="40">
        <v>0</v>
      </c>
      <c r="K1801" s="40">
        <v>0</v>
      </c>
      <c r="L1801" s="40">
        <v>0</v>
      </c>
      <c r="M1801" s="40">
        <f t="shared" si="57"/>
        <v>0</v>
      </c>
      <c r="N1801" s="40">
        <f t="shared" si="58"/>
        <v>0</v>
      </c>
    </row>
    <row r="1802" spans="1:14" x14ac:dyDescent="0.35">
      <c r="A1802" s="33">
        <v>1799</v>
      </c>
      <c r="B1802" s="34" t="s">
        <v>2185</v>
      </c>
      <c r="C1802" s="33" t="s">
        <v>346</v>
      </c>
      <c r="D1802" s="33" t="s">
        <v>70</v>
      </c>
      <c r="E1802" s="33" t="s">
        <v>2091</v>
      </c>
      <c r="F1802" s="35">
        <v>1</v>
      </c>
      <c r="G1802" s="40">
        <v>0</v>
      </c>
      <c r="H1802" s="40">
        <v>0</v>
      </c>
      <c r="I1802" s="40">
        <v>0</v>
      </c>
      <c r="J1802" s="40">
        <v>0</v>
      </c>
      <c r="K1802" s="40">
        <v>0</v>
      </c>
      <c r="L1802" s="40">
        <v>0</v>
      </c>
      <c r="M1802" s="40">
        <f t="shared" si="57"/>
        <v>0</v>
      </c>
      <c r="N1802" s="40">
        <f t="shared" si="58"/>
        <v>0</v>
      </c>
    </row>
    <row r="1803" spans="1:14" x14ac:dyDescent="0.35">
      <c r="A1803" s="33">
        <v>1800</v>
      </c>
      <c r="B1803" s="34" t="s">
        <v>2186</v>
      </c>
      <c r="C1803" s="33" t="s">
        <v>346</v>
      </c>
      <c r="D1803" s="33" t="s">
        <v>70</v>
      </c>
      <c r="E1803" s="33" t="s">
        <v>2091</v>
      </c>
      <c r="F1803" s="35">
        <v>1</v>
      </c>
      <c r="G1803" s="40">
        <v>0</v>
      </c>
      <c r="H1803" s="40">
        <v>0</v>
      </c>
      <c r="I1803" s="40">
        <v>0</v>
      </c>
      <c r="J1803" s="40">
        <v>0</v>
      </c>
      <c r="K1803" s="40">
        <v>0</v>
      </c>
      <c r="L1803" s="40">
        <v>0</v>
      </c>
      <c r="M1803" s="40">
        <f t="shared" si="57"/>
        <v>0</v>
      </c>
      <c r="N1803" s="40">
        <f t="shared" si="58"/>
        <v>0</v>
      </c>
    </row>
    <row r="1804" spans="1:14" x14ac:dyDescent="0.35">
      <c r="A1804" s="33">
        <v>1801</v>
      </c>
      <c r="B1804" s="34" t="s">
        <v>2187</v>
      </c>
      <c r="C1804" s="33" t="s">
        <v>346</v>
      </c>
      <c r="D1804" s="33" t="s">
        <v>70</v>
      </c>
      <c r="E1804" s="33" t="s">
        <v>2091</v>
      </c>
      <c r="F1804" s="35">
        <v>1</v>
      </c>
      <c r="G1804" s="40">
        <v>0</v>
      </c>
      <c r="H1804" s="40">
        <v>0</v>
      </c>
      <c r="I1804" s="40">
        <v>0</v>
      </c>
      <c r="J1804" s="40">
        <v>0</v>
      </c>
      <c r="K1804" s="40">
        <v>0</v>
      </c>
      <c r="L1804" s="40">
        <v>0</v>
      </c>
      <c r="M1804" s="40">
        <f t="shared" si="57"/>
        <v>0</v>
      </c>
      <c r="N1804" s="40">
        <f t="shared" si="58"/>
        <v>0</v>
      </c>
    </row>
    <row r="1805" spans="1:14" x14ac:dyDescent="0.35">
      <c r="A1805" s="33">
        <v>1802</v>
      </c>
      <c r="B1805" s="34" t="s">
        <v>2327</v>
      </c>
      <c r="C1805" s="33" t="s">
        <v>346</v>
      </c>
      <c r="D1805" s="33" t="s">
        <v>70</v>
      </c>
      <c r="E1805" s="33" t="s">
        <v>2091</v>
      </c>
      <c r="F1805" s="35">
        <v>1</v>
      </c>
      <c r="G1805" s="40">
        <v>0</v>
      </c>
      <c r="H1805" s="40">
        <v>0</v>
      </c>
      <c r="I1805" s="40">
        <v>0</v>
      </c>
      <c r="J1805" s="40">
        <v>0</v>
      </c>
      <c r="K1805" s="40">
        <v>0</v>
      </c>
      <c r="L1805" s="40">
        <v>0</v>
      </c>
      <c r="M1805" s="40">
        <f t="shared" si="57"/>
        <v>0</v>
      </c>
      <c r="N1805" s="40">
        <f t="shared" si="58"/>
        <v>0</v>
      </c>
    </row>
    <row r="1806" spans="1:14" x14ac:dyDescent="0.35">
      <c r="A1806" s="33">
        <v>1803</v>
      </c>
      <c r="B1806" s="34" t="s">
        <v>2328</v>
      </c>
      <c r="C1806" s="33" t="s">
        <v>346</v>
      </c>
      <c r="D1806" s="33" t="s">
        <v>70</v>
      </c>
      <c r="E1806" s="33" t="s">
        <v>2091</v>
      </c>
      <c r="F1806" s="35">
        <v>1</v>
      </c>
      <c r="G1806" s="40">
        <v>0</v>
      </c>
      <c r="H1806" s="40">
        <v>0</v>
      </c>
      <c r="I1806" s="40">
        <v>0</v>
      </c>
      <c r="J1806" s="40">
        <v>0</v>
      </c>
      <c r="K1806" s="40">
        <v>0</v>
      </c>
      <c r="L1806" s="40">
        <v>0</v>
      </c>
      <c r="M1806" s="40">
        <f t="shared" si="57"/>
        <v>0</v>
      </c>
      <c r="N1806" s="40">
        <f t="shared" si="58"/>
        <v>0</v>
      </c>
    </row>
    <row r="1807" spans="1:14" x14ac:dyDescent="0.35">
      <c r="A1807" s="33">
        <v>1804</v>
      </c>
      <c r="B1807" s="34" t="s">
        <v>2188</v>
      </c>
      <c r="C1807" s="33" t="s">
        <v>346</v>
      </c>
      <c r="D1807" s="33" t="s">
        <v>70</v>
      </c>
      <c r="E1807" s="33" t="s">
        <v>2091</v>
      </c>
      <c r="F1807" s="35">
        <v>3.3000000000000002E-2</v>
      </c>
      <c r="G1807" s="40">
        <v>0</v>
      </c>
      <c r="H1807" s="40">
        <v>0</v>
      </c>
      <c r="I1807" s="40">
        <v>0</v>
      </c>
      <c r="J1807" s="40">
        <v>0</v>
      </c>
      <c r="K1807" s="40">
        <v>0</v>
      </c>
      <c r="L1807" s="40">
        <v>0</v>
      </c>
      <c r="M1807" s="40">
        <f t="shared" si="57"/>
        <v>0</v>
      </c>
      <c r="N1807" s="40">
        <f t="shared" si="58"/>
        <v>0</v>
      </c>
    </row>
    <row r="1808" spans="1:14" x14ac:dyDescent="0.35">
      <c r="A1808" s="33">
        <v>1805</v>
      </c>
      <c r="B1808" s="34" t="s">
        <v>2189</v>
      </c>
      <c r="C1808" s="33" t="s">
        <v>346</v>
      </c>
      <c r="D1808" s="33" t="s">
        <v>70</v>
      </c>
      <c r="E1808" s="33" t="s">
        <v>2091</v>
      </c>
      <c r="F1808" s="35">
        <v>3.5000000000000003E-2</v>
      </c>
      <c r="G1808" s="40">
        <v>0</v>
      </c>
      <c r="H1808" s="40">
        <v>0</v>
      </c>
      <c r="I1808" s="40">
        <v>0</v>
      </c>
      <c r="J1808" s="40">
        <v>0</v>
      </c>
      <c r="K1808" s="40">
        <v>0</v>
      </c>
      <c r="L1808" s="40">
        <v>0</v>
      </c>
      <c r="M1808" s="40">
        <f t="shared" si="57"/>
        <v>0</v>
      </c>
      <c r="N1808" s="40">
        <f t="shared" si="58"/>
        <v>0</v>
      </c>
    </row>
    <row r="1809" spans="1:14" x14ac:dyDescent="0.35">
      <c r="A1809" s="33">
        <v>1806</v>
      </c>
      <c r="B1809" s="34" t="s">
        <v>2190</v>
      </c>
      <c r="C1809" s="33" t="s">
        <v>346</v>
      </c>
      <c r="D1809" s="33" t="s">
        <v>70</v>
      </c>
      <c r="E1809" s="33" t="s">
        <v>2091</v>
      </c>
      <c r="F1809" s="35">
        <v>1</v>
      </c>
      <c r="G1809" s="40">
        <v>0</v>
      </c>
      <c r="H1809" s="40">
        <v>5.18</v>
      </c>
      <c r="I1809" s="40">
        <v>0</v>
      </c>
      <c r="J1809" s="40">
        <v>0</v>
      </c>
      <c r="K1809" s="40">
        <v>0</v>
      </c>
      <c r="L1809" s="40">
        <v>177.13</v>
      </c>
      <c r="M1809" s="40">
        <f t="shared" si="57"/>
        <v>0</v>
      </c>
      <c r="N1809" s="40">
        <f t="shared" si="58"/>
        <v>182.31</v>
      </c>
    </row>
    <row r="1810" spans="1:14" x14ac:dyDescent="0.35">
      <c r="A1810" s="33">
        <v>1807</v>
      </c>
      <c r="B1810" s="34" t="s">
        <v>2191</v>
      </c>
      <c r="C1810" s="33" t="s">
        <v>346</v>
      </c>
      <c r="D1810" s="33" t="s">
        <v>70</v>
      </c>
      <c r="E1810" s="33" t="s">
        <v>2091</v>
      </c>
      <c r="F1810" s="35">
        <v>4.8000000000000001E-2</v>
      </c>
      <c r="G1810" s="40">
        <v>0</v>
      </c>
      <c r="H1810" s="40">
        <v>0</v>
      </c>
      <c r="I1810" s="40">
        <v>0</v>
      </c>
      <c r="J1810" s="40">
        <v>0</v>
      </c>
      <c r="K1810" s="40">
        <v>0</v>
      </c>
      <c r="L1810" s="40">
        <v>0</v>
      </c>
      <c r="M1810" s="40">
        <f t="shared" si="57"/>
        <v>0</v>
      </c>
      <c r="N1810" s="40">
        <f t="shared" si="58"/>
        <v>0</v>
      </c>
    </row>
    <row r="1811" spans="1:14" x14ac:dyDescent="0.35">
      <c r="A1811" s="33">
        <v>1808</v>
      </c>
      <c r="B1811" s="34" t="s">
        <v>2192</v>
      </c>
      <c r="C1811" s="33" t="s">
        <v>346</v>
      </c>
      <c r="D1811" s="33" t="s">
        <v>70</v>
      </c>
      <c r="E1811" s="33" t="s">
        <v>2091</v>
      </c>
      <c r="F1811" s="35">
        <v>3.3000000000000002E-2</v>
      </c>
      <c r="G1811" s="40">
        <v>0</v>
      </c>
      <c r="H1811" s="40">
        <v>0</v>
      </c>
      <c r="I1811" s="40">
        <v>0</v>
      </c>
      <c r="J1811" s="40">
        <v>0</v>
      </c>
      <c r="K1811" s="40">
        <v>0</v>
      </c>
      <c r="L1811" s="40">
        <v>0</v>
      </c>
      <c r="M1811" s="40">
        <f t="shared" si="57"/>
        <v>0</v>
      </c>
      <c r="N1811" s="40">
        <f t="shared" si="58"/>
        <v>0</v>
      </c>
    </row>
    <row r="1812" spans="1:14" x14ac:dyDescent="0.35">
      <c r="A1812" s="33">
        <v>1809</v>
      </c>
      <c r="B1812" s="34" t="s">
        <v>2193</v>
      </c>
      <c r="C1812" s="33" t="s">
        <v>346</v>
      </c>
      <c r="D1812" s="33" t="s">
        <v>70</v>
      </c>
      <c r="E1812" s="33" t="s">
        <v>2091</v>
      </c>
      <c r="F1812" s="35">
        <v>3.5000000000000003E-2</v>
      </c>
      <c r="G1812" s="40">
        <v>0</v>
      </c>
      <c r="H1812" s="40">
        <v>0</v>
      </c>
      <c r="I1812" s="40">
        <v>0</v>
      </c>
      <c r="J1812" s="40">
        <v>0</v>
      </c>
      <c r="K1812" s="40">
        <v>0</v>
      </c>
      <c r="L1812" s="40">
        <v>0</v>
      </c>
      <c r="M1812" s="40">
        <f t="shared" si="57"/>
        <v>0</v>
      </c>
      <c r="N1812" s="40">
        <f t="shared" si="58"/>
        <v>0</v>
      </c>
    </row>
    <row r="1813" spans="1:14" x14ac:dyDescent="0.35">
      <c r="A1813" s="33">
        <v>1810</v>
      </c>
      <c r="B1813" s="34" t="s">
        <v>2194</v>
      </c>
      <c r="C1813" s="33" t="s">
        <v>346</v>
      </c>
      <c r="D1813" s="33" t="s">
        <v>70</v>
      </c>
      <c r="E1813" s="33" t="s">
        <v>2091</v>
      </c>
      <c r="F1813" s="35">
        <v>0.05</v>
      </c>
      <c r="G1813" s="40">
        <v>0</v>
      </c>
      <c r="H1813" s="40">
        <v>0</v>
      </c>
      <c r="I1813" s="40">
        <v>0</v>
      </c>
      <c r="J1813" s="40">
        <v>0</v>
      </c>
      <c r="K1813" s="40">
        <v>0</v>
      </c>
      <c r="L1813" s="40">
        <v>0</v>
      </c>
      <c r="M1813" s="40">
        <f t="shared" si="57"/>
        <v>0</v>
      </c>
      <c r="N1813" s="40">
        <f t="shared" si="58"/>
        <v>0</v>
      </c>
    </row>
    <row r="1814" spans="1:14" x14ac:dyDescent="0.35">
      <c r="A1814" s="33">
        <v>1811</v>
      </c>
      <c r="B1814" s="34" t="s">
        <v>2195</v>
      </c>
      <c r="C1814" s="33" t="s">
        <v>346</v>
      </c>
      <c r="D1814" s="33" t="s">
        <v>70</v>
      </c>
      <c r="E1814" s="33" t="s">
        <v>2091</v>
      </c>
      <c r="F1814" s="35">
        <v>1</v>
      </c>
      <c r="G1814" s="40">
        <v>0</v>
      </c>
      <c r="H1814" s="40">
        <v>0</v>
      </c>
      <c r="I1814" s="40">
        <v>0</v>
      </c>
      <c r="J1814" s="40">
        <v>0</v>
      </c>
      <c r="K1814" s="40">
        <v>0</v>
      </c>
      <c r="L1814" s="40">
        <v>0</v>
      </c>
      <c r="M1814" s="40">
        <f t="shared" si="57"/>
        <v>0</v>
      </c>
      <c r="N1814" s="40">
        <f t="shared" si="58"/>
        <v>0</v>
      </c>
    </row>
    <row r="1815" spans="1:14" x14ac:dyDescent="0.35">
      <c r="A1815" s="33">
        <v>1812</v>
      </c>
      <c r="B1815" s="34" t="s">
        <v>2196</v>
      </c>
      <c r="C1815" s="33" t="s">
        <v>346</v>
      </c>
      <c r="D1815" s="33" t="s">
        <v>70</v>
      </c>
      <c r="E1815" s="33" t="s">
        <v>2091</v>
      </c>
      <c r="F1815" s="35">
        <v>1</v>
      </c>
      <c r="G1815" s="40">
        <v>0</v>
      </c>
      <c r="H1815" s="40">
        <v>0</v>
      </c>
      <c r="I1815" s="40">
        <v>0</v>
      </c>
      <c r="J1815" s="40">
        <v>0</v>
      </c>
      <c r="K1815" s="40">
        <v>0</v>
      </c>
      <c r="L1815" s="40">
        <v>0</v>
      </c>
      <c r="M1815" s="40">
        <f t="shared" si="57"/>
        <v>0</v>
      </c>
      <c r="N1815" s="40">
        <f t="shared" si="58"/>
        <v>0</v>
      </c>
    </row>
    <row r="1816" spans="1:14" x14ac:dyDescent="0.35">
      <c r="A1816" s="33">
        <v>1813</v>
      </c>
      <c r="B1816" s="34" t="s">
        <v>2197</v>
      </c>
      <c r="C1816" s="33" t="s">
        <v>346</v>
      </c>
      <c r="D1816" s="33" t="s">
        <v>70</v>
      </c>
      <c r="E1816" s="33" t="s">
        <v>2091</v>
      </c>
      <c r="F1816" s="35">
        <v>0.15</v>
      </c>
      <c r="G1816" s="40">
        <v>0</v>
      </c>
      <c r="H1816" s="40">
        <v>0</v>
      </c>
      <c r="I1816" s="40">
        <v>0</v>
      </c>
      <c r="J1816" s="40">
        <v>0</v>
      </c>
      <c r="K1816" s="40">
        <v>0</v>
      </c>
      <c r="L1816" s="40">
        <v>0</v>
      </c>
      <c r="M1816" s="40">
        <f t="shared" si="57"/>
        <v>0</v>
      </c>
      <c r="N1816" s="40">
        <f t="shared" si="58"/>
        <v>0</v>
      </c>
    </row>
    <row r="1817" spans="1:14" x14ac:dyDescent="0.35">
      <c r="A1817" s="33">
        <v>1814</v>
      </c>
      <c r="B1817" s="34" t="s">
        <v>2198</v>
      </c>
      <c r="C1817" s="33" t="s">
        <v>346</v>
      </c>
      <c r="D1817" s="33" t="s">
        <v>70</v>
      </c>
      <c r="E1817" s="33" t="s">
        <v>2091</v>
      </c>
      <c r="F1817" s="35">
        <v>0.03</v>
      </c>
      <c r="G1817" s="40">
        <v>0</v>
      </c>
      <c r="H1817" s="40">
        <v>0</v>
      </c>
      <c r="I1817" s="40">
        <v>0</v>
      </c>
      <c r="J1817" s="40">
        <v>0</v>
      </c>
      <c r="K1817" s="40">
        <v>0</v>
      </c>
      <c r="L1817" s="40">
        <v>0</v>
      </c>
      <c r="M1817" s="40">
        <f t="shared" si="57"/>
        <v>0</v>
      </c>
      <c r="N1817" s="40">
        <f t="shared" si="58"/>
        <v>0</v>
      </c>
    </row>
    <row r="1818" spans="1:14" x14ac:dyDescent="0.35">
      <c r="A1818" s="33">
        <v>1815</v>
      </c>
      <c r="B1818" s="34" t="s">
        <v>2199</v>
      </c>
      <c r="C1818" s="33" t="s">
        <v>346</v>
      </c>
      <c r="D1818" s="33" t="s">
        <v>70</v>
      </c>
      <c r="E1818" s="33" t="s">
        <v>2091</v>
      </c>
      <c r="F1818" s="35">
        <v>0.1</v>
      </c>
      <c r="G1818" s="40">
        <v>0</v>
      </c>
      <c r="H1818" s="40">
        <v>0</v>
      </c>
      <c r="I1818" s="40">
        <v>0</v>
      </c>
      <c r="J1818" s="40">
        <v>0</v>
      </c>
      <c r="K1818" s="40">
        <v>2150</v>
      </c>
      <c r="L1818" s="40">
        <v>215</v>
      </c>
      <c r="M1818" s="40">
        <f t="shared" si="57"/>
        <v>2150</v>
      </c>
      <c r="N1818" s="40">
        <f t="shared" si="58"/>
        <v>215</v>
      </c>
    </row>
    <row r="1819" spans="1:14" x14ac:dyDescent="0.35">
      <c r="A1819" s="33">
        <v>1816</v>
      </c>
      <c r="B1819" s="34" t="s">
        <v>2329</v>
      </c>
      <c r="C1819" s="33" t="s">
        <v>346</v>
      </c>
      <c r="D1819" s="33" t="s">
        <v>70</v>
      </c>
      <c r="E1819" s="33" t="s">
        <v>2091</v>
      </c>
      <c r="F1819" s="35">
        <v>1</v>
      </c>
      <c r="G1819" s="40">
        <v>0</v>
      </c>
      <c r="H1819" s="40">
        <v>0</v>
      </c>
      <c r="I1819" s="40">
        <v>0</v>
      </c>
      <c r="J1819" s="40">
        <v>0</v>
      </c>
      <c r="K1819" s="40">
        <v>0</v>
      </c>
      <c r="L1819" s="40">
        <v>0</v>
      </c>
      <c r="M1819" s="40">
        <f t="shared" si="57"/>
        <v>0</v>
      </c>
      <c r="N1819" s="40">
        <f t="shared" si="58"/>
        <v>0</v>
      </c>
    </row>
    <row r="1820" spans="1:14" x14ac:dyDescent="0.35">
      <c r="A1820" s="33">
        <v>1817</v>
      </c>
      <c r="B1820" s="34" t="s">
        <v>2200</v>
      </c>
      <c r="C1820" s="33" t="s">
        <v>346</v>
      </c>
      <c r="D1820" s="33" t="s">
        <v>70</v>
      </c>
      <c r="E1820" s="33" t="s">
        <v>2091</v>
      </c>
      <c r="F1820" s="35">
        <v>0.1</v>
      </c>
      <c r="G1820" s="40">
        <v>0</v>
      </c>
      <c r="H1820" s="40">
        <v>0</v>
      </c>
      <c r="I1820" s="40">
        <v>0</v>
      </c>
      <c r="J1820" s="40">
        <v>0</v>
      </c>
      <c r="K1820" s="40">
        <v>450</v>
      </c>
      <c r="L1820" s="40">
        <v>45</v>
      </c>
      <c r="M1820" s="40">
        <f t="shared" si="57"/>
        <v>450</v>
      </c>
      <c r="N1820" s="40">
        <f t="shared" si="58"/>
        <v>45</v>
      </c>
    </row>
    <row r="1821" spans="1:14" x14ac:dyDescent="0.35">
      <c r="A1821" s="33">
        <v>1818</v>
      </c>
      <c r="B1821" s="34" t="s">
        <v>2330</v>
      </c>
      <c r="C1821" s="33" t="s">
        <v>346</v>
      </c>
      <c r="D1821" s="33" t="s">
        <v>70</v>
      </c>
      <c r="E1821" s="33" t="s">
        <v>2091</v>
      </c>
      <c r="F1821" s="35">
        <v>1</v>
      </c>
      <c r="G1821" s="40">
        <v>0</v>
      </c>
      <c r="H1821" s="40">
        <v>0</v>
      </c>
      <c r="I1821" s="40">
        <v>0</v>
      </c>
      <c r="J1821" s="40">
        <v>0</v>
      </c>
      <c r="K1821" s="40">
        <v>0</v>
      </c>
      <c r="L1821" s="40">
        <v>0</v>
      </c>
      <c r="M1821" s="40">
        <f t="shared" si="57"/>
        <v>0</v>
      </c>
      <c r="N1821" s="40">
        <f t="shared" si="58"/>
        <v>0</v>
      </c>
    </row>
    <row r="1822" spans="1:14" x14ac:dyDescent="0.35">
      <c r="A1822" s="33">
        <v>1819</v>
      </c>
      <c r="B1822" s="34" t="s">
        <v>2201</v>
      </c>
      <c r="C1822" s="33" t="s">
        <v>346</v>
      </c>
      <c r="D1822" s="33" t="s">
        <v>70</v>
      </c>
      <c r="E1822" s="33" t="s">
        <v>2091</v>
      </c>
      <c r="F1822" s="35">
        <v>0.1</v>
      </c>
      <c r="G1822" s="40">
        <v>0</v>
      </c>
      <c r="H1822" s="40">
        <v>0</v>
      </c>
      <c r="I1822" s="40">
        <v>0</v>
      </c>
      <c r="J1822" s="40">
        <v>0</v>
      </c>
      <c r="K1822" s="40">
        <v>50</v>
      </c>
      <c r="L1822" s="40">
        <v>5</v>
      </c>
      <c r="M1822" s="40">
        <f t="shared" si="57"/>
        <v>50</v>
      </c>
      <c r="N1822" s="40">
        <f t="shared" si="58"/>
        <v>5</v>
      </c>
    </row>
    <row r="1823" spans="1:14" x14ac:dyDescent="0.35">
      <c r="A1823" s="33">
        <v>1820</v>
      </c>
      <c r="B1823" s="34" t="s">
        <v>2331</v>
      </c>
      <c r="C1823" s="33" t="s">
        <v>346</v>
      </c>
      <c r="D1823" s="33" t="s">
        <v>70</v>
      </c>
      <c r="E1823" s="33" t="s">
        <v>2091</v>
      </c>
      <c r="F1823" s="35">
        <v>1</v>
      </c>
      <c r="G1823" s="40">
        <v>0</v>
      </c>
      <c r="H1823" s="40">
        <v>0</v>
      </c>
      <c r="I1823" s="40">
        <v>0</v>
      </c>
      <c r="J1823" s="40">
        <v>0</v>
      </c>
      <c r="K1823" s="40">
        <v>0</v>
      </c>
      <c r="L1823" s="40">
        <v>0</v>
      </c>
      <c r="M1823" s="40">
        <f t="shared" si="57"/>
        <v>0</v>
      </c>
      <c r="N1823" s="40">
        <f t="shared" si="58"/>
        <v>0</v>
      </c>
    </row>
    <row r="1824" spans="1:14" x14ac:dyDescent="0.35">
      <c r="A1824" s="33">
        <v>1821</v>
      </c>
      <c r="B1824" s="34" t="s">
        <v>2202</v>
      </c>
      <c r="C1824" s="33" t="s">
        <v>346</v>
      </c>
      <c r="D1824" s="33" t="s">
        <v>70</v>
      </c>
      <c r="E1824" s="33" t="s">
        <v>2091</v>
      </c>
      <c r="F1824" s="35">
        <v>0.1</v>
      </c>
      <c r="G1824" s="40">
        <v>0</v>
      </c>
      <c r="H1824" s="40">
        <v>0</v>
      </c>
      <c r="I1824" s="40">
        <v>0</v>
      </c>
      <c r="J1824" s="40">
        <v>0</v>
      </c>
      <c r="K1824" s="40">
        <v>0</v>
      </c>
      <c r="L1824" s="40">
        <v>0</v>
      </c>
      <c r="M1824" s="40">
        <f t="shared" si="57"/>
        <v>0</v>
      </c>
      <c r="N1824" s="40">
        <f t="shared" si="58"/>
        <v>0</v>
      </c>
    </row>
    <row r="1825" spans="1:14" x14ac:dyDescent="0.35">
      <c r="A1825" s="33">
        <v>1822</v>
      </c>
      <c r="B1825" s="34" t="s">
        <v>241</v>
      </c>
      <c r="C1825" s="33" t="s">
        <v>346</v>
      </c>
      <c r="D1825" s="33" t="s">
        <v>70</v>
      </c>
      <c r="E1825" s="33" t="s">
        <v>2091</v>
      </c>
      <c r="F1825" s="35">
        <v>2.5000000000000001E-2</v>
      </c>
      <c r="G1825" s="40">
        <v>0</v>
      </c>
      <c r="H1825" s="40">
        <v>0</v>
      </c>
      <c r="I1825" s="40">
        <v>0</v>
      </c>
      <c r="J1825" s="40">
        <v>0</v>
      </c>
      <c r="K1825" s="40">
        <v>800</v>
      </c>
      <c r="L1825" s="40">
        <v>20</v>
      </c>
      <c r="M1825" s="40">
        <f t="shared" si="57"/>
        <v>800</v>
      </c>
      <c r="N1825" s="40">
        <f t="shared" si="58"/>
        <v>20</v>
      </c>
    </row>
    <row r="1826" spans="1:14" x14ac:dyDescent="0.35">
      <c r="A1826" s="33">
        <v>1823</v>
      </c>
      <c r="B1826" s="34" t="s">
        <v>2203</v>
      </c>
      <c r="C1826" s="33" t="s">
        <v>346</v>
      </c>
      <c r="D1826" s="33" t="s">
        <v>70</v>
      </c>
      <c r="E1826" s="33" t="s">
        <v>2091</v>
      </c>
      <c r="F1826" s="35">
        <v>0.1</v>
      </c>
      <c r="G1826" s="40">
        <v>0</v>
      </c>
      <c r="H1826" s="40">
        <v>0</v>
      </c>
      <c r="I1826" s="40">
        <v>0</v>
      </c>
      <c r="J1826" s="40">
        <v>0</v>
      </c>
      <c r="K1826" s="40">
        <v>0</v>
      </c>
      <c r="L1826" s="40">
        <v>0</v>
      </c>
      <c r="M1826" s="40">
        <f t="shared" si="57"/>
        <v>0</v>
      </c>
      <c r="N1826" s="40">
        <f t="shared" si="58"/>
        <v>0</v>
      </c>
    </row>
    <row r="1827" spans="1:14" x14ac:dyDescent="0.35">
      <c r="A1827" s="33">
        <v>1824</v>
      </c>
      <c r="B1827" s="34" t="s">
        <v>2204</v>
      </c>
      <c r="C1827" s="33" t="s">
        <v>346</v>
      </c>
      <c r="D1827" s="33" t="s">
        <v>70</v>
      </c>
      <c r="E1827" s="33" t="s">
        <v>2091</v>
      </c>
      <c r="F1827" s="35">
        <v>0.1</v>
      </c>
      <c r="G1827" s="40">
        <v>0</v>
      </c>
      <c r="H1827" s="40">
        <v>0</v>
      </c>
      <c r="I1827" s="40">
        <v>0</v>
      </c>
      <c r="J1827" s="40">
        <v>0</v>
      </c>
      <c r="K1827" s="40">
        <v>0</v>
      </c>
      <c r="L1827" s="40">
        <v>0</v>
      </c>
      <c r="M1827" s="40">
        <f t="shared" si="57"/>
        <v>0</v>
      </c>
      <c r="N1827" s="40">
        <f t="shared" si="58"/>
        <v>0</v>
      </c>
    </row>
    <row r="1828" spans="1:14" x14ac:dyDescent="0.35">
      <c r="A1828" s="33">
        <v>1825</v>
      </c>
      <c r="B1828" s="34" t="s">
        <v>2205</v>
      </c>
      <c r="C1828" s="33" t="s">
        <v>346</v>
      </c>
      <c r="D1828" s="33" t="s">
        <v>70</v>
      </c>
      <c r="E1828" s="33" t="s">
        <v>2091</v>
      </c>
      <c r="F1828" s="35">
        <v>0.1</v>
      </c>
      <c r="G1828" s="40">
        <v>0</v>
      </c>
      <c r="H1828" s="40">
        <v>0</v>
      </c>
      <c r="I1828" s="40">
        <v>0</v>
      </c>
      <c r="J1828" s="40">
        <v>0</v>
      </c>
      <c r="K1828" s="40">
        <v>0</v>
      </c>
      <c r="L1828" s="40">
        <v>0</v>
      </c>
      <c r="M1828" s="40">
        <f t="shared" si="57"/>
        <v>0</v>
      </c>
      <c r="N1828" s="40">
        <f t="shared" si="58"/>
        <v>0</v>
      </c>
    </row>
    <row r="1829" spans="1:14" x14ac:dyDescent="0.35">
      <c r="A1829" s="33">
        <v>1826</v>
      </c>
      <c r="B1829" s="34" t="s">
        <v>2206</v>
      </c>
      <c r="C1829" s="33" t="s">
        <v>346</v>
      </c>
      <c r="D1829" s="33" t="s">
        <v>70</v>
      </c>
      <c r="E1829" s="33" t="s">
        <v>2091</v>
      </c>
      <c r="F1829" s="35">
        <v>0.1</v>
      </c>
      <c r="G1829" s="40">
        <v>0</v>
      </c>
      <c r="H1829" s="40">
        <v>0</v>
      </c>
      <c r="I1829" s="40">
        <v>0</v>
      </c>
      <c r="J1829" s="40">
        <v>0</v>
      </c>
      <c r="K1829" s="40">
        <v>0</v>
      </c>
      <c r="L1829" s="40">
        <v>0</v>
      </c>
      <c r="M1829" s="40">
        <f t="shared" si="57"/>
        <v>0</v>
      </c>
      <c r="N1829" s="40">
        <f t="shared" si="58"/>
        <v>0</v>
      </c>
    </row>
    <row r="1830" spans="1:14" x14ac:dyDescent="0.35">
      <c r="A1830" s="33">
        <v>1827</v>
      </c>
      <c r="B1830" s="34" t="s">
        <v>2207</v>
      </c>
      <c r="C1830" s="33" t="s">
        <v>346</v>
      </c>
      <c r="D1830" s="33" t="s">
        <v>70</v>
      </c>
      <c r="E1830" s="33" t="s">
        <v>2091</v>
      </c>
      <c r="F1830" s="35">
        <v>0.1</v>
      </c>
      <c r="G1830" s="40">
        <v>0</v>
      </c>
      <c r="H1830" s="40">
        <v>0</v>
      </c>
      <c r="I1830" s="40">
        <v>0</v>
      </c>
      <c r="J1830" s="40">
        <v>0</v>
      </c>
      <c r="K1830" s="40">
        <v>0</v>
      </c>
      <c r="L1830" s="40">
        <v>0</v>
      </c>
      <c r="M1830" s="40">
        <f t="shared" si="57"/>
        <v>0</v>
      </c>
      <c r="N1830" s="40">
        <f t="shared" si="58"/>
        <v>0</v>
      </c>
    </row>
    <row r="1831" spans="1:14" x14ac:dyDescent="0.35">
      <c r="A1831" s="33">
        <v>1828</v>
      </c>
      <c r="B1831" s="34" t="s">
        <v>243</v>
      </c>
      <c r="C1831" s="33" t="s">
        <v>346</v>
      </c>
      <c r="D1831" s="33" t="s">
        <v>70</v>
      </c>
      <c r="E1831" s="33" t="s">
        <v>2091</v>
      </c>
      <c r="F1831" s="35">
        <v>0.1</v>
      </c>
      <c r="G1831" s="40">
        <v>0</v>
      </c>
      <c r="H1831" s="40">
        <v>0</v>
      </c>
      <c r="I1831" s="40">
        <v>0</v>
      </c>
      <c r="J1831" s="40">
        <v>0</v>
      </c>
      <c r="K1831" s="40">
        <v>24</v>
      </c>
      <c r="L1831" s="40">
        <v>2.4</v>
      </c>
      <c r="M1831" s="40">
        <f t="shared" si="57"/>
        <v>24</v>
      </c>
      <c r="N1831" s="40">
        <f t="shared" si="58"/>
        <v>2.4</v>
      </c>
    </row>
    <row r="1832" spans="1:14" x14ac:dyDescent="0.35">
      <c r="A1832" s="33">
        <v>1829</v>
      </c>
      <c r="B1832" s="34" t="s">
        <v>2208</v>
      </c>
      <c r="C1832" s="33" t="s">
        <v>346</v>
      </c>
      <c r="D1832" s="33" t="s">
        <v>70</v>
      </c>
      <c r="E1832" s="33" t="s">
        <v>2091</v>
      </c>
      <c r="F1832" s="35">
        <v>0.1</v>
      </c>
      <c r="G1832" s="40">
        <v>0</v>
      </c>
      <c r="H1832" s="40">
        <v>0</v>
      </c>
      <c r="I1832" s="40">
        <v>0</v>
      </c>
      <c r="J1832" s="40">
        <v>0</v>
      </c>
      <c r="K1832" s="40">
        <v>0</v>
      </c>
      <c r="L1832" s="40">
        <v>0</v>
      </c>
      <c r="M1832" s="40">
        <f t="shared" si="57"/>
        <v>0</v>
      </c>
      <c r="N1832" s="40">
        <f t="shared" si="58"/>
        <v>0</v>
      </c>
    </row>
    <row r="1833" spans="1:14" x14ac:dyDescent="0.35">
      <c r="A1833" s="33">
        <v>1830</v>
      </c>
      <c r="B1833" s="34" t="s">
        <v>2209</v>
      </c>
      <c r="C1833" s="33" t="s">
        <v>346</v>
      </c>
      <c r="D1833" s="33" t="s">
        <v>70</v>
      </c>
      <c r="E1833" s="33" t="s">
        <v>2091</v>
      </c>
      <c r="F1833" s="35">
        <v>1.4E-2</v>
      </c>
      <c r="G1833" s="40">
        <v>0</v>
      </c>
      <c r="H1833" s="40">
        <v>0</v>
      </c>
      <c r="I1833" s="40">
        <v>0</v>
      </c>
      <c r="J1833" s="40">
        <v>0</v>
      </c>
      <c r="K1833" s="40">
        <v>0</v>
      </c>
      <c r="L1833" s="40">
        <v>0</v>
      </c>
      <c r="M1833" s="40">
        <f t="shared" si="57"/>
        <v>0</v>
      </c>
      <c r="N1833" s="40">
        <f t="shared" si="58"/>
        <v>0</v>
      </c>
    </row>
    <row r="1834" spans="1:14" x14ac:dyDescent="0.35">
      <c r="A1834" s="33">
        <v>1831</v>
      </c>
      <c r="B1834" s="34" t="s">
        <v>2210</v>
      </c>
      <c r="C1834" s="33" t="s">
        <v>346</v>
      </c>
      <c r="D1834" s="33" t="s">
        <v>70</v>
      </c>
      <c r="E1834" s="33" t="s">
        <v>2091</v>
      </c>
      <c r="F1834" s="35">
        <v>1.4E-2</v>
      </c>
      <c r="G1834" s="40">
        <v>0</v>
      </c>
      <c r="H1834" s="40">
        <v>0</v>
      </c>
      <c r="I1834" s="40">
        <v>0</v>
      </c>
      <c r="J1834" s="40">
        <v>0</v>
      </c>
      <c r="K1834" s="40">
        <v>0</v>
      </c>
      <c r="L1834" s="40">
        <v>0</v>
      </c>
      <c r="M1834" s="40">
        <f t="shared" si="57"/>
        <v>0</v>
      </c>
      <c r="N1834" s="40">
        <f t="shared" si="58"/>
        <v>0</v>
      </c>
    </row>
    <row r="1835" spans="1:14" x14ac:dyDescent="0.35">
      <c r="A1835" s="33">
        <v>1832</v>
      </c>
      <c r="B1835" s="34" t="s">
        <v>2211</v>
      </c>
      <c r="C1835" s="33" t="s">
        <v>346</v>
      </c>
      <c r="D1835" s="33" t="s">
        <v>70</v>
      </c>
      <c r="E1835" s="33" t="s">
        <v>2091</v>
      </c>
      <c r="F1835" s="35">
        <v>1</v>
      </c>
      <c r="G1835" s="40">
        <v>0</v>
      </c>
      <c r="H1835" s="40">
        <v>0</v>
      </c>
      <c r="I1835" s="40">
        <v>0</v>
      </c>
      <c r="J1835" s="40">
        <v>0</v>
      </c>
      <c r="K1835" s="40">
        <v>0</v>
      </c>
      <c r="L1835" s="40">
        <v>0</v>
      </c>
      <c r="M1835" s="40">
        <f t="shared" si="57"/>
        <v>0</v>
      </c>
      <c r="N1835" s="40">
        <f t="shared" si="58"/>
        <v>0</v>
      </c>
    </row>
    <row r="1836" spans="1:14" x14ac:dyDescent="0.35">
      <c r="A1836" s="33">
        <v>1833</v>
      </c>
      <c r="B1836" s="34" t="s">
        <v>2212</v>
      </c>
      <c r="C1836" s="33" t="s">
        <v>346</v>
      </c>
      <c r="D1836" s="33" t="s">
        <v>70</v>
      </c>
      <c r="E1836" s="33" t="s">
        <v>2091</v>
      </c>
      <c r="F1836" s="35">
        <v>1</v>
      </c>
      <c r="G1836" s="40">
        <v>0</v>
      </c>
      <c r="H1836" s="40">
        <v>0</v>
      </c>
      <c r="I1836" s="40">
        <v>0</v>
      </c>
      <c r="J1836" s="40">
        <v>0</v>
      </c>
      <c r="K1836" s="40">
        <v>0</v>
      </c>
      <c r="L1836" s="40">
        <v>0</v>
      </c>
      <c r="M1836" s="40">
        <f t="shared" si="57"/>
        <v>0</v>
      </c>
      <c r="N1836" s="40">
        <f t="shared" si="58"/>
        <v>0</v>
      </c>
    </row>
    <row r="1837" spans="1:14" x14ac:dyDescent="0.35">
      <c r="A1837" s="33">
        <v>1834</v>
      </c>
      <c r="B1837" s="34" t="s">
        <v>2213</v>
      </c>
      <c r="C1837" s="33" t="s">
        <v>346</v>
      </c>
      <c r="D1837" s="33" t="s">
        <v>70</v>
      </c>
      <c r="E1837" s="33" t="s">
        <v>2091</v>
      </c>
      <c r="F1837" s="35">
        <v>1</v>
      </c>
      <c r="G1837" s="40">
        <v>0</v>
      </c>
      <c r="H1837" s="40">
        <v>0</v>
      </c>
      <c r="I1837" s="40">
        <v>0</v>
      </c>
      <c r="J1837" s="40">
        <v>0</v>
      </c>
      <c r="K1837" s="40">
        <v>0</v>
      </c>
      <c r="L1837" s="40">
        <v>0</v>
      </c>
      <c r="M1837" s="40">
        <f t="shared" si="57"/>
        <v>0</v>
      </c>
      <c r="N1837" s="40">
        <f t="shared" si="58"/>
        <v>0</v>
      </c>
    </row>
    <row r="1838" spans="1:14" x14ac:dyDescent="0.35">
      <c r="A1838" s="33">
        <v>1835</v>
      </c>
      <c r="B1838" s="34" t="s">
        <v>2214</v>
      </c>
      <c r="C1838" s="33" t="s">
        <v>346</v>
      </c>
      <c r="D1838" s="33" t="s">
        <v>70</v>
      </c>
      <c r="E1838" s="33" t="s">
        <v>2091</v>
      </c>
      <c r="F1838" s="35">
        <v>3.3000000000000002E-2</v>
      </c>
      <c r="G1838" s="40">
        <v>0</v>
      </c>
      <c r="H1838" s="40">
        <v>0</v>
      </c>
      <c r="I1838" s="40">
        <v>0</v>
      </c>
      <c r="J1838" s="40">
        <v>0</v>
      </c>
      <c r="K1838" s="40">
        <v>68</v>
      </c>
      <c r="L1838" s="40">
        <v>2.2400000000000002</v>
      </c>
      <c r="M1838" s="40">
        <f t="shared" si="57"/>
        <v>68</v>
      </c>
      <c r="N1838" s="40">
        <f t="shared" si="58"/>
        <v>2.2400000000000002</v>
      </c>
    </row>
    <row r="1839" spans="1:14" x14ac:dyDescent="0.35">
      <c r="A1839" s="33">
        <v>1836</v>
      </c>
      <c r="B1839" s="34" t="s">
        <v>2215</v>
      </c>
      <c r="C1839" s="33" t="s">
        <v>346</v>
      </c>
      <c r="D1839" s="33" t="s">
        <v>70</v>
      </c>
      <c r="E1839" s="33" t="s">
        <v>2091</v>
      </c>
      <c r="F1839" s="35">
        <v>3.5000000000000003E-2</v>
      </c>
      <c r="G1839" s="40">
        <v>0</v>
      </c>
      <c r="H1839" s="40">
        <v>0</v>
      </c>
      <c r="I1839" s="40">
        <v>0</v>
      </c>
      <c r="J1839" s="40">
        <v>0</v>
      </c>
      <c r="K1839" s="40">
        <v>0</v>
      </c>
      <c r="L1839" s="40">
        <v>0</v>
      </c>
      <c r="M1839" s="40">
        <f t="shared" si="57"/>
        <v>0</v>
      </c>
      <c r="N1839" s="40">
        <f t="shared" si="58"/>
        <v>0</v>
      </c>
    </row>
    <row r="1840" spans="1:14" x14ac:dyDescent="0.35">
      <c r="A1840" s="33">
        <v>1837</v>
      </c>
      <c r="B1840" s="34" t="s">
        <v>2216</v>
      </c>
      <c r="C1840" s="33" t="s">
        <v>346</v>
      </c>
      <c r="D1840" s="33" t="s">
        <v>70</v>
      </c>
      <c r="E1840" s="33" t="s">
        <v>2091</v>
      </c>
      <c r="F1840" s="35">
        <v>1</v>
      </c>
      <c r="G1840" s="40">
        <v>0</v>
      </c>
      <c r="H1840" s="40">
        <v>0</v>
      </c>
      <c r="I1840" s="40">
        <v>0</v>
      </c>
      <c r="J1840" s="40">
        <v>0</v>
      </c>
      <c r="K1840" s="40">
        <v>0</v>
      </c>
      <c r="L1840" s="40">
        <v>0</v>
      </c>
      <c r="M1840" s="40">
        <f t="shared" si="57"/>
        <v>0</v>
      </c>
      <c r="N1840" s="40">
        <f t="shared" si="58"/>
        <v>0</v>
      </c>
    </row>
    <row r="1841" spans="1:14" x14ac:dyDescent="0.35">
      <c r="A1841" s="33">
        <v>1838</v>
      </c>
      <c r="B1841" s="34" t="s">
        <v>2217</v>
      </c>
      <c r="C1841" s="33" t="s">
        <v>346</v>
      </c>
      <c r="D1841" s="33" t="s">
        <v>70</v>
      </c>
      <c r="E1841" s="33" t="s">
        <v>2091</v>
      </c>
      <c r="F1841" s="35">
        <v>0.2</v>
      </c>
      <c r="G1841" s="40">
        <v>0</v>
      </c>
      <c r="H1841" s="40">
        <v>0</v>
      </c>
      <c r="I1841" s="40">
        <v>0</v>
      </c>
      <c r="J1841" s="40">
        <v>0</v>
      </c>
      <c r="K1841" s="40">
        <v>0</v>
      </c>
      <c r="L1841" s="40">
        <v>0</v>
      </c>
      <c r="M1841" s="40">
        <f t="shared" si="57"/>
        <v>0</v>
      </c>
      <c r="N1841" s="40">
        <f t="shared" si="58"/>
        <v>0</v>
      </c>
    </row>
    <row r="1842" spans="1:14" x14ac:dyDescent="0.35">
      <c r="A1842" s="33">
        <v>1839</v>
      </c>
      <c r="B1842" s="34" t="s">
        <v>2218</v>
      </c>
      <c r="C1842" s="33" t="s">
        <v>346</v>
      </c>
      <c r="D1842" s="33" t="s">
        <v>70</v>
      </c>
      <c r="E1842" s="33" t="s">
        <v>2091</v>
      </c>
      <c r="F1842" s="35">
        <v>0.17499999999999999</v>
      </c>
      <c r="G1842" s="40">
        <v>0</v>
      </c>
      <c r="H1842" s="40">
        <v>0</v>
      </c>
      <c r="I1842" s="40">
        <v>0</v>
      </c>
      <c r="J1842" s="40">
        <v>0</v>
      </c>
      <c r="K1842" s="40">
        <v>0</v>
      </c>
      <c r="L1842" s="40">
        <v>0</v>
      </c>
      <c r="M1842" s="40">
        <f t="shared" si="57"/>
        <v>0</v>
      </c>
      <c r="N1842" s="40">
        <f t="shared" si="58"/>
        <v>0</v>
      </c>
    </row>
    <row r="1843" spans="1:14" x14ac:dyDescent="0.35">
      <c r="A1843" s="33">
        <v>1840</v>
      </c>
      <c r="B1843" s="34" t="s">
        <v>2219</v>
      </c>
      <c r="C1843" s="33" t="s">
        <v>346</v>
      </c>
      <c r="D1843" s="33" t="s">
        <v>70</v>
      </c>
      <c r="E1843" s="33" t="s">
        <v>2091</v>
      </c>
      <c r="F1843" s="35">
        <v>0.17499999999999999</v>
      </c>
      <c r="G1843" s="40">
        <v>0</v>
      </c>
      <c r="H1843" s="40">
        <v>0</v>
      </c>
      <c r="I1843" s="40">
        <v>0</v>
      </c>
      <c r="J1843" s="40">
        <v>0</v>
      </c>
      <c r="K1843" s="40">
        <v>0</v>
      </c>
      <c r="L1843" s="40">
        <v>0</v>
      </c>
      <c r="M1843" s="40">
        <f t="shared" si="57"/>
        <v>0</v>
      </c>
      <c r="N1843" s="40">
        <f t="shared" si="58"/>
        <v>0</v>
      </c>
    </row>
    <row r="1844" spans="1:14" x14ac:dyDescent="0.35">
      <c r="A1844" s="33">
        <v>1841</v>
      </c>
      <c r="B1844" s="34" t="s">
        <v>2220</v>
      </c>
      <c r="C1844" s="33" t="s">
        <v>346</v>
      </c>
      <c r="D1844" s="33" t="s">
        <v>70</v>
      </c>
      <c r="E1844" s="33" t="s">
        <v>2091</v>
      </c>
      <c r="F1844" s="35">
        <v>0.17499999999999999</v>
      </c>
      <c r="G1844" s="40">
        <v>0</v>
      </c>
      <c r="H1844" s="40">
        <v>0</v>
      </c>
      <c r="I1844" s="40">
        <v>0</v>
      </c>
      <c r="J1844" s="40">
        <v>0</v>
      </c>
      <c r="K1844" s="40">
        <v>0</v>
      </c>
      <c r="L1844" s="40">
        <v>0</v>
      </c>
      <c r="M1844" s="40">
        <f t="shared" si="57"/>
        <v>0</v>
      </c>
      <c r="N1844" s="40">
        <f t="shared" si="58"/>
        <v>0</v>
      </c>
    </row>
    <row r="1845" spans="1:14" x14ac:dyDescent="0.35">
      <c r="A1845" s="33">
        <v>1842</v>
      </c>
      <c r="B1845" s="34" t="s">
        <v>2221</v>
      </c>
      <c r="C1845" s="33" t="s">
        <v>346</v>
      </c>
      <c r="D1845" s="33" t="s">
        <v>70</v>
      </c>
      <c r="E1845" s="33" t="s">
        <v>2091</v>
      </c>
      <c r="F1845" s="35">
        <v>0.48</v>
      </c>
      <c r="G1845" s="40">
        <v>0</v>
      </c>
      <c r="H1845" s="40">
        <v>0</v>
      </c>
      <c r="I1845" s="40">
        <v>0</v>
      </c>
      <c r="J1845" s="40">
        <v>0</v>
      </c>
      <c r="K1845" s="40">
        <v>0</v>
      </c>
      <c r="L1845" s="40">
        <v>0</v>
      </c>
      <c r="M1845" s="40">
        <f t="shared" si="57"/>
        <v>0</v>
      </c>
      <c r="N1845" s="40">
        <f t="shared" si="58"/>
        <v>0</v>
      </c>
    </row>
    <row r="1846" spans="1:14" x14ac:dyDescent="0.35">
      <c r="A1846" s="33">
        <v>1843</v>
      </c>
      <c r="B1846" s="34" t="s">
        <v>2222</v>
      </c>
      <c r="C1846" s="33" t="s">
        <v>346</v>
      </c>
      <c r="D1846" s="33" t="s">
        <v>70</v>
      </c>
      <c r="E1846" s="33" t="s">
        <v>2091</v>
      </c>
      <c r="F1846" s="35">
        <v>1</v>
      </c>
      <c r="G1846" s="40">
        <v>0</v>
      </c>
      <c r="H1846" s="40">
        <v>0</v>
      </c>
      <c r="I1846" s="40">
        <v>0</v>
      </c>
      <c r="J1846" s="40">
        <v>0</v>
      </c>
      <c r="K1846" s="40">
        <v>0</v>
      </c>
      <c r="L1846" s="40">
        <v>0</v>
      </c>
      <c r="M1846" s="40">
        <f t="shared" si="57"/>
        <v>0</v>
      </c>
      <c r="N1846" s="40">
        <f t="shared" si="58"/>
        <v>0</v>
      </c>
    </row>
    <row r="1847" spans="1:14" x14ac:dyDescent="0.35">
      <c r="A1847" s="33">
        <v>1844</v>
      </c>
      <c r="B1847" s="34" t="s">
        <v>2223</v>
      </c>
      <c r="C1847" s="33" t="s">
        <v>346</v>
      </c>
      <c r="D1847" s="33" t="s">
        <v>70</v>
      </c>
      <c r="E1847" s="33" t="s">
        <v>2091</v>
      </c>
      <c r="F1847" s="35">
        <v>1.4500000000000001E-2</v>
      </c>
      <c r="G1847" s="40">
        <v>0</v>
      </c>
      <c r="H1847" s="40">
        <v>0</v>
      </c>
      <c r="I1847" s="40">
        <v>0</v>
      </c>
      <c r="J1847" s="40">
        <v>0</v>
      </c>
      <c r="K1847" s="40">
        <v>0</v>
      </c>
      <c r="L1847" s="40">
        <v>0</v>
      </c>
      <c r="M1847" s="40">
        <f t="shared" si="57"/>
        <v>0</v>
      </c>
      <c r="N1847" s="40">
        <f t="shared" si="58"/>
        <v>0</v>
      </c>
    </row>
    <row r="1848" spans="1:14" x14ac:dyDescent="0.35">
      <c r="A1848" s="33">
        <v>1845</v>
      </c>
      <c r="B1848" s="34" t="s">
        <v>2224</v>
      </c>
      <c r="C1848" s="33" t="s">
        <v>346</v>
      </c>
      <c r="D1848" s="33" t="s">
        <v>70</v>
      </c>
      <c r="E1848" s="33" t="s">
        <v>2091</v>
      </c>
      <c r="F1848" s="35">
        <v>1.35E-2</v>
      </c>
      <c r="G1848" s="40">
        <v>0</v>
      </c>
      <c r="H1848" s="40">
        <v>0</v>
      </c>
      <c r="I1848" s="40">
        <v>0</v>
      </c>
      <c r="J1848" s="40">
        <v>0</v>
      </c>
      <c r="K1848" s="40">
        <v>0</v>
      </c>
      <c r="L1848" s="40">
        <v>0</v>
      </c>
      <c r="M1848" s="40">
        <f t="shared" si="57"/>
        <v>0</v>
      </c>
      <c r="N1848" s="40">
        <f t="shared" si="58"/>
        <v>0</v>
      </c>
    </row>
    <row r="1849" spans="1:14" x14ac:dyDescent="0.35">
      <c r="A1849" s="33">
        <v>1846</v>
      </c>
      <c r="B1849" s="34" t="s">
        <v>2225</v>
      </c>
      <c r="C1849" s="33" t="s">
        <v>346</v>
      </c>
      <c r="D1849" s="33" t="s">
        <v>70</v>
      </c>
      <c r="E1849" s="33" t="s">
        <v>2091</v>
      </c>
      <c r="F1849" s="35">
        <v>2.5999999999999999E-2</v>
      </c>
      <c r="G1849" s="40">
        <v>0</v>
      </c>
      <c r="H1849" s="40">
        <v>0</v>
      </c>
      <c r="I1849" s="40">
        <v>0</v>
      </c>
      <c r="J1849" s="40">
        <v>0</v>
      </c>
      <c r="K1849" s="40">
        <v>0</v>
      </c>
      <c r="L1849" s="40">
        <v>0</v>
      </c>
      <c r="M1849" s="40">
        <f t="shared" si="57"/>
        <v>0</v>
      </c>
      <c r="N1849" s="40">
        <f t="shared" si="58"/>
        <v>0</v>
      </c>
    </row>
    <row r="1850" spans="1:14" x14ac:dyDescent="0.35">
      <c r="A1850" s="33">
        <v>1847</v>
      </c>
      <c r="B1850" s="34" t="s">
        <v>2226</v>
      </c>
      <c r="C1850" s="33" t="s">
        <v>346</v>
      </c>
      <c r="D1850" s="33" t="s">
        <v>70</v>
      </c>
      <c r="E1850" s="33" t="s">
        <v>2091</v>
      </c>
      <c r="F1850" s="35">
        <v>7.4999999999999997E-2</v>
      </c>
      <c r="G1850" s="40">
        <v>0</v>
      </c>
      <c r="H1850" s="40">
        <v>0</v>
      </c>
      <c r="I1850" s="40">
        <v>0</v>
      </c>
      <c r="J1850" s="40">
        <v>0</v>
      </c>
      <c r="K1850" s="40">
        <v>0</v>
      </c>
      <c r="L1850" s="40">
        <v>0</v>
      </c>
      <c r="M1850" s="40">
        <f t="shared" si="57"/>
        <v>0</v>
      </c>
      <c r="N1850" s="40">
        <f t="shared" si="58"/>
        <v>0</v>
      </c>
    </row>
    <row r="1851" spans="1:14" x14ac:dyDescent="0.35">
      <c r="A1851" s="33">
        <v>1848</v>
      </c>
      <c r="B1851" s="34" t="s">
        <v>2227</v>
      </c>
      <c r="C1851" s="33" t="s">
        <v>346</v>
      </c>
      <c r="D1851" s="33" t="s">
        <v>70</v>
      </c>
      <c r="E1851" s="33" t="s">
        <v>2091</v>
      </c>
      <c r="F1851" s="35">
        <v>7.4999999999999997E-2</v>
      </c>
      <c r="G1851" s="40">
        <v>0</v>
      </c>
      <c r="H1851" s="40">
        <v>0</v>
      </c>
      <c r="I1851" s="40">
        <v>0</v>
      </c>
      <c r="J1851" s="40">
        <v>0</v>
      </c>
      <c r="K1851" s="40">
        <v>0</v>
      </c>
      <c r="L1851" s="40">
        <v>0</v>
      </c>
      <c r="M1851" s="40">
        <f t="shared" si="57"/>
        <v>0</v>
      </c>
      <c r="N1851" s="40">
        <f t="shared" si="58"/>
        <v>0</v>
      </c>
    </row>
    <row r="1852" spans="1:14" x14ac:dyDescent="0.35">
      <c r="A1852" s="33">
        <v>1849</v>
      </c>
      <c r="B1852" s="34" t="s">
        <v>2228</v>
      </c>
      <c r="C1852" s="33" t="s">
        <v>346</v>
      </c>
      <c r="D1852" s="33" t="s">
        <v>70</v>
      </c>
      <c r="E1852" s="33" t="s">
        <v>2091</v>
      </c>
      <c r="F1852" s="35">
        <v>7.4999999999999997E-2</v>
      </c>
      <c r="G1852" s="40">
        <v>0</v>
      </c>
      <c r="H1852" s="40">
        <v>0</v>
      </c>
      <c r="I1852" s="40">
        <v>0</v>
      </c>
      <c r="J1852" s="40">
        <v>0</v>
      </c>
      <c r="K1852" s="40">
        <v>0</v>
      </c>
      <c r="L1852" s="40">
        <v>0</v>
      </c>
      <c r="M1852" s="40">
        <f t="shared" si="57"/>
        <v>0</v>
      </c>
      <c r="N1852" s="40">
        <f t="shared" si="58"/>
        <v>0</v>
      </c>
    </row>
    <row r="1853" spans="1:14" x14ac:dyDescent="0.35">
      <c r="A1853" s="33">
        <v>1850</v>
      </c>
      <c r="B1853" s="34" t="s">
        <v>2091</v>
      </c>
      <c r="C1853" s="33" t="s">
        <v>346</v>
      </c>
      <c r="D1853" s="33" t="s">
        <v>70</v>
      </c>
      <c r="E1853" s="33" t="s">
        <v>2091</v>
      </c>
      <c r="F1853" s="35">
        <v>1</v>
      </c>
      <c r="G1853" s="40">
        <v>0</v>
      </c>
      <c r="H1853" s="40">
        <v>0</v>
      </c>
      <c r="I1853" s="40">
        <v>0</v>
      </c>
      <c r="J1853" s="40">
        <v>0</v>
      </c>
      <c r="K1853" s="40">
        <v>0</v>
      </c>
      <c r="L1853" s="40">
        <v>0</v>
      </c>
      <c r="M1853" s="40">
        <f t="shared" si="57"/>
        <v>0</v>
      </c>
      <c r="N1853" s="40">
        <f t="shared" si="58"/>
        <v>0</v>
      </c>
    </row>
    <row r="1854" spans="1:14" x14ac:dyDescent="0.35">
      <c r="A1854" s="33">
        <v>1851</v>
      </c>
      <c r="B1854" s="34" t="s">
        <v>2229</v>
      </c>
      <c r="C1854" s="33" t="s">
        <v>346</v>
      </c>
      <c r="D1854" s="33" t="s">
        <v>70</v>
      </c>
      <c r="E1854" s="33" t="s">
        <v>2091</v>
      </c>
      <c r="F1854" s="35">
        <v>1</v>
      </c>
      <c r="G1854" s="40">
        <v>0</v>
      </c>
      <c r="H1854" s="40">
        <v>0</v>
      </c>
      <c r="I1854" s="40">
        <v>0</v>
      </c>
      <c r="J1854" s="40">
        <v>0</v>
      </c>
      <c r="K1854" s="40">
        <v>0</v>
      </c>
      <c r="L1854" s="40">
        <v>0</v>
      </c>
      <c r="M1854" s="40">
        <f t="shared" si="57"/>
        <v>0</v>
      </c>
      <c r="N1854" s="40">
        <f t="shared" si="58"/>
        <v>0</v>
      </c>
    </row>
    <row r="1855" spans="1:14" x14ac:dyDescent="0.35">
      <c r="A1855" s="33">
        <v>1852</v>
      </c>
      <c r="B1855" s="34" t="s">
        <v>2230</v>
      </c>
      <c r="C1855" s="33" t="s">
        <v>346</v>
      </c>
      <c r="D1855" s="33" t="s">
        <v>70</v>
      </c>
      <c r="E1855" s="33" t="s">
        <v>2091</v>
      </c>
      <c r="F1855" s="35">
        <v>1</v>
      </c>
      <c r="G1855" s="40">
        <v>0</v>
      </c>
      <c r="H1855" s="40">
        <v>0</v>
      </c>
      <c r="I1855" s="40">
        <v>0</v>
      </c>
      <c r="J1855" s="40">
        <v>0</v>
      </c>
      <c r="K1855" s="40">
        <v>0</v>
      </c>
      <c r="L1855" s="40">
        <v>57.900000000000006</v>
      </c>
      <c r="M1855" s="40">
        <f t="shared" si="57"/>
        <v>0</v>
      </c>
      <c r="N1855" s="40">
        <f t="shared" si="58"/>
        <v>57.900000000000006</v>
      </c>
    </row>
    <row r="1856" spans="1:14" x14ac:dyDescent="0.35">
      <c r="A1856" s="33">
        <v>1853</v>
      </c>
      <c r="B1856" s="34" t="s">
        <v>2231</v>
      </c>
      <c r="C1856" s="33" t="s">
        <v>346</v>
      </c>
      <c r="D1856" s="33" t="s">
        <v>70</v>
      </c>
      <c r="E1856" s="33" t="s">
        <v>2091</v>
      </c>
      <c r="F1856" s="35">
        <v>1</v>
      </c>
      <c r="G1856" s="40">
        <v>0</v>
      </c>
      <c r="H1856" s="40">
        <v>0</v>
      </c>
      <c r="I1856" s="40">
        <v>0</v>
      </c>
      <c r="J1856" s="40">
        <v>0</v>
      </c>
      <c r="K1856" s="40">
        <v>0</v>
      </c>
      <c r="L1856" s="40">
        <v>0</v>
      </c>
      <c r="M1856" s="40">
        <f t="shared" si="57"/>
        <v>0</v>
      </c>
      <c r="N1856" s="40">
        <f t="shared" si="58"/>
        <v>0</v>
      </c>
    </row>
    <row r="1857" spans="1:14" x14ac:dyDescent="0.35">
      <c r="A1857" s="33">
        <v>1854</v>
      </c>
      <c r="B1857" s="34" t="s">
        <v>2232</v>
      </c>
      <c r="C1857" s="33" t="s">
        <v>346</v>
      </c>
      <c r="D1857" s="33" t="s">
        <v>70</v>
      </c>
      <c r="E1857" s="33" t="s">
        <v>2091</v>
      </c>
      <c r="F1857" s="35">
        <v>1</v>
      </c>
      <c r="G1857" s="40">
        <v>0</v>
      </c>
      <c r="H1857" s="40">
        <v>0</v>
      </c>
      <c r="I1857" s="40">
        <v>0</v>
      </c>
      <c r="J1857" s="40">
        <v>0</v>
      </c>
      <c r="K1857" s="40">
        <v>0</v>
      </c>
      <c r="L1857" s="40">
        <v>0</v>
      </c>
      <c r="M1857" s="40">
        <f t="shared" si="57"/>
        <v>0</v>
      </c>
      <c r="N1857" s="40">
        <f t="shared" si="58"/>
        <v>0</v>
      </c>
    </row>
    <row r="1858" spans="1:14" x14ac:dyDescent="0.35">
      <c r="A1858" s="33">
        <v>1855</v>
      </c>
      <c r="B1858" s="34" t="s">
        <v>2233</v>
      </c>
      <c r="C1858" s="33" t="s">
        <v>346</v>
      </c>
      <c r="D1858" s="33" t="s">
        <v>70</v>
      </c>
      <c r="E1858" s="33" t="s">
        <v>2091</v>
      </c>
      <c r="F1858" s="35">
        <v>1</v>
      </c>
      <c r="G1858" s="40">
        <v>0</v>
      </c>
      <c r="H1858" s="40">
        <v>0</v>
      </c>
      <c r="I1858" s="40">
        <v>0</v>
      </c>
      <c r="J1858" s="40">
        <v>0</v>
      </c>
      <c r="K1858" s="40">
        <v>0</v>
      </c>
      <c r="L1858" s="40">
        <v>0</v>
      </c>
      <c r="M1858" s="40">
        <f t="shared" si="57"/>
        <v>0</v>
      </c>
      <c r="N1858" s="40">
        <f t="shared" si="58"/>
        <v>0</v>
      </c>
    </row>
    <row r="1859" spans="1:14" x14ac:dyDescent="0.35">
      <c r="A1859" s="33">
        <v>1856</v>
      </c>
      <c r="B1859" s="34" t="s">
        <v>2234</v>
      </c>
      <c r="C1859" s="33" t="s">
        <v>346</v>
      </c>
      <c r="D1859" s="33" t="s">
        <v>70</v>
      </c>
      <c r="E1859" s="33" t="s">
        <v>2091</v>
      </c>
      <c r="F1859" s="35">
        <v>1</v>
      </c>
      <c r="G1859" s="40">
        <v>0</v>
      </c>
      <c r="H1859" s="40">
        <v>0</v>
      </c>
      <c r="I1859" s="40">
        <v>0</v>
      </c>
      <c r="J1859" s="40">
        <v>0</v>
      </c>
      <c r="K1859" s="40">
        <v>0</v>
      </c>
      <c r="L1859" s="40">
        <v>0</v>
      </c>
      <c r="M1859" s="40">
        <f t="shared" si="57"/>
        <v>0</v>
      </c>
      <c r="N1859" s="40">
        <f t="shared" si="58"/>
        <v>0</v>
      </c>
    </row>
    <row r="1860" spans="1:14" x14ac:dyDescent="0.35">
      <c r="A1860" s="33">
        <v>1857</v>
      </c>
      <c r="B1860" s="34" t="s">
        <v>2235</v>
      </c>
      <c r="C1860" s="33" t="s">
        <v>346</v>
      </c>
      <c r="D1860" s="33" t="s">
        <v>70</v>
      </c>
      <c r="E1860" s="33" t="s">
        <v>2091</v>
      </c>
      <c r="F1860" s="35">
        <v>1</v>
      </c>
      <c r="G1860" s="40">
        <v>0</v>
      </c>
      <c r="H1860" s="40">
        <v>0</v>
      </c>
      <c r="I1860" s="40">
        <v>0</v>
      </c>
      <c r="J1860" s="40">
        <v>0</v>
      </c>
      <c r="K1860" s="40">
        <v>0</v>
      </c>
      <c r="L1860" s="40">
        <v>0</v>
      </c>
      <c r="M1860" s="40">
        <f t="shared" si="57"/>
        <v>0</v>
      </c>
      <c r="N1860" s="40">
        <f t="shared" si="58"/>
        <v>0</v>
      </c>
    </row>
    <row r="1861" spans="1:14" x14ac:dyDescent="0.35">
      <c r="A1861" s="33">
        <v>1858</v>
      </c>
      <c r="B1861" s="34" t="s">
        <v>2236</v>
      </c>
      <c r="C1861" s="33" t="s">
        <v>346</v>
      </c>
      <c r="D1861" s="33" t="s">
        <v>70</v>
      </c>
      <c r="E1861" s="33" t="s">
        <v>2091</v>
      </c>
      <c r="F1861" s="35">
        <v>0.8</v>
      </c>
      <c r="G1861" s="40">
        <v>0</v>
      </c>
      <c r="H1861" s="40">
        <v>0</v>
      </c>
      <c r="I1861" s="40">
        <v>0</v>
      </c>
      <c r="J1861" s="40">
        <v>0</v>
      </c>
      <c r="K1861" s="40">
        <v>0</v>
      </c>
      <c r="L1861" s="40">
        <v>0</v>
      </c>
      <c r="M1861" s="40">
        <f t="shared" ref="M1861:M1924" si="59">G1861+I1861+K1861</f>
        <v>0</v>
      </c>
      <c r="N1861" s="40">
        <f t="shared" ref="N1861:N1924" si="60">H1861+J1861+L1861</f>
        <v>0</v>
      </c>
    </row>
    <row r="1862" spans="1:14" x14ac:dyDescent="0.35">
      <c r="A1862" s="33">
        <v>1859</v>
      </c>
      <c r="B1862" s="34" t="s">
        <v>2237</v>
      </c>
      <c r="C1862" s="33" t="s">
        <v>346</v>
      </c>
      <c r="D1862" s="33" t="s">
        <v>70</v>
      </c>
      <c r="E1862" s="33" t="s">
        <v>2091</v>
      </c>
      <c r="F1862" s="35">
        <v>0.4</v>
      </c>
      <c r="G1862" s="40">
        <v>0</v>
      </c>
      <c r="H1862" s="40">
        <v>0</v>
      </c>
      <c r="I1862" s="40">
        <v>0</v>
      </c>
      <c r="J1862" s="40">
        <v>0</v>
      </c>
      <c r="K1862" s="40">
        <v>0</v>
      </c>
      <c r="L1862" s="40">
        <v>0</v>
      </c>
      <c r="M1862" s="40">
        <f t="shared" si="59"/>
        <v>0</v>
      </c>
      <c r="N1862" s="40">
        <f t="shared" si="60"/>
        <v>0</v>
      </c>
    </row>
    <row r="1863" spans="1:14" x14ac:dyDescent="0.35">
      <c r="A1863" s="33">
        <v>1860</v>
      </c>
      <c r="B1863" s="34" t="s">
        <v>2238</v>
      </c>
      <c r="C1863" s="33" t="s">
        <v>346</v>
      </c>
      <c r="D1863" s="33" t="s">
        <v>70</v>
      </c>
      <c r="E1863" s="33" t="s">
        <v>2091</v>
      </c>
      <c r="F1863" s="35">
        <v>0.4</v>
      </c>
      <c r="G1863" s="40">
        <v>0</v>
      </c>
      <c r="H1863" s="40">
        <v>0</v>
      </c>
      <c r="I1863" s="40">
        <v>0</v>
      </c>
      <c r="J1863" s="40">
        <v>0</v>
      </c>
      <c r="K1863" s="40">
        <v>0</v>
      </c>
      <c r="L1863" s="40">
        <v>0</v>
      </c>
      <c r="M1863" s="40">
        <f t="shared" si="59"/>
        <v>0</v>
      </c>
      <c r="N1863" s="40">
        <f t="shared" si="60"/>
        <v>0</v>
      </c>
    </row>
    <row r="1864" spans="1:14" x14ac:dyDescent="0.35">
      <c r="A1864" s="33">
        <v>1861</v>
      </c>
      <c r="B1864" s="34" t="s">
        <v>2239</v>
      </c>
      <c r="C1864" s="33" t="s">
        <v>346</v>
      </c>
      <c r="D1864" s="33" t="s">
        <v>70</v>
      </c>
      <c r="E1864" s="33" t="s">
        <v>2091</v>
      </c>
      <c r="F1864" s="35">
        <v>0.4</v>
      </c>
      <c r="G1864" s="40">
        <v>0</v>
      </c>
      <c r="H1864" s="40">
        <v>0</v>
      </c>
      <c r="I1864" s="40">
        <v>0</v>
      </c>
      <c r="J1864" s="40">
        <v>0</v>
      </c>
      <c r="K1864" s="40">
        <v>0</v>
      </c>
      <c r="L1864" s="40">
        <v>0</v>
      </c>
      <c r="M1864" s="40">
        <f t="shared" si="59"/>
        <v>0</v>
      </c>
      <c r="N1864" s="40">
        <f t="shared" si="60"/>
        <v>0</v>
      </c>
    </row>
    <row r="1865" spans="1:14" x14ac:dyDescent="0.35">
      <c r="A1865" s="33">
        <v>1862</v>
      </c>
      <c r="B1865" s="34" t="s">
        <v>2240</v>
      </c>
      <c r="C1865" s="33" t="s">
        <v>346</v>
      </c>
      <c r="D1865" s="33" t="s">
        <v>70</v>
      </c>
      <c r="E1865" s="33" t="s">
        <v>2091</v>
      </c>
      <c r="F1865" s="35">
        <v>0.2</v>
      </c>
      <c r="G1865" s="40">
        <v>0</v>
      </c>
      <c r="H1865" s="40">
        <v>0</v>
      </c>
      <c r="I1865" s="40">
        <v>0</v>
      </c>
      <c r="J1865" s="40">
        <v>0</v>
      </c>
      <c r="K1865" s="40">
        <v>0</v>
      </c>
      <c r="L1865" s="40">
        <v>0</v>
      </c>
      <c r="M1865" s="40">
        <f t="shared" si="59"/>
        <v>0</v>
      </c>
      <c r="N1865" s="40">
        <f t="shared" si="60"/>
        <v>0</v>
      </c>
    </row>
    <row r="1866" spans="1:14" x14ac:dyDescent="0.35">
      <c r="A1866" s="33">
        <v>1863</v>
      </c>
      <c r="B1866" s="34" t="s">
        <v>2241</v>
      </c>
      <c r="C1866" s="33" t="s">
        <v>346</v>
      </c>
      <c r="D1866" s="33" t="s">
        <v>70</v>
      </c>
      <c r="E1866" s="33" t="s">
        <v>2091</v>
      </c>
      <c r="F1866" s="35">
        <v>0.34</v>
      </c>
      <c r="G1866" s="40">
        <v>0</v>
      </c>
      <c r="H1866" s="40">
        <v>0</v>
      </c>
      <c r="I1866" s="40">
        <v>0</v>
      </c>
      <c r="J1866" s="40">
        <v>0</v>
      </c>
      <c r="K1866" s="40">
        <v>0</v>
      </c>
      <c r="L1866" s="40">
        <v>0</v>
      </c>
      <c r="M1866" s="40">
        <f t="shared" si="59"/>
        <v>0</v>
      </c>
      <c r="N1866" s="40">
        <f t="shared" si="60"/>
        <v>0</v>
      </c>
    </row>
    <row r="1867" spans="1:14" x14ac:dyDescent="0.35">
      <c r="A1867" s="33">
        <v>1864</v>
      </c>
      <c r="B1867" s="34" t="s">
        <v>2242</v>
      </c>
      <c r="C1867" s="33" t="s">
        <v>297</v>
      </c>
      <c r="D1867" s="33" t="s">
        <v>142</v>
      </c>
      <c r="E1867" s="33" t="s">
        <v>2242</v>
      </c>
      <c r="F1867" s="35">
        <v>1</v>
      </c>
      <c r="G1867" s="40">
        <v>0</v>
      </c>
      <c r="H1867" s="40">
        <v>0</v>
      </c>
      <c r="I1867" s="40">
        <v>0</v>
      </c>
      <c r="J1867" s="40">
        <v>0</v>
      </c>
      <c r="K1867" s="40">
        <v>0</v>
      </c>
      <c r="L1867" s="40">
        <v>0</v>
      </c>
      <c r="M1867" s="40">
        <f t="shared" si="59"/>
        <v>0</v>
      </c>
      <c r="N1867" s="40">
        <f t="shared" si="60"/>
        <v>0</v>
      </c>
    </row>
    <row r="1868" spans="1:14" x14ac:dyDescent="0.35">
      <c r="A1868" s="33">
        <v>1865</v>
      </c>
      <c r="B1868" s="34" t="s">
        <v>2243</v>
      </c>
      <c r="C1868" s="33" t="s">
        <v>297</v>
      </c>
      <c r="D1868" s="33" t="s">
        <v>142</v>
      </c>
      <c r="E1868" s="33" t="s">
        <v>2244</v>
      </c>
      <c r="F1868" s="35">
        <v>1</v>
      </c>
      <c r="G1868" s="40">
        <v>0</v>
      </c>
      <c r="H1868" s="40">
        <v>0</v>
      </c>
      <c r="I1868" s="40">
        <v>0</v>
      </c>
      <c r="J1868" s="40">
        <v>0</v>
      </c>
      <c r="K1868" s="40">
        <v>0</v>
      </c>
      <c r="L1868" s="40">
        <v>0</v>
      </c>
      <c r="M1868" s="40">
        <f t="shared" si="59"/>
        <v>0</v>
      </c>
      <c r="N1868" s="40">
        <f t="shared" si="60"/>
        <v>0</v>
      </c>
    </row>
    <row r="1869" spans="1:14" x14ac:dyDescent="0.35">
      <c r="A1869" s="33">
        <v>1866</v>
      </c>
      <c r="B1869" s="34" t="s">
        <v>2245</v>
      </c>
      <c r="C1869" s="33" t="s">
        <v>297</v>
      </c>
      <c r="D1869" s="33" t="s">
        <v>142</v>
      </c>
      <c r="E1869" s="33" t="s">
        <v>2244</v>
      </c>
      <c r="F1869" s="35">
        <v>1</v>
      </c>
      <c r="G1869" s="40">
        <v>0</v>
      </c>
      <c r="H1869" s="40">
        <v>0</v>
      </c>
      <c r="I1869" s="40">
        <v>0</v>
      </c>
      <c r="J1869" s="40">
        <v>0</v>
      </c>
      <c r="K1869" s="40">
        <v>0</v>
      </c>
      <c r="L1869" s="40">
        <v>0</v>
      </c>
      <c r="M1869" s="40">
        <f t="shared" si="59"/>
        <v>0</v>
      </c>
      <c r="N1869" s="40">
        <f t="shared" si="60"/>
        <v>0</v>
      </c>
    </row>
    <row r="1870" spans="1:14" x14ac:dyDescent="0.35">
      <c r="A1870" s="33">
        <v>1867</v>
      </c>
      <c r="B1870" s="34" t="s">
        <v>2246</v>
      </c>
      <c r="C1870" s="33" t="s">
        <v>297</v>
      </c>
      <c r="D1870" s="33" t="s">
        <v>142</v>
      </c>
      <c r="E1870" s="33" t="s">
        <v>2244</v>
      </c>
      <c r="F1870" s="35">
        <v>1</v>
      </c>
      <c r="G1870" s="40">
        <v>0</v>
      </c>
      <c r="H1870" s="40">
        <v>0</v>
      </c>
      <c r="I1870" s="40">
        <v>0</v>
      </c>
      <c r="J1870" s="40">
        <v>0</v>
      </c>
      <c r="K1870" s="40">
        <v>0</v>
      </c>
      <c r="L1870" s="40">
        <v>0</v>
      </c>
      <c r="M1870" s="40">
        <f t="shared" si="59"/>
        <v>0</v>
      </c>
      <c r="N1870" s="40">
        <f t="shared" si="60"/>
        <v>0</v>
      </c>
    </row>
    <row r="1871" spans="1:14" x14ac:dyDescent="0.35">
      <c r="A1871" s="33">
        <v>1868</v>
      </c>
      <c r="B1871" s="34" t="s">
        <v>2247</v>
      </c>
      <c r="C1871" s="33" t="s">
        <v>297</v>
      </c>
      <c r="D1871" s="33" t="s">
        <v>142</v>
      </c>
      <c r="E1871" s="33" t="s">
        <v>2244</v>
      </c>
      <c r="F1871" s="35">
        <v>1</v>
      </c>
      <c r="G1871" s="40">
        <v>0</v>
      </c>
      <c r="H1871" s="40">
        <v>0</v>
      </c>
      <c r="I1871" s="40">
        <v>0</v>
      </c>
      <c r="J1871" s="40">
        <v>0</v>
      </c>
      <c r="K1871" s="40">
        <v>0</v>
      </c>
      <c r="L1871" s="40">
        <v>0</v>
      </c>
      <c r="M1871" s="40">
        <f t="shared" si="59"/>
        <v>0</v>
      </c>
      <c r="N1871" s="40">
        <f t="shared" si="60"/>
        <v>0</v>
      </c>
    </row>
    <row r="1872" spans="1:14" x14ac:dyDescent="0.35">
      <c r="A1872" s="33">
        <v>1869</v>
      </c>
      <c r="B1872" s="34" t="s">
        <v>2255</v>
      </c>
      <c r="C1872" s="33" t="s">
        <v>346</v>
      </c>
      <c r="D1872" s="33" t="s">
        <v>142</v>
      </c>
      <c r="E1872" s="33" t="s">
        <v>2244</v>
      </c>
      <c r="F1872" s="35">
        <v>0.25</v>
      </c>
      <c r="G1872" s="40">
        <v>0</v>
      </c>
      <c r="H1872" s="40">
        <v>0</v>
      </c>
      <c r="I1872" s="40">
        <v>0</v>
      </c>
      <c r="J1872" s="40">
        <v>0</v>
      </c>
      <c r="K1872" s="40">
        <v>0</v>
      </c>
      <c r="L1872" s="40">
        <v>0</v>
      </c>
      <c r="M1872" s="40">
        <f t="shared" si="59"/>
        <v>0</v>
      </c>
      <c r="N1872" s="40">
        <f t="shared" si="60"/>
        <v>0</v>
      </c>
    </row>
    <row r="1873" spans="1:14" x14ac:dyDescent="0.35">
      <c r="A1873" s="33">
        <v>1870</v>
      </c>
      <c r="B1873" s="34" t="s">
        <v>2256</v>
      </c>
      <c r="C1873" s="33" t="s">
        <v>346</v>
      </c>
      <c r="D1873" s="33" t="s">
        <v>142</v>
      </c>
      <c r="E1873" s="33" t="s">
        <v>2244</v>
      </c>
      <c r="F1873" s="35">
        <v>1</v>
      </c>
      <c r="G1873" s="40">
        <v>0</v>
      </c>
      <c r="H1873" s="40">
        <v>0</v>
      </c>
      <c r="I1873" s="40">
        <v>0</v>
      </c>
      <c r="J1873" s="40">
        <v>0</v>
      </c>
      <c r="K1873" s="40">
        <v>0</v>
      </c>
      <c r="L1873" s="40">
        <v>0</v>
      </c>
      <c r="M1873" s="40">
        <f t="shared" si="59"/>
        <v>0</v>
      </c>
      <c r="N1873" s="40">
        <f t="shared" si="60"/>
        <v>0</v>
      </c>
    </row>
    <row r="1874" spans="1:14" x14ac:dyDescent="0.35">
      <c r="A1874" s="33">
        <v>1871</v>
      </c>
      <c r="B1874" s="34" t="s">
        <v>2257</v>
      </c>
      <c r="C1874" s="33" t="s">
        <v>346</v>
      </c>
      <c r="D1874" s="33" t="s">
        <v>142</v>
      </c>
      <c r="E1874" s="33" t="s">
        <v>2244</v>
      </c>
      <c r="F1874" s="35">
        <v>1</v>
      </c>
      <c r="G1874" s="40">
        <v>0</v>
      </c>
      <c r="H1874" s="40">
        <v>0</v>
      </c>
      <c r="I1874" s="40">
        <v>0</v>
      </c>
      <c r="J1874" s="40">
        <v>0</v>
      </c>
      <c r="K1874" s="40">
        <v>0</v>
      </c>
      <c r="L1874" s="40">
        <v>0</v>
      </c>
      <c r="M1874" s="40">
        <f t="shared" si="59"/>
        <v>0</v>
      </c>
      <c r="N1874" s="40">
        <f t="shared" si="60"/>
        <v>0</v>
      </c>
    </row>
    <row r="1875" spans="1:14" x14ac:dyDescent="0.35">
      <c r="A1875" s="33">
        <v>1872</v>
      </c>
      <c r="B1875" s="34" t="s">
        <v>2258</v>
      </c>
      <c r="C1875" s="33" t="s">
        <v>346</v>
      </c>
      <c r="D1875" s="33" t="s">
        <v>142</v>
      </c>
      <c r="E1875" s="33" t="s">
        <v>2244</v>
      </c>
      <c r="F1875" s="35">
        <v>1</v>
      </c>
      <c r="G1875" s="40">
        <v>0</v>
      </c>
      <c r="H1875" s="40">
        <v>0</v>
      </c>
      <c r="I1875" s="40">
        <v>0</v>
      </c>
      <c r="J1875" s="40">
        <v>0</v>
      </c>
      <c r="K1875" s="40">
        <v>0</v>
      </c>
      <c r="L1875" s="40">
        <v>0</v>
      </c>
      <c r="M1875" s="40">
        <f t="shared" si="59"/>
        <v>0</v>
      </c>
      <c r="N1875" s="40">
        <f t="shared" si="60"/>
        <v>0</v>
      </c>
    </row>
    <row r="1876" spans="1:14" x14ac:dyDescent="0.35">
      <c r="A1876" s="33">
        <v>1873</v>
      </c>
      <c r="B1876" s="34" t="s">
        <v>2259</v>
      </c>
      <c r="C1876" s="33" t="s">
        <v>346</v>
      </c>
      <c r="D1876" s="33" t="s">
        <v>142</v>
      </c>
      <c r="E1876" s="33" t="s">
        <v>2244</v>
      </c>
      <c r="F1876" s="35">
        <v>1</v>
      </c>
      <c r="G1876" s="40">
        <v>0</v>
      </c>
      <c r="H1876" s="40">
        <v>0</v>
      </c>
      <c r="I1876" s="40">
        <v>0</v>
      </c>
      <c r="J1876" s="40">
        <v>0</v>
      </c>
      <c r="K1876" s="40">
        <v>0</v>
      </c>
      <c r="L1876" s="40">
        <v>0</v>
      </c>
      <c r="M1876" s="40">
        <f t="shared" si="59"/>
        <v>0</v>
      </c>
      <c r="N1876" s="40">
        <f t="shared" si="60"/>
        <v>0</v>
      </c>
    </row>
    <row r="1877" spans="1:14" x14ac:dyDescent="0.35">
      <c r="A1877" s="33">
        <v>1874</v>
      </c>
      <c r="B1877" s="34" t="s">
        <v>2260</v>
      </c>
      <c r="C1877" s="33" t="s">
        <v>346</v>
      </c>
      <c r="D1877" s="33" t="s">
        <v>142</v>
      </c>
      <c r="E1877" s="33" t="s">
        <v>2244</v>
      </c>
      <c r="F1877" s="35">
        <v>1</v>
      </c>
      <c r="G1877" s="40">
        <v>0</v>
      </c>
      <c r="H1877" s="40">
        <v>0</v>
      </c>
      <c r="I1877" s="40">
        <v>0</v>
      </c>
      <c r="J1877" s="40">
        <v>0</v>
      </c>
      <c r="K1877" s="40">
        <v>0</v>
      </c>
      <c r="L1877" s="40">
        <v>0</v>
      </c>
      <c r="M1877" s="40">
        <f t="shared" si="59"/>
        <v>0</v>
      </c>
      <c r="N1877" s="40">
        <f t="shared" si="60"/>
        <v>0</v>
      </c>
    </row>
    <row r="1878" spans="1:14" x14ac:dyDescent="0.35">
      <c r="A1878" s="33">
        <v>1875</v>
      </c>
      <c r="B1878" s="34" t="s">
        <v>2261</v>
      </c>
      <c r="C1878" s="33" t="s">
        <v>346</v>
      </c>
      <c r="D1878" s="33" t="s">
        <v>142</v>
      </c>
      <c r="E1878" s="33" t="s">
        <v>2244</v>
      </c>
      <c r="F1878" s="35">
        <v>1</v>
      </c>
      <c r="G1878" s="40">
        <v>0</v>
      </c>
      <c r="H1878" s="40">
        <v>0</v>
      </c>
      <c r="I1878" s="40">
        <v>0</v>
      </c>
      <c r="J1878" s="40">
        <v>0</v>
      </c>
      <c r="K1878" s="40">
        <v>0</v>
      </c>
      <c r="L1878" s="40">
        <v>0</v>
      </c>
      <c r="M1878" s="40">
        <f t="shared" si="59"/>
        <v>0</v>
      </c>
      <c r="N1878" s="40">
        <f t="shared" si="60"/>
        <v>0</v>
      </c>
    </row>
    <row r="1879" spans="1:14" x14ac:dyDescent="0.35">
      <c r="A1879" s="33">
        <v>1876</v>
      </c>
      <c r="B1879" s="34" t="s">
        <v>2262</v>
      </c>
      <c r="C1879" s="33" t="s">
        <v>346</v>
      </c>
      <c r="D1879" s="33" t="s">
        <v>142</v>
      </c>
      <c r="E1879" s="33" t="s">
        <v>2244</v>
      </c>
      <c r="F1879" s="35">
        <v>0.1</v>
      </c>
      <c r="G1879" s="40">
        <v>0</v>
      </c>
      <c r="H1879" s="40">
        <v>0</v>
      </c>
      <c r="I1879" s="40">
        <v>0</v>
      </c>
      <c r="J1879" s="40">
        <v>0</v>
      </c>
      <c r="K1879" s="40">
        <v>0</v>
      </c>
      <c r="L1879" s="40">
        <v>0</v>
      </c>
      <c r="M1879" s="40">
        <f t="shared" si="59"/>
        <v>0</v>
      </c>
      <c r="N1879" s="40">
        <f t="shared" si="60"/>
        <v>0</v>
      </c>
    </row>
    <row r="1880" spans="1:14" x14ac:dyDescent="0.35">
      <c r="A1880" s="33">
        <v>1877</v>
      </c>
      <c r="B1880" s="34" t="s">
        <v>2263</v>
      </c>
      <c r="C1880" s="33" t="s">
        <v>346</v>
      </c>
      <c r="D1880" s="33" t="s">
        <v>142</v>
      </c>
      <c r="E1880" s="33" t="s">
        <v>2244</v>
      </c>
      <c r="F1880" s="35">
        <v>0.25</v>
      </c>
      <c r="G1880" s="40">
        <v>0</v>
      </c>
      <c r="H1880" s="40">
        <v>0</v>
      </c>
      <c r="I1880" s="40">
        <v>0</v>
      </c>
      <c r="J1880" s="40">
        <v>0</v>
      </c>
      <c r="K1880" s="40">
        <v>0</v>
      </c>
      <c r="L1880" s="40">
        <v>0</v>
      </c>
      <c r="M1880" s="40">
        <f t="shared" si="59"/>
        <v>0</v>
      </c>
      <c r="N1880" s="40">
        <f t="shared" si="60"/>
        <v>0</v>
      </c>
    </row>
    <row r="1881" spans="1:14" x14ac:dyDescent="0.35">
      <c r="A1881" s="33">
        <v>1878</v>
      </c>
      <c r="B1881" s="34" t="s">
        <v>2264</v>
      </c>
      <c r="C1881" s="33" t="s">
        <v>346</v>
      </c>
      <c r="D1881" s="33" t="s">
        <v>142</v>
      </c>
      <c r="E1881" s="33" t="s">
        <v>2244</v>
      </c>
      <c r="F1881" s="35">
        <v>0.5</v>
      </c>
      <c r="G1881" s="40">
        <v>0</v>
      </c>
      <c r="H1881" s="40">
        <v>0</v>
      </c>
      <c r="I1881" s="40">
        <v>0</v>
      </c>
      <c r="J1881" s="40">
        <v>0</v>
      </c>
      <c r="K1881" s="40">
        <v>0</v>
      </c>
      <c r="L1881" s="40">
        <v>0</v>
      </c>
      <c r="M1881" s="40">
        <f t="shared" si="59"/>
        <v>0</v>
      </c>
      <c r="N1881" s="40">
        <f t="shared" si="60"/>
        <v>0</v>
      </c>
    </row>
    <row r="1882" spans="1:14" x14ac:dyDescent="0.35">
      <c r="A1882" s="33">
        <v>1879</v>
      </c>
      <c r="B1882" s="34" t="s">
        <v>2265</v>
      </c>
      <c r="C1882" s="33" t="s">
        <v>346</v>
      </c>
      <c r="D1882" s="33" t="s">
        <v>142</v>
      </c>
      <c r="E1882" s="33" t="s">
        <v>2244</v>
      </c>
      <c r="F1882" s="35">
        <v>0.5</v>
      </c>
      <c r="G1882" s="40">
        <v>0</v>
      </c>
      <c r="H1882" s="40">
        <v>0</v>
      </c>
      <c r="I1882" s="40">
        <v>0</v>
      </c>
      <c r="J1882" s="40">
        <v>0</v>
      </c>
      <c r="K1882" s="40">
        <v>0</v>
      </c>
      <c r="L1882" s="40">
        <v>0</v>
      </c>
      <c r="M1882" s="40">
        <f t="shared" si="59"/>
        <v>0</v>
      </c>
      <c r="N1882" s="40">
        <f t="shared" si="60"/>
        <v>0</v>
      </c>
    </row>
    <row r="1883" spans="1:14" x14ac:dyDescent="0.35">
      <c r="A1883" s="33">
        <v>1880</v>
      </c>
      <c r="B1883" s="34" t="s">
        <v>2266</v>
      </c>
      <c r="C1883" s="33" t="s">
        <v>346</v>
      </c>
      <c r="D1883" s="33" t="s">
        <v>142</v>
      </c>
      <c r="E1883" s="33" t="s">
        <v>2244</v>
      </c>
      <c r="F1883" s="35">
        <v>1</v>
      </c>
      <c r="G1883" s="40">
        <v>0</v>
      </c>
      <c r="H1883" s="40">
        <v>0</v>
      </c>
      <c r="I1883" s="40">
        <v>0</v>
      </c>
      <c r="J1883" s="40">
        <v>0</v>
      </c>
      <c r="K1883" s="40">
        <v>0</v>
      </c>
      <c r="L1883" s="40">
        <v>0</v>
      </c>
      <c r="M1883" s="40">
        <f t="shared" si="59"/>
        <v>0</v>
      </c>
      <c r="N1883" s="40">
        <f t="shared" si="60"/>
        <v>0</v>
      </c>
    </row>
    <row r="1884" spans="1:14" x14ac:dyDescent="0.35">
      <c r="A1884" s="33">
        <v>1881</v>
      </c>
      <c r="B1884" s="34" t="s">
        <v>2267</v>
      </c>
      <c r="C1884" s="33" t="s">
        <v>346</v>
      </c>
      <c r="D1884" s="33" t="s">
        <v>142</v>
      </c>
      <c r="E1884" s="33" t="s">
        <v>2244</v>
      </c>
      <c r="F1884" s="35">
        <v>1</v>
      </c>
      <c r="G1884" s="40">
        <v>0</v>
      </c>
      <c r="H1884" s="40">
        <v>0</v>
      </c>
      <c r="I1884" s="40">
        <v>0</v>
      </c>
      <c r="J1884" s="40">
        <v>0</v>
      </c>
      <c r="K1884" s="40">
        <v>0</v>
      </c>
      <c r="L1884" s="40">
        <v>0</v>
      </c>
      <c r="M1884" s="40">
        <f t="shared" si="59"/>
        <v>0</v>
      </c>
      <c r="N1884" s="40">
        <f t="shared" si="60"/>
        <v>0</v>
      </c>
    </row>
    <row r="1885" spans="1:14" x14ac:dyDescent="0.35">
      <c r="A1885" s="33">
        <v>1882</v>
      </c>
      <c r="B1885" s="34" t="s">
        <v>2248</v>
      </c>
      <c r="C1885" s="33" t="s">
        <v>297</v>
      </c>
      <c r="D1885" s="33" t="s">
        <v>142</v>
      </c>
      <c r="E1885" s="33" t="s">
        <v>2249</v>
      </c>
      <c r="F1885" s="35">
        <v>1</v>
      </c>
      <c r="G1885" s="40">
        <v>0</v>
      </c>
      <c r="H1885" s="40">
        <v>0</v>
      </c>
      <c r="I1885" s="40">
        <v>0</v>
      </c>
      <c r="J1885" s="40">
        <v>0</v>
      </c>
      <c r="K1885" s="40">
        <v>0</v>
      </c>
      <c r="L1885" s="40">
        <v>0</v>
      </c>
      <c r="M1885" s="40">
        <f t="shared" si="59"/>
        <v>0</v>
      </c>
      <c r="N1885" s="40">
        <f t="shared" si="60"/>
        <v>0</v>
      </c>
    </row>
    <row r="1886" spans="1:14" x14ac:dyDescent="0.35">
      <c r="A1886" s="33">
        <v>1883</v>
      </c>
      <c r="B1886" s="34" t="s">
        <v>2250</v>
      </c>
      <c r="C1886" s="33" t="s">
        <v>297</v>
      </c>
      <c r="D1886" s="33" t="s">
        <v>142</v>
      </c>
      <c r="E1886" s="33" t="s">
        <v>2249</v>
      </c>
      <c r="F1886" s="35">
        <v>1</v>
      </c>
      <c r="G1886" s="40">
        <v>0</v>
      </c>
      <c r="H1886" s="40">
        <v>0</v>
      </c>
      <c r="I1886" s="40">
        <v>0</v>
      </c>
      <c r="J1886" s="40">
        <v>0</v>
      </c>
      <c r="K1886" s="40">
        <v>0</v>
      </c>
      <c r="L1886" s="40">
        <v>0</v>
      </c>
      <c r="M1886" s="40">
        <f t="shared" si="59"/>
        <v>0</v>
      </c>
      <c r="N1886" s="40">
        <f t="shared" si="60"/>
        <v>0</v>
      </c>
    </row>
    <row r="1887" spans="1:14" x14ac:dyDescent="0.35">
      <c r="A1887" s="33">
        <v>1884</v>
      </c>
      <c r="B1887" s="34" t="s">
        <v>2268</v>
      </c>
      <c r="C1887" s="33" t="s">
        <v>346</v>
      </c>
      <c r="D1887" s="33" t="s">
        <v>142</v>
      </c>
      <c r="E1887" s="33" t="s">
        <v>2249</v>
      </c>
      <c r="F1887" s="35">
        <v>0.5</v>
      </c>
      <c r="G1887" s="40">
        <v>0</v>
      </c>
      <c r="H1887" s="40">
        <v>0</v>
      </c>
      <c r="I1887" s="40">
        <v>0</v>
      </c>
      <c r="J1887" s="40">
        <v>0</v>
      </c>
      <c r="K1887" s="40">
        <v>0</v>
      </c>
      <c r="L1887" s="40">
        <v>0</v>
      </c>
      <c r="M1887" s="40">
        <f t="shared" si="59"/>
        <v>0</v>
      </c>
      <c r="N1887" s="40">
        <f t="shared" si="60"/>
        <v>0</v>
      </c>
    </row>
    <row r="1888" spans="1:14" x14ac:dyDescent="0.35">
      <c r="A1888" s="33">
        <v>1885</v>
      </c>
      <c r="B1888" s="34" t="s">
        <v>2269</v>
      </c>
      <c r="C1888" s="33" t="s">
        <v>346</v>
      </c>
      <c r="D1888" s="33" t="s">
        <v>142</v>
      </c>
      <c r="E1888" s="33" t="s">
        <v>2249</v>
      </c>
      <c r="F1888" s="35">
        <v>1</v>
      </c>
      <c r="G1888" s="40">
        <v>0</v>
      </c>
      <c r="H1888" s="40">
        <v>0</v>
      </c>
      <c r="I1888" s="40">
        <v>0</v>
      </c>
      <c r="J1888" s="40">
        <v>0</v>
      </c>
      <c r="K1888" s="40">
        <v>0</v>
      </c>
      <c r="L1888" s="40">
        <v>0</v>
      </c>
      <c r="M1888" s="40">
        <f t="shared" si="59"/>
        <v>0</v>
      </c>
      <c r="N1888" s="40">
        <f t="shared" si="60"/>
        <v>0</v>
      </c>
    </row>
    <row r="1889" spans="1:14" x14ac:dyDescent="0.35">
      <c r="A1889" s="33">
        <v>1886</v>
      </c>
      <c r="B1889" s="34" t="s">
        <v>2270</v>
      </c>
      <c r="C1889" s="33" t="s">
        <v>346</v>
      </c>
      <c r="D1889" s="33" t="s">
        <v>142</v>
      </c>
      <c r="E1889" s="33" t="s">
        <v>2249</v>
      </c>
      <c r="F1889" s="35">
        <v>1</v>
      </c>
      <c r="G1889" s="40">
        <v>0</v>
      </c>
      <c r="H1889" s="40">
        <v>0</v>
      </c>
      <c r="I1889" s="40">
        <v>0</v>
      </c>
      <c r="J1889" s="40">
        <v>0</v>
      </c>
      <c r="K1889" s="40">
        <v>0</v>
      </c>
      <c r="L1889" s="40">
        <v>0</v>
      </c>
      <c r="M1889" s="40">
        <f t="shared" si="59"/>
        <v>0</v>
      </c>
      <c r="N1889" s="40">
        <f t="shared" si="60"/>
        <v>0</v>
      </c>
    </row>
    <row r="1890" spans="1:14" x14ac:dyDescent="0.35">
      <c r="A1890" s="33">
        <v>1887</v>
      </c>
      <c r="B1890" s="34" t="s">
        <v>2271</v>
      </c>
      <c r="C1890" s="33" t="s">
        <v>346</v>
      </c>
      <c r="D1890" s="33" t="s">
        <v>142</v>
      </c>
      <c r="E1890" s="33" t="s">
        <v>2249</v>
      </c>
      <c r="F1890" s="35">
        <v>0.5</v>
      </c>
      <c r="G1890" s="40">
        <v>0</v>
      </c>
      <c r="H1890" s="40">
        <v>0</v>
      </c>
      <c r="I1890" s="40">
        <v>0</v>
      </c>
      <c r="J1890" s="40">
        <v>0</v>
      </c>
      <c r="K1890" s="40">
        <v>0</v>
      </c>
      <c r="L1890" s="40">
        <v>0</v>
      </c>
      <c r="M1890" s="40">
        <f t="shared" si="59"/>
        <v>0</v>
      </c>
      <c r="N1890" s="40">
        <f t="shared" si="60"/>
        <v>0</v>
      </c>
    </row>
    <row r="1891" spans="1:14" x14ac:dyDescent="0.35">
      <c r="A1891" s="33">
        <v>1888</v>
      </c>
      <c r="B1891" s="34" t="s">
        <v>2251</v>
      </c>
      <c r="C1891" s="33" t="s">
        <v>297</v>
      </c>
      <c r="D1891" s="33" t="s">
        <v>142</v>
      </c>
      <c r="E1891" s="33" t="s">
        <v>2252</v>
      </c>
      <c r="F1891" s="35">
        <v>1</v>
      </c>
      <c r="G1891" s="40">
        <v>0</v>
      </c>
      <c r="H1891" s="40">
        <v>0</v>
      </c>
      <c r="I1891" s="40">
        <v>0</v>
      </c>
      <c r="J1891" s="40">
        <v>0</v>
      </c>
      <c r="K1891" s="40">
        <v>0</v>
      </c>
      <c r="L1891" s="40">
        <v>0</v>
      </c>
      <c r="M1891" s="40">
        <f t="shared" si="59"/>
        <v>0</v>
      </c>
      <c r="N1891" s="40">
        <f t="shared" si="60"/>
        <v>0</v>
      </c>
    </row>
    <row r="1892" spans="1:14" x14ac:dyDescent="0.35">
      <c r="A1892" s="33">
        <v>1889</v>
      </c>
      <c r="B1892" s="34" t="s">
        <v>2253</v>
      </c>
      <c r="C1892" s="33" t="s">
        <v>297</v>
      </c>
      <c r="D1892" s="33" t="s">
        <v>142</v>
      </c>
      <c r="E1892" s="33" t="s">
        <v>2252</v>
      </c>
      <c r="F1892" s="35">
        <v>1</v>
      </c>
      <c r="G1892" s="40">
        <v>0</v>
      </c>
      <c r="H1892" s="40">
        <v>0</v>
      </c>
      <c r="I1892" s="40">
        <v>0</v>
      </c>
      <c r="J1892" s="40">
        <v>0</v>
      </c>
      <c r="K1892" s="40">
        <v>0</v>
      </c>
      <c r="L1892" s="40">
        <v>0</v>
      </c>
      <c r="M1892" s="40">
        <f t="shared" si="59"/>
        <v>0</v>
      </c>
      <c r="N1892" s="40">
        <f t="shared" si="60"/>
        <v>0</v>
      </c>
    </row>
    <row r="1893" spans="1:14" x14ac:dyDescent="0.35">
      <c r="A1893" s="33">
        <v>1890</v>
      </c>
      <c r="B1893" s="34" t="s">
        <v>2254</v>
      </c>
      <c r="C1893" s="33" t="s">
        <v>297</v>
      </c>
      <c r="D1893" s="33" t="s">
        <v>142</v>
      </c>
      <c r="E1893" s="33" t="s">
        <v>2252</v>
      </c>
      <c r="F1893" s="35">
        <v>1</v>
      </c>
      <c r="G1893" s="40">
        <v>0</v>
      </c>
      <c r="H1893" s="40">
        <v>0</v>
      </c>
      <c r="I1893" s="40">
        <v>0</v>
      </c>
      <c r="J1893" s="40">
        <v>0</v>
      </c>
      <c r="K1893" s="40">
        <v>0</v>
      </c>
      <c r="L1893" s="40">
        <v>0</v>
      </c>
      <c r="M1893" s="40">
        <f t="shared" si="59"/>
        <v>0</v>
      </c>
      <c r="N1893" s="40">
        <f t="shared" si="60"/>
        <v>0</v>
      </c>
    </row>
    <row r="1894" spans="1:14" x14ac:dyDescent="0.35">
      <c r="A1894" s="33">
        <v>1891</v>
      </c>
      <c r="B1894" s="34" t="s">
        <v>2272</v>
      </c>
      <c r="C1894" s="33" t="s">
        <v>346</v>
      </c>
      <c r="D1894" s="33" t="s">
        <v>142</v>
      </c>
      <c r="E1894" s="33" t="s">
        <v>2252</v>
      </c>
      <c r="F1894" s="35">
        <v>0.25</v>
      </c>
      <c r="G1894" s="40">
        <v>0</v>
      </c>
      <c r="H1894" s="40">
        <v>0</v>
      </c>
      <c r="I1894" s="40">
        <v>0</v>
      </c>
      <c r="J1894" s="40">
        <v>0</v>
      </c>
      <c r="K1894" s="40">
        <v>0</v>
      </c>
      <c r="L1894" s="40">
        <v>0</v>
      </c>
      <c r="M1894" s="40">
        <f t="shared" si="59"/>
        <v>0</v>
      </c>
      <c r="N1894" s="40">
        <f t="shared" si="60"/>
        <v>0</v>
      </c>
    </row>
    <row r="1895" spans="1:14" x14ac:dyDescent="0.35">
      <c r="A1895" s="33">
        <v>1892</v>
      </c>
      <c r="B1895" s="34" t="s">
        <v>2273</v>
      </c>
      <c r="C1895" s="33" t="s">
        <v>346</v>
      </c>
      <c r="D1895" s="33" t="s">
        <v>142</v>
      </c>
      <c r="E1895" s="33" t="s">
        <v>2252</v>
      </c>
      <c r="F1895" s="35">
        <v>0.25</v>
      </c>
      <c r="G1895" s="40">
        <v>0</v>
      </c>
      <c r="H1895" s="40">
        <v>0</v>
      </c>
      <c r="I1895" s="40">
        <v>0</v>
      </c>
      <c r="J1895" s="40">
        <v>0</v>
      </c>
      <c r="K1895" s="40">
        <v>0</v>
      </c>
      <c r="L1895" s="40">
        <v>0</v>
      </c>
      <c r="M1895" s="40">
        <f t="shared" si="59"/>
        <v>0</v>
      </c>
      <c r="N1895" s="40">
        <f t="shared" si="60"/>
        <v>0</v>
      </c>
    </row>
    <row r="1896" spans="1:14" x14ac:dyDescent="0.35">
      <c r="A1896" s="33">
        <v>1893</v>
      </c>
      <c r="B1896" s="34" t="s">
        <v>2274</v>
      </c>
      <c r="C1896" s="33" t="s">
        <v>346</v>
      </c>
      <c r="D1896" s="33" t="s">
        <v>142</v>
      </c>
      <c r="E1896" s="33" t="s">
        <v>2252</v>
      </c>
      <c r="F1896" s="35">
        <v>0.15</v>
      </c>
      <c r="G1896" s="40">
        <v>0</v>
      </c>
      <c r="H1896" s="40">
        <v>0</v>
      </c>
      <c r="I1896" s="40">
        <v>0</v>
      </c>
      <c r="J1896" s="40">
        <v>0</v>
      </c>
      <c r="K1896" s="40">
        <v>0</v>
      </c>
      <c r="L1896" s="40">
        <v>0</v>
      </c>
      <c r="M1896" s="40">
        <f t="shared" si="59"/>
        <v>0</v>
      </c>
      <c r="N1896" s="40">
        <f t="shared" si="60"/>
        <v>0</v>
      </c>
    </row>
    <row r="1897" spans="1:14" x14ac:dyDescent="0.35">
      <c r="A1897" s="33">
        <v>1894</v>
      </c>
      <c r="B1897" s="34" t="s">
        <v>2275</v>
      </c>
      <c r="C1897" s="33" t="s">
        <v>346</v>
      </c>
      <c r="D1897" s="33" t="s">
        <v>142</v>
      </c>
      <c r="E1897" s="33" t="s">
        <v>2252</v>
      </c>
      <c r="F1897" s="35">
        <v>7.0000000000000007E-2</v>
      </c>
      <c r="G1897" s="40">
        <v>0</v>
      </c>
      <c r="H1897" s="40">
        <v>0</v>
      </c>
      <c r="I1897" s="40">
        <v>0</v>
      </c>
      <c r="J1897" s="40">
        <v>0</v>
      </c>
      <c r="K1897" s="40">
        <v>0</v>
      </c>
      <c r="L1897" s="40">
        <v>0</v>
      </c>
      <c r="M1897" s="40">
        <f t="shared" si="59"/>
        <v>0</v>
      </c>
      <c r="N1897" s="40">
        <f t="shared" si="60"/>
        <v>0</v>
      </c>
    </row>
    <row r="1898" spans="1:14" x14ac:dyDescent="0.35">
      <c r="A1898" s="33">
        <v>1895</v>
      </c>
      <c r="B1898" s="34" t="s">
        <v>2276</v>
      </c>
      <c r="C1898" s="33" t="s">
        <v>346</v>
      </c>
      <c r="D1898" s="33" t="s">
        <v>142</v>
      </c>
      <c r="E1898" s="33" t="s">
        <v>2252</v>
      </c>
      <c r="F1898" s="35">
        <v>0.15</v>
      </c>
      <c r="G1898" s="40">
        <v>0</v>
      </c>
      <c r="H1898" s="40">
        <v>0</v>
      </c>
      <c r="I1898" s="40">
        <v>0</v>
      </c>
      <c r="J1898" s="40">
        <v>0</v>
      </c>
      <c r="K1898" s="40">
        <v>0</v>
      </c>
      <c r="L1898" s="40">
        <v>0</v>
      </c>
      <c r="M1898" s="40">
        <f t="shared" si="59"/>
        <v>0</v>
      </c>
      <c r="N1898" s="40">
        <f t="shared" si="60"/>
        <v>0</v>
      </c>
    </row>
    <row r="1899" spans="1:14" x14ac:dyDescent="0.35">
      <c r="A1899" s="33">
        <v>1896</v>
      </c>
      <c r="B1899" s="34" t="s">
        <v>2277</v>
      </c>
      <c r="C1899" s="33" t="s">
        <v>346</v>
      </c>
      <c r="D1899" s="33" t="s">
        <v>142</v>
      </c>
      <c r="E1899" s="33" t="s">
        <v>2252</v>
      </c>
      <c r="F1899" s="35">
        <v>0.15</v>
      </c>
      <c r="G1899" s="40">
        <v>0</v>
      </c>
      <c r="H1899" s="40">
        <v>0</v>
      </c>
      <c r="I1899" s="40">
        <v>0</v>
      </c>
      <c r="J1899" s="40">
        <v>0</v>
      </c>
      <c r="K1899" s="40">
        <v>0</v>
      </c>
      <c r="L1899" s="40">
        <v>0</v>
      </c>
      <c r="M1899" s="40">
        <f t="shared" si="59"/>
        <v>0</v>
      </c>
      <c r="N1899" s="40">
        <f t="shared" si="60"/>
        <v>0</v>
      </c>
    </row>
    <row r="1900" spans="1:14" x14ac:dyDescent="0.35">
      <c r="A1900" s="33">
        <v>1897</v>
      </c>
      <c r="B1900" s="34" t="s">
        <v>2278</v>
      </c>
      <c r="C1900" s="33" t="s">
        <v>346</v>
      </c>
      <c r="D1900" s="33" t="s">
        <v>142</v>
      </c>
      <c r="E1900" s="33" t="s">
        <v>2252</v>
      </c>
      <c r="F1900" s="35">
        <v>0.25</v>
      </c>
      <c r="G1900" s="40">
        <v>0</v>
      </c>
      <c r="H1900" s="40">
        <v>0</v>
      </c>
      <c r="I1900" s="40">
        <v>0</v>
      </c>
      <c r="J1900" s="40">
        <v>0</v>
      </c>
      <c r="K1900" s="40">
        <v>0</v>
      </c>
      <c r="L1900" s="40">
        <v>0</v>
      </c>
      <c r="M1900" s="40">
        <f t="shared" si="59"/>
        <v>0</v>
      </c>
      <c r="N1900" s="40">
        <f t="shared" si="60"/>
        <v>0</v>
      </c>
    </row>
    <row r="1901" spans="1:14" x14ac:dyDescent="0.35">
      <c r="A1901" s="33">
        <v>1898</v>
      </c>
      <c r="B1901" s="34" t="s">
        <v>2279</v>
      </c>
      <c r="C1901" s="33" t="s">
        <v>346</v>
      </c>
      <c r="D1901" s="33" t="s">
        <v>142</v>
      </c>
      <c r="E1901" s="33" t="s">
        <v>2252</v>
      </c>
      <c r="F1901" s="35">
        <v>0.15</v>
      </c>
      <c r="G1901" s="40">
        <v>0</v>
      </c>
      <c r="H1901" s="40">
        <v>0</v>
      </c>
      <c r="I1901" s="40">
        <v>0</v>
      </c>
      <c r="J1901" s="40">
        <v>0</v>
      </c>
      <c r="K1901" s="40">
        <v>0</v>
      </c>
      <c r="L1901" s="40">
        <v>0</v>
      </c>
      <c r="M1901" s="40">
        <f t="shared" si="59"/>
        <v>0</v>
      </c>
      <c r="N1901" s="40">
        <f t="shared" si="60"/>
        <v>0</v>
      </c>
    </row>
    <row r="1902" spans="1:14" x14ac:dyDescent="0.35">
      <c r="A1902" s="33">
        <v>1899</v>
      </c>
      <c r="B1902" s="34" t="s">
        <v>2280</v>
      </c>
      <c r="C1902" s="33" t="s">
        <v>346</v>
      </c>
      <c r="D1902" s="33" t="s">
        <v>142</v>
      </c>
      <c r="E1902" s="33" t="s">
        <v>2252</v>
      </c>
      <c r="F1902" s="35">
        <v>0.2</v>
      </c>
      <c r="G1902" s="40">
        <v>0</v>
      </c>
      <c r="H1902" s="40">
        <v>0</v>
      </c>
      <c r="I1902" s="40">
        <v>0</v>
      </c>
      <c r="J1902" s="40">
        <v>0</v>
      </c>
      <c r="K1902" s="40">
        <v>0</v>
      </c>
      <c r="L1902" s="40">
        <v>0</v>
      </c>
      <c r="M1902" s="40">
        <f t="shared" si="59"/>
        <v>0</v>
      </c>
      <c r="N1902" s="40">
        <f t="shared" si="60"/>
        <v>0</v>
      </c>
    </row>
    <row r="1903" spans="1:14" x14ac:dyDescent="0.35">
      <c r="A1903" s="33">
        <v>1900</v>
      </c>
      <c r="B1903" s="34" t="s">
        <v>2281</v>
      </c>
      <c r="C1903" s="33" t="s">
        <v>346</v>
      </c>
      <c r="D1903" s="33" t="s">
        <v>142</v>
      </c>
      <c r="E1903" s="33" t="s">
        <v>2252</v>
      </c>
      <c r="F1903" s="35">
        <v>0.23</v>
      </c>
      <c r="G1903" s="40">
        <v>0</v>
      </c>
      <c r="H1903" s="40">
        <v>0</v>
      </c>
      <c r="I1903" s="40">
        <v>0</v>
      </c>
      <c r="J1903" s="40">
        <v>0</v>
      </c>
      <c r="K1903" s="40">
        <v>0</v>
      </c>
      <c r="L1903" s="40">
        <v>0</v>
      </c>
      <c r="M1903" s="40">
        <f t="shared" si="59"/>
        <v>0</v>
      </c>
      <c r="N1903" s="40">
        <f t="shared" si="60"/>
        <v>0</v>
      </c>
    </row>
    <row r="1904" spans="1:14" x14ac:dyDescent="0.35">
      <c r="A1904" s="33">
        <v>1901</v>
      </c>
      <c r="B1904" s="34" t="s">
        <v>2282</v>
      </c>
      <c r="C1904" s="33" t="s">
        <v>346</v>
      </c>
      <c r="D1904" s="33" t="s">
        <v>142</v>
      </c>
      <c r="E1904" s="33" t="s">
        <v>2252</v>
      </c>
      <c r="F1904" s="35">
        <v>1</v>
      </c>
      <c r="G1904" s="40">
        <v>0</v>
      </c>
      <c r="H1904" s="40">
        <v>0</v>
      </c>
      <c r="I1904" s="40">
        <v>0</v>
      </c>
      <c r="J1904" s="40">
        <v>0</v>
      </c>
      <c r="K1904" s="40">
        <v>0</v>
      </c>
      <c r="L1904" s="40">
        <v>0</v>
      </c>
      <c r="M1904" s="40">
        <f t="shared" si="59"/>
        <v>0</v>
      </c>
      <c r="N1904" s="40">
        <f t="shared" si="60"/>
        <v>0</v>
      </c>
    </row>
    <row r="1905" spans="1:14" x14ac:dyDescent="0.35">
      <c r="A1905" s="33">
        <v>1902</v>
      </c>
      <c r="B1905" s="34" t="s">
        <v>2283</v>
      </c>
      <c r="C1905" s="33" t="s">
        <v>346</v>
      </c>
      <c r="D1905" s="33" t="s">
        <v>142</v>
      </c>
      <c r="E1905" s="33" t="s">
        <v>2252</v>
      </c>
      <c r="F1905" s="35">
        <v>1</v>
      </c>
      <c r="G1905" s="40">
        <v>0</v>
      </c>
      <c r="H1905" s="40">
        <v>0</v>
      </c>
      <c r="I1905" s="40">
        <v>0</v>
      </c>
      <c r="J1905" s="40">
        <v>0</v>
      </c>
      <c r="K1905" s="40">
        <v>0</v>
      </c>
      <c r="L1905" s="40">
        <v>0</v>
      </c>
      <c r="M1905" s="40">
        <f t="shared" si="59"/>
        <v>0</v>
      </c>
      <c r="N1905" s="40">
        <f t="shared" si="60"/>
        <v>0</v>
      </c>
    </row>
    <row r="1906" spans="1:14" x14ac:dyDescent="0.35">
      <c r="A1906" s="33">
        <v>1903</v>
      </c>
      <c r="B1906" s="34" t="s">
        <v>2284</v>
      </c>
      <c r="C1906" s="33" t="s">
        <v>346</v>
      </c>
      <c r="D1906" s="33" t="s">
        <v>142</v>
      </c>
      <c r="E1906" s="33" t="s">
        <v>2252</v>
      </c>
      <c r="F1906" s="35">
        <v>1</v>
      </c>
      <c r="G1906" s="40">
        <v>0</v>
      </c>
      <c r="H1906" s="40">
        <v>0</v>
      </c>
      <c r="I1906" s="40">
        <v>0</v>
      </c>
      <c r="J1906" s="40">
        <v>0</v>
      </c>
      <c r="K1906" s="40">
        <v>0</v>
      </c>
      <c r="L1906" s="40">
        <v>0</v>
      </c>
      <c r="M1906" s="40">
        <f t="shared" si="59"/>
        <v>0</v>
      </c>
      <c r="N1906" s="40">
        <f t="shared" si="60"/>
        <v>0</v>
      </c>
    </row>
    <row r="1907" spans="1:14" x14ac:dyDescent="0.35">
      <c r="A1907" s="33">
        <v>1904</v>
      </c>
      <c r="B1907" s="34" t="s">
        <v>2285</v>
      </c>
      <c r="C1907" s="33" t="s">
        <v>346</v>
      </c>
      <c r="D1907" s="33" t="s">
        <v>142</v>
      </c>
      <c r="E1907" s="33" t="s">
        <v>2252</v>
      </c>
      <c r="F1907" s="35">
        <v>0.25</v>
      </c>
      <c r="G1907" s="40">
        <v>0</v>
      </c>
      <c r="H1907" s="40">
        <v>0</v>
      </c>
      <c r="I1907" s="40">
        <v>0</v>
      </c>
      <c r="J1907" s="40">
        <v>0</v>
      </c>
      <c r="K1907" s="40">
        <v>0</v>
      </c>
      <c r="L1907" s="40">
        <v>0</v>
      </c>
      <c r="M1907" s="40">
        <f t="shared" si="59"/>
        <v>0</v>
      </c>
      <c r="N1907" s="40">
        <f t="shared" si="60"/>
        <v>0</v>
      </c>
    </row>
    <row r="1908" spans="1:14" x14ac:dyDescent="0.35">
      <c r="A1908" s="33">
        <v>1905</v>
      </c>
      <c r="B1908" s="34" t="s">
        <v>2286</v>
      </c>
      <c r="C1908" s="33" t="s">
        <v>346</v>
      </c>
      <c r="D1908" s="33" t="s">
        <v>142</v>
      </c>
      <c r="E1908" s="33" t="s">
        <v>2252</v>
      </c>
      <c r="F1908" s="35">
        <v>0.5</v>
      </c>
      <c r="G1908" s="40">
        <v>0</v>
      </c>
      <c r="H1908" s="40">
        <v>0</v>
      </c>
      <c r="I1908" s="40">
        <v>0</v>
      </c>
      <c r="J1908" s="40">
        <v>0</v>
      </c>
      <c r="K1908" s="40">
        <v>0</v>
      </c>
      <c r="L1908" s="40">
        <v>0</v>
      </c>
      <c r="M1908" s="40">
        <f t="shared" si="59"/>
        <v>0</v>
      </c>
      <c r="N1908" s="40">
        <f t="shared" si="60"/>
        <v>0</v>
      </c>
    </row>
    <row r="1909" spans="1:14" x14ac:dyDescent="0.35">
      <c r="A1909" s="33">
        <v>1906</v>
      </c>
      <c r="B1909" s="34" t="s">
        <v>2287</v>
      </c>
      <c r="C1909" s="33" t="s">
        <v>346</v>
      </c>
      <c r="D1909" s="33" t="s">
        <v>142</v>
      </c>
      <c r="E1909" s="33" t="s">
        <v>2252</v>
      </c>
      <c r="F1909" s="35">
        <v>1</v>
      </c>
      <c r="G1909" s="40">
        <v>0</v>
      </c>
      <c r="H1909" s="40">
        <v>0</v>
      </c>
      <c r="I1909" s="40">
        <v>0</v>
      </c>
      <c r="J1909" s="40">
        <v>0</v>
      </c>
      <c r="K1909" s="40">
        <v>0</v>
      </c>
      <c r="L1909" s="40">
        <v>0</v>
      </c>
      <c r="M1909" s="40">
        <f t="shared" si="59"/>
        <v>0</v>
      </c>
      <c r="N1909" s="40">
        <f t="shared" si="60"/>
        <v>0</v>
      </c>
    </row>
    <row r="1910" spans="1:14" x14ac:dyDescent="0.35">
      <c r="A1910" s="33">
        <v>1907</v>
      </c>
      <c r="B1910" s="34" t="s">
        <v>2288</v>
      </c>
      <c r="C1910" s="33" t="s">
        <v>346</v>
      </c>
      <c r="D1910" s="33" t="s">
        <v>142</v>
      </c>
      <c r="E1910" s="33" t="s">
        <v>2252</v>
      </c>
      <c r="F1910" s="35">
        <v>0.8</v>
      </c>
      <c r="G1910" s="40">
        <v>0</v>
      </c>
      <c r="H1910" s="40">
        <v>0</v>
      </c>
      <c r="I1910" s="40">
        <v>0</v>
      </c>
      <c r="J1910" s="40">
        <v>0</v>
      </c>
      <c r="K1910" s="40">
        <v>0</v>
      </c>
      <c r="L1910" s="40">
        <v>0</v>
      </c>
      <c r="M1910" s="40">
        <f t="shared" si="59"/>
        <v>0</v>
      </c>
      <c r="N1910" s="40">
        <f t="shared" si="60"/>
        <v>0</v>
      </c>
    </row>
    <row r="1911" spans="1:14" x14ac:dyDescent="0.35">
      <c r="A1911" s="33">
        <v>1908</v>
      </c>
      <c r="B1911" s="34" t="s">
        <v>2289</v>
      </c>
      <c r="C1911" s="33" t="s">
        <v>346</v>
      </c>
      <c r="D1911" s="33" t="s">
        <v>142</v>
      </c>
      <c r="E1911" s="33" t="s">
        <v>2252</v>
      </c>
      <c r="F1911" s="35">
        <v>0.23</v>
      </c>
      <c r="G1911" s="40">
        <v>0</v>
      </c>
      <c r="H1911" s="40">
        <v>0</v>
      </c>
      <c r="I1911" s="40">
        <v>0</v>
      </c>
      <c r="J1911" s="40">
        <v>0</v>
      </c>
      <c r="K1911" s="40">
        <v>0</v>
      </c>
      <c r="L1911" s="40">
        <v>0</v>
      </c>
      <c r="M1911" s="40">
        <f t="shared" si="59"/>
        <v>0</v>
      </c>
      <c r="N1911" s="40">
        <f t="shared" si="60"/>
        <v>0</v>
      </c>
    </row>
    <row r="1912" spans="1:14" x14ac:dyDescent="0.35">
      <c r="A1912" s="33">
        <v>1909</v>
      </c>
      <c r="B1912" s="34" t="s">
        <v>2290</v>
      </c>
      <c r="C1912" s="33" t="s">
        <v>346</v>
      </c>
      <c r="D1912" s="33" t="s">
        <v>142</v>
      </c>
      <c r="E1912" s="33" t="s">
        <v>2252</v>
      </c>
      <c r="F1912" s="35">
        <v>0.8</v>
      </c>
      <c r="G1912" s="40">
        <v>0</v>
      </c>
      <c r="H1912" s="40">
        <v>0</v>
      </c>
      <c r="I1912" s="40">
        <v>0</v>
      </c>
      <c r="J1912" s="40">
        <v>0</v>
      </c>
      <c r="K1912" s="40">
        <v>0</v>
      </c>
      <c r="L1912" s="40">
        <v>0</v>
      </c>
      <c r="M1912" s="40">
        <f t="shared" si="59"/>
        <v>0</v>
      </c>
      <c r="N1912" s="40">
        <f t="shared" si="60"/>
        <v>0</v>
      </c>
    </row>
    <row r="1913" spans="1:14" x14ac:dyDescent="0.35">
      <c r="A1913" s="33">
        <v>1910</v>
      </c>
      <c r="B1913" s="34" t="s">
        <v>2291</v>
      </c>
      <c r="C1913" s="33" t="s">
        <v>346</v>
      </c>
      <c r="D1913" s="33" t="s">
        <v>142</v>
      </c>
      <c r="E1913" s="33" t="s">
        <v>2252</v>
      </c>
      <c r="F1913" s="35">
        <v>0.25</v>
      </c>
      <c r="G1913" s="40">
        <v>0</v>
      </c>
      <c r="H1913" s="40">
        <v>0</v>
      </c>
      <c r="I1913" s="40">
        <v>0</v>
      </c>
      <c r="J1913" s="40">
        <v>0</v>
      </c>
      <c r="K1913" s="40">
        <v>0</v>
      </c>
      <c r="L1913" s="40">
        <v>0</v>
      </c>
      <c r="M1913" s="40">
        <f t="shared" si="59"/>
        <v>0</v>
      </c>
      <c r="N1913" s="40">
        <f t="shared" si="60"/>
        <v>0</v>
      </c>
    </row>
    <row r="1914" spans="1:14" x14ac:dyDescent="0.35">
      <c r="A1914" s="33">
        <v>1911</v>
      </c>
      <c r="B1914" s="34" t="s">
        <v>2292</v>
      </c>
      <c r="C1914" s="33" t="s">
        <v>346</v>
      </c>
      <c r="D1914" s="33" t="s">
        <v>142</v>
      </c>
      <c r="E1914" s="33" t="s">
        <v>2252</v>
      </c>
      <c r="F1914" s="35">
        <v>0.5</v>
      </c>
      <c r="G1914" s="40">
        <v>0</v>
      </c>
      <c r="H1914" s="40">
        <v>0</v>
      </c>
      <c r="I1914" s="40">
        <v>0</v>
      </c>
      <c r="J1914" s="40">
        <v>0</v>
      </c>
      <c r="K1914" s="40">
        <v>0</v>
      </c>
      <c r="L1914" s="40">
        <v>0</v>
      </c>
      <c r="M1914" s="40">
        <f t="shared" si="59"/>
        <v>0</v>
      </c>
      <c r="N1914" s="40">
        <f t="shared" si="60"/>
        <v>0</v>
      </c>
    </row>
    <row r="1915" spans="1:14" x14ac:dyDescent="0.35">
      <c r="A1915" s="33">
        <v>1912</v>
      </c>
      <c r="B1915" s="34" t="s">
        <v>2293</v>
      </c>
      <c r="C1915" s="33" t="s">
        <v>346</v>
      </c>
      <c r="D1915" s="33" t="s">
        <v>142</v>
      </c>
      <c r="E1915" s="33" t="s">
        <v>2252</v>
      </c>
      <c r="F1915" s="35">
        <v>1</v>
      </c>
      <c r="G1915" s="40">
        <v>0</v>
      </c>
      <c r="H1915" s="40">
        <v>0</v>
      </c>
      <c r="I1915" s="40">
        <v>0</v>
      </c>
      <c r="J1915" s="40">
        <v>0</v>
      </c>
      <c r="K1915" s="40">
        <v>0</v>
      </c>
      <c r="L1915" s="40">
        <v>0</v>
      </c>
      <c r="M1915" s="40">
        <f t="shared" si="59"/>
        <v>0</v>
      </c>
      <c r="N1915" s="40">
        <f t="shared" si="60"/>
        <v>0</v>
      </c>
    </row>
    <row r="1916" spans="1:14" x14ac:dyDescent="0.35">
      <c r="A1916" s="33">
        <v>1893</v>
      </c>
      <c r="B1916" s="51" t="s">
        <v>2332</v>
      </c>
      <c r="C1916" s="33" t="s">
        <v>346</v>
      </c>
      <c r="D1916" s="33" t="s">
        <v>100</v>
      </c>
      <c r="E1916" s="33" t="s">
        <v>1623</v>
      </c>
      <c r="F1916" s="35">
        <v>1</v>
      </c>
      <c r="G1916" s="40">
        <v>0</v>
      </c>
      <c r="H1916" s="40">
        <v>0</v>
      </c>
      <c r="I1916" s="40">
        <v>0</v>
      </c>
      <c r="J1916" s="40">
        <v>0</v>
      </c>
      <c r="K1916" s="40">
        <v>0</v>
      </c>
      <c r="L1916" s="40">
        <v>0</v>
      </c>
      <c r="M1916" s="40">
        <f t="shared" si="59"/>
        <v>0</v>
      </c>
      <c r="N1916" s="40">
        <f t="shared" si="60"/>
        <v>0</v>
      </c>
    </row>
    <row r="1917" spans="1:14" x14ac:dyDescent="0.35">
      <c r="A1917" s="33">
        <v>1894</v>
      </c>
      <c r="B1917" s="51" t="s">
        <v>2333</v>
      </c>
      <c r="C1917" s="33" t="s">
        <v>346</v>
      </c>
      <c r="D1917" s="33" t="s">
        <v>70</v>
      </c>
      <c r="E1917" s="33" t="s">
        <v>2091</v>
      </c>
      <c r="F1917" s="35">
        <v>1.4999999999999999E-2</v>
      </c>
      <c r="G1917" s="40">
        <v>0</v>
      </c>
      <c r="H1917" s="40">
        <v>0</v>
      </c>
      <c r="I1917" s="40">
        <v>0</v>
      </c>
      <c r="J1917" s="40">
        <v>0</v>
      </c>
      <c r="K1917" s="40">
        <v>0</v>
      </c>
      <c r="L1917" s="40">
        <v>0</v>
      </c>
      <c r="M1917" s="40">
        <f t="shared" si="59"/>
        <v>0</v>
      </c>
      <c r="N1917" s="40">
        <f t="shared" si="60"/>
        <v>0</v>
      </c>
    </row>
    <row r="1918" spans="1:14" x14ac:dyDescent="0.35">
      <c r="A1918" s="33">
        <v>1895</v>
      </c>
      <c r="B1918" s="51" t="s">
        <v>2334</v>
      </c>
      <c r="C1918" s="33" t="s">
        <v>346</v>
      </c>
      <c r="D1918" s="33" t="s">
        <v>70</v>
      </c>
      <c r="E1918" s="33" t="s">
        <v>2091</v>
      </c>
      <c r="F1918" s="35">
        <v>4.7999999999999994E-2</v>
      </c>
      <c r="G1918" s="40">
        <v>0</v>
      </c>
      <c r="H1918" s="40">
        <v>0</v>
      </c>
      <c r="I1918" s="40">
        <v>0</v>
      </c>
      <c r="J1918" s="40">
        <v>0</v>
      </c>
      <c r="K1918" s="40">
        <v>0</v>
      </c>
      <c r="L1918" s="40">
        <v>0</v>
      </c>
      <c r="M1918" s="40">
        <f t="shared" si="59"/>
        <v>0</v>
      </c>
      <c r="N1918" s="40">
        <f t="shared" si="60"/>
        <v>0</v>
      </c>
    </row>
    <row r="1919" spans="1:14" x14ac:dyDescent="0.35">
      <c r="A1919" s="33">
        <v>1896</v>
      </c>
      <c r="B1919" s="51" t="s">
        <v>2335</v>
      </c>
      <c r="C1919" s="33" t="s">
        <v>346</v>
      </c>
      <c r="D1919" s="33" t="s">
        <v>469</v>
      </c>
      <c r="E1919" s="33" t="s">
        <v>470</v>
      </c>
      <c r="F1919" s="35">
        <v>1</v>
      </c>
      <c r="G1919" s="40">
        <v>0</v>
      </c>
      <c r="H1919" s="40">
        <v>0</v>
      </c>
      <c r="I1919" s="40">
        <v>0</v>
      </c>
      <c r="J1919" s="40">
        <v>0</v>
      </c>
      <c r="K1919" s="40">
        <v>0</v>
      </c>
      <c r="L1919" s="40">
        <v>0</v>
      </c>
      <c r="M1919" s="40">
        <f t="shared" si="59"/>
        <v>0</v>
      </c>
      <c r="N1919" s="40">
        <f t="shared" si="60"/>
        <v>0</v>
      </c>
    </row>
    <row r="1920" spans="1:14" x14ac:dyDescent="0.35">
      <c r="A1920" s="33">
        <v>1897</v>
      </c>
      <c r="B1920" s="51" t="s">
        <v>2336</v>
      </c>
      <c r="C1920" s="33" t="s">
        <v>297</v>
      </c>
      <c r="D1920" s="33" t="s">
        <v>111</v>
      </c>
      <c r="E1920" s="33" t="s">
        <v>1182</v>
      </c>
      <c r="F1920" s="35">
        <v>1</v>
      </c>
      <c r="G1920" s="40">
        <v>0</v>
      </c>
      <c r="H1920" s="40">
        <v>0</v>
      </c>
      <c r="I1920" s="40">
        <v>0</v>
      </c>
      <c r="J1920" s="40">
        <v>0</v>
      </c>
      <c r="K1920" s="40">
        <v>0</v>
      </c>
      <c r="L1920" s="40">
        <v>0</v>
      </c>
      <c r="M1920" s="40">
        <f t="shared" si="59"/>
        <v>0</v>
      </c>
      <c r="N1920" s="40">
        <f t="shared" si="60"/>
        <v>0</v>
      </c>
    </row>
    <row r="1921" spans="1:14" x14ac:dyDescent="0.35">
      <c r="A1921" s="33">
        <v>1898</v>
      </c>
      <c r="B1921" s="51" t="s">
        <v>2337</v>
      </c>
      <c r="C1921" s="33"/>
      <c r="D1921" s="33" t="s">
        <v>2040</v>
      </c>
      <c r="E1921" s="52" t="s">
        <v>2045</v>
      </c>
      <c r="F1921" s="35">
        <v>1</v>
      </c>
      <c r="G1921" s="40">
        <v>0</v>
      </c>
      <c r="H1921" s="40">
        <v>0</v>
      </c>
      <c r="I1921" s="40">
        <v>0</v>
      </c>
      <c r="J1921" s="40">
        <v>0</v>
      </c>
      <c r="K1921" s="40">
        <v>0</v>
      </c>
      <c r="L1921" s="40">
        <v>0</v>
      </c>
      <c r="M1921" s="40">
        <f t="shared" si="59"/>
        <v>0</v>
      </c>
      <c r="N1921" s="40">
        <f t="shared" si="60"/>
        <v>0</v>
      </c>
    </row>
    <row r="1922" spans="1:14" x14ac:dyDescent="0.35">
      <c r="A1922" s="33">
        <v>1899</v>
      </c>
      <c r="B1922" s="51" t="s">
        <v>2338</v>
      </c>
      <c r="C1922" s="33" t="s">
        <v>346</v>
      </c>
      <c r="D1922" s="33" t="s">
        <v>208</v>
      </c>
      <c r="E1922" s="33" t="s">
        <v>1478</v>
      </c>
      <c r="F1922" s="35">
        <v>1</v>
      </c>
      <c r="G1922" s="40">
        <v>0</v>
      </c>
      <c r="H1922" s="40">
        <v>0</v>
      </c>
      <c r="I1922" s="40">
        <v>0</v>
      </c>
      <c r="J1922" s="40">
        <v>0</v>
      </c>
      <c r="K1922" s="40">
        <v>0</v>
      </c>
      <c r="L1922" s="40">
        <v>0</v>
      </c>
      <c r="M1922" s="40">
        <f t="shared" si="59"/>
        <v>0</v>
      </c>
      <c r="N1922" s="40">
        <f t="shared" si="60"/>
        <v>0</v>
      </c>
    </row>
    <row r="1923" spans="1:14" x14ac:dyDescent="0.35">
      <c r="A1923" s="33">
        <v>1900</v>
      </c>
      <c r="B1923" s="51" t="s">
        <v>2300</v>
      </c>
      <c r="C1923" s="33" t="s">
        <v>346</v>
      </c>
      <c r="D1923" s="33" t="s">
        <v>70</v>
      </c>
      <c r="E1923" s="33" t="s">
        <v>2091</v>
      </c>
      <c r="F1923" s="35">
        <v>0.25</v>
      </c>
      <c r="G1923" s="40">
        <v>0</v>
      </c>
      <c r="H1923" s="40">
        <v>0</v>
      </c>
      <c r="I1923" s="40">
        <v>0</v>
      </c>
      <c r="J1923" s="40">
        <v>0</v>
      </c>
      <c r="K1923" s="40">
        <v>1.7</v>
      </c>
      <c r="L1923" s="40">
        <v>1.7</v>
      </c>
      <c r="M1923" s="40">
        <f t="shared" si="59"/>
        <v>1.7</v>
      </c>
      <c r="N1923" s="40">
        <f t="shared" si="60"/>
        <v>1.7</v>
      </c>
    </row>
    <row r="1924" spans="1:14" x14ac:dyDescent="0.35">
      <c r="A1924" s="33">
        <v>1901</v>
      </c>
      <c r="B1924" s="51" t="s">
        <v>2339</v>
      </c>
      <c r="C1924" s="33" t="s">
        <v>297</v>
      </c>
      <c r="D1924" s="33" t="s">
        <v>22</v>
      </c>
      <c r="E1924" s="33" t="s">
        <v>1359</v>
      </c>
      <c r="F1924" s="35">
        <v>1</v>
      </c>
      <c r="G1924" s="40">
        <v>0</v>
      </c>
      <c r="H1924" s="40">
        <v>0</v>
      </c>
      <c r="I1924" s="40">
        <v>0</v>
      </c>
      <c r="J1924" s="40">
        <v>0</v>
      </c>
      <c r="K1924" s="40">
        <v>0</v>
      </c>
      <c r="L1924" s="40">
        <v>0</v>
      </c>
      <c r="M1924" s="40">
        <f t="shared" si="59"/>
        <v>0</v>
      </c>
      <c r="N1924" s="40">
        <f t="shared" si="60"/>
        <v>0</v>
      </c>
    </row>
    <row r="1925" spans="1:14" x14ac:dyDescent="0.35">
      <c r="A1925" s="33">
        <v>1902</v>
      </c>
      <c r="B1925" s="51" t="s">
        <v>2340</v>
      </c>
      <c r="C1925" s="33" t="s">
        <v>346</v>
      </c>
      <c r="D1925" s="33" t="s">
        <v>70</v>
      </c>
      <c r="E1925" s="33" t="s">
        <v>2091</v>
      </c>
      <c r="F1925" s="35">
        <v>1</v>
      </c>
      <c r="G1925" s="40">
        <v>0</v>
      </c>
      <c r="H1925" s="40">
        <v>0</v>
      </c>
      <c r="I1925" s="40">
        <v>0</v>
      </c>
      <c r="J1925" s="40">
        <v>0</v>
      </c>
      <c r="K1925" s="40">
        <v>0</v>
      </c>
      <c r="L1925" s="40">
        <v>0</v>
      </c>
      <c r="M1925" s="40">
        <f t="shared" ref="M1925:M1948" si="61">G1925+I1925+K1925</f>
        <v>0</v>
      </c>
      <c r="N1925" s="40">
        <f t="shared" ref="N1925:N1948" si="62">H1925+J1925+L1925</f>
        <v>0</v>
      </c>
    </row>
    <row r="1926" spans="1:14" x14ac:dyDescent="0.35">
      <c r="A1926" s="33">
        <v>1903</v>
      </c>
      <c r="B1926" s="51" t="s">
        <v>2341</v>
      </c>
      <c r="C1926" s="33" t="s">
        <v>346</v>
      </c>
      <c r="D1926" s="33" t="s">
        <v>70</v>
      </c>
      <c r="E1926" s="33" t="s">
        <v>2091</v>
      </c>
      <c r="F1926" s="35">
        <v>1</v>
      </c>
      <c r="G1926" s="40">
        <v>0</v>
      </c>
      <c r="H1926" s="40">
        <v>0</v>
      </c>
      <c r="I1926" s="40">
        <v>0</v>
      </c>
      <c r="J1926" s="40">
        <v>0</v>
      </c>
      <c r="K1926" s="40">
        <v>0</v>
      </c>
      <c r="L1926" s="40">
        <v>0</v>
      </c>
      <c r="M1926" s="40">
        <f t="shared" si="61"/>
        <v>0</v>
      </c>
      <c r="N1926" s="40">
        <f t="shared" si="62"/>
        <v>0</v>
      </c>
    </row>
    <row r="1927" spans="1:14" x14ac:dyDescent="0.35">
      <c r="A1927" s="33">
        <v>1904</v>
      </c>
      <c r="B1927" s="51" t="s">
        <v>2342</v>
      </c>
      <c r="C1927" s="33" t="s">
        <v>346</v>
      </c>
      <c r="D1927" s="33" t="s">
        <v>70</v>
      </c>
      <c r="E1927" s="33" t="s">
        <v>2091</v>
      </c>
      <c r="F1927" s="35">
        <v>1</v>
      </c>
      <c r="G1927" s="40">
        <v>0</v>
      </c>
      <c r="H1927" s="40">
        <v>0</v>
      </c>
      <c r="I1927" s="40">
        <v>0</v>
      </c>
      <c r="J1927" s="40">
        <v>0</v>
      </c>
      <c r="K1927" s="40">
        <v>0</v>
      </c>
      <c r="L1927" s="40">
        <v>0</v>
      </c>
      <c r="M1927" s="40">
        <f t="shared" si="61"/>
        <v>0</v>
      </c>
      <c r="N1927" s="40">
        <f t="shared" si="62"/>
        <v>0</v>
      </c>
    </row>
    <row r="1928" spans="1:14" x14ac:dyDescent="0.35">
      <c r="A1928" s="33">
        <v>1905</v>
      </c>
      <c r="B1928" s="51" t="s">
        <v>2343</v>
      </c>
      <c r="C1928" s="33" t="s">
        <v>346</v>
      </c>
      <c r="D1928" s="33" t="s">
        <v>70</v>
      </c>
      <c r="E1928" s="33" t="s">
        <v>2091</v>
      </c>
      <c r="F1928" s="35">
        <v>1</v>
      </c>
      <c r="G1928" s="40">
        <v>0</v>
      </c>
      <c r="H1928" s="40">
        <v>0</v>
      </c>
      <c r="I1928" s="40">
        <v>0</v>
      </c>
      <c r="J1928" s="40">
        <v>0</v>
      </c>
      <c r="K1928" s="40">
        <v>0</v>
      </c>
      <c r="L1928" s="40">
        <v>0</v>
      </c>
      <c r="M1928" s="40">
        <f t="shared" si="61"/>
        <v>0</v>
      </c>
      <c r="N1928" s="40">
        <f t="shared" si="62"/>
        <v>0</v>
      </c>
    </row>
    <row r="1929" spans="1:14" x14ac:dyDescent="0.35">
      <c r="A1929" s="33">
        <v>1906</v>
      </c>
      <c r="B1929" s="51" t="s">
        <v>2344</v>
      </c>
      <c r="C1929" s="33" t="s">
        <v>297</v>
      </c>
      <c r="D1929" s="33" t="s">
        <v>22</v>
      </c>
      <c r="E1929" s="33" t="s">
        <v>1359</v>
      </c>
      <c r="F1929" s="35">
        <v>1</v>
      </c>
      <c r="G1929" s="40">
        <v>0</v>
      </c>
      <c r="H1929" s="40">
        <v>0</v>
      </c>
      <c r="I1929" s="40">
        <v>0</v>
      </c>
      <c r="J1929" s="40">
        <v>0</v>
      </c>
      <c r="K1929" s="40">
        <v>0</v>
      </c>
      <c r="L1929" s="40">
        <v>0</v>
      </c>
      <c r="M1929" s="40">
        <f t="shared" si="61"/>
        <v>0</v>
      </c>
      <c r="N1929" s="40">
        <f t="shared" si="62"/>
        <v>0</v>
      </c>
    </row>
    <row r="1930" spans="1:14" x14ac:dyDescent="0.35">
      <c r="A1930" s="33">
        <v>1907</v>
      </c>
      <c r="B1930" s="51" t="s">
        <v>2345</v>
      </c>
      <c r="C1930" s="33" t="s">
        <v>346</v>
      </c>
      <c r="D1930" s="33" t="s">
        <v>208</v>
      </c>
      <c r="E1930" s="33" t="s">
        <v>1474</v>
      </c>
      <c r="F1930" s="35">
        <v>1</v>
      </c>
      <c r="G1930" s="40">
        <v>0</v>
      </c>
      <c r="H1930" s="40">
        <v>0</v>
      </c>
      <c r="I1930" s="40">
        <v>0</v>
      </c>
      <c r="J1930" s="40">
        <v>0</v>
      </c>
      <c r="K1930" s="40">
        <v>0</v>
      </c>
      <c r="L1930" s="40">
        <v>0</v>
      </c>
      <c r="M1930" s="40">
        <f t="shared" si="61"/>
        <v>0</v>
      </c>
      <c r="N1930" s="40">
        <f t="shared" si="62"/>
        <v>0</v>
      </c>
    </row>
    <row r="1931" spans="1:14" x14ac:dyDescent="0.35">
      <c r="A1931" s="33">
        <v>1908</v>
      </c>
      <c r="B1931" s="51" t="s">
        <v>2346</v>
      </c>
      <c r="C1931" s="33" t="s">
        <v>346</v>
      </c>
      <c r="D1931" s="33" t="s">
        <v>208</v>
      </c>
      <c r="E1931" s="33" t="s">
        <v>1474</v>
      </c>
      <c r="F1931" s="35">
        <v>1</v>
      </c>
      <c r="G1931" s="40">
        <v>0</v>
      </c>
      <c r="H1931" s="40">
        <v>0</v>
      </c>
      <c r="I1931" s="40">
        <v>0</v>
      </c>
      <c r="J1931" s="40">
        <v>0</v>
      </c>
      <c r="K1931" s="40">
        <v>0</v>
      </c>
      <c r="L1931" s="40">
        <v>0</v>
      </c>
      <c r="M1931" s="40">
        <f t="shared" si="61"/>
        <v>0</v>
      </c>
      <c r="N1931" s="40">
        <f t="shared" si="62"/>
        <v>0</v>
      </c>
    </row>
    <row r="1932" spans="1:14" x14ac:dyDescent="0.35">
      <c r="A1932" s="33">
        <v>1909</v>
      </c>
      <c r="B1932" s="51" t="s">
        <v>2347</v>
      </c>
      <c r="C1932" s="33" t="s">
        <v>346</v>
      </c>
      <c r="D1932" s="33" t="s">
        <v>523</v>
      </c>
      <c r="E1932" s="33" t="s">
        <v>556</v>
      </c>
      <c r="F1932" s="35">
        <v>1</v>
      </c>
      <c r="G1932" s="40">
        <v>0</v>
      </c>
      <c r="H1932" s="40">
        <v>0</v>
      </c>
      <c r="I1932" s="40">
        <v>0</v>
      </c>
      <c r="J1932" s="40">
        <v>0</v>
      </c>
      <c r="K1932" s="40">
        <v>0</v>
      </c>
      <c r="L1932" s="40">
        <v>0</v>
      </c>
      <c r="M1932" s="40">
        <f t="shared" si="61"/>
        <v>0</v>
      </c>
      <c r="N1932" s="40">
        <f t="shared" si="62"/>
        <v>0</v>
      </c>
    </row>
    <row r="1933" spans="1:14" x14ac:dyDescent="0.35">
      <c r="A1933" s="33">
        <v>1910</v>
      </c>
      <c r="B1933" s="51" t="s">
        <v>2348</v>
      </c>
      <c r="C1933" s="33" t="s">
        <v>346</v>
      </c>
      <c r="D1933" s="33" t="s">
        <v>43</v>
      </c>
      <c r="E1933" s="33" t="s">
        <v>1781</v>
      </c>
      <c r="F1933" s="35">
        <v>0.21</v>
      </c>
      <c r="G1933" s="40">
        <v>0</v>
      </c>
      <c r="H1933" s="40">
        <v>0</v>
      </c>
      <c r="I1933" s="40">
        <v>0</v>
      </c>
      <c r="J1933" s="40">
        <v>0</v>
      </c>
      <c r="K1933" s="40">
        <v>0</v>
      </c>
      <c r="L1933" s="40">
        <v>0</v>
      </c>
      <c r="M1933" s="40">
        <f t="shared" si="61"/>
        <v>0</v>
      </c>
      <c r="N1933" s="40">
        <f t="shared" si="62"/>
        <v>0</v>
      </c>
    </row>
    <row r="1934" spans="1:14" x14ac:dyDescent="0.35">
      <c r="A1934" s="33">
        <v>1911</v>
      </c>
      <c r="B1934" s="51" t="s">
        <v>2349</v>
      </c>
      <c r="C1934" s="33" t="s">
        <v>346</v>
      </c>
      <c r="D1934" s="33" t="s">
        <v>17</v>
      </c>
      <c r="E1934" s="33" t="s">
        <v>666</v>
      </c>
      <c r="F1934" s="35">
        <v>0.21</v>
      </c>
      <c r="G1934" s="40">
        <v>0</v>
      </c>
      <c r="H1934" s="40">
        <v>0</v>
      </c>
      <c r="I1934" s="40">
        <v>0</v>
      </c>
      <c r="J1934" s="40">
        <v>0</v>
      </c>
      <c r="K1934" s="40">
        <v>0</v>
      </c>
      <c r="L1934" s="40">
        <v>0</v>
      </c>
      <c r="M1934" s="40">
        <f t="shared" si="61"/>
        <v>0</v>
      </c>
      <c r="N1934" s="40">
        <f t="shared" si="62"/>
        <v>0</v>
      </c>
    </row>
    <row r="1935" spans="1:14" x14ac:dyDescent="0.35">
      <c r="A1935" s="33">
        <v>1912</v>
      </c>
      <c r="B1935" s="51" t="s">
        <v>2350</v>
      </c>
      <c r="C1935" s="33" t="s">
        <v>346</v>
      </c>
      <c r="D1935" s="33" t="s">
        <v>208</v>
      </c>
      <c r="E1935" s="33" t="s">
        <v>1478</v>
      </c>
      <c r="F1935" s="35">
        <v>1</v>
      </c>
      <c r="G1935" s="40">
        <v>0</v>
      </c>
      <c r="H1935" s="40">
        <v>0</v>
      </c>
      <c r="I1935" s="40">
        <v>0</v>
      </c>
      <c r="J1935" s="40">
        <v>0</v>
      </c>
      <c r="K1935" s="40">
        <v>0</v>
      </c>
      <c r="L1935" s="40">
        <v>0</v>
      </c>
      <c r="M1935" s="40">
        <f t="shared" si="61"/>
        <v>0</v>
      </c>
      <c r="N1935" s="40">
        <f t="shared" si="62"/>
        <v>0</v>
      </c>
    </row>
    <row r="1936" spans="1:14" x14ac:dyDescent="0.35">
      <c r="A1936" s="33">
        <v>1913</v>
      </c>
      <c r="B1936" s="51" t="s">
        <v>2351</v>
      </c>
      <c r="C1936" s="33" t="s">
        <v>346</v>
      </c>
      <c r="D1936" s="33" t="s">
        <v>208</v>
      </c>
      <c r="E1936" s="33" t="s">
        <v>1478</v>
      </c>
      <c r="F1936" s="35">
        <v>1</v>
      </c>
      <c r="G1936" s="40">
        <v>0</v>
      </c>
      <c r="H1936" s="40">
        <v>0</v>
      </c>
      <c r="I1936" s="40">
        <v>0</v>
      </c>
      <c r="J1936" s="40">
        <v>0</v>
      </c>
      <c r="K1936" s="40">
        <v>0</v>
      </c>
      <c r="L1936" s="40">
        <v>0</v>
      </c>
      <c r="M1936" s="40">
        <f t="shared" si="61"/>
        <v>0</v>
      </c>
      <c r="N1936" s="40">
        <f t="shared" si="62"/>
        <v>0</v>
      </c>
    </row>
    <row r="1937" spans="1:14" x14ac:dyDescent="0.35">
      <c r="A1937" s="33">
        <v>1914</v>
      </c>
      <c r="B1937" s="46" t="s">
        <v>2352</v>
      </c>
      <c r="C1937" s="33" t="s">
        <v>346</v>
      </c>
      <c r="D1937" s="33" t="s">
        <v>523</v>
      </c>
      <c r="E1937" s="33" t="s">
        <v>524</v>
      </c>
      <c r="F1937" s="35">
        <v>1</v>
      </c>
      <c r="G1937" s="40">
        <v>0</v>
      </c>
      <c r="H1937" s="40">
        <v>0</v>
      </c>
      <c r="I1937" s="40">
        <v>0</v>
      </c>
      <c r="J1937" s="40">
        <v>0</v>
      </c>
      <c r="K1937" s="40">
        <v>0</v>
      </c>
      <c r="L1937" s="40">
        <v>0</v>
      </c>
      <c r="M1937" s="40">
        <f t="shared" si="61"/>
        <v>0</v>
      </c>
      <c r="N1937" s="40">
        <f t="shared" si="62"/>
        <v>0</v>
      </c>
    </row>
    <row r="1938" spans="1:14" ht="29" x14ac:dyDescent="0.35">
      <c r="A1938" s="33">
        <v>1915</v>
      </c>
      <c r="B1938" s="46" t="s">
        <v>2353</v>
      </c>
      <c r="C1938" s="33" t="s">
        <v>346</v>
      </c>
      <c r="D1938" s="33" t="s">
        <v>523</v>
      </c>
      <c r="E1938" s="33" t="s">
        <v>524</v>
      </c>
      <c r="F1938" s="35">
        <v>1</v>
      </c>
      <c r="G1938" s="40">
        <v>0</v>
      </c>
      <c r="H1938" s="40">
        <v>0</v>
      </c>
      <c r="I1938" s="40">
        <v>0</v>
      </c>
      <c r="J1938" s="40">
        <v>0</v>
      </c>
      <c r="K1938" s="40">
        <v>0</v>
      </c>
      <c r="L1938" s="40">
        <v>0</v>
      </c>
      <c r="M1938" s="40">
        <f t="shared" si="61"/>
        <v>0</v>
      </c>
      <c r="N1938" s="40">
        <f t="shared" si="62"/>
        <v>0</v>
      </c>
    </row>
    <row r="1939" spans="1:14" x14ac:dyDescent="0.35">
      <c r="A1939" s="33">
        <v>1916</v>
      </c>
      <c r="B1939" s="46" t="s">
        <v>2354</v>
      </c>
      <c r="C1939" s="33" t="s">
        <v>346</v>
      </c>
      <c r="D1939" s="33" t="s">
        <v>523</v>
      </c>
      <c r="E1939" s="33" t="s">
        <v>563</v>
      </c>
      <c r="F1939" s="35">
        <v>3.5000000000000003E-2</v>
      </c>
      <c r="G1939" s="40">
        <v>0</v>
      </c>
      <c r="H1939" s="40">
        <v>0</v>
      </c>
      <c r="I1939" s="40">
        <v>0</v>
      </c>
      <c r="J1939" s="40">
        <v>0</v>
      </c>
      <c r="K1939" s="40">
        <v>0</v>
      </c>
      <c r="L1939" s="40">
        <v>0</v>
      </c>
      <c r="M1939" s="40">
        <f t="shared" si="61"/>
        <v>0</v>
      </c>
      <c r="N1939" s="40">
        <f t="shared" si="62"/>
        <v>0</v>
      </c>
    </row>
    <row r="1940" spans="1:14" x14ac:dyDescent="0.35">
      <c r="A1940" s="33">
        <v>1917</v>
      </c>
      <c r="B1940" s="46" t="s">
        <v>2355</v>
      </c>
      <c r="C1940" s="33" t="s">
        <v>346</v>
      </c>
      <c r="D1940" s="33" t="s">
        <v>17</v>
      </c>
      <c r="E1940" s="33" t="s">
        <v>666</v>
      </c>
      <c r="F1940" s="35">
        <v>1</v>
      </c>
      <c r="G1940" s="40">
        <v>0</v>
      </c>
      <c r="H1940" s="40">
        <v>0</v>
      </c>
      <c r="I1940" s="40">
        <v>0</v>
      </c>
      <c r="J1940" s="40">
        <v>0</v>
      </c>
      <c r="K1940" s="40">
        <v>0</v>
      </c>
      <c r="L1940" s="40">
        <v>0</v>
      </c>
      <c r="M1940" s="40">
        <f t="shared" si="61"/>
        <v>0</v>
      </c>
      <c r="N1940" s="40">
        <f t="shared" si="62"/>
        <v>0</v>
      </c>
    </row>
    <row r="1941" spans="1:14" x14ac:dyDescent="0.35">
      <c r="A1941" s="33">
        <v>1918</v>
      </c>
      <c r="B1941" s="53" t="s">
        <v>2356</v>
      </c>
      <c r="C1941" s="54" t="s">
        <v>297</v>
      </c>
      <c r="D1941" s="55" t="s">
        <v>2040</v>
      </c>
      <c r="E1941" s="52" t="s">
        <v>2045</v>
      </c>
      <c r="F1941" s="35">
        <v>1</v>
      </c>
      <c r="G1941" s="40">
        <v>0</v>
      </c>
      <c r="H1941" s="40">
        <v>0</v>
      </c>
      <c r="I1941" s="40">
        <v>0</v>
      </c>
      <c r="J1941" s="40">
        <v>0</v>
      </c>
      <c r="K1941" s="40">
        <v>0</v>
      </c>
      <c r="L1941" s="40">
        <v>0</v>
      </c>
      <c r="M1941" s="40">
        <f t="shared" si="61"/>
        <v>0</v>
      </c>
      <c r="N1941" s="40">
        <f t="shared" si="62"/>
        <v>0</v>
      </c>
    </row>
    <row r="1942" spans="1:14" ht="29" x14ac:dyDescent="0.35">
      <c r="A1942" s="33">
        <v>1919</v>
      </c>
      <c r="B1942" s="53" t="s">
        <v>2357</v>
      </c>
      <c r="C1942" s="54" t="s">
        <v>346</v>
      </c>
      <c r="D1942" s="55" t="s">
        <v>523</v>
      </c>
      <c r="E1942" s="52" t="s">
        <v>561</v>
      </c>
      <c r="F1942" s="35">
        <v>1</v>
      </c>
      <c r="G1942" s="40">
        <v>0</v>
      </c>
      <c r="H1942" s="40">
        <v>0</v>
      </c>
      <c r="I1942" s="40">
        <v>0</v>
      </c>
      <c r="J1942" s="40">
        <v>0</v>
      </c>
      <c r="K1942" s="40">
        <v>0</v>
      </c>
      <c r="L1942" s="40">
        <v>0</v>
      </c>
      <c r="M1942" s="40">
        <f t="shared" si="61"/>
        <v>0</v>
      </c>
      <c r="N1942" s="40">
        <f t="shared" si="62"/>
        <v>0</v>
      </c>
    </row>
    <row r="1943" spans="1:14" x14ac:dyDescent="0.35">
      <c r="A1943" s="33">
        <v>1920</v>
      </c>
      <c r="B1943" s="53" t="s">
        <v>2358</v>
      </c>
      <c r="C1943" s="54" t="s">
        <v>346</v>
      </c>
      <c r="D1943" s="55" t="s">
        <v>523</v>
      </c>
      <c r="E1943" s="52" t="s">
        <v>561</v>
      </c>
      <c r="F1943" s="35">
        <v>1</v>
      </c>
      <c r="G1943" s="40">
        <v>0</v>
      </c>
      <c r="H1943" s="40">
        <v>0</v>
      </c>
      <c r="I1943" s="40">
        <v>0</v>
      </c>
      <c r="J1943" s="40">
        <v>0</v>
      </c>
      <c r="K1943" s="40">
        <v>0</v>
      </c>
      <c r="L1943" s="40">
        <v>0</v>
      </c>
      <c r="M1943" s="40">
        <f t="shared" si="61"/>
        <v>0</v>
      </c>
      <c r="N1943" s="40">
        <f t="shared" si="62"/>
        <v>0</v>
      </c>
    </row>
    <row r="1944" spans="1:14" x14ac:dyDescent="0.35">
      <c r="A1944" s="33">
        <v>1921</v>
      </c>
      <c r="B1944" s="53" t="s">
        <v>2359</v>
      </c>
      <c r="C1944" s="54" t="s">
        <v>346</v>
      </c>
      <c r="D1944" s="55" t="s">
        <v>523</v>
      </c>
      <c r="E1944" s="52" t="s">
        <v>561</v>
      </c>
      <c r="F1944" s="35">
        <v>1</v>
      </c>
      <c r="G1944" s="40">
        <v>0</v>
      </c>
      <c r="H1944" s="40">
        <v>0</v>
      </c>
      <c r="I1944" s="40">
        <v>0</v>
      </c>
      <c r="J1944" s="40">
        <v>0</v>
      </c>
      <c r="K1944" s="40">
        <v>0</v>
      </c>
      <c r="L1944" s="40">
        <v>0</v>
      </c>
      <c r="M1944" s="40">
        <f t="shared" si="61"/>
        <v>0</v>
      </c>
      <c r="N1944" s="40">
        <f t="shared" si="62"/>
        <v>0</v>
      </c>
    </row>
    <row r="1945" spans="1:14" x14ac:dyDescent="0.35">
      <c r="A1945" s="33">
        <v>1922</v>
      </c>
      <c r="B1945" s="53" t="s">
        <v>2360</v>
      </c>
      <c r="C1945" s="54" t="s">
        <v>346</v>
      </c>
      <c r="D1945" s="55" t="s">
        <v>523</v>
      </c>
      <c r="E1945" s="52" t="s">
        <v>561</v>
      </c>
      <c r="F1945" s="35">
        <v>1</v>
      </c>
      <c r="G1945" s="40">
        <v>0</v>
      </c>
      <c r="H1945" s="40">
        <v>0</v>
      </c>
      <c r="I1945" s="40">
        <v>0</v>
      </c>
      <c r="J1945" s="40">
        <v>0</v>
      </c>
      <c r="K1945" s="40">
        <v>0</v>
      </c>
      <c r="L1945" s="40">
        <v>0</v>
      </c>
      <c r="M1945" s="40">
        <f t="shared" si="61"/>
        <v>0</v>
      </c>
      <c r="N1945" s="40">
        <f t="shared" si="62"/>
        <v>0</v>
      </c>
    </row>
    <row r="1946" spans="1:14" x14ac:dyDescent="0.35">
      <c r="A1946" s="61">
        <v>1943</v>
      </c>
      <c r="B1946" s="59" t="s">
        <v>273</v>
      </c>
      <c r="C1946" s="33" t="s">
        <v>346</v>
      </c>
      <c r="D1946" s="33" t="s">
        <v>208</v>
      </c>
      <c r="E1946" s="33" t="s">
        <v>1478</v>
      </c>
      <c r="F1946" s="60">
        <v>1</v>
      </c>
      <c r="G1946" s="40">
        <v>0</v>
      </c>
      <c r="H1946" s="40">
        <v>0</v>
      </c>
      <c r="I1946" s="40">
        <v>0</v>
      </c>
      <c r="J1946" s="40">
        <v>0</v>
      </c>
      <c r="K1946" s="40">
        <v>0</v>
      </c>
      <c r="L1946" s="40">
        <v>4.4800000000000004</v>
      </c>
      <c r="M1946" s="40">
        <f t="shared" si="61"/>
        <v>0</v>
      </c>
      <c r="N1946" s="40">
        <f t="shared" si="62"/>
        <v>4.4800000000000004</v>
      </c>
    </row>
    <row r="1947" spans="1:14" x14ac:dyDescent="0.35">
      <c r="A1947" s="61">
        <v>1944</v>
      </c>
      <c r="B1947" s="59" t="s">
        <v>259</v>
      </c>
      <c r="C1947" s="33" t="s">
        <v>346</v>
      </c>
      <c r="D1947" s="33" t="s">
        <v>208</v>
      </c>
      <c r="E1947" s="33" t="s">
        <v>1478</v>
      </c>
      <c r="F1947" s="60">
        <v>1</v>
      </c>
      <c r="G1947" s="40">
        <v>0</v>
      </c>
      <c r="H1947" s="40">
        <v>0</v>
      </c>
      <c r="I1947" s="40">
        <v>0</v>
      </c>
      <c r="J1947" s="40">
        <v>0</v>
      </c>
      <c r="K1947" s="40">
        <v>0</v>
      </c>
      <c r="L1947" s="40">
        <v>4.3</v>
      </c>
      <c r="M1947" s="40">
        <f t="shared" si="61"/>
        <v>0</v>
      </c>
      <c r="N1947" s="40">
        <f t="shared" si="62"/>
        <v>4.3</v>
      </c>
    </row>
    <row r="1948" spans="1:14" x14ac:dyDescent="0.35">
      <c r="A1948" s="61">
        <v>1945</v>
      </c>
      <c r="B1948" s="59" t="s">
        <v>260</v>
      </c>
      <c r="C1948" s="33" t="s">
        <v>346</v>
      </c>
      <c r="D1948" s="33" t="s">
        <v>208</v>
      </c>
      <c r="E1948" s="33" t="s">
        <v>1478</v>
      </c>
      <c r="F1948" s="60">
        <v>1</v>
      </c>
      <c r="G1948" s="40">
        <v>0</v>
      </c>
      <c r="H1948" s="40">
        <v>0</v>
      </c>
      <c r="I1948" s="40">
        <v>0</v>
      </c>
      <c r="J1948" s="40">
        <v>0</v>
      </c>
      <c r="K1948" s="40">
        <v>0</v>
      </c>
      <c r="L1948" s="40">
        <v>2.83</v>
      </c>
      <c r="M1948" s="40">
        <f t="shared" si="61"/>
        <v>0</v>
      </c>
      <c r="N1948" s="40">
        <f t="shared" si="62"/>
        <v>2.83</v>
      </c>
    </row>
  </sheetData>
  <autoFilter ref="A3:N3" xr:uid="{B2295B2F-B8BD-4835-9049-3DBB90E79264}"/>
  <mergeCells count="4">
    <mergeCell ref="G2:H2"/>
    <mergeCell ref="I2:J2"/>
    <mergeCell ref="K2:L2"/>
    <mergeCell ref="M2:N2"/>
  </mergeCells>
  <conditionalFormatting sqref="A3">
    <cfRule type="duplicateValues" dxfId="93" priority="27"/>
    <cfRule type="duplicateValues" dxfId="92" priority="28"/>
  </conditionalFormatting>
  <conditionalFormatting sqref="A4:A1915 A1946:A1948">
    <cfRule type="duplicateValues" dxfId="91" priority="5"/>
    <cfRule type="duplicateValues" dxfId="90" priority="6"/>
  </conditionalFormatting>
  <conditionalFormatting sqref="A1916:A1945">
    <cfRule type="duplicateValues" dxfId="89" priority="33"/>
    <cfRule type="duplicateValues" dxfId="88" priority="32"/>
  </conditionalFormatting>
  <conditionalFormatting sqref="B2:B1945">
    <cfRule type="duplicateValues" dxfId="87" priority="1"/>
  </conditionalFormatting>
  <conditionalFormatting sqref="B3">
    <cfRule type="duplicateValues" dxfId="86" priority="23"/>
    <cfRule type="duplicateValues" dxfId="85" priority="24"/>
    <cfRule type="duplicateValues" dxfId="84" priority="25"/>
    <cfRule type="duplicateValues" dxfId="83" priority="26"/>
  </conditionalFormatting>
  <conditionalFormatting sqref="B4:B1915">
    <cfRule type="duplicateValues" dxfId="82" priority="2"/>
    <cfRule type="duplicateValues" dxfId="81" priority="3"/>
    <cfRule type="duplicateValues" dxfId="80" priority="4"/>
  </conditionalFormatting>
  <conditionalFormatting sqref="B1916">
    <cfRule type="duplicateValues" dxfId="79" priority="18"/>
    <cfRule type="duplicateValues" dxfId="78" priority="16"/>
    <cfRule type="duplicateValues" dxfId="77" priority="17"/>
  </conditionalFormatting>
  <conditionalFormatting sqref="B1916:B1936">
    <cfRule type="duplicateValues" dxfId="76" priority="30"/>
  </conditionalFormatting>
  <conditionalFormatting sqref="B1916:B1940 B2:B3">
    <cfRule type="duplicateValues" dxfId="75" priority="31"/>
  </conditionalFormatting>
  <conditionalFormatting sqref="B1916:B1945 B2:B3">
    <cfRule type="duplicateValues" dxfId="74" priority="7"/>
  </conditionalFormatting>
  <conditionalFormatting sqref="B1917">
    <cfRule type="duplicateValues" dxfId="73" priority="15"/>
  </conditionalFormatting>
  <conditionalFormatting sqref="B1918">
    <cfRule type="duplicateValues" dxfId="72" priority="14"/>
  </conditionalFormatting>
  <conditionalFormatting sqref="B1919:B1921">
    <cfRule type="duplicateValues" dxfId="71" priority="13"/>
  </conditionalFormatting>
  <conditionalFormatting sqref="B1925">
    <cfRule type="duplicateValues" dxfId="70" priority="12"/>
  </conditionalFormatting>
  <conditionalFormatting sqref="B1926">
    <cfRule type="duplicateValues" dxfId="69" priority="11"/>
  </conditionalFormatting>
  <conditionalFormatting sqref="B1927">
    <cfRule type="duplicateValues" dxfId="68" priority="10"/>
  </conditionalFormatting>
  <conditionalFormatting sqref="B1928">
    <cfRule type="duplicateValues" dxfId="67" priority="9"/>
  </conditionalFormatting>
  <conditionalFormatting sqref="B1938:B1940">
    <cfRule type="duplicateValues" dxfId="66" priority="29"/>
  </conditionalFormatting>
  <conditionalFormatting sqref="B1940">
    <cfRule type="duplicateValues" dxfId="65" priority="8"/>
  </conditionalFormatting>
  <conditionalFormatting sqref="D2">
    <cfRule type="duplicateValues" dxfId="64" priority="19"/>
    <cfRule type="duplicateValues" dxfId="63" priority="20"/>
    <cfRule type="duplicateValues" dxfId="62" priority="21"/>
    <cfRule type="duplicateValues" dxfId="61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66BF-2882-43F2-B4DA-A6A00C618C3F}">
  <dimension ref="A1:P1948"/>
  <sheetViews>
    <sheetView topLeftCell="C1" workbookViewId="0">
      <selection activeCell="N1" sqref="N1"/>
    </sheetView>
  </sheetViews>
  <sheetFormatPr defaultRowHeight="14.5" x14ac:dyDescent="0.35"/>
  <cols>
    <col min="1" max="1" width="10.6328125" bestFit="1" customWidth="1"/>
    <col min="2" max="2" width="34.54296875" customWidth="1"/>
    <col min="3" max="3" width="10.6328125" bestFit="1" customWidth="1"/>
    <col min="4" max="4" width="18.7265625" bestFit="1" customWidth="1"/>
    <col min="5" max="5" width="16.54296875" customWidth="1"/>
    <col min="6" max="6" width="10.54296875" bestFit="1" customWidth="1"/>
    <col min="7" max="7" width="12.54296875" bestFit="1" customWidth="1"/>
    <col min="8" max="8" width="11" bestFit="1" customWidth="1"/>
    <col min="9" max="9" width="12.54296875" bestFit="1" customWidth="1"/>
    <col min="10" max="10" width="11" bestFit="1" customWidth="1"/>
    <col min="11" max="11" width="12.54296875" bestFit="1" customWidth="1"/>
    <col min="12" max="12" width="11" bestFit="1" customWidth="1"/>
    <col min="13" max="14" width="11" customWidth="1"/>
    <col min="15" max="15" width="8" bestFit="1" customWidth="1"/>
    <col min="16" max="16" width="7.81640625" bestFit="1" customWidth="1"/>
  </cols>
  <sheetData>
    <row r="1" spans="1:16" x14ac:dyDescent="0.35">
      <c r="A1" s="40"/>
      <c r="B1" s="40"/>
      <c r="C1" s="40"/>
      <c r="D1" s="40"/>
      <c r="E1" s="40"/>
      <c r="F1" s="40"/>
      <c r="G1" s="56">
        <f t="shared" ref="G1:P1" si="0">SUBTOTAL(9,G4:G149027)</f>
        <v>0</v>
      </c>
      <c r="H1" s="56">
        <f t="shared" si="0"/>
        <v>2970.9</v>
      </c>
      <c r="I1" s="56">
        <f t="shared" si="0"/>
        <v>0</v>
      </c>
      <c r="J1" s="56">
        <f t="shared" si="0"/>
        <v>32</v>
      </c>
      <c r="K1" s="56">
        <f t="shared" si="0"/>
        <v>0</v>
      </c>
      <c r="L1" s="56">
        <f t="shared" si="0"/>
        <v>552.91000000000008</v>
      </c>
      <c r="M1" s="56">
        <f t="shared" si="0"/>
        <v>394</v>
      </c>
      <c r="N1" s="56">
        <f t="shared" si="0"/>
        <v>561.68999999999971</v>
      </c>
      <c r="O1" s="56">
        <f t="shared" si="0"/>
        <v>394</v>
      </c>
      <c r="P1" s="56">
        <f t="shared" si="0"/>
        <v>4117.5000000000009</v>
      </c>
    </row>
    <row r="2" spans="1:16" x14ac:dyDescent="0.35">
      <c r="A2" s="45"/>
      <c r="B2" s="31" t="s">
        <v>2306</v>
      </c>
      <c r="C2" s="47"/>
      <c r="D2" s="49">
        <v>46075</v>
      </c>
      <c r="E2" s="50" t="s">
        <v>2307</v>
      </c>
      <c r="F2" s="45"/>
      <c r="G2" s="62" t="s">
        <v>2363</v>
      </c>
      <c r="H2" s="62"/>
      <c r="I2" s="62" t="s">
        <v>2364</v>
      </c>
      <c r="J2" s="62"/>
      <c r="K2" s="62" t="s">
        <v>2365</v>
      </c>
      <c r="L2" s="62"/>
      <c r="M2" s="62" t="s">
        <v>2366</v>
      </c>
      <c r="N2" s="62"/>
      <c r="O2" s="62" t="s">
        <v>2371</v>
      </c>
      <c r="P2" s="62"/>
    </row>
    <row r="3" spans="1:16" ht="23" x14ac:dyDescent="0.35">
      <c r="A3" s="29" t="s">
        <v>290</v>
      </c>
      <c r="B3" s="30" t="s">
        <v>291</v>
      </c>
      <c r="C3" s="30" t="s">
        <v>292</v>
      </c>
      <c r="D3" s="31" t="s">
        <v>293</v>
      </c>
      <c r="E3" s="31" t="s">
        <v>294</v>
      </c>
      <c r="F3" s="32" t="s">
        <v>295</v>
      </c>
      <c r="G3" s="57" t="s">
        <v>2361</v>
      </c>
      <c r="H3" s="57" t="s">
        <v>2362</v>
      </c>
      <c r="I3" s="57" t="s">
        <v>2361</v>
      </c>
      <c r="J3" s="57" t="s">
        <v>2362</v>
      </c>
      <c r="K3" s="57" t="s">
        <v>2361</v>
      </c>
      <c r="L3" s="57" t="s">
        <v>2362</v>
      </c>
      <c r="M3" s="57" t="s">
        <v>2361</v>
      </c>
      <c r="N3" s="57" t="s">
        <v>2362</v>
      </c>
      <c r="O3" s="57" t="s">
        <v>2361</v>
      </c>
      <c r="P3" s="57" t="s">
        <v>2362</v>
      </c>
    </row>
    <row r="4" spans="1:16" x14ac:dyDescent="0.35">
      <c r="A4" s="33">
        <v>1</v>
      </c>
      <c r="B4" s="34" t="s">
        <v>296</v>
      </c>
      <c r="C4" s="33" t="s">
        <v>297</v>
      </c>
      <c r="D4" s="33" t="s">
        <v>36</v>
      </c>
      <c r="E4" s="33" t="s">
        <v>298</v>
      </c>
      <c r="F4" s="35">
        <v>1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40" cm="1">
        <f t="array" ref="M4:N4">VLOOKUP(B4,'Fumigation  Room'!B:H,{6,7},0)</f>
        <v>0</v>
      </c>
      <c r="N4" s="40">
        <v>0</v>
      </c>
      <c r="O4" s="40">
        <f>G4+I4+K4+M4</f>
        <v>0</v>
      </c>
      <c r="P4" s="40">
        <f>H4+J4+L4+N4</f>
        <v>0</v>
      </c>
    </row>
    <row r="5" spans="1:16" x14ac:dyDescent="0.35">
      <c r="A5" s="33">
        <v>2</v>
      </c>
      <c r="B5" s="34" t="s">
        <v>299</v>
      </c>
      <c r="C5" s="33" t="s">
        <v>297</v>
      </c>
      <c r="D5" s="33" t="s">
        <v>36</v>
      </c>
      <c r="E5" s="33" t="s">
        <v>298</v>
      </c>
      <c r="F5" s="35">
        <v>1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0" cm="1">
        <f t="array" ref="M5:N5">VLOOKUP(B5,'Fumigation  Room'!B:H,{6,7},0)</f>
        <v>0</v>
      </c>
      <c r="N5" s="40">
        <v>26.15</v>
      </c>
      <c r="O5" s="40">
        <f t="shared" ref="O5:O68" si="1">G5+I5+K5+M5</f>
        <v>0</v>
      </c>
      <c r="P5" s="40">
        <f t="shared" ref="P5:P68" si="2">H5+J5+L5+N5</f>
        <v>26.15</v>
      </c>
    </row>
    <row r="6" spans="1:16" x14ac:dyDescent="0.35">
      <c r="A6" s="33">
        <v>3</v>
      </c>
      <c r="B6" s="34" t="s">
        <v>300</v>
      </c>
      <c r="C6" s="33" t="s">
        <v>297</v>
      </c>
      <c r="D6" s="33" t="s">
        <v>36</v>
      </c>
      <c r="E6" s="33" t="s">
        <v>298</v>
      </c>
      <c r="F6" s="35">
        <v>1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 cm="1">
        <f t="array" ref="M6:N6">VLOOKUP(B6,'Fumigation  Room'!B:H,{6,7},0)</f>
        <v>0</v>
      </c>
      <c r="N6" s="40">
        <v>0</v>
      </c>
      <c r="O6" s="40">
        <f t="shared" si="1"/>
        <v>0</v>
      </c>
      <c r="P6" s="40">
        <f t="shared" si="2"/>
        <v>0</v>
      </c>
    </row>
    <row r="7" spans="1:16" x14ac:dyDescent="0.35">
      <c r="A7" s="33">
        <v>4</v>
      </c>
      <c r="B7" s="34" t="s">
        <v>301</v>
      </c>
      <c r="C7" s="33" t="s">
        <v>297</v>
      </c>
      <c r="D7" s="33" t="s">
        <v>36</v>
      </c>
      <c r="E7" s="33" t="s">
        <v>298</v>
      </c>
      <c r="F7" s="35">
        <v>1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 cm="1">
        <f t="array" ref="M7:N7">VLOOKUP(B7,'Fumigation  Room'!B:H,{6,7},0)</f>
        <v>0</v>
      </c>
      <c r="N7" s="40">
        <v>0.6</v>
      </c>
      <c r="O7" s="40">
        <f t="shared" si="1"/>
        <v>0</v>
      </c>
      <c r="P7" s="40">
        <f t="shared" si="2"/>
        <v>0.6</v>
      </c>
    </row>
    <row r="8" spans="1:16" x14ac:dyDescent="0.35">
      <c r="A8" s="33">
        <v>5</v>
      </c>
      <c r="B8" s="34" t="s">
        <v>302</v>
      </c>
      <c r="C8" s="33" t="s">
        <v>297</v>
      </c>
      <c r="D8" s="33" t="s">
        <v>36</v>
      </c>
      <c r="E8" s="33" t="s">
        <v>298</v>
      </c>
      <c r="F8" s="35">
        <v>1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 cm="1">
        <f t="array" ref="M8:N8">VLOOKUP(B8,'Fumigation  Room'!B:H,{6,7},0)</f>
        <v>0</v>
      </c>
      <c r="N8" s="40">
        <v>0</v>
      </c>
      <c r="O8" s="40">
        <f t="shared" si="1"/>
        <v>0</v>
      </c>
      <c r="P8" s="40">
        <f t="shared" si="2"/>
        <v>0</v>
      </c>
    </row>
    <row r="9" spans="1:16" x14ac:dyDescent="0.35">
      <c r="A9" s="33">
        <v>6</v>
      </c>
      <c r="B9" s="34" t="s">
        <v>303</v>
      </c>
      <c r="C9" s="33" t="s">
        <v>297</v>
      </c>
      <c r="D9" s="33" t="s">
        <v>36</v>
      </c>
      <c r="E9" s="33" t="s">
        <v>298</v>
      </c>
      <c r="F9" s="35">
        <v>1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 cm="1">
        <f t="array" ref="M9:N9">VLOOKUP(B9,'Fumigation  Room'!B:H,{6,7},0)</f>
        <v>0</v>
      </c>
      <c r="N9" s="40">
        <v>0</v>
      </c>
      <c r="O9" s="40">
        <f t="shared" si="1"/>
        <v>0</v>
      </c>
      <c r="P9" s="40">
        <f t="shared" si="2"/>
        <v>0</v>
      </c>
    </row>
    <row r="10" spans="1:16" x14ac:dyDescent="0.35">
      <c r="A10" s="33">
        <v>7</v>
      </c>
      <c r="B10" s="34" t="s">
        <v>304</v>
      </c>
      <c r="C10" s="33" t="s">
        <v>297</v>
      </c>
      <c r="D10" s="33" t="s">
        <v>36</v>
      </c>
      <c r="E10" s="33" t="s">
        <v>298</v>
      </c>
      <c r="F10" s="35">
        <v>1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 cm="1">
        <f t="array" ref="M10:N10">VLOOKUP(B10,'Fumigation  Room'!B:H,{6,7},0)</f>
        <v>0</v>
      </c>
      <c r="N10" s="40">
        <v>0</v>
      </c>
      <c r="O10" s="40">
        <f t="shared" si="1"/>
        <v>0</v>
      </c>
      <c r="P10" s="40">
        <f t="shared" si="2"/>
        <v>0</v>
      </c>
    </row>
    <row r="11" spans="1:16" x14ac:dyDescent="0.35">
      <c r="A11" s="33">
        <v>8</v>
      </c>
      <c r="B11" s="34" t="s">
        <v>305</v>
      </c>
      <c r="C11" s="33" t="s">
        <v>297</v>
      </c>
      <c r="D11" s="33" t="s">
        <v>36</v>
      </c>
      <c r="E11" s="33" t="s">
        <v>298</v>
      </c>
      <c r="F11" s="35">
        <v>1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 cm="1">
        <f t="array" ref="M11:N11">VLOOKUP(B11,'Fumigation  Room'!B:H,{6,7},0)</f>
        <v>0</v>
      </c>
      <c r="N11" s="40">
        <v>0</v>
      </c>
      <c r="O11" s="40">
        <f t="shared" si="1"/>
        <v>0</v>
      </c>
      <c r="P11" s="40">
        <f t="shared" si="2"/>
        <v>0</v>
      </c>
    </row>
    <row r="12" spans="1:16" x14ac:dyDescent="0.35">
      <c r="A12" s="33">
        <v>9</v>
      </c>
      <c r="B12" s="34" t="s">
        <v>306</v>
      </c>
      <c r="C12" s="33" t="s">
        <v>297</v>
      </c>
      <c r="D12" s="33" t="s">
        <v>36</v>
      </c>
      <c r="E12" s="33" t="s">
        <v>307</v>
      </c>
      <c r="F12" s="35">
        <v>1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 cm="1">
        <f t="array" ref="M12:N12">VLOOKUP(B12,'Fumigation  Room'!B:H,{6,7},0)</f>
        <v>0</v>
      </c>
      <c r="N12" s="40">
        <v>0</v>
      </c>
      <c r="O12" s="40">
        <f t="shared" si="1"/>
        <v>0</v>
      </c>
      <c r="P12" s="40">
        <f t="shared" si="2"/>
        <v>0</v>
      </c>
    </row>
    <row r="13" spans="1:16" x14ac:dyDescent="0.35">
      <c r="A13" s="33">
        <v>10</v>
      </c>
      <c r="B13" s="34" t="s">
        <v>308</v>
      </c>
      <c r="C13" s="33" t="s">
        <v>297</v>
      </c>
      <c r="D13" s="33" t="s">
        <v>36</v>
      </c>
      <c r="E13" s="33" t="s">
        <v>307</v>
      </c>
      <c r="F13" s="35">
        <v>1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 cm="1">
        <f t="array" ref="M13:N13">VLOOKUP(B13,'Fumigation  Room'!B:H,{6,7},0)</f>
        <v>0</v>
      </c>
      <c r="N13" s="40">
        <v>0</v>
      </c>
      <c r="O13" s="40">
        <f t="shared" si="1"/>
        <v>0</v>
      </c>
      <c r="P13" s="40">
        <f t="shared" si="2"/>
        <v>0</v>
      </c>
    </row>
    <row r="14" spans="1:16" x14ac:dyDescent="0.35">
      <c r="A14" s="33">
        <v>11</v>
      </c>
      <c r="B14" s="34" t="s">
        <v>309</v>
      </c>
      <c r="C14" s="33" t="s">
        <v>297</v>
      </c>
      <c r="D14" s="33" t="s">
        <v>36</v>
      </c>
      <c r="E14" s="33" t="s">
        <v>307</v>
      </c>
      <c r="F14" s="35">
        <v>1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 cm="1">
        <f t="array" ref="M14:N14">VLOOKUP(B14,'Fumigation  Room'!B:H,{6,7},0)</f>
        <v>0</v>
      </c>
      <c r="N14" s="40">
        <v>0</v>
      </c>
      <c r="O14" s="40">
        <f t="shared" si="1"/>
        <v>0</v>
      </c>
      <c r="P14" s="40">
        <f t="shared" si="2"/>
        <v>0</v>
      </c>
    </row>
    <row r="15" spans="1:16" x14ac:dyDescent="0.35">
      <c r="A15" s="33">
        <v>12</v>
      </c>
      <c r="B15" s="34" t="s">
        <v>310</v>
      </c>
      <c r="C15" s="33" t="s">
        <v>297</v>
      </c>
      <c r="D15" s="33" t="s">
        <v>36</v>
      </c>
      <c r="E15" s="33" t="s">
        <v>311</v>
      </c>
      <c r="F15" s="35">
        <v>1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 cm="1">
        <f t="array" ref="M15:N15">VLOOKUP(B15,'Fumigation  Room'!B:H,{6,7},0)</f>
        <v>0</v>
      </c>
      <c r="N15" s="40">
        <v>0</v>
      </c>
      <c r="O15" s="40">
        <f t="shared" si="1"/>
        <v>0</v>
      </c>
      <c r="P15" s="40">
        <f t="shared" si="2"/>
        <v>0</v>
      </c>
    </row>
    <row r="16" spans="1:16" x14ac:dyDescent="0.35">
      <c r="A16" s="33">
        <v>13</v>
      </c>
      <c r="B16" s="34" t="s">
        <v>312</v>
      </c>
      <c r="C16" s="33" t="s">
        <v>297</v>
      </c>
      <c r="D16" s="33" t="s">
        <v>36</v>
      </c>
      <c r="E16" s="33" t="s">
        <v>311</v>
      </c>
      <c r="F16" s="35">
        <v>1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 cm="1">
        <f t="array" ref="M16:N16">VLOOKUP(B16,'Fumigation  Room'!B:H,{6,7},0)</f>
        <v>0</v>
      </c>
      <c r="N16" s="40">
        <v>0</v>
      </c>
      <c r="O16" s="40">
        <f t="shared" si="1"/>
        <v>0</v>
      </c>
      <c r="P16" s="40">
        <f t="shared" si="2"/>
        <v>0</v>
      </c>
    </row>
    <row r="17" spans="1:16" x14ac:dyDescent="0.35">
      <c r="A17" s="33">
        <v>14</v>
      </c>
      <c r="B17" s="34" t="s">
        <v>313</v>
      </c>
      <c r="C17" s="33" t="s">
        <v>297</v>
      </c>
      <c r="D17" s="33" t="s">
        <v>36</v>
      </c>
      <c r="E17" s="33" t="s">
        <v>311</v>
      </c>
      <c r="F17" s="35">
        <v>1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 cm="1">
        <f t="array" ref="M17:N17">VLOOKUP(B17,'Fumigation  Room'!B:H,{6,7},0)</f>
        <v>0</v>
      </c>
      <c r="N17" s="40">
        <v>0</v>
      </c>
      <c r="O17" s="40">
        <f t="shared" si="1"/>
        <v>0</v>
      </c>
      <c r="P17" s="40">
        <f t="shared" si="2"/>
        <v>0</v>
      </c>
    </row>
    <row r="18" spans="1:16" x14ac:dyDescent="0.35">
      <c r="A18" s="33">
        <v>15</v>
      </c>
      <c r="B18" s="34" t="s">
        <v>314</v>
      </c>
      <c r="C18" s="33" t="s">
        <v>297</v>
      </c>
      <c r="D18" s="33" t="s">
        <v>36</v>
      </c>
      <c r="E18" s="33" t="s">
        <v>311</v>
      </c>
      <c r="F18" s="35">
        <v>1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 cm="1">
        <f t="array" ref="M18:N18">VLOOKUP(B18,'Fumigation  Room'!B:H,{6,7},0)</f>
        <v>0</v>
      </c>
      <c r="N18" s="40">
        <v>0</v>
      </c>
      <c r="O18" s="40">
        <f t="shared" si="1"/>
        <v>0</v>
      </c>
      <c r="P18" s="40">
        <f t="shared" si="2"/>
        <v>0</v>
      </c>
    </row>
    <row r="19" spans="1:16" x14ac:dyDescent="0.35">
      <c r="A19" s="33">
        <v>16</v>
      </c>
      <c r="B19" s="34" t="s">
        <v>315</v>
      </c>
      <c r="C19" s="33" t="s">
        <v>297</v>
      </c>
      <c r="D19" s="33" t="s">
        <v>36</v>
      </c>
      <c r="E19" s="33" t="s">
        <v>311</v>
      </c>
      <c r="F19" s="35">
        <v>1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 cm="1">
        <f t="array" ref="M19:N19">VLOOKUP(B19,'Fumigation  Room'!B:H,{6,7},0)</f>
        <v>0</v>
      </c>
      <c r="N19" s="40">
        <v>0</v>
      </c>
      <c r="O19" s="40">
        <f t="shared" si="1"/>
        <v>0</v>
      </c>
      <c r="P19" s="40">
        <f t="shared" si="2"/>
        <v>0</v>
      </c>
    </row>
    <row r="20" spans="1:16" x14ac:dyDescent="0.35">
      <c r="A20" s="33">
        <v>17</v>
      </c>
      <c r="B20" s="34" t="s">
        <v>316</v>
      </c>
      <c r="C20" s="33" t="s">
        <v>297</v>
      </c>
      <c r="D20" s="33" t="s">
        <v>36</v>
      </c>
      <c r="E20" s="33" t="s">
        <v>311</v>
      </c>
      <c r="F20" s="35">
        <v>1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 cm="1">
        <f t="array" ref="M20:N20">VLOOKUP(B20,'Fumigation  Room'!B:H,{6,7},0)</f>
        <v>0</v>
      </c>
      <c r="N20" s="40">
        <v>0</v>
      </c>
      <c r="O20" s="40">
        <f t="shared" si="1"/>
        <v>0</v>
      </c>
      <c r="P20" s="40">
        <f t="shared" si="2"/>
        <v>0</v>
      </c>
    </row>
    <row r="21" spans="1:16" x14ac:dyDescent="0.35">
      <c r="A21" s="33">
        <v>18</v>
      </c>
      <c r="B21" s="34" t="s">
        <v>317</v>
      </c>
      <c r="C21" s="33" t="s">
        <v>297</v>
      </c>
      <c r="D21" s="33" t="s">
        <v>36</v>
      </c>
      <c r="E21" s="33" t="s">
        <v>311</v>
      </c>
      <c r="F21" s="35">
        <v>1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 cm="1">
        <f t="array" ref="M21:N21">VLOOKUP(B21,'Fumigation  Room'!B:H,{6,7},0)</f>
        <v>0</v>
      </c>
      <c r="N21" s="40">
        <v>0</v>
      </c>
      <c r="O21" s="40">
        <f t="shared" si="1"/>
        <v>0</v>
      </c>
      <c r="P21" s="40">
        <f t="shared" si="2"/>
        <v>0</v>
      </c>
    </row>
    <row r="22" spans="1:16" x14ac:dyDescent="0.35">
      <c r="A22" s="33">
        <v>19</v>
      </c>
      <c r="B22" s="34" t="s">
        <v>318</v>
      </c>
      <c r="C22" s="33" t="s">
        <v>297</v>
      </c>
      <c r="D22" s="33" t="s">
        <v>36</v>
      </c>
      <c r="E22" s="33" t="s">
        <v>311</v>
      </c>
      <c r="F22" s="35">
        <v>1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 cm="1">
        <f t="array" ref="M22:N22">VLOOKUP(B22,'Fumigation  Room'!B:H,{6,7},0)</f>
        <v>0</v>
      </c>
      <c r="N22" s="40">
        <v>0</v>
      </c>
      <c r="O22" s="40">
        <f t="shared" si="1"/>
        <v>0</v>
      </c>
      <c r="P22" s="40">
        <f t="shared" si="2"/>
        <v>0</v>
      </c>
    </row>
    <row r="23" spans="1:16" x14ac:dyDescent="0.35">
      <c r="A23" s="33">
        <v>20</v>
      </c>
      <c r="B23" s="34" t="s">
        <v>319</v>
      </c>
      <c r="C23" s="33" t="s">
        <v>297</v>
      </c>
      <c r="D23" s="33" t="s">
        <v>36</v>
      </c>
      <c r="E23" s="33" t="s">
        <v>311</v>
      </c>
      <c r="F23" s="35">
        <v>1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 cm="1">
        <f t="array" ref="M23:N23">VLOOKUP(B23,'Fumigation  Room'!B:H,{6,7},0)</f>
        <v>0</v>
      </c>
      <c r="N23" s="40">
        <v>0</v>
      </c>
      <c r="O23" s="40">
        <f t="shared" si="1"/>
        <v>0</v>
      </c>
      <c r="P23" s="40">
        <f t="shared" si="2"/>
        <v>0</v>
      </c>
    </row>
    <row r="24" spans="1:16" x14ac:dyDescent="0.35">
      <c r="A24" s="33">
        <v>21</v>
      </c>
      <c r="B24" s="34" t="s">
        <v>320</v>
      </c>
      <c r="C24" s="33" t="s">
        <v>297</v>
      </c>
      <c r="D24" s="33" t="s">
        <v>36</v>
      </c>
      <c r="E24" s="33" t="s">
        <v>311</v>
      </c>
      <c r="F24" s="35">
        <v>1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 cm="1">
        <f t="array" ref="M24:N24">VLOOKUP(B24,'Fumigation  Room'!B:H,{6,7},0)</f>
        <v>0</v>
      </c>
      <c r="N24" s="40">
        <v>0</v>
      </c>
      <c r="O24" s="40">
        <f t="shared" si="1"/>
        <v>0</v>
      </c>
      <c r="P24" s="40">
        <f t="shared" si="2"/>
        <v>0</v>
      </c>
    </row>
    <row r="25" spans="1:16" x14ac:dyDescent="0.35">
      <c r="A25" s="33">
        <v>22</v>
      </c>
      <c r="B25" s="34" t="s">
        <v>321</v>
      </c>
      <c r="C25" s="33" t="s">
        <v>297</v>
      </c>
      <c r="D25" s="33" t="s">
        <v>36</v>
      </c>
      <c r="E25" s="33" t="s">
        <v>311</v>
      </c>
      <c r="F25" s="35">
        <v>1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 cm="1">
        <f t="array" ref="M25:N25">VLOOKUP(B25,'Fumigation  Room'!B:H,{6,7},0)</f>
        <v>0</v>
      </c>
      <c r="N25" s="40">
        <v>0</v>
      </c>
      <c r="O25" s="40">
        <f t="shared" si="1"/>
        <v>0</v>
      </c>
      <c r="P25" s="40">
        <f t="shared" si="2"/>
        <v>0</v>
      </c>
    </row>
    <row r="26" spans="1:16" x14ac:dyDescent="0.35">
      <c r="A26" s="33">
        <v>23</v>
      </c>
      <c r="B26" s="34" t="s">
        <v>322</v>
      </c>
      <c r="C26" s="33" t="s">
        <v>297</v>
      </c>
      <c r="D26" s="33" t="s">
        <v>36</v>
      </c>
      <c r="E26" s="33" t="s">
        <v>311</v>
      </c>
      <c r="F26" s="35">
        <v>1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 cm="1">
        <f t="array" ref="M26:N26">VLOOKUP(B26,'Fumigation  Room'!B:H,{6,7},0)</f>
        <v>0</v>
      </c>
      <c r="N26" s="40">
        <v>0</v>
      </c>
      <c r="O26" s="40">
        <f t="shared" si="1"/>
        <v>0</v>
      </c>
      <c r="P26" s="40">
        <f t="shared" si="2"/>
        <v>0</v>
      </c>
    </row>
    <row r="27" spans="1:16" x14ac:dyDescent="0.35">
      <c r="A27" s="33">
        <v>24</v>
      </c>
      <c r="B27" s="34" t="s">
        <v>323</v>
      </c>
      <c r="C27" s="33" t="s">
        <v>297</v>
      </c>
      <c r="D27" s="33" t="s">
        <v>36</v>
      </c>
      <c r="E27" s="33" t="s">
        <v>311</v>
      </c>
      <c r="F27" s="35">
        <v>1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 cm="1">
        <f t="array" ref="M27:N27">VLOOKUP(B27,'Fumigation  Room'!B:H,{6,7},0)</f>
        <v>0</v>
      </c>
      <c r="N27" s="40">
        <v>0</v>
      </c>
      <c r="O27" s="40">
        <f t="shared" si="1"/>
        <v>0</v>
      </c>
      <c r="P27" s="40">
        <f t="shared" si="2"/>
        <v>0</v>
      </c>
    </row>
    <row r="28" spans="1:16" x14ac:dyDescent="0.35">
      <c r="A28" s="33">
        <v>25</v>
      </c>
      <c r="B28" s="34" t="s">
        <v>324</v>
      </c>
      <c r="C28" s="33" t="s">
        <v>297</v>
      </c>
      <c r="D28" s="33" t="s">
        <v>36</v>
      </c>
      <c r="E28" s="33" t="s">
        <v>311</v>
      </c>
      <c r="F28" s="35">
        <v>1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 cm="1">
        <f t="array" ref="M28:N28">VLOOKUP(B28,'Fumigation  Room'!B:H,{6,7},0)</f>
        <v>0</v>
      </c>
      <c r="N28" s="40">
        <v>0</v>
      </c>
      <c r="O28" s="40">
        <f t="shared" si="1"/>
        <v>0</v>
      </c>
      <c r="P28" s="40">
        <f t="shared" si="2"/>
        <v>0</v>
      </c>
    </row>
    <row r="29" spans="1:16" x14ac:dyDescent="0.35">
      <c r="A29" s="33">
        <v>26</v>
      </c>
      <c r="B29" s="34" t="s">
        <v>325</v>
      </c>
      <c r="C29" s="33" t="s">
        <v>297</v>
      </c>
      <c r="D29" s="33" t="s">
        <v>36</v>
      </c>
      <c r="E29" s="33" t="s">
        <v>311</v>
      </c>
      <c r="F29" s="35">
        <v>1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 cm="1">
        <f t="array" ref="M29:N29">VLOOKUP(B29,'Fumigation  Room'!B:H,{6,7},0)</f>
        <v>0</v>
      </c>
      <c r="N29" s="40">
        <v>0</v>
      </c>
      <c r="O29" s="40">
        <f t="shared" si="1"/>
        <v>0</v>
      </c>
      <c r="P29" s="40">
        <f t="shared" si="2"/>
        <v>0</v>
      </c>
    </row>
    <row r="30" spans="1:16" x14ac:dyDescent="0.35">
      <c r="A30" s="33">
        <v>27</v>
      </c>
      <c r="B30" s="34" t="s">
        <v>326</v>
      </c>
      <c r="C30" s="33" t="s">
        <v>297</v>
      </c>
      <c r="D30" s="33" t="s">
        <v>36</v>
      </c>
      <c r="E30" s="33" t="s">
        <v>311</v>
      </c>
      <c r="F30" s="35">
        <v>1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 cm="1">
        <f t="array" ref="M30:N30">VLOOKUP(B30,'Fumigation  Room'!B:H,{6,7},0)</f>
        <v>0</v>
      </c>
      <c r="N30" s="40">
        <v>0</v>
      </c>
      <c r="O30" s="40">
        <f t="shared" si="1"/>
        <v>0</v>
      </c>
      <c r="P30" s="40">
        <f t="shared" si="2"/>
        <v>0</v>
      </c>
    </row>
    <row r="31" spans="1:16" x14ac:dyDescent="0.35">
      <c r="A31" s="33">
        <v>28</v>
      </c>
      <c r="B31" s="34" t="s">
        <v>327</v>
      </c>
      <c r="C31" s="33" t="s">
        <v>297</v>
      </c>
      <c r="D31" s="33" t="s">
        <v>36</v>
      </c>
      <c r="E31" s="33" t="s">
        <v>311</v>
      </c>
      <c r="F31" s="35">
        <v>1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 cm="1">
        <f t="array" ref="M31:N31">VLOOKUP(B31,'Fumigation  Room'!B:H,{6,7},0)</f>
        <v>0</v>
      </c>
      <c r="N31" s="40">
        <v>2.4000000000000004</v>
      </c>
      <c r="O31" s="40">
        <f t="shared" si="1"/>
        <v>0</v>
      </c>
      <c r="P31" s="40">
        <f t="shared" si="2"/>
        <v>2.4000000000000004</v>
      </c>
    </row>
    <row r="32" spans="1:16" x14ac:dyDescent="0.35">
      <c r="A32" s="33">
        <v>29</v>
      </c>
      <c r="B32" s="34" t="s">
        <v>328</v>
      </c>
      <c r="C32" s="33" t="s">
        <v>297</v>
      </c>
      <c r="D32" s="33" t="s">
        <v>36</v>
      </c>
      <c r="E32" s="33" t="s">
        <v>311</v>
      </c>
      <c r="F32" s="35">
        <v>1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 cm="1">
        <f t="array" ref="M32:N32">VLOOKUP(B32,'Fumigation  Room'!B:H,{6,7},0)</f>
        <v>0</v>
      </c>
      <c r="N32" s="40">
        <v>0</v>
      </c>
      <c r="O32" s="40">
        <f t="shared" si="1"/>
        <v>0</v>
      </c>
      <c r="P32" s="40">
        <f t="shared" si="2"/>
        <v>0</v>
      </c>
    </row>
    <row r="33" spans="1:16" x14ac:dyDescent="0.35">
      <c r="A33" s="33">
        <v>30</v>
      </c>
      <c r="B33" s="34" t="s">
        <v>329</v>
      </c>
      <c r="C33" s="33" t="s">
        <v>297</v>
      </c>
      <c r="D33" s="33" t="s">
        <v>36</v>
      </c>
      <c r="E33" s="33" t="s">
        <v>311</v>
      </c>
      <c r="F33" s="35">
        <v>1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 cm="1">
        <f t="array" ref="M33:N33">VLOOKUP(B33,'Fumigation  Room'!B:H,{6,7},0)</f>
        <v>0</v>
      </c>
      <c r="N33" s="40">
        <v>0</v>
      </c>
      <c r="O33" s="40">
        <f t="shared" si="1"/>
        <v>0</v>
      </c>
      <c r="P33" s="40">
        <f t="shared" si="2"/>
        <v>0</v>
      </c>
    </row>
    <row r="34" spans="1:16" x14ac:dyDescent="0.35">
      <c r="A34" s="33">
        <v>31</v>
      </c>
      <c r="B34" s="34" t="s">
        <v>330</v>
      </c>
      <c r="C34" s="33" t="s">
        <v>297</v>
      </c>
      <c r="D34" s="33" t="s">
        <v>36</v>
      </c>
      <c r="E34" s="33" t="s">
        <v>311</v>
      </c>
      <c r="F34" s="35">
        <v>1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 cm="1">
        <f t="array" ref="M34:N34">VLOOKUP(B34,'Fumigation  Room'!B:H,{6,7},0)</f>
        <v>0</v>
      </c>
      <c r="N34" s="40">
        <v>0</v>
      </c>
      <c r="O34" s="40">
        <f t="shared" si="1"/>
        <v>0</v>
      </c>
      <c r="P34" s="40">
        <f t="shared" si="2"/>
        <v>0</v>
      </c>
    </row>
    <row r="35" spans="1:16" x14ac:dyDescent="0.35">
      <c r="A35" s="33">
        <v>32</v>
      </c>
      <c r="B35" s="34" t="s">
        <v>331</v>
      </c>
      <c r="C35" s="33" t="s">
        <v>297</v>
      </c>
      <c r="D35" s="33" t="s">
        <v>36</v>
      </c>
      <c r="E35" s="33" t="s">
        <v>311</v>
      </c>
      <c r="F35" s="35">
        <v>1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 cm="1">
        <f t="array" ref="M35:N35">VLOOKUP(B35,'Fumigation  Room'!B:H,{6,7},0)</f>
        <v>0</v>
      </c>
      <c r="N35" s="40">
        <v>0</v>
      </c>
      <c r="O35" s="40">
        <f t="shared" si="1"/>
        <v>0</v>
      </c>
      <c r="P35" s="40">
        <f t="shared" si="2"/>
        <v>0</v>
      </c>
    </row>
    <row r="36" spans="1:16" x14ac:dyDescent="0.35">
      <c r="A36" s="33">
        <v>33</v>
      </c>
      <c r="B36" s="34" t="s">
        <v>345</v>
      </c>
      <c r="C36" s="33" t="s">
        <v>346</v>
      </c>
      <c r="D36" s="33" t="s">
        <v>36</v>
      </c>
      <c r="E36" s="33" t="s">
        <v>311</v>
      </c>
      <c r="F36" s="35">
        <v>1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 cm="1">
        <f t="array" ref="M36:N36">VLOOKUP(B36,'Fumigation  Room'!B:H,{6,7},0)</f>
        <v>0</v>
      </c>
      <c r="N36" s="40">
        <v>0</v>
      </c>
      <c r="O36" s="40">
        <f t="shared" si="1"/>
        <v>0</v>
      </c>
      <c r="P36" s="40">
        <f t="shared" si="2"/>
        <v>0</v>
      </c>
    </row>
    <row r="37" spans="1:16" x14ac:dyDescent="0.35">
      <c r="A37" s="33">
        <v>34</v>
      </c>
      <c r="B37" s="34" t="s">
        <v>347</v>
      </c>
      <c r="C37" s="33" t="s">
        <v>346</v>
      </c>
      <c r="D37" s="33" t="s">
        <v>36</v>
      </c>
      <c r="E37" s="33" t="s">
        <v>311</v>
      </c>
      <c r="F37" s="35">
        <v>1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 cm="1">
        <f t="array" ref="M37:N37">VLOOKUP(B37,'Fumigation  Room'!B:H,{6,7},0)</f>
        <v>0</v>
      </c>
      <c r="N37" s="40">
        <v>0</v>
      </c>
      <c r="O37" s="40">
        <f t="shared" si="1"/>
        <v>0</v>
      </c>
      <c r="P37" s="40">
        <f t="shared" si="2"/>
        <v>0</v>
      </c>
    </row>
    <row r="38" spans="1:16" x14ac:dyDescent="0.35">
      <c r="A38" s="33">
        <v>35</v>
      </c>
      <c r="B38" s="34" t="s">
        <v>348</v>
      </c>
      <c r="C38" s="33" t="s">
        <v>346</v>
      </c>
      <c r="D38" s="33" t="s">
        <v>36</v>
      </c>
      <c r="E38" s="33" t="s">
        <v>311</v>
      </c>
      <c r="F38" s="35">
        <v>0.15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 cm="1">
        <f t="array" ref="M38:N38">VLOOKUP(B38,'Fumigation  Room'!B:H,{6,7},0)</f>
        <v>0</v>
      </c>
      <c r="N38" s="40">
        <v>0</v>
      </c>
      <c r="O38" s="40">
        <f t="shared" si="1"/>
        <v>0</v>
      </c>
      <c r="P38" s="40">
        <f t="shared" si="2"/>
        <v>0</v>
      </c>
    </row>
    <row r="39" spans="1:16" x14ac:dyDescent="0.35">
      <c r="A39" s="33">
        <v>36</v>
      </c>
      <c r="B39" s="34" t="s">
        <v>349</v>
      </c>
      <c r="C39" s="33" t="s">
        <v>346</v>
      </c>
      <c r="D39" s="33" t="s">
        <v>36</v>
      </c>
      <c r="E39" s="33" t="s">
        <v>311</v>
      </c>
      <c r="F39" s="35">
        <v>0.45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 cm="1">
        <f t="array" ref="M39:N39">VLOOKUP(B39,'Fumigation  Room'!B:H,{6,7},0)</f>
        <v>0</v>
      </c>
      <c r="N39" s="40">
        <v>0</v>
      </c>
      <c r="O39" s="40">
        <f t="shared" si="1"/>
        <v>0</v>
      </c>
      <c r="P39" s="40">
        <f t="shared" si="2"/>
        <v>0</v>
      </c>
    </row>
    <row r="40" spans="1:16" x14ac:dyDescent="0.35">
      <c r="A40" s="33">
        <v>37</v>
      </c>
      <c r="B40" s="34" t="s">
        <v>350</v>
      </c>
      <c r="C40" s="33" t="s">
        <v>346</v>
      </c>
      <c r="D40" s="33" t="s">
        <v>36</v>
      </c>
      <c r="E40" s="33" t="s">
        <v>311</v>
      </c>
      <c r="F40" s="35">
        <v>1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 cm="1">
        <f t="array" ref="M40:N40">VLOOKUP(B40,'Fumigation  Room'!B:H,{6,7},0)</f>
        <v>0</v>
      </c>
      <c r="N40" s="40">
        <v>0</v>
      </c>
      <c r="O40" s="40">
        <f t="shared" si="1"/>
        <v>0</v>
      </c>
      <c r="P40" s="40">
        <f t="shared" si="2"/>
        <v>0</v>
      </c>
    </row>
    <row r="41" spans="1:16" x14ac:dyDescent="0.35">
      <c r="A41" s="33">
        <v>38</v>
      </c>
      <c r="B41" s="34" t="s">
        <v>351</v>
      </c>
      <c r="C41" s="33" t="s">
        <v>346</v>
      </c>
      <c r="D41" s="33" t="s">
        <v>36</v>
      </c>
      <c r="E41" s="33" t="s">
        <v>311</v>
      </c>
      <c r="F41" s="35">
        <v>1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 cm="1">
        <f t="array" ref="M41:N41">VLOOKUP(B41,'Fumigation  Room'!B:H,{6,7},0)</f>
        <v>0</v>
      </c>
      <c r="N41" s="40">
        <v>0</v>
      </c>
      <c r="O41" s="40">
        <f t="shared" si="1"/>
        <v>0</v>
      </c>
      <c r="P41" s="40">
        <f t="shared" si="2"/>
        <v>0</v>
      </c>
    </row>
    <row r="42" spans="1:16" x14ac:dyDescent="0.35">
      <c r="A42" s="33">
        <v>39</v>
      </c>
      <c r="B42" s="34" t="s">
        <v>352</v>
      </c>
      <c r="C42" s="33" t="s">
        <v>346</v>
      </c>
      <c r="D42" s="33" t="s">
        <v>36</v>
      </c>
      <c r="E42" s="33" t="s">
        <v>311</v>
      </c>
      <c r="F42" s="35">
        <v>7.4999999999999997E-2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 cm="1">
        <f t="array" ref="M42:N42">VLOOKUP(B42,'Fumigation  Room'!B:H,{6,7},0)</f>
        <v>0</v>
      </c>
      <c r="N42" s="40">
        <v>0</v>
      </c>
      <c r="O42" s="40">
        <f t="shared" si="1"/>
        <v>0</v>
      </c>
      <c r="P42" s="40">
        <f t="shared" si="2"/>
        <v>0</v>
      </c>
    </row>
    <row r="43" spans="1:16" x14ac:dyDescent="0.35">
      <c r="A43" s="33">
        <v>40</v>
      </c>
      <c r="B43" s="34" t="s">
        <v>353</v>
      </c>
      <c r="C43" s="33" t="s">
        <v>346</v>
      </c>
      <c r="D43" s="33" t="s">
        <v>36</v>
      </c>
      <c r="E43" s="33" t="s">
        <v>311</v>
      </c>
      <c r="F43" s="35">
        <v>1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 cm="1">
        <f t="array" ref="M43:N43">VLOOKUP(B43,'Fumigation  Room'!B:H,{6,7},0)</f>
        <v>0</v>
      </c>
      <c r="N43" s="40">
        <v>0</v>
      </c>
      <c r="O43" s="40">
        <f t="shared" si="1"/>
        <v>0</v>
      </c>
      <c r="P43" s="40">
        <f t="shared" si="2"/>
        <v>0</v>
      </c>
    </row>
    <row r="44" spans="1:16" x14ac:dyDescent="0.35">
      <c r="A44" s="33">
        <v>41</v>
      </c>
      <c r="B44" s="34" t="s">
        <v>354</v>
      </c>
      <c r="C44" s="33" t="s">
        <v>346</v>
      </c>
      <c r="D44" s="33" t="s">
        <v>36</v>
      </c>
      <c r="E44" s="33" t="s">
        <v>311</v>
      </c>
      <c r="F44" s="35">
        <v>0.23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 cm="1">
        <f t="array" ref="M44:N44">VLOOKUP(B44,'Fumigation  Room'!B:H,{6,7},0)</f>
        <v>0</v>
      </c>
      <c r="N44" s="40">
        <v>0</v>
      </c>
      <c r="O44" s="40">
        <f t="shared" si="1"/>
        <v>0</v>
      </c>
      <c r="P44" s="40">
        <f t="shared" si="2"/>
        <v>0</v>
      </c>
    </row>
    <row r="45" spans="1:16" x14ac:dyDescent="0.35">
      <c r="A45" s="33">
        <v>42</v>
      </c>
      <c r="B45" s="34" t="s">
        <v>355</v>
      </c>
      <c r="C45" s="33" t="s">
        <v>346</v>
      </c>
      <c r="D45" s="33" t="s">
        <v>36</v>
      </c>
      <c r="E45" s="33" t="s">
        <v>311</v>
      </c>
      <c r="F45" s="35">
        <v>1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 cm="1">
        <f t="array" ref="M45:N45">VLOOKUP(B45,'Fumigation  Room'!B:H,{6,7},0)</f>
        <v>0</v>
      </c>
      <c r="N45" s="40">
        <v>0</v>
      </c>
      <c r="O45" s="40">
        <f t="shared" si="1"/>
        <v>0</v>
      </c>
      <c r="P45" s="40">
        <f t="shared" si="2"/>
        <v>0</v>
      </c>
    </row>
    <row r="46" spans="1:16" x14ac:dyDescent="0.35">
      <c r="A46" s="33">
        <v>43</v>
      </c>
      <c r="B46" s="34" t="s">
        <v>356</v>
      </c>
      <c r="C46" s="33" t="s">
        <v>346</v>
      </c>
      <c r="D46" s="33" t="s">
        <v>36</v>
      </c>
      <c r="E46" s="33" t="s">
        <v>311</v>
      </c>
      <c r="F46" s="35">
        <v>1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 cm="1">
        <f t="array" ref="M46:N46">VLOOKUP(B46,'Fumigation  Room'!B:H,{6,7},0)</f>
        <v>0</v>
      </c>
      <c r="N46" s="40">
        <v>0</v>
      </c>
      <c r="O46" s="40">
        <f t="shared" si="1"/>
        <v>0</v>
      </c>
      <c r="P46" s="40">
        <f t="shared" si="2"/>
        <v>0</v>
      </c>
    </row>
    <row r="47" spans="1:16" x14ac:dyDescent="0.35">
      <c r="A47" s="33">
        <v>44</v>
      </c>
      <c r="B47" s="34" t="s">
        <v>357</v>
      </c>
      <c r="C47" s="33" t="s">
        <v>346</v>
      </c>
      <c r="D47" s="33" t="s">
        <v>36</v>
      </c>
      <c r="E47" s="33" t="s">
        <v>311</v>
      </c>
      <c r="F47" s="35">
        <v>1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 cm="1">
        <f t="array" ref="M47:N47">VLOOKUP(B47,'Fumigation  Room'!B:H,{6,7},0)</f>
        <v>0</v>
      </c>
      <c r="N47" s="40">
        <v>0</v>
      </c>
      <c r="O47" s="40">
        <f t="shared" si="1"/>
        <v>0</v>
      </c>
      <c r="P47" s="40">
        <f t="shared" si="2"/>
        <v>0</v>
      </c>
    </row>
    <row r="48" spans="1:16" x14ac:dyDescent="0.35">
      <c r="A48" s="33">
        <v>45</v>
      </c>
      <c r="B48" s="34" t="s">
        <v>358</v>
      </c>
      <c r="C48" s="33" t="s">
        <v>346</v>
      </c>
      <c r="D48" s="33" t="s">
        <v>36</v>
      </c>
      <c r="E48" s="33" t="s">
        <v>311</v>
      </c>
      <c r="F48" s="35">
        <v>0.218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 cm="1">
        <f t="array" ref="M48:N48">VLOOKUP(B48,'Fumigation  Room'!B:H,{6,7},0)</f>
        <v>0</v>
      </c>
      <c r="N48" s="40">
        <v>0</v>
      </c>
      <c r="O48" s="40">
        <f t="shared" si="1"/>
        <v>0</v>
      </c>
      <c r="P48" s="40">
        <f t="shared" si="2"/>
        <v>0</v>
      </c>
    </row>
    <row r="49" spans="1:16" x14ac:dyDescent="0.35">
      <c r="A49" s="33">
        <v>46</v>
      </c>
      <c r="B49" s="34" t="s">
        <v>359</v>
      </c>
      <c r="C49" s="33" t="s">
        <v>346</v>
      </c>
      <c r="D49" s="33" t="s">
        <v>36</v>
      </c>
      <c r="E49" s="33" t="s">
        <v>311</v>
      </c>
      <c r="F49" s="35">
        <v>0.25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 cm="1">
        <f t="array" ref="M49:N49">VLOOKUP(B49,'Fumigation  Room'!B:H,{6,7},0)</f>
        <v>0</v>
      </c>
      <c r="N49" s="40">
        <v>0</v>
      </c>
      <c r="O49" s="40">
        <f t="shared" si="1"/>
        <v>0</v>
      </c>
      <c r="P49" s="40">
        <f t="shared" si="2"/>
        <v>0</v>
      </c>
    </row>
    <row r="50" spans="1:16" x14ac:dyDescent="0.35">
      <c r="A50" s="33">
        <v>47</v>
      </c>
      <c r="B50" s="34" t="s">
        <v>360</v>
      </c>
      <c r="C50" s="33" t="s">
        <v>346</v>
      </c>
      <c r="D50" s="33" t="s">
        <v>36</v>
      </c>
      <c r="E50" s="33" t="s">
        <v>311</v>
      </c>
      <c r="F50" s="35">
        <v>0.25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 cm="1">
        <f t="array" ref="M50:N50">VLOOKUP(B50,'Fumigation  Room'!B:H,{6,7},0)</f>
        <v>0</v>
      </c>
      <c r="N50" s="40">
        <v>0</v>
      </c>
      <c r="O50" s="40">
        <f t="shared" si="1"/>
        <v>0</v>
      </c>
      <c r="P50" s="40">
        <f t="shared" si="2"/>
        <v>0</v>
      </c>
    </row>
    <row r="51" spans="1:16" x14ac:dyDescent="0.35">
      <c r="A51" s="33">
        <v>48</v>
      </c>
      <c r="B51" s="34" t="s">
        <v>361</v>
      </c>
      <c r="C51" s="33" t="s">
        <v>346</v>
      </c>
      <c r="D51" s="33" t="s">
        <v>36</v>
      </c>
      <c r="E51" s="33" t="s">
        <v>311</v>
      </c>
      <c r="F51" s="35">
        <v>0.25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 cm="1">
        <f t="array" ref="M51:N51">VLOOKUP(B51,'Fumigation  Room'!B:H,{6,7},0)</f>
        <v>0</v>
      </c>
      <c r="N51" s="40">
        <v>0</v>
      </c>
      <c r="O51" s="40">
        <f t="shared" si="1"/>
        <v>0</v>
      </c>
      <c r="P51" s="40">
        <f t="shared" si="2"/>
        <v>0</v>
      </c>
    </row>
    <row r="52" spans="1:16" x14ac:dyDescent="0.35">
      <c r="A52" s="33">
        <v>49</v>
      </c>
      <c r="B52" s="34" t="s">
        <v>362</v>
      </c>
      <c r="C52" s="33" t="s">
        <v>346</v>
      </c>
      <c r="D52" s="33" t="s">
        <v>36</v>
      </c>
      <c r="E52" s="33" t="s">
        <v>311</v>
      </c>
      <c r="F52" s="35">
        <v>0.1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 cm="1">
        <f t="array" ref="M52:N52">VLOOKUP(B52,'Fumigation  Room'!B:H,{6,7},0)</f>
        <v>0</v>
      </c>
      <c r="N52" s="40">
        <v>0</v>
      </c>
      <c r="O52" s="40">
        <f t="shared" si="1"/>
        <v>0</v>
      </c>
      <c r="P52" s="40">
        <f t="shared" si="2"/>
        <v>0</v>
      </c>
    </row>
    <row r="53" spans="1:16" x14ac:dyDescent="0.35">
      <c r="A53" s="33">
        <v>50</v>
      </c>
      <c r="B53" s="34" t="s">
        <v>363</v>
      </c>
      <c r="C53" s="33" t="s">
        <v>346</v>
      </c>
      <c r="D53" s="33" t="s">
        <v>36</v>
      </c>
      <c r="E53" s="33" t="s">
        <v>311</v>
      </c>
      <c r="F53" s="35">
        <v>0.1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 cm="1">
        <f t="array" ref="M53:N53">VLOOKUP(B53,'Fumigation  Room'!B:H,{6,7},0)</f>
        <v>0</v>
      </c>
      <c r="N53" s="40">
        <v>0</v>
      </c>
      <c r="O53" s="40">
        <f t="shared" si="1"/>
        <v>0</v>
      </c>
      <c r="P53" s="40">
        <f t="shared" si="2"/>
        <v>0</v>
      </c>
    </row>
    <row r="54" spans="1:16" x14ac:dyDescent="0.35">
      <c r="A54" s="33">
        <v>51</v>
      </c>
      <c r="B54" s="34" t="s">
        <v>364</v>
      </c>
      <c r="C54" s="33" t="s">
        <v>346</v>
      </c>
      <c r="D54" s="33" t="s">
        <v>36</v>
      </c>
      <c r="E54" s="33" t="s">
        <v>311</v>
      </c>
      <c r="F54" s="35">
        <v>0.2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 cm="1">
        <f t="array" ref="M54:N54">VLOOKUP(B54,'Fumigation  Room'!B:H,{6,7},0)</f>
        <v>0</v>
      </c>
      <c r="N54" s="40">
        <v>0</v>
      </c>
      <c r="O54" s="40">
        <f t="shared" si="1"/>
        <v>0</v>
      </c>
      <c r="P54" s="40">
        <f t="shared" si="2"/>
        <v>0</v>
      </c>
    </row>
    <row r="55" spans="1:16" x14ac:dyDescent="0.35">
      <c r="A55" s="33">
        <v>52</v>
      </c>
      <c r="B55" s="34" t="s">
        <v>365</v>
      </c>
      <c r="C55" s="33" t="s">
        <v>346</v>
      </c>
      <c r="D55" s="33" t="s">
        <v>36</v>
      </c>
      <c r="E55" s="33" t="s">
        <v>311</v>
      </c>
      <c r="F55" s="35">
        <v>0.2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 cm="1">
        <f t="array" ref="M55:N55">VLOOKUP(B55,'Fumigation  Room'!B:H,{6,7},0)</f>
        <v>0</v>
      </c>
      <c r="N55" s="40">
        <v>0</v>
      </c>
      <c r="O55" s="40">
        <f t="shared" si="1"/>
        <v>0</v>
      </c>
      <c r="P55" s="40">
        <f t="shared" si="2"/>
        <v>0</v>
      </c>
    </row>
    <row r="56" spans="1:16" x14ac:dyDescent="0.35">
      <c r="A56" s="33">
        <v>53</v>
      </c>
      <c r="B56" s="34" t="s">
        <v>366</v>
      </c>
      <c r="C56" s="33" t="s">
        <v>346</v>
      </c>
      <c r="D56" s="33" t="s">
        <v>36</v>
      </c>
      <c r="E56" s="33" t="s">
        <v>311</v>
      </c>
      <c r="F56" s="35">
        <v>0.2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 cm="1">
        <f t="array" ref="M56:N56">VLOOKUP(B56,'Fumigation  Room'!B:H,{6,7},0)</f>
        <v>0</v>
      </c>
      <c r="N56" s="40">
        <v>0</v>
      </c>
      <c r="O56" s="40">
        <f t="shared" si="1"/>
        <v>0</v>
      </c>
      <c r="P56" s="40">
        <f t="shared" si="2"/>
        <v>0</v>
      </c>
    </row>
    <row r="57" spans="1:16" x14ac:dyDescent="0.35">
      <c r="A57" s="33">
        <v>54</v>
      </c>
      <c r="B57" s="34" t="s">
        <v>367</v>
      </c>
      <c r="C57" s="33" t="s">
        <v>346</v>
      </c>
      <c r="D57" s="33" t="s">
        <v>36</v>
      </c>
      <c r="E57" s="33" t="s">
        <v>311</v>
      </c>
      <c r="F57" s="35">
        <v>0.25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 cm="1">
        <f t="array" ref="M57:N57">VLOOKUP(B57,'Fumigation  Room'!B:H,{6,7},0)</f>
        <v>0</v>
      </c>
      <c r="N57" s="40">
        <v>0</v>
      </c>
      <c r="O57" s="40">
        <f t="shared" si="1"/>
        <v>0</v>
      </c>
      <c r="P57" s="40">
        <f t="shared" si="2"/>
        <v>0</v>
      </c>
    </row>
    <row r="58" spans="1:16" x14ac:dyDescent="0.35">
      <c r="A58" s="33">
        <v>55</v>
      </c>
      <c r="B58" s="34" t="s">
        <v>368</v>
      </c>
      <c r="C58" s="33" t="s">
        <v>346</v>
      </c>
      <c r="D58" s="33" t="s">
        <v>36</v>
      </c>
      <c r="E58" s="33" t="s">
        <v>311</v>
      </c>
      <c r="F58" s="35">
        <v>1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 cm="1">
        <f t="array" ref="M58:N58">VLOOKUP(B58,'Fumigation  Room'!B:H,{6,7},0)</f>
        <v>0</v>
      </c>
      <c r="N58" s="40">
        <v>0</v>
      </c>
      <c r="O58" s="40">
        <f t="shared" si="1"/>
        <v>0</v>
      </c>
      <c r="P58" s="40">
        <f t="shared" si="2"/>
        <v>0</v>
      </c>
    </row>
    <row r="59" spans="1:16" x14ac:dyDescent="0.35">
      <c r="A59" s="33">
        <v>56</v>
      </c>
      <c r="B59" s="34" t="s">
        <v>369</v>
      </c>
      <c r="C59" s="33" t="s">
        <v>346</v>
      </c>
      <c r="D59" s="33" t="s">
        <v>36</v>
      </c>
      <c r="E59" s="33" t="s">
        <v>311</v>
      </c>
      <c r="F59" s="35">
        <v>1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 cm="1">
        <f t="array" ref="M59:N59">VLOOKUP(B59,'Fumigation  Room'!B:H,{6,7},0)</f>
        <v>0</v>
      </c>
      <c r="N59" s="40">
        <v>0</v>
      </c>
      <c r="O59" s="40">
        <f t="shared" si="1"/>
        <v>0</v>
      </c>
      <c r="P59" s="40">
        <f t="shared" si="2"/>
        <v>0</v>
      </c>
    </row>
    <row r="60" spans="1:16" x14ac:dyDescent="0.35">
      <c r="A60" s="33">
        <v>57</v>
      </c>
      <c r="B60" s="34" t="s">
        <v>370</v>
      </c>
      <c r="C60" s="33" t="s">
        <v>346</v>
      </c>
      <c r="D60" s="33" t="s">
        <v>36</v>
      </c>
      <c r="E60" s="33" t="s">
        <v>311</v>
      </c>
      <c r="F60" s="35">
        <v>0.1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 cm="1">
        <f t="array" ref="M60:N60">VLOOKUP(B60,'Fumigation  Room'!B:H,{6,7},0)</f>
        <v>0</v>
      </c>
      <c r="N60" s="40">
        <v>0</v>
      </c>
      <c r="O60" s="40">
        <f t="shared" si="1"/>
        <v>0</v>
      </c>
      <c r="P60" s="40">
        <f t="shared" si="2"/>
        <v>0</v>
      </c>
    </row>
    <row r="61" spans="1:16" x14ac:dyDescent="0.35">
      <c r="A61" s="33">
        <v>58</v>
      </c>
      <c r="B61" s="34" t="s">
        <v>371</v>
      </c>
      <c r="C61" s="33" t="s">
        <v>346</v>
      </c>
      <c r="D61" s="33" t="s">
        <v>36</v>
      </c>
      <c r="E61" s="33" t="s">
        <v>311</v>
      </c>
      <c r="F61" s="35">
        <v>0.25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 cm="1">
        <f t="array" ref="M61:N61">VLOOKUP(B61,'Fumigation  Room'!B:H,{6,7},0)</f>
        <v>0</v>
      </c>
      <c r="N61" s="40">
        <v>0</v>
      </c>
      <c r="O61" s="40">
        <f t="shared" si="1"/>
        <v>0</v>
      </c>
      <c r="P61" s="40">
        <f t="shared" si="2"/>
        <v>0</v>
      </c>
    </row>
    <row r="62" spans="1:16" x14ac:dyDescent="0.35">
      <c r="A62" s="33">
        <v>59</v>
      </c>
      <c r="B62" s="34" t="s">
        <v>372</v>
      </c>
      <c r="C62" s="33" t="s">
        <v>346</v>
      </c>
      <c r="D62" s="33" t="s">
        <v>36</v>
      </c>
      <c r="E62" s="33" t="s">
        <v>311</v>
      </c>
      <c r="F62" s="35">
        <v>0.1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 cm="1">
        <f t="array" ref="M62:N62">VLOOKUP(B62,'Fumigation  Room'!B:H,{6,7},0)</f>
        <v>0</v>
      </c>
      <c r="N62" s="40">
        <v>0</v>
      </c>
      <c r="O62" s="40">
        <f t="shared" si="1"/>
        <v>0</v>
      </c>
      <c r="P62" s="40">
        <f t="shared" si="2"/>
        <v>0</v>
      </c>
    </row>
    <row r="63" spans="1:16" x14ac:dyDescent="0.35">
      <c r="A63" s="33">
        <v>60</v>
      </c>
      <c r="B63" s="34" t="s">
        <v>373</v>
      </c>
      <c r="C63" s="33" t="s">
        <v>346</v>
      </c>
      <c r="D63" s="33" t="s">
        <v>36</v>
      </c>
      <c r="E63" s="33" t="s">
        <v>311</v>
      </c>
      <c r="F63" s="35">
        <v>0.125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 cm="1">
        <f t="array" ref="M63:N63">VLOOKUP(B63,'Fumigation  Room'!B:H,{6,7},0)</f>
        <v>0</v>
      </c>
      <c r="N63" s="40">
        <v>0</v>
      </c>
      <c r="O63" s="40">
        <f t="shared" si="1"/>
        <v>0</v>
      </c>
      <c r="P63" s="40">
        <f t="shared" si="2"/>
        <v>0</v>
      </c>
    </row>
    <row r="64" spans="1:16" x14ac:dyDescent="0.35">
      <c r="A64" s="33">
        <v>61</v>
      </c>
      <c r="B64" s="34" t="s">
        <v>374</v>
      </c>
      <c r="C64" s="33" t="s">
        <v>346</v>
      </c>
      <c r="D64" s="33" t="s">
        <v>36</v>
      </c>
      <c r="E64" s="33" t="s">
        <v>311</v>
      </c>
      <c r="F64" s="35">
        <v>0.15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 cm="1">
        <f t="array" ref="M64:N64">VLOOKUP(B64,'Fumigation  Room'!B:H,{6,7},0)</f>
        <v>0</v>
      </c>
      <c r="N64" s="40">
        <v>0</v>
      </c>
      <c r="O64" s="40">
        <f t="shared" si="1"/>
        <v>0</v>
      </c>
      <c r="P64" s="40">
        <f t="shared" si="2"/>
        <v>0</v>
      </c>
    </row>
    <row r="65" spans="1:16" x14ac:dyDescent="0.35">
      <c r="A65" s="33">
        <v>62</v>
      </c>
      <c r="B65" s="34" t="s">
        <v>375</v>
      </c>
      <c r="C65" s="33" t="s">
        <v>346</v>
      </c>
      <c r="D65" s="33" t="s">
        <v>36</v>
      </c>
      <c r="E65" s="33" t="s">
        <v>311</v>
      </c>
      <c r="F65" s="35">
        <v>0.2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 cm="1">
        <f t="array" ref="M65:N65">VLOOKUP(B65,'Fumigation  Room'!B:H,{6,7},0)</f>
        <v>0</v>
      </c>
      <c r="N65" s="40">
        <v>0</v>
      </c>
      <c r="O65" s="40">
        <f t="shared" si="1"/>
        <v>0</v>
      </c>
      <c r="P65" s="40">
        <f t="shared" si="2"/>
        <v>0</v>
      </c>
    </row>
    <row r="66" spans="1:16" x14ac:dyDescent="0.35">
      <c r="A66" s="33">
        <v>63</v>
      </c>
      <c r="B66" s="34" t="s">
        <v>376</v>
      </c>
      <c r="C66" s="33" t="s">
        <v>346</v>
      </c>
      <c r="D66" s="33" t="s">
        <v>36</v>
      </c>
      <c r="E66" s="33" t="s">
        <v>311</v>
      </c>
      <c r="F66" s="35">
        <v>0.1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 cm="1">
        <f t="array" ref="M66:N66">VLOOKUP(B66,'Fumigation  Room'!B:H,{6,7},0)</f>
        <v>0</v>
      </c>
      <c r="N66" s="40">
        <v>0</v>
      </c>
      <c r="O66" s="40">
        <f t="shared" si="1"/>
        <v>0</v>
      </c>
      <c r="P66" s="40">
        <f t="shared" si="2"/>
        <v>0</v>
      </c>
    </row>
    <row r="67" spans="1:16" x14ac:dyDescent="0.35">
      <c r="A67" s="33">
        <v>64</v>
      </c>
      <c r="B67" s="34" t="s">
        <v>377</v>
      </c>
      <c r="C67" s="33" t="s">
        <v>346</v>
      </c>
      <c r="D67" s="33" t="s">
        <v>36</v>
      </c>
      <c r="E67" s="33" t="s">
        <v>311</v>
      </c>
      <c r="F67" s="35">
        <v>0.15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 cm="1">
        <f t="array" ref="M67:N67">VLOOKUP(B67,'Fumigation  Room'!B:H,{6,7},0)</f>
        <v>0</v>
      </c>
      <c r="N67" s="40">
        <v>0</v>
      </c>
      <c r="O67" s="40">
        <f t="shared" si="1"/>
        <v>0</v>
      </c>
      <c r="P67" s="40">
        <f t="shared" si="2"/>
        <v>0</v>
      </c>
    </row>
    <row r="68" spans="1:16" x14ac:dyDescent="0.35">
      <c r="A68" s="33">
        <v>65</v>
      </c>
      <c r="B68" s="34" t="s">
        <v>378</v>
      </c>
      <c r="C68" s="33" t="s">
        <v>346</v>
      </c>
      <c r="D68" s="33" t="s">
        <v>36</v>
      </c>
      <c r="E68" s="33" t="s">
        <v>311</v>
      </c>
      <c r="F68" s="35">
        <v>0.23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 cm="1">
        <f t="array" ref="M68:N68">VLOOKUP(B68,'Fumigation  Room'!B:H,{6,7},0)</f>
        <v>0</v>
      </c>
      <c r="N68" s="40">
        <v>0</v>
      </c>
      <c r="O68" s="40">
        <f t="shared" si="1"/>
        <v>0</v>
      </c>
      <c r="P68" s="40">
        <f t="shared" si="2"/>
        <v>0</v>
      </c>
    </row>
    <row r="69" spans="1:16" x14ac:dyDescent="0.35">
      <c r="A69" s="33">
        <v>66</v>
      </c>
      <c r="B69" s="34" t="s">
        <v>379</v>
      </c>
      <c r="C69" s="33" t="s">
        <v>346</v>
      </c>
      <c r="D69" s="33" t="s">
        <v>36</v>
      </c>
      <c r="E69" s="33" t="s">
        <v>311</v>
      </c>
      <c r="F69" s="35">
        <v>0.08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 cm="1">
        <f t="array" ref="M69:N69">VLOOKUP(B69,'Fumigation  Room'!B:H,{6,7},0)</f>
        <v>0</v>
      </c>
      <c r="N69" s="40">
        <v>0</v>
      </c>
      <c r="O69" s="40">
        <f t="shared" ref="O69:O132" si="3">G69+I69+K69+M69</f>
        <v>0</v>
      </c>
      <c r="P69" s="40">
        <f t="shared" ref="P69:P132" si="4">H69+J69+L69+N69</f>
        <v>0</v>
      </c>
    </row>
    <row r="70" spans="1:16" x14ac:dyDescent="0.35">
      <c r="A70" s="33">
        <v>67</v>
      </c>
      <c r="B70" s="34" t="s">
        <v>380</v>
      </c>
      <c r="C70" s="33" t="s">
        <v>346</v>
      </c>
      <c r="D70" s="33" t="s">
        <v>36</v>
      </c>
      <c r="E70" s="33" t="s">
        <v>311</v>
      </c>
      <c r="F70" s="35">
        <v>0.1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 cm="1">
        <f t="array" ref="M70:N70">VLOOKUP(B70,'Fumigation  Room'!B:H,{6,7},0)</f>
        <v>0</v>
      </c>
      <c r="N70" s="40">
        <v>0</v>
      </c>
      <c r="O70" s="40">
        <f t="shared" si="3"/>
        <v>0</v>
      </c>
      <c r="P70" s="40">
        <f t="shared" si="4"/>
        <v>0</v>
      </c>
    </row>
    <row r="71" spans="1:16" x14ac:dyDescent="0.35">
      <c r="A71" s="33">
        <v>68</v>
      </c>
      <c r="B71" s="34" t="s">
        <v>381</v>
      </c>
      <c r="C71" s="33" t="s">
        <v>346</v>
      </c>
      <c r="D71" s="33" t="s">
        <v>36</v>
      </c>
      <c r="E71" s="33" t="s">
        <v>311</v>
      </c>
      <c r="F71" s="35">
        <v>0.23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 cm="1">
        <f t="array" ref="M71:N71">VLOOKUP(B71,'Fumigation  Room'!B:H,{6,7},0)</f>
        <v>0</v>
      </c>
      <c r="N71" s="40">
        <v>0</v>
      </c>
      <c r="O71" s="40">
        <f t="shared" si="3"/>
        <v>0</v>
      </c>
      <c r="P71" s="40">
        <f t="shared" si="4"/>
        <v>0</v>
      </c>
    </row>
    <row r="72" spans="1:16" x14ac:dyDescent="0.35">
      <c r="A72" s="33">
        <v>69</v>
      </c>
      <c r="B72" s="34" t="s">
        <v>382</v>
      </c>
      <c r="C72" s="33" t="s">
        <v>346</v>
      </c>
      <c r="D72" s="33" t="s">
        <v>36</v>
      </c>
      <c r="E72" s="33" t="s">
        <v>311</v>
      </c>
      <c r="F72" s="35">
        <v>0.125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 cm="1">
        <f t="array" ref="M72:N72">VLOOKUP(B72,'Fumigation  Room'!B:H,{6,7},0)</f>
        <v>0</v>
      </c>
      <c r="N72" s="40">
        <v>0</v>
      </c>
      <c r="O72" s="40">
        <f t="shared" si="3"/>
        <v>0</v>
      </c>
      <c r="P72" s="40">
        <f t="shared" si="4"/>
        <v>0</v>
      </c>
    </row>
    <row r="73" spans="1:16" x14ac:dyDescent="0.35">
      <c r="A73" s="33">
        <v>70</v>
      </c>
      <c r="B73" s="34" t="s">
        <v>383</v>
      </c>
      <c r="C73" s="33" t="s">
        <v>346</v>
      </c>
      <c r="D73" s="33" t="s">
        <v>36</v>
      </c>
      <c r="E73" s="33" t="s">
        <v>311</v>
      </c>
      <c r="F73" s="35">
        <v>0.1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 cm="1">
        <f t="array" ref="M73:N73">VLOOKUP(B73,'Fumigation  Room'!B:H,{6,7},0)</f>
        <v>0</v>
      </c>
      <c r="N73" s="40">
        <v>0</v>
      </c>
      <c r="O73" s="40">
        <f t="shared" si="3"/>
        <v>0</v>
      </c>
      <c r="P73" s="40">
        <f t="shared" si="4"/>
        <v>0</v>
      </c>
    </row>
    <row r="74" spans="1:16" x14ac:dyDescent="0.35">
      <c r="A74" s="33">
        <v>71</v>
      </c>
      <c r="B74" s="34" t="s">
        <v>384</v>
      </c>
      <c r="C74" s="33" t="s">
        <v>346</v>
      </c>
      <c r="D74" s="33" t="s">
        <v>36</v>
      </c>
      <c r="E74" s="33" t="s">
        <v>311</v>
      </c>
      <c r="F74" s="35">
        <v>0.23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 cm="1">
        <f t="array" ref="M74:N74">VLOOKUP(B74,'Fumigation  Room'!B:H,{6,7},0)</f>
        <v>0</v>
      </c>
      <c r="N74" s="40">
        <v>0</v>
      </c>
      <c r="O74" s="40">
        <f t="shared" si="3"/>
        <v>0</v>
      </c>
      <c r="P74" s="40">
        <f t="shared" si="4"/>
        <v>0</v>
      </c>
    </row>
    <row r="75" spans="1:16" x14ac:dyDescent="0.35">
      <c r="A75" s="33">
        <v>72</v>
      </c>
      <c r="B75" s="34" t="s">
        <v>385</v>
      </c>
      <c r="C75" s="33" t="s">
        <v>346</v>
      </c>
      <c r="D75" s="33" t="s">
        <v>36</v>
      </c>
      <c r="E75" s="33" t="s">
        <v>311</v>
      </c>
      <c r="F75" s="35">
        <v>0.25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 cm="1">
        <f t="array" ref="M75:N75">VLOOKUP(B75,'Fumigation  Room'!B:H,{6,7},0)</f>
        <v>0</v>
      </c>
      <c r="N75" s="40">
        <v>0</v>
      </c>
      <c r="O75" s="40">
        <f t="shared" si="3"/>
        <v>0</v>
      </c>
      <c r="P75" s="40">
        <f t="shared" si="4"/>
        <v>0</v>
      </c>
    </row>
    <row r="76" spans="1:16" x14ac:dyDescent="0.35">
      <c r="A76" s="33">
        <v>73</v>
      </c>
      <c r="B76" s="34" t="s">
        <v>386</v>
      </c>
      <c r="C76" s="33" t="s">
        <v>346</v>
      </c>
      <c r="D76" s="33" t="s">
        <v>36</v>
      </c>
      <c r="E76" s="33" t="s">
        <v>311</v>
      </c>
      <c r="F76" s="35">
        <v>0.1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 cm="1">
        <f t="array" ref="M76:N76">VLOOKUP(B76,'Fumigation  Room'!B:H,{6,7},0)</f>
        <v>0</v>
      </c>
      <c r="N76" s="40">
        <v>0</v>
      </c>
      <c r="O76" s="40">
        <f t="shared" si="3"/>
        <v>0</v>
      </c>
      <c r="P76" s="40">
        <f t="shared" si="4"/>
        <v>0</v>
      </c>
    </row>
    <row r="77" spans="1:16" x14ac:dyDescent="0.35">
      <c r="A77" s="33">
        <v>74</v>
      </c>
      <c r="B77" s="34" t="s">
        <v>387</v>
      </c>
      <c r="C77" s="33" t="s">
        <v>346</v>
      </c>
      <c r="D77" s="33" t="s">
        <v>36</v>
      </c>
      <c r="E77" s="33" t="s">
        <v>311</v>
      </c>
      <c r="F77" s="35">
        <v>0.2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 cm="1">
        <f t="array" ref="M77:N77">VLOOKUP(B77,'Fumigation  Room'!B:H,{6,7},0)</f>
        <v>0</v>
      </c>
      <c r="N77" s="40">
        <v>0</v>
      </c>
      <c r="O77" s="40">
        <f t="shared" si="3"/>
        <v>0</v>
      </c>
      <c r="P77" s="40">
        <f t="shared" si="4"/>
        <v>0</v>
      </c>
    </row>
    <row r="78" spans="1:16" x14ac:dyDescent="0.35">
      <c r="A78" s="33">
        <v>75</v>
      </c>
      <c r="B78" s="34" t="s">
        <v>388</v>
      </c>
      <c r="C78" s="33" t="s">
        <v>346</v>
      </c>
      <c r="D78" s="33" t="s">
        <v>36</v>
      </c>
      <c r="E78" s="33" t="s">
        <v>311</v>
      </c>
      <c r="F78" s="35">
        <v>1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 cm="1">
        <f t="array" ref="M78:N78">VLOOKUP(B78,'Fumigation  Room'!B:H,{6,7},0)</f>
        <v>0</v>
      </c>
      <c r="N78" s="40">
        <v>0</v>
      </c>
      <c r="O78" s="40">
        <f t="shared" si="3"/>
        <v>0</v>
      </c>
      <c r="P78" s="40">
        <f t="shared" si="4"/>
        <v>0</v>
      </c>
    </row>
    <row r="79" spans="1:16" x14ac:dyDescent="0.35">
      <c r="A79" s="33">
        <v>76</v>
      </c>
      <c r="B79" s="34" t="s">
        <v>389</v>
      </c>
      <c r="C79" s="33" t="s">
        <v>346</v>
      </c>
      <c r="D79" s="33" t="s">
        <v>36</v>
      </c>
      <c r="E79" s="33" t="s">
        <v>311</v>
      </c>
      <c r="F79" s="35">
        <v>1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 cm="1">
        <f t="array" ref="M79:N79">VLOOKUP(B79,'Fumigation  Room'!B:H,{6,7},0)</f>
        <v>0</v>
      </c>
      <c r="N79" s="40">
        <v>0</v>
      </c>
      <c r="O79" s="40">
        <f t="shared" si="3"/>
        <v>0</v>
      </c>
      <c r="P79" s="40">
        <f t="shared" si="4"/>
        <v>0</v>
      </c>
    </row>
    <row r="80" spans="1:16" x14ac:dyDescent="0.35">
      <c r="A80" s="33">
        <v>77</v>
      </c>
      <c r="B80" s="34" t="s">
        <v>390</v>
      </c>
      <c r="C80" s="33" t="s">
        <v>346</v>
      </c>
      <c r="D80" s="33" t="s">
        <v>36</v>
      </c>
      <c r="E80" s="33" t="s">
        <v>311</v>
      </c>
      <c r="F80" s="35">
        <v>1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 cm="1">
        <f t="array" ref="M80:N80">VLOOKUP(B80,'Fumigation  Room'!B:H,{6,7},0)</f>
        <v>0</v>
      </c>
      <c r="N80" s="40">
        <v>0</v>
      </c>
      <c r="O80" s="40">
        <f t="shared" si="3"/>
        <v>0</v>
      </c>
      <c r="P80" s="40">
        <f t="shared" si="4"/>
        <v>0</v>
      </c>
    </row>
    <row r="81" spans="1:16" x14ac:dyDescent="0.35">
      <c r="A81" s="33">
        <v>78</v>
      </c>
      <c r="B81" s="34" t="s">
        <v>391</v>
      </c>
      <c r="C81" s="33" t="s">
        <v>346</v>
      </c>
      <c r="D81" s="33" t="s">
        <v>36</v>
      </c>
      <c r="E81" s="33" t="s">
        <v>311</v>
      </c>
      <c r="F81" s="35">
        <v>1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 cm="1">
        <f t="array" ref="M81:N81">VLOOKUP(B81,'Fumigation  Room'!B:H,{6,7},0)</f>
        <v>0</v>
      </c>
      <c r="N81" s="40">
        <v>0</v>
      </c>
      <c r="O81" s="40">
        <f t="shared" si="3"/>
        <v>0</v>
      </c>
      <c r="P81" s="40">
        <f t="shared" si="4"/>
        <v>0</v>
      </c>
    </row>
    <row r="82" spans="1:16" x14ac:dyDescent="0.35">
      <c r="A82" s="33">
        <v>79</v>
      </c>
      <c r="B82" s="34" t="s">
        <v>392</v>
      </c>
      <c r="C82" s="33" t="s">
        <v>346</v>
      </c>
      <c r="D82" s="33" t="s">
        <v>36</v>
      </c>
      <c r="E82" s="33" t="s">
        <v>311</v>
      </c>
      <c r="F82" s="35">
        <v>1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 cm="1">
        <f t="array" ref="M82:N82">VLOOKUP(B82,'Fumigation  Room'!B:H,{6,7},0)</f>
        <v>0</v>
      </c>
      <c r="N82" s="40">
        <v>0</v>
      </c>
      <c r="O82" s="40">
        <f t="shared" si="3"/>
        <v>0</v>
      </c>
      <c r="P82" s="40">
        <f t="shared" si="4"/>
        <v>0</v>
      </c>
    </row>
    <row r="83" spans="1:16" x14ac:dyDescent="0.35">
      <c r="A83" s="33">
        <v>80</v>
      </c>
      <c r="B83" s="34" t="s">
        <v>393</v>
      </c>
      <c r="C83" s="33" t="s">
        <v>346</v>
      </c>
      <c r="D83" s="33" t="s">
        <v>36</v>
      </c>
      <c r="E83" s="33" t="s">
        <v>311</v>
      </c>
      <c r="F83" s="35">
        <v>1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 cm="1">
        <f t="array" ref="M83:N83">VLOOKUP(B83,'Fumigation  Room'!B:H,{6,7},0)</f>
        <v>0</v>
      </c>
      <c r="N83" s="40">
        <v>0</v>
      </c>
      <c r="O83" s="40">
        <f t="shared" si="3"/>
        <v>0</v>
      </c>
      <c r="P83" s="40">
        <f t="shared" si="4"/>
        <v>0</v>
      </c>
    </row>
    <row r="84" spans="1:16" x14ac:dyDescent="0.35">
      <c r="A84" s="33">
        <v>81</v>
      </c>
      <c r="B84" s="34" t="s">
        <v>394</v>
      </c>
      <c r="C84" s="33" t="s">
        <v>346</v>
      </c>
      <c r="D84" s="33" t="s">
        <v>36</v>
      </c>
      <c r="E84" s="33" t="s">
        <v>311</v>
      </c>
      <c r="F84" s="35">
        <v>1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 cm="1">
        <f t="array" ref="M84:N84">VLOOKUP(B84,'Fumigation  Room'!B:H,{6,7},0)</f>
        <v>0</v>
      </c>
      <c r="N84" s="40">
        <v>0</v>
      </c>
      <c r="O84" s="40">
        <f t="shared" si="3"/>
        <v>0</v>
      </c>
      <c r="P84" s="40">
        <f t="shared" si="4"/>
        <v>0</v>
      </c>
    </row>
    <row r="85" spans="1:16" x14ac:dyDescent="0.35">
      <c r="A85" s="33">
        <v>82</v>
      </c>
      <c r="B85" s="34" t="s">
        <v>395</v>
      </c>
      <c r="C85" s="33" t="s">
        <v>346</v>
      </c>
      <c r="D85" s="33" t="s">
        <v>36</v>
      </c>
      <c r="E85" s="33" t="s">
        <v>311</v>
      </c>
      <c r="F85" s="35">
        <v>1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 cm="1">
        <f t="array" ref="M85:N85">VLOOKUP(B85,'Fumigation  Room'!B:H,{6,7},0)</f>
        <v>0</v>
      </c>
      <c r="N85" s="40">
        <v>0</v>
      </c>
      <c r="O85" s="40">
        <f t="shared" si="3"/>
        <v>0</v>
      </c>
      <c r="P85" s="40">
        <f t="shared" si="4"/>
        <v>0</v>
      </c>
    </row>
    <row r="86" spans="1:16" x14ac:dyDescent="0.35">
      <c r="A86" s="33">
        <v>83</v>
      </c>
      <c r="B86" s="34" t="s">
        <v>396</v>
      </c>
      <c r="C86" s="33" t="s">
        <v>346</v>
      </c>
      <c r="D86" s="33" t="s">
        <v>36</v>
      </c>
      <c r="E86" s="33" t="s">
        <v>311</v>
      </c>
      <c r="F86" s="35">
        <v>1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 cm="1">
        <f t="array" ref="M86:N86">VLOOKUP(B86,'Fumigation  Room'!B:H,{6,7},0)</f>
        <v>0</v>
      </c>
      <c r="N86" s="40">
        <v>0</v>
      </c>
      <c r="O86" s="40">
        <f t="shared" si="3"/>
        <v>0</v>
      </c>
      <c r="P86" s="40">
        <f t="shared" si="4"/>
        <v>0</v>
      </c>
    </row>
    <row r="87" spans="1:16" x14ac:dyDescent="0.35">
      <c r="A87" s="33">
        <v>84</v>
      </c>
      <c r="B87" s="34" t="s">
        <v>397</v>
      </c>
      <c r="C87" s="33" t="s">
        <v>346</v>
      </c>
      <c r="D87" s="33" t="s">
        <v>36</v>
      </c>
      <c r="E87" s="33" t="s">
        <v>311</v>
      </c>
      <c r="F87" s="35">
        <v>1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 cm="1">
        <f t="array" ref="M87:N87">VLOOKUP(B87,'Fumigation  Room'!B:H,{6,7},0)</f>
        <v>0</v>
      </c>
      <c r="N87" s="40">
        <v>0</v>
      </c>
      <c r="O87" s="40">
        <f t="shared" si="3"/>
        <v>0</v>
      </c>
      <c r="P87" s="40">
        <f t="shared" si="4"/>
        <v>0</v>
      </c>
    </row>
    <row r="88" spans="1:16" x14ac:dyDescent="0.35">
      <c r="A88" s="33">
        <v>85</v>
      </c>
      <c r="B88" s="34" t="s">
        <v>398</v>
      </c>
      <c r="C88" s="33" t="s">
        <v>346</v>
      </c>
      <c r="D88" s="33" t="s">
        <v>36</v>
      </c>
      <c r="E88" s="33" t="s">
        <v>311</v>
      </c>
      <c r="F88" s="35">
        <v>1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 cm="1">
        <f t="array" ref="M88:N88">VLOOKUP(B88,'Fumigation  Room'!B:H,{6,7},0)</f>
        <v>0</v>
      </c>
      <c r="N88" s="40">
        <v>0</v>
      </c>
      <c r="O88" s="40">
        <f t="shared" si="3"/>
        <v>0</v>
      </c>
      <c r="P88" s="40">
        <f t="shared" si="4"/>
        <v>0</v>
      </c>
    </row>
    <row r="89" spans="1:16" x14ac:dyDescent="0.35">
      <c r="A89" s="33">
        <v>86</v>
      </c>
      <c r="B89" s="34" t="s">
        <v>399</v>
      </c>
      <c r="C89" s="33" t="s">
        <v>346</v>
      </c>
      <c r="D89" s="33" t="s">
        <v>36</v>
      </c>
      <c r="E89" s="33" t="s">
        <v>311</v>
      </c>
      <c r="F89" s="35">
        <v>0.1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 cm="1">
        <f t="array" ref="M89:N89">VLOOKUP(B89,'Fumigation  Room'!B:H,{6,7},0)</f>
        <v>0</v>
      </c>
      <c r="N89" s="40">
        <v>0</v>
      </c>
      <c r="O89" s="40">
        <f t="shared" si="3"/>
        <v>0</v>
      </c>
      <c r="P89" s="40">
        <f t="shared" si="4"/>
        <v>0</v>
      </c>
    </row>
    <row r="90" spans="1:16" x14ac:dyDescent="0.35">
      <c r="A90" s="33">
        <v>87</v>
      </c>
      <c r="B90" s="34" t="s">
        <v>400</v>
      </c>
      <c r="C90" s="33" t="s">
        <v>346</v>
      </c>
      <c r="D90" s="33" t="s">
        <v>36</v>
      </c>
      <c r="E90" s="33" t="s">
        <v>311</v>
      </c>
      <c r="F90" s="35">
        <v>1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 cm="1">
        <f t="array" ref="M90:N90">VLOOKUP(B90,'Fumigation  Room'!B:H,{6,7},0)</f>
        <v>0</v>
      </c>
      <c r="N90" s="40">
        <v>0</v>
      </c>
      <c r="O90" s="40">
        <f t="shared" si="3"/>
        <v>0</v>
      </c>
      <c r="P90" s="40">
        <f t="shared" si="4"/>
        <v>0</v>
      </c>
    </row>
    <row r="91" spans="1:16" x14ac:dyDescent="0.35">
      <c r="A91" s="33">
        <v>88</v>
      </c>
      <c r="B91" s="34" t="s">
        <v>401</v>
      </c>
      <c r="C91" s="33" t="s">
        <v>346</v>
      </c>
      <c r="D91" s="33" t="s">
        <v>36</v>
      </c>
      <c r="E91" s="33" t="s">
        <v>311</v>
      </c>
      <c r="F91" s="35">
        <v>0.2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 cm="1">
        <f t="array" ref="M91:N91">VLOOKUP(B91,'Fumigation  Room'!B:H,{6,7},0)</f>
        <v>0</v>
      </c>
      <c r="N91" s="40">
        <v>0</v>
      </c>
      <c r="O91" s="40">
        <f t="shared" si="3"/>
        <v>0</v>
      </c>
      <c r="P91" s="40">
        <f t="shared" si="4"/>
        <v>0</v>
      </c>
    </row>
    <row r="92" spans="1:16" x14ac:dyDescent="0.35">
      <c r="A92" s="33">
        <v>89</v>
      </c>
      <c r="B92" s="34" t="s">
        <v>402</v>
      </c>
      <c r="C92" s="33" t="s">
        <v>346</v>
      </c>
      <c r="D92" s="33" t="s">
        <v>36</v>
      </c>
      <c r="E92" s="33" t="s">
        <v>311</v>
      </c>
      <c r="F92" s="35">
        <v>0.5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 cm="1">
        <f t="array" ref="M92:N92">VLOOKUP(B92,'Fumigation  Room'!B:H,{6,7},0)</f>
        <v>0</v>
      </c>
      <c r="N92" s="40">
        <v>0</v>
      </c>
      <c r="O92" s="40">
        <f t="shared" si="3"/>
        <v>0</v>
      </c>
      <c r="P92" s="40">
        <f t="shared" si="4"/>
        <v>0</v>
      </c>
    </row>
    <row r="93" spans="1:16" x14ac:dyDescent="0.35">
      <c r="A93" s="33">
        <v>90</v>
      </c>
      <c r="B93" s="34" t="s">
        <v>403</v>
      </c>
      <c r="C93" s="33" t="s">
        <v>346</v>
      </c>
      <c r="D93" s="33" t="s">
        <v>36</v>
      </c>
      <c r="E93" s="33" t="s">
        <v>311</v>
      </c>
      <c r="F93" s="35">
        <v>0.1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 cm="1">
        <f t="array" ref="M93:N93">VLOOKUP(B93,'Fumigation  Room'!B:H,{6,7},0)</f>
        <v>0</v>
      </c>
      <c r="N93" s="40">
        <v>0</v>
      </c>
      <c r="O93" s="40">
        <f t="shared" si="3"/>
        <v>0</v>
      </c>
      <c r="P93" s="40">
        <f t="shared" si="4"/>
        <v>0</v>
      </c>
    </row>
    <row r="94" spans="1:16" x14ac:dyDescent="0.35">
      <c r="A94" s="33">
        <v>91</v>
      </c>
      <c r="B94" s="34" t="s">
        <v>404</v>
      </c>
      <c r="C94" s="33" t="s">
        <v>346</v>
      </c>
      <c r="D94" s="33" t="s">
        <v>36</v>
      </c>
      <c r="E94" s="33" t="s">
        <v>311</v>
      </c>
      <c r="F94" s="35">
        <v>0.2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 cm="1">
        <f t="array" ref="M94:N94">VLOOKUP(B94,'Fumigation  Room'!B:H,{6,7},0)</f>
        <v>0</v>
      </c>
      <c r="N94" s="40">
        <v>0</v>
      </c>
      <c r="O94" s="40">
        <f t="shared" si="3"/>
        <v>0</v>
      </c>
      <c r="P94" s="40">
        <f t="shared" si="4"/>
        <v>0</v>
      </c>
    </row>
    <row r="95" spans="1:16" x14ac:dyDescent="0.35">
      <c r="A95" s="33">
        <v>92</v>
      </c>
      <c r="B95" s="34" t="s">
        <v>405</v>
      </c>
      <c r="C95" s="33" t="s">
        <v>346</v>
      </c>
      <c r="D95" s="33" t="s">
        <v>36</v>
      </c>
      <c r="E95" s="33" t="s">
        <v>311</v>
      </c>
      <c r="F95" s="35">
        <v>0.5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 cm="1">
        <f t="array" ref="M95:N95">VLOOKUP(B95,'Fumigation  Room'!B:H,{6,7},0)</f>
        <v>0</v>
      </c>
      <c r="N95" s="40">
        <v>0</v>
      </c>
      <c r="O95" s="40">
        <f t="shared" si="3"/>
        <v>0</v>
      </c>
      <c r="P95" s="40">
        <f t="shared" si="4"/>
        <v>0</v>
      </c>
    </row>
    <row r="96" spans="1:16" x14ac:dyDescent="0.35">
      <c r="A96" s="33">
        <v>93</v>
      </c>
      <c r="B96" s="34" t="s">
        <v>406</v>
      </c>
      <c r="C96" s="33" t="s">
        <v>346</v>
      </c>
      <c r="D96" s="33" t="s">
        <v>36</v>
      </c>
      <c r="E96" s="33" t="s">
        <v>311</v>
      </c>
      <c r="F96" s="35">
        <v>0.05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 cm="1">
        <f t="array" ref="M96:N96">VLOOKUP(B96,'Fumigation  Room'!B:H,{6,7},0)</f>
        <v>0</v>
      </c>
      <c r="N96" s="40">
        <v>0</v>
      </c>
      <c r="O96" s="40">
        <f t="shared" si="3"/>
        <v>0</v>
      </c>
      <c r="P96" s="40">
        <f t="shared" si="4"/>
        <v>0</v>
      </c>
    </row>
    <row r="97" spans="1:16" x14ac:dyDescent="0.35">
      <c r="A97" s="33">
        <v>94</v>
      </c>
      <c r="B97" s="34" t="s">
        <v>407</v>
      </c>
      <c r="C97" s="33" t="s">
        <v>346</v>
      </c>
      <c r="D97" s="33" t="s">
        <v>36</v>
      </c>
      <c r="E97" s="33" t="s">
        <v>311</v>
      </c>
      <c r="F97" s="35">
        <v>0.05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 cm="1">
        <f t="array" ref="M97:N97">VLOOKUP(B97,'Fumigation  Room'!B:H,{6,7},0)</f>
        <v>0</v>
      </c>
      <c r="N97" s="40">
        <v>0</v>
      </c>
      <c r="O97" s="40">
        <f t="shared" si="3"/>
        <v>0</v>
      </c>
      <c r="P97" s="40">
        <f t="shared" si="4"/>
        <v>0</v>
      </c>
    </row>
    <row r="98" spans="1:16" x14ac:dyDescent="0.35">
      <c r="A98" s="33">
        <v>95</v>
      </c>
      <c r="B98" s="34" t="s">
        <v>408</v>
      </c>
      <c r="C98" s="33" t="s">
        <v>346</v>
      </c>
      <c r="D98" s="33" t="s">
        <v>36</v>
      </c>
      <c r="E98" s="33" t="s">
        <v>311</v>
      </c>
      <c r="F98" s="35">
        <v>0.05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 cm="1">
        <f t="array" ref="M98:N98">VLOOKUP(B98,'Fumigation  Room'!B:H,{6,7},0)</f>
        <v>0</v>
      </c>
      <c r="N98" s="40">
        <v>0</v>
      </c>
      <c r="O98" s="40">
        <f t="shared" si="3"/>
        <v>0</v>
      </c>
      <c r="P98" s="40">
        <f t="shared" si="4"/>
        <v>0</v>
      </c>
    </row>
    <row r="99" spans="1:16" x14ac:dyDescent="0.35">
      <c r="A99" s="33">
        <v>96</v>
      </c>
      <c r="B99" s="34" t="s">
        <v>409</v>
      </c>
      <c r="C99" s="33" t="s">
        <v>346</v>
      </c>
      <c r="D99" s="33" t="s">
        <v>36</v>
      </c>
      <c r="E99" s="33" t="s">
        <v>311</v>
      </c>
      <c r="F99" s="35">
        <v>0.05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 cm="1">
        <f t="array" ref="M99:N99">VLOOKUP(B99,'Fumigation  Room'!B:H,{6,7},0)</f>
        <v>0</v>
      </c>
      <c r="N99" s="40">
        <v>0</v>
      </c>
      <c r="O99" s="40">
        <f t="shared" si="3"/>
        <v>0</v>
      </c>
      <c r="P99" s="40">
        <f t="shared" si="4"/>
        <v>0</v>
      </c>
    </row>
    <row r="100" spans="1:16" x14ac:dyDescent="0.35">
      <c r="A100" s="33">
        <v>97</v>
      </c>
      <c r="B100" s="34" t="s">
        <v>410</v>
      </c>
      <c r="C100" s="33" t="s">
        <v>346</v>
      </c>
      <c r="D100" s="33" t="s">
        <v>36</v>
      </c>
      <c r="E100" s="33" t="s">
        <v>311</v>
      </c>
      <c r="F100" s="35">
        <v>0.1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 cm="1">
        <f t="array" ref="M100:N100">VLOOKUP(B100,'Fumigation  Room'!B:H,{6,7},0)</f>
        <v>0</v>
      </c>
      <c r="N100" s="40">
        <v>0</v>
      </c>
      <c r="O100" s="40">
        <f t="shared" si="3"/>
        <v>0</v>
      </c>
      <c r="P100" s="40">
        <f t="shared" si="4"/>
        <v>0</v>
      </c>
    </row>
    <row r="101" spans="1:16" x14ac:dyDescent="0.35">
      <c r="A101" s="33">
        <v>98</v>
      </c>
      <c r="B101" s="34" t="s">
        <v>411</v>
      </c>
      <c r="C101" s="33" t="s">
        <v>346</v>
      </c>
      <c r="D101" s="33" t="s">
        <v>36</v>
      </c>
      <c r="E101" s="33" t="s">
        <v>311</v>
      </c>
      <c r="F101" s="35">
        <v>0.2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 cm="1">
        <f t="array" ref="M101:N101">VLOOKUP(B101,'Fumigation  Room'!B:H,{6,7},0)</f>
        <v>0</v>
      </c>
      <c r="N101" s="40">
        <v>0</v>
      </c>
      <c r="O101" s="40">
        <f t="shared" si="3"/>
        <v>0</v>
      </c>
      <c r="P101" s="40">
        <f t="shared" si="4"/>
        <v>0</v>
      </c>
    </row>
    <row r="102" spans="1:16" x14ac:dyDescent="0.35">
      <c r="A102" s="33">
        <v>99</v>
      </c>
      <c r="B102" s="34" t="s">
        <v>412</v>
      </c>
      <c r="C102" s="33" t="s">
        <v>346</v>
      </c>
      <c r="D102" s="33" t="s">
        <v>36</v>
      </c>
      <c r="E102" s="33" t="s">
        <v>311</v>
      </c>
      <c r="F102" s="35">
        <v>0.5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 cm="1">
        <f t="array" ref="M102:N102">VLOOKUP(B102,'Fumigation  Room'!B:H,{6,7},0)</f>
        <v>0</v>
      </c>
      <c r="N102" s="40">
        <v>0</v>
      </c>
      <c r="O102" s="40">
        <f t="shared" si="3"/>
        <v>0</v>
      </c>
      <c r="P102" s="40">
        <f t="shared" si="4"/>
        <v>0</v>
      </c>
    </row>
    <row r="103" spans="1:16" x14ac:dyDescent="0.35">
      <c r="A103" s="33">
        <v>100</v>
      </c>
      <c r="B103" s="34" t="s">
        <v>413</v>
      </c>
      <c r="C103" s="33" t="s">
        <v>346</v>
      </c>
      <c r="D103" s="33" t="s">
        <v>36</v>
      </c>
      <c r="E103" s="33" t="s">
        <v>311</v>
      </c>
      <c r="F103" s="35">
        <v>0.25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 cm="1">
        <f t="array" ref="M103:N103">VLOOKUP(B103,'Fumigation  Room'!B:H,{6,7},0)</f>
        <v>0</v>
      </c>
      <c r="N103" s="40">
        <v>0</v>
      </c>
      <c r="O103" s="40">
        <f t="shared" si="3"/>
        <v>0</v>
      </c>
      <c r="P103" s="40">
        <f t="shared" si="4"/>
        <v>0</v>
      </c>
    </row>
    <row r="104" spans="1:16" x14ac:dyDescent="0.35">
      <c r="A104" s="33">
        <v>101</v>
      </c>
      <c r="B104" s="34" t="s">
        <v>414</v>
      </c>
      <c r="C104" s="33" t="s">
        <v>346</v>
      </c>
      <c r="D104" s="33" t="s">
        <v>36</v>
      </c>
      <c r="E104" s="33" t="s">
        <v>311</v>
      </c>
      <c r="F104" s="35">
        <v>0.5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 cm="1">
        <f t="array" ref="M104:N104">VLOOKUP(B104,'Fumigation  Room'!B:H,{6,7},0)</f>
        <v>0</v>
      </c>
      <c r="N104" s="40">
        <v>0</v>
      </c>
      <c r="O104" s="40">
        <f t="shared" si="3"/>
        <v>0</v>
      </c>
      <c r="P104" s="40">
        <f t="shared" si="4"/>
        <v>0</v>
      </c>
    </row>
    <row r="105" spans="1:16" x14ac:dyDescent="0.35">
      <c r="A105" s="33">
        <v>102</v>
      </c>
      <c r="B105" s="34" t="s">
        <v>415</v>
      </c>
      <c r="C105" s="33" t="s">
        <v>346</v>
      </c>
      <c r="D105" s="33" t="s">
        <v>36</v>
      </c>
      <c r="E105" s="33" t="s">
        <v>311</v>
      </c>
      <c r="F105" s="35">
        <v>1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 cm="1">
        <f t="array" ref="M105:N105">VLOOKUP(B105,'Fumigation  Room'!B:H,{6,7},0)</f>
        <v>0</v>
      </c>
      <c r="N105" s="40">
        <v>0</v>
      </c>
      <c r="O105" s="40">
        <f t="shared" si="3"/>
        <v>0</v>
      </c>
      <c r="P105" s="40">
        <f t="shared" si="4"/>
        <v>0</v>
      </c>
    </row>
    <row r="106" spans="1:16" x14ac:dyDescent="0.35">
      <c r="A106" s="33">
        <v>103</v>
      </c>
      <c r="B106" s="34" t="s">
        <v>416</v>
      </c>
      <c r="C106" s="33" t="s">
        <v>346</v>
      </c>
      <c r="D106" s="33" t="s">
        <v>36</v>
      </c>
      <c r="E106" s="33" t="s">
        <v>311</v>
      </c>
      <c r="F106" s="35">
        <v>1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 cm="1">
        <f t="array" ref="M106:N106">VLOOKUP(B106,'Fumigation  Room'!B:H,{6,7},0)</f>
        <v>0</v>
      </c>
      <c r="N106" s="40">
        <v>0</v>
      </c>
      <c r="O106" s="40">
        <f t="shared" si="3"/>
        <v>0</v>
      </c>
      <c r="P106" s="40">
        <f t="shared" si="4"/>
        <v>0</v>
      </c>
    </row>
    <row r="107" spans="1:16" x14ac:dyDescent="0.35">
      <c r="A107" s="33">
        <v>104</v>
      </c>
      <c r="B107" s="34" t="s">
        <v>417</v>
      </c>
      <c r="C107" s="33" t="s">
        <v>346</v>
      </c>
      <c r="D107" s="33" t="s">
        <v>36</v>
      </c>
      <c r="E107" s="33" t="s">
        <v>311</v>
      </c>
      <c r="F107" s="35">
        <v>1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 cm="1">
        <f t="array" ref="M107:N107">VLOOKUP(B107,'Fumigation  Room'!B:H,{6,7},0)</f>
        <v>0</v>
      </c>
      <c r="N107" s="40">
        <v>0</v>
      </c>
      <c r="O107" s="40">
        <f t="shared" si="3"/>
        <v>0</v>
      </c>
      <c r="P107" s="40">
        <f t="shared" si="4"/>
        <v>0</v>
      </c>
    </row>
    <row r="108" spans="1:16" x14ac:dyDescent="0.35">
      <c r="A108" s="33">
        <v>105</v>
      </c>
      <c r="B108" s="34" t="s">
        <v>418</v>
      </c>
      <c r="C108" s="33" t="s">
        <v>346</v>
      </c>
      <c r="D108" s="33" t="s">
        <v>36</v>
      </c>
      <c r="E108" s="33" t="s">
        <v>311</v>
      </c>
      <c r="F108" s="35">
        <v>0.2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 cm="1">
        <f t="array" ref="M108:N108">VLOOKUP(B108,'Fumigation  Room'!B:H,{6,7},0)</f>
        <v>0</v>
      </c>
      <c r="N108" s="40">
        <v>0</v>
      </c>
      <c r="O108" s="40">
        <f t="shared" si="3"/>
        <v>0</v>
      </c>
      <c r="P108" s="40">
        <f t="shared" si="4"/>
        <v>0</v>
      </c>
    </row>
    <row r="109" spans="1:16" x14ac:dyDescent="0.35">
      <c r="A109" s="33">
        <v>106</v>
      </c>
      <c r="B109" s="34" t="s">
        <v>419</v>
      </c>
      <c r="C109" s="33" t="s">
        <v>346</v>
      </c>
      <c r="D109" s="33" t="s">
        <v>36</v>
      </c>
      <c r="E109" s="33" t="s">
        <v>311</v>
      </c>
      <c r="F109" s="35">
        <v>0.17499999999999999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 cm="1">
        <f t="array" ref="M109:N109">VLOOKUP(B109,'Fumigation  Room'!B:H,{6,7},0)</f>
        <v>0</v>
      </c>
      <c r="N109" s="40">
        <v>0</v>
      </c>
      <c r="O109" s="40">
        <f t="shared" si="3"/>
        <v>0</v>
      </c>
      <c r="P109" s="40">
        <f t="shared" si="4"/>
        <v>0</v>
      </c>
    </row>
    <row r="110" spans="1:16" x14ac:dyDescent="0.35">
      <c r="A110" s="33">
        <v>107</v>
      </c>
      <c r="B110" s="34" t="s">
        <v>420</v>
      </c>
      <c r="C110" s="33" t="s">
        <v>346</v>
      </c>
      <c r="D110" s="33" t="s">
        <v>36</v>
      </c>
      <c r="E110" s="33" t="s">
        <v>311</v>
      </c>
      <c r="F110" s="35">
        <v>0.5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 cm="1">
        <f t="array" ref="M110:N110">VLOOKUP(B110,'Fumigation  Room'!B:H,{6,7},0)</f>
        <v>0</v>
      </c>
      <c r="N110" s="40">
        <v>0</v>
      </c>
      <c r="O110" s="40">
        <f t="shared" si="3"/>
        <v>0</v>
      </c>
      <c r="P110" s="40">
        <f t="shared" si="4"/>
        <v>0</v>
      </c>
    </row>
    <row r="111" spans="1:16" x14ac:dyDescent="0.35">
      <c r="A111" s="33">
        <v>108</v>
      </c>
      <c r="B111" s="34" t="s">
        <v>421</v>
      </c>
      <c r="C111" s="33" t="s">
        <v>346</v>
      </c>
      <c r="D111" s="33" t="s">
        <v>36</v>
      </c>
      <c r="E111" s="33" t="s">
        <v>311</v>
      </c>
      <c r="F111" s="35">
        <v>0.2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 cm="1">
        <f t="array" ref="M111:N111">VLOOKUP(B111,'Fumigation  Room'!B:H,{6,7},0)</f>
        <v>0</v>
      </c>
      <c r="N111" s="40">
        <v>0</v>
      </c>
      <c r="O111" s="40">
        <f t="shared" si="3"/>
        <v>0</v>
      </c>
      <c r="P111" s="40">
        <f t="shared" si="4"/>
        <v>0</v>
      </c>
    </row>
    <row r="112" spans="1:16" x14ac:dyDescent="0.35">
      <c r="A112" s="33">
        <v>109</v>
      </c>
      <c r="B112" s="34" t="s">
        <v>422</v>
      </c>
      <c r="C112" s="33" t="s">
        <v>346</v>
      </c>
      <c r="D112" s="33" t="s">
        <v>36</v>
      </c>
      <c r="E112" s="33" t="s">
        <v>311</v>
      </c>
      <c r="F112" s="35">
        <v>0.1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 cm="1">
        <f t="array" ref="M112:N112">VLOOKUP(B112,'Fumigation  Room'!B:H,{6,7},0)</f>
        <v>0</v>
      </c>
      <c r="N112" s="40">
        <v>0</v>
      </c>
      <c r="O112" s="40">
        <f t="shared" si="3"/>
        <v>0</v>
      </c>
      <c r="P112" s="40">
        <f t="shared" si="4"/>
        <v>0</v>
      </c>
    </row>
    <row r="113" spans="1:16" x14ac:dyDescent="0.35">
      <c r="A113" s="33">
        <v>110</v>
      </c>
      <c r="B113" s="34" t="s">
        <v>423</v>
      </c>
      <c r="C113" s="33" t="s">
        <v>346</v>
      </c>
      <c r="D113" s="33" t="s">
        <v>36</v>
      </c>
      <c r="E113" s="33" t="s">
        <v>311</v>
      </c>
      <c r="F113" s="35">
        <v>0.25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 cm="1">
        <f t="array" ref="M113:N113">VLOOKUP(B113,'Fumigation  Room'!B:H,{6,7},0)</f>
        <v>0</v>
      </c>
      <c r="N113" s="40">
        <v>0</v>
      </c>
      <c r="O113" s="40">
        <f t="shared" si="3"/>
        <v>0</v>
      </c>
      <c r="P113" s="40">
        <f t="shared" si="4"/>
        <v>0</v>
      </c>
    </row>
    <row r="114" spans="1:16" x14ac:dyDescent="0.35">
      <c r="A114" s="33">
        <v>111</v>
      </c>
      <c r="B114" s="34" t="s">
        <v>424</v>
      </c>
      <c r="C114" s="33" t="s">
        <v>346</v>
      </c>
      <c r="D114" s="33" t="s">
        <v>36</v>
      </c>
      <c r="E114" s="33" t="s">
        <v>311</v>
      </c>
      <c r="F114" s="35">
        <v>0.5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 cm="1">
        <f t="array" ref="M114:N114">VLOOKUP(B114,'Fumigation  Room'!B:H,{6,7},0)</f>
        <v>0</v>
      </c>
      <c r="N114" s="40">
        <v>0</v>
      </c>
      <c r="O114" s="40">
        <f t="shared" si="3"/>
        <v>0</v>
      </c>
      <c r="P114" s="40">
        <f t="shared" si="4"/>
        <v>0</v>
      </c>
    </row>
    <row r="115" spans="1:16" x14ac:dyDescent="0.35">
      <c r="A115" s="33">
        <v>112</v>
      </c>
      <c r="B115" s="34" t="s">
        <v>425</v>
      </c>
      <c r="C115" s="33" t="s">
        <v>346</v>
      </c>
      <c r="D115" s="33" t="s">
        <v>36</v>
      </c>
      <c r="E115" s="33" t="s">
        <v>311</v>
      </c>
      <c r="F115" s="35">
        <v>1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 cm="1">
        <f t="array" ref="M115:N115">VLOOKUP(B115,'Fumigation  Room'!B:H,{6,7},0)</f>
        <v>0</v>
      </c>
      <c r="N115" s="40">
        <v>0</v>
      </c>
      <c r="O115" s="40">
        <f t="shared" si="3"/>
        <v>0</v>
      </c>
      <c r="P115" s="40">
        <f t="shared" si="4"/>
        <v>0</v>
      </c>
    </row>
    <row r="116" spans="1:16" x14ac:dyDescent="0.35">
      <c r="A116" s="33">
        <v>113</v>
      </c>
      <c r="B116" s="34" t="s">
        <v>426</v>
      </c>
      <c r="C116" s="33" t="s">
        <v>346</v>
      </c>
      <c r="D116" s="33" t="s">
        <v>36</v>
      </c>
      <c r="E116" s="33" t="s">
        <v>311</v>
      </c>
      <c r="F116" s="35">
        <v>1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 cm="1">
        <f t="array" ref="M116:N116">VLOOKUP(B116,'Fumigation  Room'!B:H,{6,7},0)</f>
        <v>0</v>
      </c>
      <c r="N116" s="40">
        <v>0</v>
      </c>
      <c r="O116" s="40">
        <f t="shared" si="3"/>
        <v>0</v>
      </c>
      <c r="P116" s="40">
        <f t="shared" si="4"/>
        <v>0</v>
      </c>
    </row>
    <row r="117" spans="1:16" x14ac:dyDescent="0.35">
      <c r="A117" s="33">
        <v>114</v>
      </c>
      <c r="B117" s="34" t="s">
        <v>427</v>
      </c>
      <c r="C117" s="33" t="s">
        <v>346</v>
      </c>
      <c r="D117" s="33" t="s">
        <v>36</v>
      </c>
      <c r="E117" s="33" t="s">
        <v>311</v>
      </c>
      <c r="F117" s="35">
        <v>1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 cm="1">
        <f t="array" ref="M117:N117">VLOOKUP(B117,'Fumigation  Room'!B:H,{6,7},0)</f>
        <v>0</v>
      </c>
      <c r="N117" s="40">
        <v>0</v>
      </c>
      <c r="O117" s="40">
        <f t="shared" si="3"/>
        <v>0</v>
      </c>
      <c r="P117" s="40">
        <f t="shared" si="4"/>
        <v>0</v>
      </c>
    </row>
    <row r="118" spans="1:16" x14ac:dyDescent="0.35">
      <c r="A118" s="33">
        <v>115</v>
      </c>
      <c r="B118" s="34" t="s">
        <v>428</v>
      </c>
      <c r="C118" s="33" t="s">
        <v>346</v>
      </c>
      <c r="D118" s="33" t="s">
        <v>36</v>
      </c>
      <c r="E118" s="33" t="s">
        <v>311</v>
      </c>
      <c r="F118" s="35">
        <v>1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 cm="1">
        <f t="array" ref="M118:N118">VLOOKUP(B118,'Fumigation  Room'!B:H,{6,7},0)</f>
        <v>0</v>
      </c>
      <c r="N118" s="40">
        <v>0</v>
      </c>
      <c r="O118" s="40">
        <f t="shared" si="3"/>
        <v>0</v>
      </c>
      <c r="P118" s="40">
        <f t="shared" si="4"/>
        <v>0</v>
      </c>
    </row>
    <row r="119" spans="1:16" x14ac:dyDescent="0.35">
      <c r="A119" s="33">
        <v>116</v>
      </c>
      <c r="B119" s="34" t="s">
        <v>429</v>
      </c>
      <c r="C119" s="33" t="s">
        <v>346</v>
      </c>
      <c r="D119" s="33" t="s">
        <v>36</v>
      </c>
      <c r="E119" s="33" t="s">
        <v>311</v>
      </c>
      <c r="F119" s="35">
        <v>1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 cm="1">
        <f t="array" ref="M119:N119">VLOOKUP(B119,'Fumigation  Room'!B:H,{6,7},0)</f>
        <v>0</v>
      </c>
      <c r="N119" s="40">
        <v>0</v>
      </c>
      <c r="O119" s="40">
        <f t="shared" si="3"/>
        <v>0</v>
      </c>
      <c r="P119" s="40">
        <f t="shared" si="4"/>
        <v>0</v>
      </c>
    </row>
    <row r="120" spans="1:16" x14ac:dyDescent="0.35">
      <c r="A120" s="33">
        <v>117</v>
      </c>
      <c r="B120" s="34" t="s">
        <v>430</v>
      </c>
      <c r="C120" s="33" t="s">
        <v>346</v>
      </c>
      <c r="D120" s="33" t="s">
        <v>36</v>
      </c>
      <c r="E120" s="33" t="s">
        <v>311</v>
      </c>
      <c r="F120" s="35">
        <v>1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 cm="1">
        <f t="array" ref="M120:N120">VLOOKUP(B120,'Fumigation  Room'!B:H,{6,7},0)</f>
        <v>0</v>
      </c>
      <c r="N120" s="40">
        <v>0</v>
      </c>
      <c r="O120" s="40">
        <f t="shared" si="3"/>
        <v>0</v>
      </c>
      <c r="P120" s="40">
        <f t="shared" si="4"/>
        <v>0</v>
      </c>
    </row>
    <row r="121" spans="1:16" x14ac:dyDescent="0.35">
      <c r="A121" s="33">
        <v>118</v>
      </c>
      <c r="B121" s="34" t="s">
        <v>431</v>
      </c>
      <c r="C121" s="33" t="s">
        <v>346</v>
      </c>
      <c r="D121" s="33" t="s">
        <v>36</v>
      </c>
      <c r="E121" s="33" t="s">
        <v>311</v>
      </c>
      <c r="F121" s="35">
        <v>1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 cm="1">
        <f t="array" ref="M121:N121">VLOOKUP(B121,'Fumigation  Room'!B:H,{6,7},0)</f>
        <v>0</v>
      </c>
      <c r="N121" s="40">
        <v>0</v>
      </c>
      <c r="O121" s="40">
        <f t="shared" si="3"/>
        <v>0</v>
      </c>
      <c r="P121" s="40">
        <f t="shared" si="4"/>
        <v>0</v>
      </c>
    </row>
    <row r="122" spans="1:16" x14ac:dyDescent="0.35">
      <c r="A122" s="33">
        <v>119</v>
      </c>
      <c r="B122" s="34" t="s">
        <v>432</v>
      </c>
      <c r="C122" s="33" t="s">
        <v>346</v>
      </c>
      <c r="D122" s="33" t="s">
        <v>36</v>
      </c>
      <c r="E122" s="33" t="s">
        <v>311</v>
      </c>
      <c r="F122" s="35">
        <v>1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 cm="1">
        <f t="array" ref="M122:N122">VLOOKUP(B122,'Fumigation  Room'!B:H,{6,7},0)</f>
        <v>0</v>
      </c>
      <c r="N122" s="40">
        <v>0</v>
      </c>
      <c r="O122" s="40">
        <f t="shared" si="3"/>
        <v>0</v>
      </c>
      <c r="P122" s="40">
        <f t="shared" si="4"/>
        <v>0</v>
      </c>
    </row>
    <row r="123" spans="1:16" x14ac:dyDescent="0.35">
      <c r="A123" s="33">
        <v>120</v>
      </c>
      <c r="B123" s="34" t="s">
        <v>433</v>
      </c>
      <c r="C123" s="33" t="s">
        <v>346</v>
      </c>
      <c r="D123" s="33" t="s">
        <v>36</v>
      </c>
      <c r="E123" s="33" t="s">
        <v>311</v>
      </c>
      <c r="F123" s="35">
        <v>7.4999999999999997E-2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 cm="1">
        <f t="array" ref="M123:N123">VLOOKUP(B123,'Fumigation  Room'!B:H,{6,7},0)</f>
        <v>0</v>
      </c>
      <c r="N123" s="40">
        <v>0</v>
      </c>
      <c r="O123" s="40">
        <f t="shared" si="3"/>
        <v>0</v>
      </c>
      <c r="P123" s="40">
        <f t="shared" si="4"/>
        <v>0</v>
      </c>
    </row>
    <row r="124" spans="1:16" x14ac:dyDescent="0.35">
      <c r="A124" s="33">
        <v>121</v>
      </c>
      <c r="B124" s="34" t="s">
        <v>434</v>
      </c>
      <c r="C124" s="33" t="s">
        <v>346</v>
      </c>
      <c r="D124" s="33" t="s">
        <v>36</v>
      </c>
      <c r="E124" s="33" t="s">
        <v>311</v>
      </c>
      <c r="F124" s="35">
        <v>0.1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40" cm="1">
        <f t="array" ref="M124:N124">VLOOKUP(B124,'Fumigation  Room'!B:H,{6,7},0)</f>
        <v>0</v>
      </c>
      <c r="N124" s="40">
        <v>0</v>
      </c>
      <c r="O124" s="40">
        <f t="shared" si="3"/>
        <v>0</v>
      </c>
      <c r="P124" s="40">
        <f t="shared" si="4"/>
        <v>0</v>
      </c>
    </row>
    <row r="125" spans="1:16" x14ac:dyDescent="0.35">
      <c r="A125" s="33">
        <v>122</v>
      </c>
      <c r="B125" s="34" t="s">
        <v>247</v>
      </c>
      <c r="C125" s="33" t="s">
        <v>346</v>
      </c>
      <c r="D125" s="33" t="s">
        <v>36</v>
      </c>
      <c r="E125" s="33" t="s">
        <v>311</v>
      </c>
      <c r="F125" s="35">
        <v>0.1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  <c r="M125" s="40" cm="1">
        <f t="array" ref="M125:N125">VLOOKUP(B125,'Fumigation  Room'!B:H,{6,7},0)</f>
        <v>0</v>
      </c>
      <c r="N125" s="40">
        <v>0</v>
      </c>
      <c r="O125" s="40">
        <f t="shared" si="3"/>
        <v>0</v>
      </c>
      <c r="P125" s="40">
        <f t="shared" si="4"/>
        <v>0</v>
      </c>
    </row>
    <row r="126" spans="1:16" x14ac:dyDescent="0.35">
      <c r="A126" s="33">
        <v>123</v>
      </c>
      <c r="B126" s="34" t="s">
        <v>435</v>
      </c>
      <c r="C126" s="33" t="s">
        <v>346</v>
      </c>
      <c r="D126" s="33" t="s">
        <v>36</v>
      </c>
      <c r="E126" s="33" t="s">
        <v>311</v>
      </c>
      <c r="F126" s="35">
        <v>1</v>
      </c>
      <c r="G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f>VLOOKUP(B126,'Packing Off Grade'!I:J,2,0)</f>
        <v>6.6</v>
      </c>
      <c r="M126" s="40" cm="1">
        <f t="array" ref="M126:N126">VLOOKUP(B126,'Fumigation  Room'!B:H,{6,7},0)</f>
        <v>0</v>
      </c>
      <c r="N126" s="40">
        <v>12.5</v>
      </c>
      <c r="O126" s="40">
        <f t="shared" si="3"/>
        <v>0</v>
      </c>
      <c r="P126" s="40">
        <f t="shared" si="4"/>
        <v>19.100000000000001</v>
      </c>
    </row>
    <row r="127" spans="1:16" x14ac:dyDescent="0.35">
      <c r="A127" s="33">
        <v>124</v>
      </c>
      <c r="B127" s="34" t="s">
        <v>436</v>
      </c>
      <c r="C127" s="33" t="s">
        <v>346</v>
      </c>
      <c r="D127" s="33" t="s">
        <v>36</v>
      </c>
      <c r="E127" s="33" t="s">
        <v>311</v>
      </c>
      <c r="F127" s="35">
        <v>0.14000000000000001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 cm="1">
        <f t="array" ref="M127:N127">VLOOKUP(B127,'Fumigation  Room'!B:H,{6,7},0)</f>
        <v>0</v>
      </c>
      <c r="N127" s="40">
        <v>0</v>
      </c>
      <c r="O127" s="40">
        <f t="shared" si="3"/>
        <v>0</v>
      </c>
      <c r="P127" s="40">
        <f t="shared" si="4"/>
        <v>0</v>
      </c>
    </row>
    <row r="128" spans="1:16" x14ac:dyDescent="0.35">
      <c r="A128" s="33">
        <v>125</v>
      </c>
      <c r="B128" s="34" t="s">
        <v>437</v>
      </c>
      <c r="C128" s="33" t="s">
        <v>346</v>
      </c>
      <c r="D128" s="33" t="s">
        <v>36</v>
      </c>
      <c r="E128" s="33" t="s">
        <v>311</v>
      </c>
      <c r="F128" s="35">
        <v>7.4999999999999997E-2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 cm="1">
        <f t="array" ref="M128:N128">VLOOKUP(B128,'Fumigation  Room'!B:H,{6,7},0)</f>
        <v>0</v>
      </c>
      <c r="N128" s="40">
        <v>0</v>
      </c>
      <c r="O128" s="40">
        <f t="shared" si="3"/>
        <v>0</v>
      </c>
      <c r="P128" s="40">
        <f t="shared" si="4"/>
        <v>0</v>
      </c>
    </row>
    <row r="129" spans="1:16" x14ac:dyDescent="0.35">
      <c r="A129" s="33">
        <v>126</v>
      </c>
      <c r="B129" s="34" t="s">
        <v>438</v>
      </c>
      <c r="C129" s="33" t="s">
        <v>346</v>
      </c>
      <c r="D129" s="33" t="s">
        <v>36</v>
      </c>
      <c r="E129" s="33" t="s">
        <v>311</v>
      </c>
      <c r="F129" s="35">
        <v>0.09</v>
      </c>
      <c r="G129" s="40">
        <v>0</v>
      </c>
      <c r="H129" s="40">
        <v>0</v>
      </c>
      <c r="I129" s="40">
        <v>0</v>
      </c>
      <c r="J129" s="40">
        <v>0</v>
      </c>
      <c r="K129" s="40">
        <v>0</v>
      </c>
      <c r="L129" s="40">
        <v>0</v>
      </c>
      <c r="M129" s="40" cm="1">
        <f t="array" ref="M129:N129">VLOOKUP(B129,'Fumigation  Room'!B:H,{6,7},0)</f>
        <v>0</v>
      </c>
      <c r="N129" s="40">
        <v>0</v>
      </c>
      <c r="O129" s="40">
        <f t="shared" si="3"/>
        <v>0</v>
      </c>
      <c r="P129" s="40">
        <f t="shared" si="4"/>
        <v>0</v>
      </c>
    </row>
    <row r="130" spans="1:16" x14ac:dyDescent="0.35">
      <c r="A130" s="33">
        <v>127</v>
      </c>
      <c r="B130" s="34" t="s">
        <v>439</v>
      </c>
      <c r="C130" s="33" t="s">
        <v>346</v>
      </c>
      <c r="D130" s="33" t="s">
        <v>36</v>
      </c>
      <c r="E130" s="33" t="s">
        <v>311</v>
      </c>
      <c r="F130" s="35">
        <v>1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  <c r="M130" s="40" cm="1">
        <f t="array" ref="M130:N130">VLOOKUP(B130,'Fumigation  Room'!B:H,{6,7},0)</f>
        <v>0</v>
      </c>
      <c r="N130" s="40">
        <v>0</v>
      </c>
      <c r="O130" s="40">
        <f t="shared" si="3"/>
        <v>0</v>
      </c>
      <c r="P130" s="40">
        <f t="shared" si="4"/>
        <v>0</v>
      </c>
    </row>
    <row r="131" spans="1:16" x14ac:dyDescent="0.35">
      <c r="A131" s="33">
        <v>128</v>
      </c>
      <c r="B131" s="34" t="s">
        <v>440</v>
      </c>
      <c r="C131" s="33" t="s">
        <v>346</v>
      </c>
      <c r="D131" s="33" t="s">
        <v>36</v>
      </c>
      <c r="E131" s="33" t="s">
        <v>311</v>
      </c>
      <c r="F131" s="35">
        <v>1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 cm="1">
        <f t="array" ref="M131:N131">VLOOKUP(B131,'Fumigation  Room'!B:H,{6,7},0)</f>
        <v>0</v>
      </c>
      <c r="N131" s="40">
        <v>0</v>
      </c>
      <c r="O131" s="40">
        <f t="shared" si="3"/>
        <v>0</v>
      </c>
      <c r="P131" s="40">
        <f t="shared" si="4"/>
        <v>0</v>
      </c>
    </row>
    <row r="132" spans="1:16" x14ac:dyDescent="0.35">
      <c r="A132" s="33">
        <v>129</v>
      </c>
      <c r="B132" s="34" t="s">
        <v>441</v>
      </c>
      <c r="C132" s="33" t="s">
        <v>346</v>
      </c>
      <c r="D132" s="33" t="s">
        <v>36</v>
      </c>
      <c r="E132" s="33" t="s">
        <v>311</v>
      </c>
      <c r="F132" s="35">
        <v>0.1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 cm="1">
        <f t="array" ref="M132:N132">VLOOKUP(B132,'Fumigation  Room'!B:H,{6,7},0)</f>
        <v>0</v>
      </c>
      <c r="N132" s="40">
        <v>0</v>
      </c>
      <c r="O132" s="40">
        <f t="shared" si="3"/>
        <v>0</v>
      </c>
      <c r="P132" s="40">
        <f t="shared" si="4"/>
        <v>0</v>
      </c>
    </row>
    <row r="133" spans="1:16" x14ac:dyDescent="0.35">
      <c r="A133" s="33">
        <v>130</v>
      </c>
      <c r="B133" s="34" t="s">
        <v>442</v>
      </c>
      <c r="C133" s="33" t="s">
        <v>346</v>
      </c>
      <c r="D133" s="33" t="s">
        <v>36</v>
      </c>
      <c r="E133" s="33" t="s">
        <v>311</v>
      </c>
      <c r="F133" s="35">
        <v>0.1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  <c r="M133" s="40" cm="1">
        <f t="array" ref="M133:N133">VLOOKUP(B133,'Fumigation  Room'!B:H,{6,7},0)</f>
        <v>0</v>
      </c>
      <c r="N133" s="40">
        <v>0</v>
      </c>
      <c r="O133" s="40">
        <f t="shared" ref="O133:O196" si="5">G133+I133+K133+M133</f>
        <v>0</v>
      </c>
      <c r="P133" s="40">
        <f t="shared" ref="P133:P196" si="6">H133+J133+L133+N133</f>
        <v>0</v>
      </c>
    </row>
    <row r="134" spans="1:16" x14ac:dyDescent="0.35">
      <c r="A134" s="33">
        <v>131</v>
      </c>
      <c r="B134" s="34" t="s">
        <v>443</v>
      </c>
      <c r="C134" s="33" t="s">
        <v>346</v>
      </c>
      <c r="D134" s="33" t="s">
        <v>36</v>
      </c>
      <c r="E134" s="33" t="s">
        <v>311</v>
      </c>
      <c r="F134" s="35">
        <v>1</v>
      </c>
      <c r="G134" s="40">
        <v>0</v>
      </c>
      <c r="H134" s="40">
        <v>0</v>
      </c>
      <c r="I134" s="40">
        <v>0</v>
      </c>
      <c r="J134" s="40">
        <v>0</v>
      </c>
      <c r="K134" s="40">
        <v>0</v>
      </c>
      <c r="L134" s="40">
        <v>0</v>
      </c>
      <c r="M134" s="40" cm="1">
        <f t="array" ref="M134:N134">VLOOKUP(B134,'Fumigation  Room'!B:H,{6,7},0)</f>
        <v>0</v>
      </c>
      <c r="N134" s="40">
        <v>2.5499999999999998</v>
      </c>
      <c r="O134" s="40">
        <f t="shared" si="5"/>
        <v>0</v>
      </c>
      <c r="P134" s="40">
        <f t="shared" si="6"/>
        <v>2.5499999999999998</v>
      </c>
    </row>
    <row r="135" spans="1:16" x14ac:dyDescent="0.35">
      <c r="A135" s="33">
        <v>132</v>
      </c>
      <c r="B135" s="34" t="s">
        <v>444</v>
      </c>
      <c r="C135" s="33" t="s">
        <v>346</v>
      </c>
      <c r="D135" s="33" t="s">
        <v>36</v>
      </c>
      <c r="E135" s="33" t="s">
        <v>311</v>
      </c>
      <c r="F135" s="35">
        <v>1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  <c r="M135" s="40" cm="1">
        <f t="array" ref="M135:N135">VLOOKUP(B135,'Fumigation  Room'!B:H,{6,7},0)</f>
        <v>0</v>
      </c>
      <c r="N135" s="40">
        <v>0</v>
      </c>
      <c r="O135" s="40">
        <f t="shared" si="5"/>
        <v>0</v>
      </c>
      <c r="P135" s="40">
        <f t="shared" si="6"/>
        <v>0</v>
      </c>
    </row>
    <row r="136" spans="1:16" x14ac:dyDescent="0.35">
      <c r="A136" s="33">
        <v>133</v>
      </c>
      <c r="B136" s="34" t="s">
        <v>445</v>
      </c>
      <c r="C136" s="33" t="s">
        <v>346</v>
      </c>
      <c r="D136" s="33" t="s">
        <v>36</v>
      </c>
      <c r="E136" s="33" t="s">
        <v>311</v>
      </c>
      <c r="F136" s="35">
        <v>0.17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 cm="1">
        <f t="array" ref="M136:N136">VLOOKUP(B136,'Fumigation  Room'!B:H,{6,7},0)</f>
        <v>0</v>
      </c>
      <c r="N136" s="40">
        <v>0</v>
      </c>
      <c r="O136" s="40">
        <f t="shared" si="5"/>
        <v>0</v>
      </c>
      <c r="P136" s="40">
        <f t="shared" si="6"/>
        <v>0</v>
      </c>
    </row>
    <row r="137" spans="1:16" x14ac:dyDescent="0.35">
      <c r="A137" s="33">
        <v>134</v>
      </c>
      <c r="B137" s="34" t="s">
        <v>446</v>
      </c>
      <c r="C137" s="33" t="s">
        <v>346</v>
      </c>
      <c r="D137" s="33" t="s">
        <v>36</v>
      </c>
      <c r="E137" s="33" t="s">
        <v>311</v>
      </c>
      <c r="F137" s="35">
        <v>0.48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  <c r="M137" s="40" cm="1">
        <f t="array" ref="M137:N137">VLOOKUP(B137,'Fumigation  Room'!B:H,{6,7},0)</f>
        <v>0</v>
      </c>
      <c r="N137" s="40">
        <v>0</v>
      </c>
      <c r="O137" s="40">
        <f t="shared" si="5"/>
        <v>0</v>
      </c>
      <c r="P137" s="40">
        <f t="shared" si="6"/>
        <v>0</v>
      </c>
    </row>
    <row r="138" spans="1:16" x14ac:dyDescent="0.35">
      <c r="A138" s="33">
        <v>135</v>
      </c>
      <c r="B138" s="34" t="s">
        <v>447</v>
      </c>
      <c r="C138" s="33" t="s">
        <v>346</v>
      </c>
      <c r="D138" s="33" t="s">
        <v>36</v>
      </c>
      <c r="E138" s="33" t="s">
        <v>311</v>
      </c>
      <c r="F138" s="35">
        <v>1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40" cm="1">
        <f t="array" ref="M138:N138">VLOOKUP(B138,'Fumigation  Room'!B:H,{6,7},0)</f>
        <v>0</v>
      </c>
      <c r="N138" s="40">
        <v>0</v>
      </c>
      <c r="O138" s="40">
        <f t="shared" si="5"/>
        <v>0</v>
      </c>
      <c r="P138" s="40">
        <f t="shared" si="6"/>
        <v>0</v>
      </c>
    </row>
    <row r="139" spans="1:16" x14ac:dyDescent="0.35">
      <c r="A139" s="33">
        <v>136</v>
      </c>
      <c r="B139" s="34" t="s">
        <v>448</v>
      </c>
      <c r="C139" s="33" t="s">
        <v>346</v>
      </c>
      <c r="D139" s="33" t="s">
        <v>36</v>
      </c>
      <c r="E139" s="33" t="s">
        <v>311</v>
      </c>
      <c r="F139" s="35">
        <v>0.25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 cm="1">
        <f t="array" ref="M139:N139">VLOOKUP(B139,'Fumigation  Room'!B:H,{6,7},0)</f>
        <v>0</v>
      </c>
      <c r="N139" s="40">
        <v>0</v>
      </c>
      <c r="O139" s="40">
        <f t="shared" si="5"/>
        <v>0</v>
      </c>
      <c r="P139" s="40">
        <f t="shared" si="6"/>
        <v>0</v>
      </c>
    </row>
    <row r="140" spans="1:16" x14ac:dyDescent="0.35">
      <c r="A140" s="33">
        <v>137</v>
      </c>
      <c r="B140" s="34" t="s">
        <v>449</v>
      </c>
      <c r="C140" s="33" t="s">
        <v>346</v>
      </c>
      <c r="D140" s="33" t="s">
        <v>36</v>
      </c>
      <c r="E140" s="33" t="s">
        <v>311</v>
      </c>
      <c r="F140" s="35">
        <v>0.5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 cm="1">
        <f t="array" ref="M140:N140">VLOOKUP(B140,'Fumigation  Room'!B:H,{6,7},0)</f>
        <v>0</v>
      </c>
      <c r="N140" s="40">
        <v>0</v>
      </c>
      <c r="O140" s="40">
        <f t="shared" si="5"/>
        <v>0</v>
      </c>
      <c r="P140" s="40">
        <f t="shared" si="6"/>
        <v>0</v>
      </c>
    </row>
    <row r="141" spans="1:16" x14ac:dyDescent="0.35">
      <c r="A141" s="33">
        <v>138</v>
      </c>
      <c r="B141" s="34" t="s">
        <v>450</v>
      </c>
      <c r="C141" s="33" t="s">
        <v>346</v>
      </c>
      <c r="D141" s="33" t="s">
        <v>36</v>
      </c>
      <c r="E141" s="33" t="s">
        <v>311</v>
      </c>
      <c r="F141" s="35">
        <v>7.4999999999999997E-2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 cm="1">
        <f t="array" ref="M141:N141">VLOOKUP(B141,'Fumigation  Room'!B:H,{6,7},0)</f>
        <v>0</v>
      </c>
      <c r="N141" s="40">
        <v>0</v>
      </c>
      <c r="O141" s="40">
        <f t="shared" si="5"/>
        <v>0</v>
      </c>
      <c r="P141" s="40">
        <f t="shared" si="6"/>
        <v>0</v>
      </c>
    </row>
    <row r="142" spans="1:16" x14ac:dyDescent="0.35">
      <c r="A142" s="33">
        <v>139</v>
      </c>
      <c r="B142" s="34" t="s">
        <v>451</v>
      </c>
      <c r="C142" s="33" t="s">
        <v>346</v>
      </c>
      <c r="D142" s="33" t="s">
        <v>36</v>
      </c>
      <c r="E142" s="33" t="s">
        <v>311</v>
      </c>
      <c r="F142" s="35">
        <v>7.4999999999999997E-2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 cm="1">
        <f t="array" ref="M142:N142">VLOOKUP(B142,'Fumigation  Room'!B:H,{6,7},0)</f>
        <v>0</v>
      </c>
      <c r="N142" s="40">
        <v>0</v>
      </c>
      <c r="O142" s="40">
        <f t="shared" si="5"/>
        <v>0</v>
      </c>
      <c r="P142" s="40">
        <f t="shared" si="6"/>
        <v>0</v>
      </c>
    </row>
    <row r="143" spans="1:16" x14ac:dyDescent="0.35">
      <c r="A143" s="33">
        <v>140</v>
      </c>
      <c r="B143" s="34" t="s">
        <v>452</v>
      </c>
      <c r="C143" s="33" t="s">
        <v>346</v>
      </c>
      <c r="D143" s="33" t="s">
        <v>36</v>
      </c>
      <c r="E143" s="33" t="s">
        <v>311</v>
      </c>
      <c r="F143" s="35">
        <v>7.4999999999999997E-2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 cm="1">
        <f t="array" ref="M143:N143">VLOOKUP(B143,'Fumigation  Room'!B:H,{6,7},0)</f>
        <v>0</v>
      </c>
      <c r="N143" s="40">
        <v>0</v>
      </c>
      <c r="O143" s="40">
        <f t="shared" si="5"/>
        <v>0</v>
      </c>
      <c r="P143" s="40">
        <f t="shared" si="6"/>
        <v>0</v>
      </c>
    </row>
    <row r="144" spans="1:16" x14ac:dyDescent="0.35">
      <c r="A144" s="33">
        <v>141</v>
      </c>
      <c r="B144" s="34" t="s">
        <v>453</v>
      </c>
      <c r="C144" s="33" t="s">
        <v>346</v>
      </c>
      <c r="D144" s="33" t="s">
        <v>36</v>
      </c>
      <c r="E144" s="33" t="s">
        <v>311</v>
      </c>
      <c r="F144" s="35">
        <v>0.1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  <c r="M144" s="40" cm="1">
        <f t="array" ref="M144:N144">VLOOKUP(B144,'Fumigation  Room'!B:H,{6,7},0)</f>
        <v>0</v>
      </c>
      <c r="N144" s="40">
        <v>0</v>
      </c>
      <c r="O144" s="40">
        <f t="shared" si="5"/>
        <v>0</v>
      </c>
      <c r="P144" s="40">
        <f t="shared" si="6"/>
        <v>0</v>
      </c>
    </row>
    <row r="145" spans="1:16" x14ac:dyDescent="0.35">
      <c r="A145" s="33">
        <v>142</v>
      </c>
      <c r="B145" s="34" t="s">
        <v>454</v>
      </c>
      <c r="C145" s="33" t="s">
        <v>346</v>
      </c>
      <c r="D145" s="33" t="s">
        <v>36</v>
      </c>
      <c r="E145" s="33" t="s">
        <v>311</v>
      </c>
      <c r="F145" s="35">
        <v>1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 cm="1">
        <f t="array" ref="M145:N145">VLOOKUP(B145,'Fumigation  Room'!B:H,{6,7},0)</f>
        <v>0</v>
      </c>
      <c r="N145" s="40">
        <v>0</v>
      </c>
      <c r="O145" s="40">
        <f t="shared" si="5"/>
        <v>0</v>
      </c>
      <c r="P145" s="40">
        <f t="shared" si="6"/>
        <v>0</v>
      </c>
    </row>
    <row r="146" spans="1:16" x14ac:dyDescent="0.35">
      <c r="A146" s="33">
        <v>143</v>
      </c>
      <c r="B146" s="34" t="s">
        <v>455</v>
      </c>
      <c r="C146" s="33" t="s">
        <v>346</v>
      </c>
      <c r="D146" s="33" t="s">
        <v>36</v>
      </c>
      <c r="E146" s="33" t="s">
        <v>311</v>
      </c>
      <c r="F146" s="35">
        <v>0.5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 cm="1">
        <f t="array" ref="M146:N146">VLOOKUP(B146,'Fumigation  Room'!B:H,{6,7},0)</f>
        <v>0</v>
      </c>
      <c r="N146" s="40">
        <v>0</v>
      </c>
      <c r="O146" s="40">
        <f t="shared" si="5"/>
        <v>0</v>
      </c>
      <c r="P146" s="40">
        <f t="shared" si="6"/>
        <v>0</v>
      </c>
    </row>
    <row r="147" spans="1:16" x14ac:dyDescent="0.35">
      <c r="A147" s="33">
        <v>144</v>
      </c>
      <c r="B147" s="34" t="s">
        <v>456</v>
      </c>
      <c r="C147" s="33" t="s">
        <v>346</v>
      </c>
      <c r="D147" s="33" t="s">
        <v>36</v>
      </c>
      <c r="E147" s="33" t="s">
        <v>311</v>
      </c>
      <c r="F147" s="35">
        <v>0.2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0">
        <v>0</v>
      </c>
      <c r="M147" s="40" cm="1">
        <f t="array" ref="M147:N147">VLOOKUP(B147,'Fumigation  Room'!B:H,{6,7},0)</f>
        <v>0</v>
      </c>
      <c r="N147" s="40">
        <v>0</v>
      </c>
      <c r="O147" s="40">
        <f t="shared" si="5"/>
        <v>0</v>
      </c>
      <c r="P147" s="40">
        <f t="shared" si="6"/>
        <v>0</v>
      </c>
    </row>
    <row r="148" spans="1:16" x14ac:dyDescent="0.35">
      <c r="A148" s="33">
        <v>145</v>
      </c>
      <c r="B148" s="34" t="s">
        <v>457</v>
      </c>
      <c r="C148" s="33" t="s">
        <v>346</v>
      </c>
      <c r="D148" s="33" t="s">
        <v>36</v>
      </c>
      <c r="E148" s="33" t="s">
        <v>311</v>
      </c>
      <c r="F148" s="35">
        <v>0.1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  <c r="M148" s="40" cm="1">
        <f t="array" ref="M148:N148">VLOOKUP(B148,'Fumigation  Room'!B:H,{6,7},0)</f>
        <v>0</v>
      </c>
      <c r="N148" s="40">
        <v>0</v>
      </c>
      <c r="O148" s="40">
        <f t="shared" si="5"/>
        <v>0</v>
      </c>
      <c r="P148" s="40">
        <f t="shared" si="6"/>
        <v>0</v>
      </c>
    </row>
    <row r="149" spans="1:16" x14ac:dyDescent="0.35">
      <c r="A149" s="33">
        <v>146</v>
      </c>
      <c r="B149" s="34" t="s">
        <v>458</v>
      </c>
      <c r="C149" s="33" t="s">
        <v>346</v>
      </c>
      <c r="D149" s="33" t="s">
        <v>36</v>
      </c>
      <c r="E149" s="33" t="s">
        <v>311</v>
      </c>
      <c r="F149" s="35">
        <v>1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40">
        <v>0</v>
      </c>
      <c r="M149" s="40" cm="1">
        <f t="array" ref="M149:N149">VLOOKUP(B149,'Fumigation  Room'!B:H,{6,7},0)</f>
        <v>0</v>
      </c>
      <c r="N149" s="40">
        <v>0</v>
      </c>
      <c r="O149" s="40">
        <f t="shared" si="5"/>
        <v>0</v>
      </c>
      <c r="P149" s="40">
        <f t="shared" si="6"/>
        <v>0</v>
      </c>
    </row>
    <row r="150" spans="1:16" x14ac:dyDescent="0.35">
      <c r="A150" s="33">
        <v>147</v>
      </c>
      <c r="B150" s="34" t="s">
        <v>332</v>
      </c>
      <c r="C150" s="33" t="s">
        <v>297</v>
      </c>
      <c r="D150" s="33" t="s">
        <v>36</v>
      </c>
      <c r="E150" s="33" t="s">
        <v>333</v>
      </c>
      <c r="F150" s="35">
        <v>1</v>
      </c>
      <c r="G150" s="40">
        <v>0</v>
      </c>
      <c r="H150" s="40">
        <v>0</v>
      </c>
      <c r="I150" s="40">
        <v>0</v>
      </c>
      <c r="J150" s="40">
        <v>0</v>
      </c>
      <c r="K150" s="40">
        <v>0</v>
      </c>
      <c r="L150" s="40">
        <v>0</v>
      </c>
      <c r="M150" s="40" cm="1">
        <f t="array" ref="M150:N150">VLOOKUP(B150,'Fumigation  Room'!B:H,{6,7},0)</f>
        <v>0</v>
      </c>
      <c r="N150" s="40">
        <v>0</v>
      </c>
      <c r="O150" s="40">
        <f t="shared" si="5"/>
        <v>0</v>
      </c>
      <c r="P150" s="40">
        <f t="shared" si="6"/>
        <v>0</v>
      </c>
    </row>
    <row r="151" spans="1:16" x14ac:dyDescent="0.35">
      <c r="A151" s="33">
        <v>148</v>
      </c>
      <c r="B151" s="34" t="s">
        <v>334</v>
      </c>
      <c r="C151" s="33" t="s">
        <v>297</v>
      </c>
      <c r="D151" s="33" t="s">
        <v>36</v>
      </c>
      <c r="E151" s="33" t="s">
        <v>333</v>
      </c>
      <c r="F151" s="35">
        <v>1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  <c r="M151" s="40" cm="1">
        <f t="array" ref="M151:N151">VLOOKUP(B151,'Fumigation  Room'!B:H,{6,7},0)</f>
        <v>0</v>
      </c>
      <c r="N151" s="40">
        <v>0</v>
      </c>
      <c r="O151" s="40">
        <f t="shared" si="5"/>
        <v>0</v>
      </c>
      <c r="P151" s="40">
        <f t="shared" si="6"/>
        <v>0</v>
      </c>
    </row>
    <row r="152" spans="1:16" x14ac:dyDescent="0.35">
      <c r="A152" s="33">
        <v>149</v>
      </c>
      <c r="B152" s="34" t="s">
        <v>335</v>
      </c>
      <c r="C152" s="33" t="s">
        <v>297</v>
      </c>
      <c r="D152" s="33" t="s">
        <v>36</v>
      </c>
      <c r="E152" s="33" t="s">
        <v>333</v>
      </c>
      <c r="F152" s="35">
        <v>1</v>
      </c>
      <c r="G152" s="40">
        <v>0</v>
      </c>
      <c r="H152" s="40">
        <v>0</v>
      </c>
      <c r="I152" s="40">
        <v>0</v>
      </c>
      <c r="J152" s="40">
        <v>0</v>
      </c>
      <c r="K152" s="40">
        <v>0</v>
      </c>
      <c r="L152" s="40">
        <v>0</v>
      </c>
      <c r="M152" s="40" cm="1">
        <f t="array" ref="M152:N152">VLOOKUP(B152,'Fumigation  Room'!B:H,{6,7},0)</f>
        <v>0</v>
      </c>
      <c r="N152" s="40">
        <v>0</v>
      </c>
      <c r="O152" s="40">
        <f t="shared" si="5"/>
        <v>0</v>
      </c>
      <c r="P152" s="40">
        <f t="shared" si="6"/>
        <v>0</v>
      </c>
    </row>
    <row r="153" spans="1:16" x14ac:dyDescent="0.35">
      <c r="A153" s="33">
        <v>150</v>
      </c>
      <c r="B153" s="34" t="s">
        <v>336</v>
      </c>
      <c r="C153" s="33" t="s">
        <v>297</v>
      </c>
      <c r="D153" s="33" t="s">
        <v>36</v>
      </c>
      <c r="E153" s="33" t="s">
        <v>333</v>
      </c>
      <c r="F153" s="35">
        <v>1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  <c r="M153" s="40" cm="1">
        <f t="array" ref="M153:N153">VLOOKUP(B153,'Fumigation  Room'!B:H,{6,7},0)</f>
        <v>0</v>
      </c>
      <c r="N153" s="40">
        <v>0</v>
      </c>
      <c r="O153" s="40">
        <f t="shared" si="5"/>
        <v>0</v>
      </c>
      <c r="P153" s="40">
        <f t="shared" si="6"/>
        <v>0</v>
      </c>
    </row>
    <row r="154" spans="1:16" x14ac:dyDescent="0.35">
      <c r="A154" s="33">
        <v>151</v>
      </c>
      <c r="B154" s="34" t="s">
        <v>337</v>
      </c>
      <c r="C154" s="33" t="s">
        <v>297</v>
      </c>
      <c r="D154" s="33" t="s">
        <v>36</v>
      </c>
      <c r="E154" s="33" t="s">
        <v>333</v>
      </c>
      <c r="F154" s="35">
        <v>1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 cm="1">
        <f t="array" ref="M154:N154">VLOOKUP(B154,'Fumigation  Room'!B:H,{6,7},0)</f>
        <v>0</v>
      </c>
      <c r="N154" s="40">
        <v>0</v>
      </c>
      <c r="O154" s="40">
        <f t="shared" si="5"/>
        <v>0</v>
      </c>
      <c r="P154" s="40">
        <f t="shared" si="6"/>
        <v>0</v>
      </c>
    </row>
    <row r="155" spans="1:16" x14ac:dyDescent="0.35">
      <c r="A155" s="33">
        <v>152</v>
      </c>
      <c r="B155" s="34" t="s">
        <v>338</v>
      </c>
      <c r="C155" s="33" t="s">
        <v>297</v>
      </c>
      <c r="D155" s="33" t="s">
        <v>36</v>
      </c>
      <c r="E155" s="33" t="s">
        <v>333</v>
      </c>
      <c r="F155" s="35">
        <v>1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  <c r="M155" s="40" cm="1">
        <f t="array" ref="M155:N155">VLOOKUP(B155,'Fumigation  Room'!B:H,{6,7},0)</f>
        <v>0</v>
      </c>
      <c r="N155" s="40">
        <v>0</v>
      </c>
      <c r="O155" s="40">
        <f t="shared" si="5"/>
        <v>0</v>
      </c>
      <c r="P155" s="40">
        <f t="shared" si="6"/>
        <v>0</v>
      </c>
    </row>
    <row r="156" spans="1:16" x14ac:dyDescent="0.35">
      <c r="A156" s="33">
        <v>153</v>
      </c>
      <c r="B156" s="34" t="s">
        <v>339</v>
      </c>
      <c r="C156" s="33" t="s">
        <v>297</v>
      </c>
      <c r="D156" s="33" t="s">
        <v>36</v>
      </c>
      <c r="E156" s="33" t="s">
        <v>333</v>
      </c>
      <c r="F156" s="35">
        <v>1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 cm="1">
        <f t="array" ref="M156:N156">VLOOKUP(B156,'Fumigation  Room'!B:H,{6,7},0)</f>
        <v>0</v>
      </c>
      <c r="N156" s="40">
        <v>0</v>
      </c>
      <c r="O156" s="40">
        <f t="shared" si="5"/>
        <v>0</v>
      </c>
      <c r="P156" s="40">
        <f t="shared" si="6"/>
        <v>0</v>
      </c>
    </row>
    <row r="157" spans="1:16" x14ac:dyDescent="0.35">
      <c r="A157" s="33">
        <v>154</v>
      </c>
      <c r="B157" s="34" t="s">
        <v>340</v>
      </c>
      <c r="C157" s="33" t="s">
        <v>297</v>
      </c>
      <c r="D157" s="33" t="s">
        <v>36</v>
      </c>
      <c r="E157" s="33" t="s">
        <v>333</v>
      </c>
      <c r="F157" s="35">
        <v>1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 cm="1">
        <f t="array" ref="M157:N157">VLOOKUP(B157,'Fumigation  Room'!B:H,{6,7},0)</f>
        <v>0</v>
      </c>
      <c r="N157" s="40">
        <v>0</v>
      </c>
      <c r="O157" s="40">
        <f t="shared" si="5"/>
        <v>0</v>
      </c>
      <c r="P157" s="40">
        <f t="shared" si="6"/>
        <v>0</v>
      </c>
    </row>
    <row r="158" spans="1:16" x14ac:dyDescent="0.35">
      <c r="A158" s="33">
        <v>155</v>
      </c>
      <c r="B158" s="34" t="s">
        <v>341</v>
      </c>
      <c r="C158" s="33" t="s">
        <v>297</v>
      </c>
      <c r="D158" s="33" t="s">
        <v>36</v>
      </c>
      <c r="E158" s="33" t="s">
        <v>333</v>
      </c>
      <c r="F158" s="35">
        <v>1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40" cm="1">
        <f t="array" ref="M158:N158">VLOOKUP(B158,'Fumigation  Room'!B:H,{6,7},0)</f>
        <v>0</v>
      </c>
      <c r="N158" s="40">
        <v>0</v>
      </c>
      <c r="O158" s="40">
        <f t="shared" si="5"/>
        <v>0</v>
      </c>
      <c r="P158" s="40">
        <f t="shared" si="6"/>
        <v>0</v>
      </c>
    </row>
    <row r="159" spans="1:16" x14ac:dyDescent="0.35">
      <c r="A159" s="33">
        <v>156</v>
      </c>
      <c r="B159" s="34" t="s">
        <v>342</v>
      </c>
      <c r="C159" s="33" t="s">
        <v>297</v>
      </c>
      <c r="D159" s="33" t="s">
        <v>36</v>
      </c>
      <c r="E159" s="33" t="s">
        <v>333</v>
      </c>
      <c r="F159" s="35">
        <v>1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 cm="1">
        <f t="array" ref="M159:N159">VLOOKUP(B159,'Fumigation  Room'!B:H,{6,7},0)</f>
        <v>0</v>
      </c>
      <c r="N159" s="40">
        <v>0</v>
      </c>
      <c r="O159" s="40">
        <f t="shared" si="5"/>
        <v>0</v>
      </c>
      <c r="P159" s="40">
        <f t="shared" si="6"/>
        <v>0</v>
      </c>
    </row>
    <row r="160" spans="1:16" x14ac:dyDescent="0.35">
      <c r="A160" s="33">
        <v>157</v>
      </c>
      <c r="B160" s="34" t="s">
        <v>459</v>
      </c>
      <c r="C160" s="33" t="s">
        <v>346</v>
      </c>
      <c r="D160" s="33" t="s">
        <v>36</v>
      </c>
      <c r="E160" s="33" t="s">
        <v>333</v>
      </c>
      <c r="F160" s="35">
        <v>0.5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 cm="1">
        <f t="array" ref="M160:N160">VLOOKUP(B160,'Fumigation  Room'!B:H,{6,7},0)</f>
        <v>0</v>
      </c>
      <c r="N160" s="40">
        <v>0</v>
      </c>
      <c r="O160" s="40">
        <f t="shared" si="5"/>
        <v>0</v>
      </c>
      <c r="P160" s="40">
        <f t="shared" si="6"/>
        <v>0</v>
      </c>
    </row>
    <row r="161" spans="1:16" x14ac:dyDescent="0.35">
      <c r="A161" s="33">
        <v>158</v>
      </c>
      <c r="B161" s="34" t="s">
        <v>460</v>
      </c>
      <c r="C161" s="33" t="s">
        <v>346</v>
      </c>
      <c r="D161" s="33" t="s">
        <v>36</v>
      </c>
      <c r="E161" s="33" t="s">
        <v>333</v>
      </c>
      <c r="F161" s="35">
        <v>0.2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 cm="1">
        <f t="array" ref="M161:N161">VLOOKUP(B161,'Fumigation  Room'!B:H,{6,7},0)</f>
        <v>0</v>
      </c>
      <c r="N161" s="40">
        <v>0</v>
      </c>
      <c r="O161" s="40">
        <f t="shared" si="5"/>
        <v>0</v>
      </c>
      <c r="P161" s="40">
        <f t="shared" si="6"/>
        <v>0</v>
      </c>
    </row>
    <row r="162" spans="1:16" x14ac:dyDescent="0.35">
      <c r="A162" s="33">
        <v>159</v>
      </c>
      <c r="B162" s="34" t="s">
        <v>461</v>
      </c>
      <c r="C162" s="33" t="s">
        <v>346</v>
      </c>
      <c r="D162" s="33" t="s">
        <v>36</v>
      </c>
      <c r="E162" s="33" t="s">
        <v>333</v>
      </c>
      <c r="F162" s="35">
        <v>0.25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 cm="1">
        <f t="array" ref="M162:N162">VLOOKUP(B162,'Fumigation  Room'!B:H,{6,7},0)</f>
        <v>0</v>
      </c>
      <c r="N162" s="40">
        <v>0</v>
      </c>
      <c r="O162" s="40">
        <f t="shared" si="5"/>
        <v>0</v>
      </c>
      <c r="P162" s="40">
        <f t="shared" si="6"/>
        <v>0</v>
      </c>
    </row>
    <row r="163" spans="1:16" x14ac:dyDescent="0.35">
      <c r="A163" s="33">
        <v>160</v>
      </c>
      <c r="B163" s="34" t="s">
        <v>462</v>
      </c>
      <c r="C163" s="33" t="s">
        <v>346</v>
      </c>
      <c r="D163" s="33" t="s">
        <v>36</v>
      </c>
      <c r="E163" s="33" t="s">
        <v>333</v>
      </c>
      <c r="F163" s="35">
        <v>0.6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 cm="1">
        <f t="array" ref="M163:N163">VLOOKUP(B163,'Fumigation  Room'!B:H,{6,7},0)</f>
        <v>0</v>
      </c>
      <c r="N163" s="40">
        <v>0</v>
      </c>
      <c r="O163" s="40">
        <f t="shared" si="5"/>
        <v>0</v>
      </c>
      <c r="P163" s="40">
        <f t="shared" si="6"/>
        <v>0</v>
      </c>
    </row>
    <row r="164" spans="1:16" x14ac:dyDescent="0.35">
      <c r="A164" s="33">
        <v>161</v>
      </c>
      <c r="B164" s="34" t="s">
        <v>463</v>
      </c>
      <c r="C164" s="33" t="s">
        <v>346</v>
      </c>
      <c r="D164" s="33" t="s">
        <v>36</v>
      </c>
      <c r="E164" s="33" t="s">
        <v>333</v>
      </c>
      <c r="F164" s="35">
        <v>1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 cm="1">
        <f t="array" ref="M164:N164">VLOOKUP(B164,'Fumigation  Room'!B:H,{6,7},0)</f>
        <v>0</v>
      </c>
      <c r="N164" s="40">
        <v>0</v>
      </c>
      <c r="O164" s="40">
        <f t="shared" si="5"/>
        <v>0</v>
      </c>
      <c r="P164" s="40">
        <f t="shared" si="6"/>
        <v>0</v>
      </c>
    </row>
    <row r="165" spans="1:16" x14ac:dyDescent="0.35">
      <c r="A165" s="33">
        <v>162</v>
      </c>
      <c r="B165" s="34" t="s">
        <v>464</v>
      </c>
      <c r="C165" s="33" t="s">
        <v>346</v>
      </c>
      <c r="D165" s="33" t="s">
        <v>36</v>
      </c>
      <c r="E165" s="33" t="s">
        <v>333</v>
      </c>
      <c r="F165" s="35">
        <v>0.1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 cm="1">
        <f t="array" ref="M165:N165">VLOOKUP(B165,'Fumigation  Room'!B:H,{6,7},0)</f>
        <v>0</v>
      </c>
      <c r="N165" s="40">
        <v>0</v>
      </c>
      <c r="O165" s="40">
        <f t="shared" si="5"/>
        <v>0</v>
      </c>
      <c r="P165" s="40">
        <f t="shared" si="6"/>
        <v>0</v>
      </c>
    </row>
    <row r="166" spans="1:16" x14ac:dyDescent="0.35">
      <c r="A166" s="33">
        <v>163</v>
      </c>
      <c r="B166" s="34" t="s">
        <v>465</v>
      </c>
      <c r="C166" s="33" t="s">
        <v>346</v>
      </c>
      <c r="D166" s="33" t="s">
        <v>36</v>
      </c>
      <c r="E166" s="33" t="s">
        <v>333</v>
      </c>
      <c r="F166" s="35">
        <v>1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 cm="1">
        <f t="array" ref="M166:N166">VLOOKUP(B166,'Fumigation  Room'!B:H,{6,7},0)</f>
        <v>0</v>
      </c>
      <c r="N166" s="40">
        <v>0</v>
      </c>
      <c r="O166" s="40">
        <f t="shared" si="5"/>
        <v>0</v>
      </c>
      <c r="P166" s="40">
        <f t="shared" si="6"/>
        <v>0</v>
      </c>
    </row>
    <row r="167" spans="1:16" x14ac:dyDescent="0.35">
      <c r="A167" s="33">
        <v>164</v>
      </c>
      <c r="B167" s="34" t="s">
        <v>2308</v>
      </c>
      <c r="C167" s="33" t="s">
        <v>346</v>
      </c>
      <c r="D167" s="33" t="s">
        <v>36</v>
      </c>
      <c r="E167" s="33" t="s">
        <v>333</v>
      </c>
      <c r="F167" s="35">
        <v>1</v>
      </c>
      <c r="G167" s="40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  <c r="M167" s="40">
        <v>0</v>
      </c>
      <c r="N167" s="40">
        <v>0</v>
      </c>
      <c r="O167" s="40">
        <f t="shared" si="5"/>
        <v>0</v>
      </c>
      <c r="P167" s="40">
        <f t="shared" si="6"/>
        <v>0</v>
      </c>
    </row>
    <row r="168" spans="1:16" x14ac:dyDescent="0.35">
      <c r="A168" s="33">
        <v>165</v>
      </c>
      <c r="B168" s="34" t="s">
        <v>467</v>
      </c>
      <c r="C168" s="33" t="s">
        <v>346</v>
      </c>
      <c r="D168" s="33" t="s">
        <v>36</v>
      </c>
      <c r="E168" s="33" t="s">
        <v>333</v>
      </c>
      <c r="F168" s="35">
        <v>1</v>
      </c>
      <c r="G168" s="40">
        <v>0</v>
      </c>
      <c r="H168" s="40">
        <v>0</v>
      </c>
      <c r="I168" s="40">
        <v>0</v>
      </c>
      <c r="J168" s="40">
        <v>0</v>
      </c>
      <c r="K168" s="40">
        <v>0</v>
      </c>
      <c r="L168" s="40">
        <v>0</v>
      </c>
      <c r="M168" s="40" cm="1">
        <f t="array" ref="M168:N168">VLOOKUP(B168,'Fumigation  Room'!B:H,{6,7},0)</f>
        <v>0</v>
      </c>
      <c r="N168" s="40">
        <v>0</v>
      </c>
      <c r="O168" s="40">
        <f t="shared" si="5"/>
        <v>0</v>
      </c>
      <c r="P168" s="40">
        <f t="shared" si="6"/>
        <v>0</v>
      </c>
    </row>
    <row r="169" spans="1:16" x14ac:dyDescent="0.35">
      <c r="A169" s="33">
        <v>166</v>
      </c>
      <c r="B169" s="34" t="s">
        <v>343</v>
      </c>
      <c r="C169" s="33" t="s">
        <v>297</v>
      </c>
      <c r="D169" s="33" t="s">
        <v>36</v>
      </c>
      <c r="E169" s="33" t="s">
        <v>343</v>
      </c>
      <c r="F169" s="35">
        <v>1</v>
      </c>
      <c r="G169" s="40">
        <v>0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  <c r="M169" s="40" cm="1">
        <f t="array" ref="M169:N169">VLOOKUP(B169,'Fumigation  Room'!B:H,{6,7},0)</f>
        <v>0</v>
      </c>
      <c r="N169" s="40">
        <v>0</v>
      </c>
      <c r="O169" s="40">
        <f t="shared" si="5"/>
        <v>0</v>
      </c>
      <c r="P169" s="40">
        <f t="shared" si="6"/>
        <v>0</v>
      </c>
    </row>
    <row r="170" spans="1:16" x14ac:dyDescent="0.35">
      <c r="A170" s="33">
        <v>167</v>
      </c>
      <c r="B170" s="34" t="s">
        <v>468</v>
      </c>
      <c r="C170" s="33" t="s">
        <v>297</v>
      </c>
      <c r="D170" s="33" t="s">
        <v>469</v>
      </c>
      <c r="E170" s="33" t="s">
        <v>470</v>
      </c>
      <c r="F170" s="35">
        <v>1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  <c r="M170" s="40" cm="1">
        <f t="array" ref="M170:N170">VLOOKUP(B170,'Fumigation  Room'!B:H,{6,7},0)</f>
        <v>0</v>
      </c>
      <c r="N170" s="40">
        <v>0</v>
      </c>
      <c r="O170" s="40">
        <f t="shared" si="5"/>
        <v>0</v>
      </c>
      <c r="P170" s="40">
        <f t="shared" si="6"/>
        <v>0</v>
      </c>
    </row>
    <row r="171" spans="1:16" x14ac:dyDescent="0.35">
      <c r="A171" s="33">
        <v>168</v>
      </c>
      <c r="B171" s="34" t="s">
        <v>471</v>
      </c>
      <c r="C171" s="33" t="s">
        <v>297</v>
      </c>
      <c r="D171" s="33" t="s">
        <v>469</v>
      </c>
      <c r="E171" s="33" t="s">
        <v>470</v>
      </c>
      <c r="F171" s="35">
        <v>1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  <c r="M171" s="40" cm="1">
        <f t="array" ref="M171:N171">VLOOKUP(B171,'Fumigation  Room'!B:H,{6,7},0)</f>
        <v>0</v>
      </c>
      <c r="N171" s="40">
        <v>0</v>
      </c>
      <c r="O171" s="40">
        <f t="shared" si="5"/>
        <v>0</v>
      </c>
      <c r="P171" s="40">
        <f t="shared" si="6"/>
        <v>0</v>
      </c>
    </row>
    <row r="172" spans="1:16" x14ac:dyDescent="0.35">
      <c r="A172" s="33">
        <v>169</v>
      </c>
      <c r="B172" s="34" t="s">
        <v>472</v>
      </c>
      <c r="C172" s="33" t="s">
        <v>297</v>
      </c>
      <c r="D172" s="33" t="s">
        <v>469</v>
      </c>
      <c r="E172" s="33" t="s">
        <v>470</v>
      </c>
      <c r="F172" s="35">
        <v>1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 cm="1">
        <f t="array" ref="M172:N172">VLOOKUP(B172,'Fumigation  Room'!B:H,{6,7},0)</f>
        <v>0</v>
      </c>
      <c r="N172" s="40">
        <v>10.4</v>
      </c>
      <c r="O172" s="40">
        <f t="shared" si="5"/>
        <v>0</v>
      </c>
      <c r="P172" s="40">
        <f t="shared" si="6"/>
        <v>10.4</v>
      </c>
    </row>
    <row r="173" spans="1:16" x14ac:dyDescent="0.35">
      <c r="A173" s="33">
        <v>170</v>
      </c>
      <c r="B173" s="34" t="s">
        <v>473</v>
      </c>
      <c r="C173" s="33" t="s">
        <v>297</v>
      </c>
      <c r="D173" s="33" t="s">
        <v>469</v>
      </c>
      <c r="E173" s="33" t="s">
        <v>470</v>
      </c>
      <c r="F173" s="35">
        <v>1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 cm="1">
        <f t="array" ref="M173:N173">VLOOKUP(B173,'Fumigation  Room'!B:H,{6,7},0)</f>
        <v>0</v>
      </c>
      <c r="N173" s="40">
        <v>0</v>
      </c>
      <c r="O173" s="40">
        <f t="shared" si="5"/>
        <v>0</v>
      </c>
      <c r="P173" s="40">
        <f t="shared" si="6"/>
        <v>0</v>
      </c>
    </row>
    <row r="174" spans="1:16" x14ac:dyDescent="0.35">
      <c r="A174" s="33">
        <v>171</v>
      </c>
      <c r="B174" s="34" t="s">
        <v>474</v>
      </c>
      <c r="C174" s="33" t="s">
        <v>297</v>
      </c>
      <c r="D174" s="33" t="s">
        <v>469</v>
      </c>
      <c r="E174" s="33" t="s">
        <v>470</v>
      </c>
      <c r="F174" s="35">
        <v>1</v>
      </c>
      <c r="G174" s="40">
        <v>0</v>
      </c>
      <c r="H174" s="40">
        <v>0</v>
      </c>
      <c r="I174" s="40">
        <v>0</v>
      </c>
      <c r="J174" s="40">
        <v>0</v>
      </c>
      <c r="K174" s="40">
        <v>0</v>
      </c>
      <c r="L174" s="40">
        <v>0</v>
      </c>
      <c r="M174" s="40" cm="1">
        <f t="array" ref="M174:N174">VLOOKUP(B174,'Fumigation  Room'!B:H,{6,7},0)</f>
        <v>0</v>
      </c>
      <c r="N174" s="40">
        <v>0</v>
      </c>
      <c r="O174" s="40">
        <f t="shared" si="5"/>
        <v>0</v>
      </c>
      <c r="P174" s="40">
        <f t="shared" si="6"/>
        <v>0</v>
      </c>
    </row>
    <row r="175" spans="1:16" x14ac:dyDescent="0.35">
      <c r="A175" s="33">
        <v>172</v>
      </c>
      <c r="B175" s="34" t="s">
        <v>476</v>
      </c>
      <c r="C175" s="33" t="s">
        <v>346</v>
      </c>
      <c r="D175" s="33" t="s">
        <v>469</v>
      </c>
      <c r="E175" s="33" t="s">
        <v>470</v>
      </c>
      <c r="F175" s="35">
        <v>7.4999999999999997E-2</v>
      </c>
      <c r="G175" s="40">
        <v>0</v>
      </c>
      <c r="H175" s="40">
        <v>0</v>
      </c>
      <c r="I175" s="40">
        <v>0</v>
      </c>
      <c r="J175" s="40">
        <v>0</v>
      </c>
      <c r="K175" s="40">
        <v>0</v>
      </c>
      <c r="L175" s="40">
        <v>0</v>
      </c>
      <c r="M175" s="40" cm="1">
        <f t="array" ref="M175:N175">VLOOKUP(B175,'Fumigation  Room'!B:H,{6,7},0)</f>
        <v>0</v>
      </c>
      <c r="N175" s="40">
        <v>0</v>
      </c>
      <c r="O175" s="40">
        <f t="shared" si="5"/>
        <v>0</v>
      </c>
      <c r="P175" s="40">
        <f t="shared" si="6"/>
        <v>0</v>
      </c>
    </row>
    <row r="176" spans="1:16" x14ac:dyDescent="0.35">
      <c r="A176" s="33">
        <v>173</v>
      </c>
      <c r="B176" s="34" t="s">
        <v>477</v>
      </c>
      <c r="C176" s="33" t="s">
        <v>346</v>
      </c>
      <c r="D176" s="33" t="s">
        <v>469</v>
      </c>
      <c r="E176" s="33" t="s">
        <v>470</v>
      </c>
      <c r="F176" s="35">
        <v>0.5</v>
      </c>
      <c r="G176" s="40">
        <v>0</v>
      </c>
      <c r="H176" s="40">
        <v>0</v>
      </c>
      <c r="I176" s="40">
        <v>0</v>
      </c>
      <c r="J176" s="40">
        <v>0</v>
      </c>
      <c r="K176" s="40">
        <v>0</v>
      </c>
      <c r="L176" s="40">
        <v>0</v>
      </c>
      <c r="M176" s="40" cm="1">
        <f t="array" ref="M176:N176">VLOOKUP(B176,'Fumigation  Room'!B:H,{6,7},0)</f>
        <v>0</v>
      </c>
      <c r="N176" s="40">
        <v>0</v>
      </c>
      <c r="O176" s="40">
        <f t="shared" si="5"/>
        <v>0</v>
      </c>
      <c r="P176" s="40">
        <f t="shared" si="6"/>
        <v>0</v>
      </c>
    </row>
    <row r="177" spans="1:16" x14ac:dyDescent="0.35">
      <c r="A177" s="33">
        <v>174</v>
      </c>
      <c r="B177" s="34" t="s">
        <v>478</v>
      </c>
      <c r="C177" s="33" t="s">
        <v>346</v>
      </c>
      <c r="D177" s="33" t="s">
        <v>469</v>
      </c>
      <c r="E177" s="33" t="s">
        <v>470</v>
      </c>
      <c r="F177" s="35">
        <v>0.4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0">
        <v>0</v>
      </c>
      <c r="M177" s="40" cm="1">
        <f t="array" ref="M177:N177">VLOOKUP(B177,'Fumigation  Room'!B:H,{6,7},0)</f>
        <v>0</v>
      </c>
      <c r="N177" s="40">
        <v>0</v>
      </c>
      <c r="O177" s="40">
        <f t="shared" si="5"/>
        <v>0</v>
      </c>
      <c r="P177" s="40">
        <f t="shared" si="6"/>
        <v>0</v>
      </c>
    </row>
    <row r="178" spans="1:16" x14ac:dyDescent="0.35">
      <c r="A178" s="33">
        <v>175</v>
      </c>
      <c r="B178" s="34" t="s">
        <v>479</v>
      </c>
      <c r="C178" s="33" t="s">
        <v>346</v>
      </c>
      <c r="D178" s="33" t="s">
        <v>469</v>
      </c>
      <c r="E178" s="33" t="s">
        <v>470</v>
      </c>
      <c r="F178" s="35">
        <v>0.25</v>
      </c>
      <c r="G178" s="40">
        <v>0</v>
      </c>
      <c r="H178" s="40">
        <v>0</v>
      </c>
      <c r="I178" s="40">
        <v>0</v>
      </c>
      <c r="J178" s="40">
        <v>0</v>
      </c>
      <c r="K178" s="40">
        <v>0</v>
      </c>
      <c r="L178" s="40">
        <v>0</v>
      </c>
      <c r="M178" s="40" cm="1">
        <f t="array" ref="M178:N178">VLOOKUP(B178,'Fumigation  Room'!B:H,{6,7},0)</f>
        <v>0</v>
      </c>
      <c r="N178" s="40">
        <v>0</v>
      </c>
      <c r="O178" s="40">
        <f t="shared" si="5"/>
        <v>0</v>
      </c>
      <c r="P178" s="40">
        <f t="shared" si="6"/>
        <v>0</v>
      </c>
    </row>
    <row r="179" spans="1:16" x14ac:dyDescent="0.35">
      <c r="A179" s="33">
        <v>176</v>
      </c>
      <c r="B179" s="34" t="s">
        <v>480</v>
      </c>
      <c r="C179" s="33" t="s">
        <v>346</v>
      </c>
      <c r="D179" s="33" t="s">
        <v>469</v>
      </c>
      <c r="E179" s="33" t="s">
        <v>470</v>
      </c>
      <c r="F179" s="35">
        <v>0.2</v>
      </c>
      <c r="G179" s="40">
        <v>0</v>
      </c>
      <c r="H179" s="40">
        <v>0</v>
      </c>
      <c r="I179" s="40">
        <v>0</v>
      </c>
      <c r="J179" s="40">
        <v>0</v>
      </c>
      <c r="K179" s="40">
        <v>0</v>
      </c>
      <c r="L179" s="40">
        <v>0</v>
      </c>
      <c r="M179" s="40" cm="1">
        <f t="array" ref="M179:N179">VLOOKUP(B179,'Fumigation  Room'!B:H,{6,7},0)</f>
        <v>0</v>
      </c>
      <c r="N179" s="40">
        <v>0</v>
      </c>
      <c r="O179" s="40">
        <f t="shared" si="5"/>
        <v>0</v>
      </c>
      <c r="P179" s="40">
        <f t="shared" si="6"/>
        <v>0</v>
      </c>
    </row>
    <row r="180" spans="1:16" x14ac:dyDescent="0.35">
      <c r="A180" s="33">
        <v>177</v>
      </c>
      <c r="B180" s="34" t="s">
        <v>481</v>
      </c>
      <c r="C180" s="33" t="s">
        <v>346</v>
      </c>
      <c r="D180" s="33" t="s">
        <v>469</v>
      </c>
      <c r="E180" s="33" t="s">
        <v>470</v>
      </c>
      <c r="F180" s="35">
        <v>0.25</v>
      </c>
      <c r="G180" s="40">
        <v>0</v>
      </c>
      <c r="H180" s="40">
        <v>0</v>
      </c>
      <c r="I180" s="40">
        <v>0</v>
      </c>
      <c r="J180" s="40">
        <v>0</v>
      </c>
      <c r="K180" s="40">
        <v>0</v>
      </c>
      <c r="L180" s="40">
        <v>0</v>
      </c>
      <c r="M180" s="40" cm="1">
        <f t="array" ref="M180:N180">VLOOKUP(B180,'Fumigation  Room'!B:H,{6,7},0)</f>
        <v>0</v>
      </c>
      <c r="N180" s="40">
        <v>0</v>
      </c>
      <c r="O180" s="40">
        <f t="shared" si="5"/>
        <v>0</v>
      </c>
      <c r="P180" s="40">
        <f t="shared" si="6"/>
        <v>0</v>
      </c>
    </row>
    <row r="181" spans="1:16" x14ac:dyDescent="0.35">
      <c r="A181" s="33">
        <v>178</v>
      </c>
      <c r="B181" s="34" t="s">
        <v>482</v>
      </c>
      <c r="C181" s="33" t="s">
        <v>346</v>
      </c>
      <c r="D181" s="33" t="s">
        <v>469</v>
      </c>
      <c r="E181" s="33" t="s">
        <v>470</v>
      </c>
      <c r="F181" s="35">
        <v>0.2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 cm="1">
        <f t="array" ref="M181:N181">VLOOKUP(B181,'Fumigation  Room'!B:H,{6,7},0)</f>
        <v>0</v>
      </c>
      <c r="N181" s="40">
        <v>0</v>
      </c>
      <c r="O181" s="40">
        <f t="shared" si="5"/>
        <v>0</v>
      </c>
      <c r="P181" s="40">
        <f t="shared" si="6"/>
        <v>0</v>
      </c>
    </row>
    <row r="182" spans="1:16" x14ac:dyDescent="0.35">
      <c r="A182" s="33">
        <v>179</v>
      </c>
      <c r="B182" s="34" t="s">
        <v>483</v>
      </c>
      <c r="C182" s="33" t="s">
        <v>346</v>
      </c>
      <c r="D182" s="33" t="s">
        <v>469</v>
      </c>
      <c r="E182" s="33" t="s">
        <v>470</v>
      </c>
      <c r="F182" s="35">
        <v>1</v>
      </c>
      <c r="G182" s="40">
        <v>0</v>
      </c>
      <c r="H182" s="40">
        <v>0</v>
      </c>
      <c r="I182" s="40">
        <v>0</v>
      </c>
      <c r="J182" s="40">
        <v>0</v>
      </c>
      <c r="K182" s="40">
        <v>0</v>
      </c>
      <c r="L182" s="40">
        <v>0</v>
      </c>
      <c r="M182" s="40" cm="1">
        <f t="array" ref="M182:N182">VLOOKUP(B182,'Fumigation  Room'!B:H,{6,7},0)</f>
        <v>0</v>
      </c>
      <c r="N182" s="40">
        <v>0</v>
      </c>
      <c r="O182" s="40">
        <f t="shared" si="5"/>
        <v>0</v>
      </c>
      <c r="P182" s="40">
        <f t="shared" si="6"/>
        <v>0</v>
      </c>
    </row>
    <row r="183" spans="1:16" x14ac:dyDescent="0.35">
      <c r="A183" s="33">
        <v>180</v>
      </c>
      <c r="B183" s="34" t="s">
        <v>484</v>
      </c>
      <c r="C183" s="33" t="s">
        <v>346</v>
      </c>
      <c r="D183" s="33" t="s">
        <v>469</v>
      </c>
      <c r="E183" s="33" t="s">
        <v>470</v>
      </c>
      <c r="F183" s="35">
        <v>1</v>
      </c>
      <c r="G183" s="40">
        <v>0</v>
      </c>
      <c r="H183" s="40">
        <v>0</v>
      </c>
      <c r="I183" s="40">
        <v>0</v>
      </c>
      <c r="J183" s="40">
        <v>0</v>
      </c>
      <c r="K183" s="40">
        <v>0</v>
      </c>
      <c r="L183" s="40">
        <v>0</v>
      </c>
      <c r="M183" s="40" cm="1">
        <f t="array" ref="M183:N183">VLOOKUP(B183,'Fumigation  Room'!B:H,{6,7},0)</f>
        <v>0</v>
      </c>
      <c r="N183" s="40">
        <v>0</v>
      </c>
      <c r="O183" s="40">
        <f t="shared" si="5"/>
        <v>0</v>
      </c>
      <c r="P183" s="40">
        <f t="shared" si="6"/>
        <v>0</v>
      </c>
    </row>
    <row r="184" spans="1:16" x14ac:dyDescent="0.35">
      <c r="A184" s="33">
        <v>181</v>
      </c>
      <c r="B184" s="34" t="s">
        <v>485</v>
      </c>
      <c r="C184" s="33" t="s">
        <v>346</v>
      </c>
      <c r="D184" s="33" t="s">
        <v>469</v>
      </c>
      <c r="E184" s="33" t="s">
        <v>470</v>
      </c>
      <c r="F184" s="35">
        <v>0.2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40">
        <v>0</v>
      </c>
      <c r="M184" s="40" cm="1">
        <f t="array" ref="M184:N184">VLOOKUP(B184,'Fumigation  Room'!B:H,{6,7},0)</f>
        <v>0</v>
      </c>
      <c r="N184" s="40">
        <v>0</v>
      </c>
      <c r="O184" s="40">
        <f t="shared" si="5"/>
        <v>0</v>
      </c>
      <c r="P184" s="40">
        <f t="shared" si="6"/>
        <v>0</v>
      </c>
    </row>
    <row r="185" spans="1:16" x14ac:dyDescent="0.35">
      <c r="A185" s="33">
        <v>182</v>
      </c>
      <c r="B185" s="34" t="s">
        <v>486</v>
      </c>
      <c r="C185" s="33" t="s">
        <v>346</v>
      </c>
      <c r="D185" s="33" t="s">
        <v>469</v>
      </c>
      <c r="E185" s="33" t="s">
        <v>470</v>
      </c>
      <c r="F185" s="35">
        <v>0.5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40" cm="1">
        <f t="array" ref="M185:N185">VLOOKUP(B185,'Fumigation  Room'!B:H,{6,7},0)</f>
        <v>0</v>
      </c>
      <c r="N185" s="40">
        <v>0</v>
      </c>
      <c r="O185" s="40">
        <f t="shared" si="5"/>
        <v>0</v>
      </c>
      <c r="P185" s="40">
        <f t="shared" si="6"/>
        <v>0</v>
      </c>
    </row>
    <row r="186" spans="1:16" x14ac:dyDescent="0.35">
      <c r="A186" s="33">
        <v>183</v>
      </c>
      <c r="B186" s="34" t="s">
        <v>487</v>
      </c>
      <c r="C186" s="33" t="s">
        <v>346</v>
      </c>
      <c r="D186" s="33" t="s">
        <v>469</v>
      </c>
      <c r="E186" s="33" t="s">
        <v>470</v>
      </c>
      <c r="F186" s="35">
        <v>0.25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</v>
      </c>
      <c r="M186" s="40" cm="1">
        <f t="array" ref="M186:N186">VLOOKUP(B186,'Fumigation  Room'!B:H,{6,7},0)</f>
        <v>0</v>
      </c>
      <c r="N186" s="40">
        <v>0</v>
      </c>
      <c r="O186" s="40">
        <f t="shared" si="5"/>
        <v>0</v>
      </c>
      <c r="P186" s="40">
        <f t="shared" si="6"/>
        <v>0</v>
      </c>
    </row>
    <row r="187" spans="1:16" x14ac:dyDescent="0.35">
      <c r="A187" s="33">
        <v>184</v>
      </c>
      <c r="B187" s="34" t="s">
        <v>488</v>
      </c>
      <c r="C187" s="33" t="s">
        <v>346</v>
      </c>
      <c r="D187" s="33" t="s">
        <v>469</v>
      </c>
      <c r="E187" s="33" t="s">
        <v>470</v>
      </c>
      <c r="F187" s="35">
        <v>0.5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0</v>
      </c>
      <c r="M187" s="40" cm="1">
        <f t="array" ref="M187:N187">VLOOKUP(B187,'Fumigation  Room'!B:H,{6,7},0)</f>
        <v>0</v>
      </c>
      <c r="N187" s="40">
        <v>0</v>
      </c>
      <c r="O187" s="40">
        <f t="shared" si="5"/>
        <v>0</v>
      </c>
      <c r="P187" s="40">
        <f t="shared" si="6"/>
        <v>0</v>
      </c>
    </row>
    <row r="188" spans="1:16" x14ac:dyDescent="0.35">
      <c r="A188" s="33">
        <v>185</v>
      </c>
      <c r="B188" s="34" t="s">
        <v>489</v>
      </c>
      <c r="C188" s="33" t="s">
        <v>346</v>
      </c>
      <c r="D188" s="33" t="s">
        <v>469</v>
      </c>
      <c r="E188" s="33" t="s">
        <v>470</v>
      </c>
      <c r="F188" s="35">
        <v>1</v>
      </c>
      <c r="G188" s="40">
        <v>0</v>
      </c>
      <c r="H188" s="40">
        <v>0</v>
      </c>
      <c r="I188" s="40">
        <v>0</v>
      </c>
      <c r="J188" s="40">
        <v>0</v>
      </c>
      <c r="K188" s="40">
        <v>0</v>
      </c>
      <c r="L188" s="40">
        <v>0</v>
      </c>
      <c r="M188" s="40" cm="1">
        <f t="array" ref="M188:N188">VLOOKUP(B188,'Fumigation  Room'!B:H,{6,7},0)</f>
        <v>0</v>
      </c>
      <c r="N188" s="40">
        <v>0</v>
      </c>
      <c r="O188" s="40">
        <f t="shared" si="5"/>
        <v>0</v>
      </c>
      <c r="P188" s="40">
        <f t="shared" si="6"/>
        <v>0</v>
      </c>
    </row>
    <row r="189" spans="1:16" x14ac:dyDescent="0.35">
      <c r="A189" s="33">
        <v>186</v>
      </c>
      <c r="B189" s="34" t="s">
        <v>490</v>
      </c>
      <c r="C189" s="33" t="s">
        <v>346</v>
      </c>
      <c r="D189" s="33" t="s">
        <v>469</v>
      </c>
      <c r="E189" s="33" t="s">
        <v>470</v>
      </c>
      <c r="F189" s="35">
        <v>1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 cm="1">
        <f t="array" ref="M189:N189">VLOOKUP(B189,'Fumigation  Room'!B:H,{6,7},0)</f>
        <v>0</v>
      </c>
      <c r="N189" s="40">
        <v>0</v>
      </c>
      <c r="O189" s="40">
        <f t="shared" si="5"/>
        <v>0</v>
      </c>
      <c r="P189" s="40">
        <f t="shared" si="6"/>
        <v>0</v>
      </c>
    </row>
    <row r="190" spans="1:16" x14ac:dyDescent="0.35">
      <c r="A190" s="33">
        <v>187</v>
      </c>
      <c r="B190" s="34" t="s">
        <v>491</v>
      </c>
      <c r="C190" s="33" t="s">
        <v>346</v>
      </c>
      <c r="D190" s="33" t="s">
        <v>469</v>
      </c>
      <c r="E190" s="33" t="s">
        <v>470</v>
      </c>
      <c r="F190" s="35">
        <v>1</v>
      </c>
      <c r="G190" s="40">
        <v>0</v>
      </c>
      <c r="H190" s="40">
        <v>0</v>
      </c>
      <c r="I190" s="40">
        <v>0</v>
      </c>
      <c r="J190" s="40">
        <v>0</v>
      </c>
      <c r="K190" s="40">
        <v>0</v>
      </c>
      <c r="L190" s="40">
        <v>0</v>
      </c>
      <c r="M190" s="40" cm="1">
        <f t="array" ref="M190:N190">VLOOKUP(B190,'Fumigation  Room'!B:H,{6,7},0)</f>
        <v>0</v>
      </c>
      <c r="N190" s="40">
        <v>0</v>
      </c>
      <c r="O190" s="40">
        <f t="shared" si="5"/>
        <v>0</v>
      </c>
      <c r="P190" s="40">
        <f t="shared" si="6"/>
        <v>0</v>
      </c>
    </row>
    <row r="191" spans="1:16" x14ac:dyDescent="0.35">
      <c r="A191" s="33">
        <v>188</v>
      </c>
      <c r="B191" s="34" t="s">
        <v>492</v>
      </c>
      <c r="C191" s="33" t="s">
        <v>346</v>
      </c>
      <c r="D191" s="33" t="s">
        <v>469</v>
      </c>
      <c r="E191" s="33" t="s">
        <v>470</v>
      </c>
      <c r="F191" s="35">
        <v>0.5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 cm="1">
        <f t="array" ref="M191:N191">VLOOKUP(B191,'Fumigation  Room'!B:H,{6,7},0)</f>
        <v>0</v>
      </c>
      <c r="N191" s="40">
        <v>0</v>
      </c>
      <c r="O191" s="40">
        <f t="shared" si="5"/>
        <v>0</v>
      </c>
      <c r="P191" s="40">
        <f t="shared" si="6"/>
        <v>0</v>
      </c>
    </row>
    <row r="192" spans="1:16" x14ac:dyDescent="0.35">
      <c r="A192" s="33">
        <v>189</v>
      </c>
      <c r="B192" s="34" t="s">
        <v>493</v>
      </c>
      <c r="C192" s="33" t="s">
        <v>346</v>
      </c>
      <c r="D192" s="33" t="s">
        <v>469</v>
      </c>
      <c r="E192" s="33" t="s">
        <v>470</v>
      </c>
      <c r="F192" s="35">
        <v>0.25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 cm="1">
        <f t="array" ref="M192:N192">VLOOKUP(B192,'Fumigation  Room'!B:H,{6,7},0)</f>
        <v>0</v>
      </c>
      <c r="N192" s="40">
        <v>0</v>
      </c>
      <c r="O192" s="40">
        <f t="shared" si="5"/>
        <v>0</v>
      </c>
      <c r="P192" s="40">
        <f t="shared" si="6"/>
        <v>0</v>
      </c>
    </row>
    <row r="193" spans="1:16" x14ac:dyDescent="0.35">
      <c r="A193" s="33">
        <v>190</v>
      </c>
      <c r="B193" s="34" t="s">
        <v>475</v>
      </c>
      <c r="C193" s="33" t="s">
        <v>297</v>
      </c>
      <c r="D193" s="33" t="s">
        <v>469</v>
      </c>
      <c r="E193" s="33" t="s">
        <v>475</v>
      </c>
      <c r="F193" s="35">
        <v>1</v>
      </c>
      <c r="G193" s="40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0</v>
      </c>
      <c r="M193" s="40" cm="1">
        <f t="array" ref="M193:N193">VLOOKUP(B193,'Fumigation  Room'!B:H,{6,7},0)</f>
        <v>0</v>
      </c>
      <c r="N193" s="40">
        <v>13.8</v>
      </c>
      <c r="O193" s="40">
        <f t="shared" si="5"/>
        <v>0</v>
      </c>
      <c r="P193" s="40">
        <f t="shared" si="6"/>
        <v>13.8</v>
      </c>
    </row>
    <row r="194" spans="1:16" x14ac:dyDescent="0.35">
      <c r="A194" s="33">
        <v>191</v>
      </c>
      <c r="B194" s="34" t="s">
        <v>494</v>
      </c>
      <c r="C194" s="33" t="s">
        <v>297</v>
      </c>
      <c r="D194" s="33" t="s">
        <v>79</v>
      </c>
      <c r="E194" s="33" t="s">
        <v>495</v>
      </c>
      <c r="F194" s="35">
        <v>1</v>
      </c>
      <c r="G194" s="40">
        <v>0</v>
      </c>
      <c r="H194" s="40">
        <v>0</v>
      </c>
      <c r="I194" s="40">
        <v>0</v>
      </c>
      <c r="J194" s="40">
        <v>0</v>
      </c>
      <c r="K194" s="40">
        <v>0</v>
      </c>
      <c r="L194" s="40">
        <v>0</v>
      </c>
      <c r="M194" s="40" cm="1">
        <f t="array" ref="M194:N194">VLOOKUP(B194,'Fumigation  Room'!B:H,{6,7},0)</f>
        <v>0</v>
      </c>
      <c r="N194" s="40">
        <v>0</v>
      </c>
      <c r="O194" s="40">
        <f t="shared" si="5"/>
        <v>0</v>
      </c>
      <c r="P194" s="40">
        <f t="shared" si="6"/>
        <v>0</v>
      </c>
    </row>
    <row r="195" spans="1:16" x14ac:dyDescent="0.35">
      <c r="A195" s="33">
        <v>192</v>
      </c>
      <c r="B195" s="34" t="s">
        <v>496</v>
      </c>
      <c r="C195" s="33" t="s">
        <v>297</v>
      </c>
      <c r="D195" s="33" t="s">
        <v>79</v>
      </c>
      <c r="E195" s="33" t="s">
        <v>495</v>
      </c>
      <c r="F195" s="35">
        <v>1</v>
      </c>
      <c r="G195" s="40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 cm="1">
        <f t="array" ref="M195:N195">VLOOKUP(B195,'Fumigation  Room'!B:H,{6,7},0)</f>
        <v>0</v>
      </c>
      <c r="N195" s="40">
        <v>0</v>
      </c>
      <c r="O195" s="40">
        <f t="shared" si="5"/>
        <v>0</v>
      </c>
      <c r="P195" s="40">
        <f t="shared" si="6"/>
        <v>0</v>
      </c>
    </row>
    <row r="196" spans="1:16" x14ac:dyDescent="0.35">
      <c r="A196" s="33">
        <v>193</v>
      </c>
      <c r="B196" s="34" t="s">
        <v>497</v>
      </c>
      <c r="C196" s="33" t="s">
        <v>297</v>
      </c>
      <c r="D196" s="33" t="s">
        <v>79</v>
      </c>
      <c r="E196" s="33" t="s">
        <v>495</v>
      </c>
      <c r="F196" s="35">
        <v>1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 cm="1">
        <f t="array" ref="M196:N196">VLOOKUP(B196,'Fumigation  Room'!B:H,{6,7},0)</f>
        <v>0</v>
      </c>
      <c r="N196" s="40">
        <v>0</v>
      </c>
      <c r="O196" s="40">
        <f t="shared" si="5"/>
        <v>0</v>
      </c>
      <c r="P196" s="40">
        <f t="shared" si="6"/>
        <v>0</v>
      </c>
    </row>
    <row r="197" spans="1:16" x14ac:dyDescent="0.35">
      <c r="A197" s="33">
        <v>194</v>
      </c>
      <c r="B197" s="34" t="s">
        <v>506</v>
      </c>
      <c r="C197" s="33" t="s">
        <v>346</v>
      </c>
      <c r="D197" s="33" t="s">
        <v>79</v>
      </c>
      <c r="E197" s="33" t="s">
        <v>495</v>
      </c>
      <c r="F197" s="35">
        <v>0.25</v>
      </c>
      <c r="G197" s="40">
        <v>0</v>
      </c>
      <c r="H197" s="40">
        <v>0</v>
      </c>
      <c r="I197" s="40">
        <v>0</v>
      </c>
      <c r="J197" s="40">
        <v>0</v>
      </c>
      <c r="K197" s="40">
        <v>0</v>
      </c>
      <c r="L197" s="40">
        <v>0</v>
      </c>
      <c r="M197" s="40" cm="1">
        <f t="array" ref="M197:N197">VLOOKUP(B197,'Fumigation  Room'!B:H,{6,7},0)</f>
        <v>0</v>
      </c>
      <c r="N197" s="40">
        <v>0</v>
      </c>
      <c r="O197" s="40">
        <f t="shared" ref="O197:O260" si="7">G197+I197+K197+M197</f>
        <v>0</v>
      </c>
      <c r="P197" s="40">
        <f t="shared" ref="P197:P260" si="8">H197+J197+L197+N197</f>
        <v>0</v>
      </c>
    </row>
    <row r="198" spans="1:16" x14ac:dyDescent="0.35">
      <c r="A198" s="33">
        <v>195</v>
      </c>
      <c r="B198" s="34" t="s">
        <v>507</v>
      </c>
      <c r="C198" s="33" t="s">
        <v>346</v>
      </c>
      <c r="D198" s="33" t="s">
        <v>79</v>
      </c>
      <c r="E198" s="33" t="s">
        <v>495</v>
      </c>
      <c r="F198" s="35">
        <v>0.55000000000000004</v>
      </c>
      <c r="G198" s="40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 cm="1">
        <f t="array" ref="M198:N198">VLOOKUP(B198,'Fumigation  Room'!B:H,{6,7},0)</f>
        <v>0</v>
      </c>
      <c r="N198" s="40">
        <v>0</v>
      </c>
      <c r="O198" s="40">
        <f t="shared" si="7"/>
        <v>0</v>
      </c>
      <c r="P198" s="40">
        <f t="shared" si="8"/>
        <v>0</v>
      </c>
    </row>
    <row r="199" spans="1:16" x14ac:dyDescent="0.35">
      <c r="A199" s="33">
        <v>196</v>
      </c>
      <c r="B199" s="34" t="s">
        <v>508</v>
      </c>
      <c r="C199" s="33" t="s">
        <v>346</v>
      </c>
      <c r="D199" s="33" t="s">
        <v>79</v>
      </c>
      <c r="E199" s="33" t="s">
        <v>495</v>
      </c>
      <c r="F199" s="35">
        <v>0.25</v>
      </c>
      <c r="G199" s="40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 cm="1">
        <f t="array" ref="M199:N199">VLOOKUP(B199,'Fumigation  Room'!B:H,{6,7},0)</f>
        <v>0</v>
      </c>
      <c r="N199" s="40">
        <v>0</v>
      </c>
      <c r="O199" s="40">
        <f t="shared" si="7"/>
        <v>0</v>
      </c>
      <c r="P199" s="40">
        <f t="shared" si="8"/>
        <v>0</v>
      </c>
    </row>
    <row r="200" spans="1:16" x14ac:dyDescent="0.35">
      <c r="A200" s="33">
        <v>197</v>
      </c>
      <c r="B200" s="34" t="s">
        <v>509</v>
      </c>
      <c r="C200" s="33" t="s">
        <v>346</v>
      </c>
      <c r="D200" s="33" t="s">
        <v>79</v>
      </c>
      <c r="E200" s="33" t="s">
        <v>495</v>
      </c>
      <c r="F200" s="35">
        <v>1</v>
      </c>
      <c r="G200" s="40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 cm="1">
        <f t="array" ref="M200:N200">VLOOKUP(B200,'Fumigation  Room'!B:H,{6,7},0)</f>
        <v>0</v>
      </c>
      <c r="N200" s="40">
        <v>0</v>
      </c>
      <c r="O200" s="40">
        <f t="shared" si="7"/>
        <v>0</v>
      </c>
      <c r="P200" s="40">
        <f t="shared" si="8"/>
        <v>0</v>
      </c>
    </row>
    <row r="201" spans="1:16" x14ac:dyDescent="0.35">
      <c r="A201" s="33">
        <v>198</v>
      </c>
      <c r="B201" s="34" t="s">
        <v>510</v>
      </c>
      <c r="C201" s="33" t="s">
        <v>346</v>
      </c>
      <c r="D201" s="33" t="s">
        <v>79</v>
      </c>
      <c r="E201" s="33" t="s">
        <v>495</v>
      </c>
      <c r="F201" s="35">
        <v>0.1</v>
      </c>
      <c r="G201" s="40">
        <v>0</v>
      </c>
      <c r="H201" s="40">
        <v>0</v>
      </c>
      <c r="I201" s="40">
        <v>0</v>
      </c>
      <c r="J201" s="40">
        <v>0</v>
      </c>
      <c r="K201" s="40">
        <v>0</v>
      </c>
      <c r="L201" s="40">
        <v>0</v>
      </c>
      <c r="M201" s="40" cm="1">
        <f t="array" ref="M201:N201">VLOOKUP(B201,'Fumigation  Room'!B:H,{6,7},0)</f>
        <v>0</v>
      </c>
      <c r="N201" s="40">
        <v>0</v>
      </c>
      <c r="O201" s="40">
        <f t="shared" si="7"/>
        <v>0</v>
      </c>
      <c r="P201" s="40">
        <f t="shared" si="8"/>
        <v>0</v>
      </c>
    </row>
    <row r="202" spans="1:16" x14ac:dyDescent="0.35">
      <c r="A202" s="33">
        <v>199</v>
      </c>
      <c r="B202" s="34" t="s">
        <v>511</v>
      </c>
      <c r="C202" s="33" t="s">
        <v>346</v>
      </c>
      <c r="D202" s="33" t="s">
        <v>79</v>
      </c>
      <c r="E202" s="33" t="s">
        <v>495</v>
      </c>
      <c r="F202" s="35">
        <v>0.2</v>
      </c>
      <c r="G202" s="40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 cm="1">
        <f t="array" ref="M202:N202">VLOOKUP(B202,'Fumigation  Room'!B:H,{6,7},0)</f>
        <v>0</v>
      </c>
      <c r="N202" s="40">
        <v>0</v>
      </c>
      <c r="O202" s="40">
        <f t="shared" si="7"/>
        <v>0</v>
      </c>
      <c r="P202" s="40">
        <f t="shared" si="8"/>
        <v>0</v>
      </c>
    </row>
    <row r="203" spans="1:16" x14ac:dyDescent="0.35">
      <c r="A203" s="33">
        <v>200</v>
      </c>
      <c r="B203" s="34" t="s">
        <v>512</v>
      </c>
      <c r="C203" s="33" t="s">
        <v>346</v>
      </c>
      <c r="D203" s="33" t="s">
        <v>79</v>
      </c>
      <c r="E203" s="33" t="s">
        <v>495</v>
      </c>
      <c r="F203" s="35">
        <v>0.2</v>
      </c>
      <c r="G203" s="40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 cm="1">
        <f t="array" ref="M203:N203">VLOOKUP(B203,'Fumigation  Room'!B:H,{6,7},0)</f>
        <v>0</v>
      </c>
      <c r="N203" s="40">
        <v>0</v>
      </c>
      <c r="O203" s="40">
        <f t="shared" si="7"/>
        <v>0</v>
      </c>
      <c r="P203" s="40">
        <f t="shared" si="8"/>
        <v>0</v>
      </c>
    </row>
    <row r="204" spans="1:16" x14ac:dyDescent="0.35">
      <c r="A204" s="33">
        <v>201</v>
      </c>
      <c r="B204" s="34" t="s">
        <v>513</v>
      </c>
      <c r="C204" s="33" t="s">
        <v>346</v>
      </c>
      <c r="D204" s="33" t="s">
        <v>79</v>
      </c>
      <c r="E204" s="33" t="s">
        <v>495</v>
      </c>
      <c r="F204" s="35">
        <v>1</v>
      </c>
      <c r="G204" s="40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 cm="1">
        <f t="array" ref="M204:N204">VLOOKUP(B204,'Fumigation  Room'!B:H,{6,7},0)</f>
        <v>0</v>
      </c>
      <c r="N204" s="40">
        <v>0</v>
      </c>
      <c r="O204" s="40">
        <f t="shared" si="7"/>
        <v>0</v>
      </c>
      <c r="P204" s="40">
        <f t="shared" si="8"/>
        <v>0</v>
      </c>
    </row>
    <row r="205" spans="1:16" x14ac:dyDescent="0.35">
      <c r="A205" s="33">
        <v>202</v>
      </c>
      <c r="B205" s="34" t="s">
        <v>514</v>
      </c>
      <c r="C205" s="33" t="s">
        <v>346</v>
      </c>
      <c r="D205" s="33" t="s">
        <v>79</v>
      </c>
      <c r="E205" s="33" t="s">
        <v>495</v>
      </c>
      <c r="F205" s="35">
        <v>0.2</v>
      </c>
      <c r="G205" s="40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 cm="1">
        <f t="array" ref="M205:N205">VLOOKUP(B205,'Fumigation  Room'!B:H,{6,7},0)</f>
        <v>0</v>
      </c>
      <c r="N205" s="40">
        <v>0</v>
      </c>
      <c r="O205" s="40">
        <f t="shared" si="7"/>
        <v>0</v>
      </c>
      <c r="P205" s="40">
        <f t="shared" si="8"/>
        <v>0</v>
      </c>
    </row>
    <row r="206" spans="1:16" x14ac:dyDescent="0.35">
      <c r="A206" s="33">
        <v>203</v>
      </c>
      <c r="B206" s="34" t="s">
        <v>515</v>
      </c>
      <c r="C206" s="33" t="s">
        <v>346</v>
      </c>
      <c r="D206" s="33" t="s">
        <v>79</v>
      </c>
      <c r="E206" s="33" t="s">
        <v>495</v>
      </c>
      <c r="F206" s="35">
        <v>0.5</v>
      </c>
      <c r="G206" s="40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 cm="1">
        <f t="array" ref="M206:N206">VLOOKUP(B206,'Fumigation  Room'!B:H,{6,7},0)</f>
        <v>0</v>
      </c>
      <c r="N206" s="40">
        <v>0</v>
      </c>
      <c r="O206" s="40">
        <f t="shared" si="7"/>
        <v>0</v>
      </c>
      <c r="P206" s="40">
        <f t="shared" si="8"/>
        <v>0</v>
      </c>
    </row>
    <row r="207" spans="1:16" x14ac:dyDescent="0.35">
      <c r="A207" s="33">
        <v>204</v>
      </c>
      <c r="B207" s="34" t="s">
        <v>498</v>
      </c>
      <c r="C207" s="33" t="s">
        <v>297</v>
      </c>
      <c r="D207" s="33" t="s">
        <v>79</v>
      </c>
      <c r="E207" s="33" t="s">
        <v>499</v>
      </c>
      <c r="F207" s="35">
        <v>1</v>
      </c>
      <c r="G207" s="40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 cm="1">
        <f t="array" ref="M207:N207">VLOOKUP(B207,'Fumigation  Room'!B:H,{6,7},0)</f>
        <v>0</v>
      </c>
      <c r="N207" s="40">
        <v>0</v>
      </c>
      <c r="O207" s="40">
        <f t="shared" si="7"/>
        <v>0</v>
      </c>
      <c r="P207" s="40">
        <f t="shared" si="8"/>
        <v>0</v>
      </c>
    </row>
    <row r="208" spans="1:16" x14ac:dyDescent="0.35">
      <c r="A208" s="33">
        <v>205</v>
      </c>
      <c r="B208" s="34" t="s">
        <v>500</v>
      </c>
      <c r="C208" s="33" t="s">
        <v>297</v>
      </c>
      <c r="D208" s="33" t="s">
        <v>79</v>
      </c>
      <c r="E208" s="33" t="s">
        <v>501</v>
      </c>
      <c r="F208" s="35">
        <v>1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 cm="1">
        <f t="array" ref="M208:N208">VLOOKUP(B208,'Fumigation  Room'!B:H,{6,7},0)</f>
        <v>0</v>
      </c>
      <c r="N208" s="40">
        <v>0</v>
      </c>
      <c r="O208" s="40">
        <f t="shared" si="7"/>
        <v>0</v>
      </c>
      <c r="P208" s="40">
        <f t="shared" si="8"/>
        <v>0</v>
      </c>
    </row>
    <row r="209" spans="1:16" x14ac:dyDescent="0.35">
      <c r="A209" s="33">
        <v>206</v>
      </c>
      <c r="B209" s="34" t="s">
        <v>502</v>
      </c>
      <c r="C209" s="33" t="s">
        <v>297</v>
      </c>
      <c r="D209" s="33" t="s">
        <v>79</v>
      </c>
      <c r="E209" s="33" t="s">
        <v>501</v>
      </c>
      <c r="F209" s="35">
        <v>1</v>
      </c>
      <c r="G209" s="40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 cm="1">
        <f t="array" ref="M209:N209">VLOOKUP(B209,'Fumigation  Room'!B:H,{6,7},0)</f>
        <v>0</v>
      </c>
      <c r="N209" s="40">
        <v>0</v>
      </c>
      <c r="O209" s="40">
        <f t="shared" si="7"/>
        <v>0</v>
      </c>
      <c r="P209" s="40">
        <f t="shared" si="8"/>
        <v>0</v>
      </c>
    </row>
    <row r="210" spans="1:16" x14ac:dyDescent="0.35">
      <c r="A210" s="33">
        <v>207</v>
      </c>
      <c r="B210" s="34" t="s">
        <v>503</v>
      </c>
      <c r="C210" s="33" t="s">
        <v>297</v>
      </c>
      <c r="D210" s="33" t="s">
        <v>79</v>
      </c>
      <c r="E210" s="33" t="s">
        <v>501</v>
      </c>
      <c r="F210" s="35">
        <v>1</v>
      </c>
      <c r="G210" s="40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 cm="1">
        <f t="array" ref="M210:N210">VLOOKUP(B210,'Fumigation  Room'!B:H,{6,7},0)</f>
        <v>0</v>
      </c>
      <c r="N210" s="40">
        <v>0</v>
      </c>
      <c r="O210" s="40">
        <f t="shared" si="7"/>
        <v>0</v>
      </c>
      <c r="P210" s="40">
        <f t="shared" si="8"/>
        <v>0</v>
      </c>
    </row>
    <row r="211" spans="1:16" x14ac:dyDescent="0.35">
      <c r="A211" s="33">
        <v>208</v>
      </c>
      <c r="B211" s="34" t="s">
        <v>504</v>
      </c>
      <c r="C211" s="33" t="s">
        <v>297</v>
      </c>
      <c r="D211" s="33" t="s">
        <v>79</v>
      </c>
      <c r="E211" s="33" t="s">
        <v>501</v>
      </c>
      <c r="F211" s="35">
        <v>1</v>
      </c>
      <c r="G211" s="40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 cm="1">
        <f t="array" ref="M211:N211">VLOOKUP(B211,'Fumigation  Room'!B:H,{6,7},0)</f>
        <v>0</v>
      </c>
      <c r="N211" s="40">
        <v>0</v>
      </c>
      <c r="O211" s="40">
        <f t="shared" si="7"/>
        <v>0</v>
      </c>
      <c r="P211" s="40">
        <f t="shared" si="8"/>
        <v>0</v>
      </c>
    </row>
    <row r="212" spans="1:16" x14ac:dyDescent="0.35">
      <c r="A212" s="33">
        <v>209</v>
      </c>
      <c r="B212" s="34" t="s">
        <v>516</v>
      </c>
      <c r="C212" s="33" t="s">
        <v>346</v>
      </c>
      <c r="D212" s="33" t="s">
        <v>79</v>
      </c>
      <c r="E212" s="33" t="s">
        <v>501</v>
      </c>
      <c r="F212" s="35">
        <v>0.3</v>
      </c>
      <c r="G212" s="40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 cm="1">
        <f t="array" ref="M212:N212">VLOOKUP(B212,'Fumigation  Room'!B:H,{6,7},0)</f>
        <v>0</v>
      </c>
      <c r="N212" s="40">
        <v>0</v>
      </c>
      <c r="O212" s="40">
        <f t="shared" si="7"/>
        <v>0</v>
      </c>
      <c r="P212" s="40">
        <f t="shared" si="8"/>
        <v>0</v>
      </c>
    </row>
    <row r="213" spans="1:16" x14ac:dyDescent="0.35">
      <c r="A213" s="33">
        <v>210</v>
      </c>
      <c r="B213" s="34" t="s">
        <v>517</v>
      </c>
      <c r="C213" s="33" t="s">
        <v>346</v>
      </c>
      <c r="D213" s="33" t="s">
        <v>79</v>
      </c>
      <c r="E213" s="33" t="s">
        <v>501</v>
      </c>
      <c r="F213" s="35">
        <v>1</v>
      </c>
      <c r="G213" s="40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 cm="1">
        <f t="array" ref="M213:N213">VLOOKUP(B213,'Fumigation  Room'!B:H,{6,7},0)</f>
        <v>0</v>
      </c>
      <c r="N213" s="40">
        <v>0</v>
      </c>
      <c r="O213" s="40">
        <f t="shared" si="7"/>
        <v>0</v>
      </c>
      <c r="P213" s="40">
        <f t="shared" si="8"/>
        <v>0</v>
      </c>
    </row>
    <row r="214" spans="1:16" x14ac:dyDescent="0.35">
      <c r="A214" s="33">
        <v>211</v>
      </c>
      <c r="B214" s="34" t="s">
        <v>518</v>
      </c>
      <c r="C214" s="33" t="s">
        <v>346</v>
      </c>
      <c r="D214" s="33" t="s">
        <v>79</v>
      </c>
      <c r="E214" s="33" t="s">
        <v>501</v>
      </c>
      <c r="F214" s="35">
        <v>0.3</v>
      </c>
      <c r="G214" s="40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 cm="1">
        <f t="array" ref="M214:N214">VLOOKUP(B214,'Fumigation  Room'!B:H,{6,7},0)</f>
        <v>0</v>
      </c>
      <c r="N214" s="40">
        <v>0</v>
      </c>
      <c r="O214" s="40">
        <f t="shared" si="7"/>
        <v>0</v>
      </c>
      <c r="P214" s="40">
        <f t="shared" si="8"/>
        <v>0</v>
      </c>
    </row>
    <row r="215" spans="1:16" x14ac:dyDescent="0.35">
      <c r="A215" s="33">
        <v>212</v>
      </c>
      <c r="B215" s="34" t="s">
        <v>519</v>
      </c>
      <c r="C215" s="33" t="s">
        <v>346</v>
      </c>
      <c r="D215" s="33" t="s">
        <v>79</v>
      </c>
      <c r="E215" s="33" t="s">
        <v>501</v>
      </c>
      <c r="F215" s="35">
        <v>1</v>
      </c>
      <c r="G215" s="40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 cm="1">
        <f t="array" ref="M215:N215">VLOOKUP(B215,'Fumigation  Room'!B:H,{6,7},0)</f>
        <v>0</v>
      </c>
      <c r="N215" s="40">
        <v>0</v>
      </c>
      <c r="O215" s="40">
        <f t="shared" si="7"/>
        <v>0</v>
      </c>
      <c r="P215" s="40">
        <f t="shared" si="8"/>
        <v>0</v>
      </c>
    </row>
    <row r="216" spans="1:16" x14ac:dyDescent="0.35">
      <c r="A216" s="33">
        <v>213</v>
      </c>
      <c r="B216" s="34" t="s">
        <v>520</v>
      </c>
      <c r="C216" s="33" t="s">
        <v>346</v>
      </c>
      <c r="D216" s="33" t="s">
        <v>79</v>
      </c>
      <c r="E216" s="33" t="s">
        <v>501</v>
      </c>
      <c r="F216" s="35">
        <v>0.2</v>
      </c>
      <c r="G216" s="40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 cm="1">
        <f t="array" ref="M216:N216">VLOOKUP(B216,'Fumigation  Room'!B:H,{6,7},0)</f>
        <v>0</v>
      </c>
      <c r="N216" s="40">
        <v>0</v>
      </c>
      <c r="O216" s="40">
        <f t="shared" si="7"/>
        <v>0</v>
      </c>
      <c r="P216" s="40">
        <f t="shared" si="8"/>
        <v>0</v>
      </c>
    </row>
    <row r="217" spans="1:16" x14ac:dyDescent="0.35">
      <c r="A217" s="33">
        <v>214</v>
      </c>
      <c r="B217" s="34" t="s">
        <v>521</v>
      </c>
      <c r="C217" s="33" t="s">
        <v>346</v>
      </c>
      <c r="D217" s="33" t="s">
        <v>79</v>
      </c>
      <c r="E217" s="33" t="s">
        <v>501</v>
      </c>
      <c r="F217" s="35">
        <v>1</v>
      </c>
      <c r="G217" s="40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 cm="1">
        <f t="array" ref="M217:N217">VLOOKUP(B217,'Fumigation  Room'!B:H,{6,7},0)</f>
        <v>0</v>
      </c>
      <c r="N217" s="40">
        <v>0</v>
      </c>
      <c r="O217" s="40">
        <f t="shared" si="7"/>
        <v>0</v>
      </c>
      <c r="P217" s="40">
        <f t="shared" si="8"/>
        <v>0</v>
      </c>
    </row>
    <row r="218" spans="1:16" x14ac:dyDescent="0.35">
      <c r="A218" s="33">
        <v>215</v>
      </c>
      <c r="B218" s="34" t="s">
        <v>505</v>
      </c>
      <c r="C218" s="33" t="s">
        <v>297</v>
      </c>
      <c r="D218" s="33" t="s">
        <v>79</v>
      </c>
      <c r="E218" s="33" t="s">
        <v>505</v>
      </c>
      <c r="F218" s="35">
        <v>1</v>
      </c>
      <c r="G218" s="40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 cm="1">
        <f t="array" ref="M218:N218">VLOOKUP(B218,'Fumigation  Room'!B:H,{6,7},0)</f>
        <v>0</v>
      </c>
      <c r="N218" s="40">
        <v>0</v>
      </c>
      <c r="O218" s="40">
        <f t="shared" si="7"/>
        <v>0</v>
      </c>
      <c r="P218" s="40">
        <f t="shared" si="8"/>
        <v>0</v>
      </c>
    </row>
    <row r="219" spans="1:16" x14ac:dyDescent="0.35">
      <c r="A219" s="33">
        <v>216</v>
      </c>
      <c r="B219" s="34" t="s">
        <v>522</v>
      </c>
      <c r="C219" s="33" t="s">
        <v>346</v>
      </c>
      <c r="D219" s="33" t="s">
        <v>523</v>
      </c>
      <c r="E219" s="33" t="s">
        <v>524</v>
      </c>
      <c r="F219" s="35">
        <v>0.06</v>
      </c>
      <c r="G219" s="40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 cm="1">
        <f t="array" ref="M219:N219">VLOOKUP(B219,'Fumigation  Room'!B:H,{6,7},0)</f>
        <v>0</v>
      </c>
      <c r="N219" s="40">
        <v>0</v>
      </c>
      <c r="O219" s="40">
        <f t="shared" si="7"/>
        <v>0</v>
      </c>
      <c r="P219" s="40">
        <f t="shared" si="8"/>
        <v>0</v>
      </c>
    </row>
    <row r="220" spans="1:16" x14ac:dyDescent="0.35">
      <c r="A220" s="33">
        <v>217</v>
      </c>
      <c r="B220" s="34" t="s">
        <v>525</v>
      </c>
      <c r="C220" s="33" t="s">
        <v>346</v>
      </c>
      <c r="D220" s="33" t="s">
        <v>523</v>
      </c>
      <c r="E220" s="33" t="s">
        <v>524</v>
      </c>
      <c r="F220" s="35">
        <v>0.1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 cm="1">
        <f t="array" ref="M220:N220">VLOOKUP(B220,'Fumigation  Room'!B:H,{6,7},0)</f>
        <v>0</v>
      </c>
      <c r="N220" s="40">
        <v>0</v>
      </c>
      <c r="O220" s="40">
        <f t="shared" si="7"/>
        <v>0</v>
      </c>
      <c r="P220" s="40">
        <f t="shared" si="8"/>
        <v>0</v>
      </c>
    </row>
    <row r="221" spans="1:16" x14ac:dyDescent="0.35">
      <c r="A221" s="33">
        <v>218</v>
      </c>
      <c r="B221" s="34" t="s">
        <v>526</v>
      </c>
      <c r="C221" s="33" t="s">
        <v>346</v>
      </c>
      <c r="D221" s="33" t="s">
        <v>523</v>
      </c>
      <c r="E221" s="33" t="s">
        <v>524</v>
      </c>
      <c r="F221" s="35">
        <v>0.1</v>
      </c>
      <c r="G221" s="40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 cm="1">
        <f t="array" ref="M221:N221">VLOOKUP(B221,'Fumigation  Room'!B:H,{6,7},0)</f>
        <v>0</v>
      </c>
      <c r="N221" s="40">
        <v>0</v>
      </c>
      <c r="O221" s="40">
        <f t="shared" si="7"/>
        <v>0</v>
      </c>
      <c r="P221" s="40">
        <f t="shared" si="8"/>
        <v>0</v>
      </c>
    </row>
    <row r="222" spans="1:16" x14ac:dyDescent="0.35">
      <c r="A222" s="33">
        <v>219</v>
      </c>
      <c r="B222" s="34" t="s">
        <v>527</v>
      </c>
      <c r="C222" s="33" t="s">
        <v>346</v>
      </c>
      <c r="D222" s="33" t="s">
        <v>523</v>
      </c>
      <c r="E222" s="33" t="s">
        <v>524</v>
      </c>
      <c r="F222" s="35">
        <v>0.1</v>
      </c>
      <c r="G222" s="40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 cm="1">
        <f t="array" ref="M222:N222">VLOOKUP(B222,'Fumigation  Room'!B:H,{6,7},0)</f>
        <v>0</v>
      </c>
      <c r="N222" s="40">
        <v>0</v>
      </c>
      <c r="O222" s="40">
        <f t="shared" si="7"/>
        <v>0</v>
      </c>
      <c r="P222" s="40">
        <f t="shared" si="8"/>
        <v>0</v>
      </c>
    </row>
    <row r="223" spans="1:16" x14ac:dyDescent="0.35">
      <c r="A223" s="33">
        <v>220</v>
      </c>
      <c r="B223" s="34" t="s">
        <v>528</v>
      </c>
      <c r="C223" s="33" t="s">
        <v>346</v>
      </c>
      <c r="D223" s="33" t="s">
        <v>523</v>
      </c>
      <c r="E223" s="33" t="s">
        <v>524</v>
      </c>
      <c r="F223" s="35">
        <v>0.35699999999999998</v>
      </c>
      <c r="G223" s="40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 cm="1">
        <f t="array" ref="M223:N223">VLOOKUP(B223,'Fumigation  Room'!B:H,{6,7},0)</f>
        <v>0</v>
      </c>
      <c r="N223" s="40">
        <v>0</v>
      </c>
      <c r="O223" s="40">
        <f t="shared" si="7"/>
        <v>0</v>
      </c>
      <c r="P223" s="40">
        <f t="shared" si="8"/>
        <v>0</v>
      </c>
    </row>
    <row r="224" spans="1:16" x14ac:dyDescent="0.35">
      <c r="A224" s="33">
        <v>221</v>
      </c>
      <c r="B224" s="34" t="s">
        <v>529</v>
      </c>
      <c r="C224" s="33" t="s">
        <v>346</v>
      </c>
      <c r="D224" s="33" t="s">
        <v>523</v>
      </c>
      <c r="E224" s="33" t="s">
        <v>524</v>
      </c>
      <c r="F224" s="35">
        <v>1.7999999999999999E-2</v>
      </c>
      <c r="G224" s="40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 cm="1">
        <f t="array" ref="M224:N224">VLOOKUP(B224,'Fumigation  Room'!B:H,{6,7},0)</f>
        <v>0</v>
      </c>
      <c r="N224" s="40">
        <v>0</v>
      </c>
      <c r="O224" s="40">
        <f t="shared" si="7"/>
        <v>0</v>
      </c>
      <c r="P224" s="40">
        <f t="shared" si="8"/>
        <v>0</v>
      </c>
    </row>
    <row r="225" spans="1:16" x14ac:dyDescent="0.35">
      <c r="A225" s="33">
        <v>222</v>
      </c>
      <c r="B225" s="34" t="s">
        <v>530</v>
      </c>
      <c r="C225" s="33" t="s">
        <v>346</v>
      </c>
      <c r="D225" s="33" t="s">
        <v>523</v>
      </c>
      <c r="E225" s="33" t="s">
        <v>524</v>
      </c>
      <c r="F225" s="35">
        <v>1</v>
      </c>
      <c r="G225" s="40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 cm="1">
        <f t="array" ref="M225:N225">VLOOKUP(B225,'Fumigation  Room'!B:H,{6,7},0)</f>
        <v>0</v>
      </c>
      <c r="N225" s="40">
        <v>0</v>
      </c>
      <c r="O225" s="40">
        <f t="shared" si="7"/>
        <v>0</v>
      </c>
      <c r="P225" s="40">
        <f t="shared" si="8"/>
        <v>0</v>
      </c>
    </row>
    <row r="226" spans="1:16" x14ac:dyDescent="0.35">
      <c r="A226" s="33">
        <v>223</v>
      </c>
      <c r="B226" s="34" t="s">
        <v>531</v>
      </c>
      <c r="C226" s="33" t="s">
        <v>346</v>
      </c>
      <c r="D226" s="33" t="s">
        <v>523</v>
      </c>
      <c r="E226" s="33" t="s">
        <v>524</v>
      </c>
      <c r="F226" s="35">
        <v>1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 cm="1">
        <f t="array" ref="M226:N226">VLOOKUP(B226,'Fumigation  Room'!B:H,{6,7},0)</f>
        <v>0</v>
      </c>
      <c r="N226" s="40">
        <v>0</v>
      </c>
      <c r="O226" s="40">
        <f t="shared" si="7"/>
        <v>0</v>
      </c>
      <c r="P226" s="40">
        <f t="shared" si="8"/>
        <v>0</v>
      </c>
    </row>
    <row r="227" spans="1:16" x14ac:dyDescent="0.35">
      <c r="A227" s="33">
        <v>224</v>
      </c>
      <c r="B227" s="34" t="s">
        <v>532</v>
      </c>
      <c r="C227" s="33" t="s">
        <v>346</v>
      </c>
      <c r="D227" s="33" t="s">
        <v>523</v>
      </c>
      <c r="E227" s="33" t="s">
        <v>524</v>
      </c>
      <c r="F227" s="35">
        <v>1.7999999999999999E-2</v>
      </c>
      <c r="G227" s="40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 cm="1">
        <f t="array" ref="M227:N227">VLOOKUP(B227,'Fumigation  Room'!B:H,{6,7},0)</f>
        <v>0</v>
      </c>
      <c r="N227" s="40">
        <v>0</v>
      </c>
      <c r="O227" s="40">
        <f t="shared" si="7"/>
        <v>0</v>
      </c>
      <c r="P227" s="40">
        <f t="shared" si="8"/>
        <v>0</v>
      </c>
    </row>
    <row r="228" spans="1:16" x14ac:dyDescent="0.35">
      <c r="A228" s="33">
        <v>225</v>
      </c>
      <c r="B228" s="34" t="s">
        <v>533</v>
      </c>
      <c r="C228" s="33" t="s">
        <v>346</v>
      </c>
      <c r="D228" s="33" t="s">
        <v>523</v>
      </c>
      <c r="E228" s="33" t="s">
        <v>524</v>
      </c>
      <c r="F228" s="35">
        <v>1</v>
      </c>
      <c r="G228" s="40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 cm="1">
        <f t="array" ref="M228:N228">VLOOKUP(B228,'Fumigation  Room'!B:H,{6,7},0)</f>
        <v>0</v>
      </c>
      <c r="N228" s="40">
        <v>0</v>
      </c>
      <c r="O228" s="40">
        <f t="shared" si="7"/>
        <v>0</v>
      </c>
      <c r="P228" s="40">
        <f t="shared" si="8"/>
        <v>0</v>
      </c>
    </row>
    <row r="229" spans="1:16" x14ac:dyDescent="0.35">
      <c r="A229" s="33">
        <v>226</v>
      </c>
      <c r="B229" s="34" t="s">
        <v>534</v>
      </c>
      <c r="C229" s="33" t="s">
        <v>346</v>
      </c>
      <c r="D229" s="33" t="s">
        <v>523</v>
      </c>
      <c r="E229" s="33" t="s">
        <v>524</v>
      </c>
      <c r="F229" s="35">
        <v>0.42</v>
      </c>
      <c r="G229" s="40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 cm="1">
        <f t="array" ref="M229:N229">VLOOKUP(B229,'Fumigation  Room'!B:H,{6,7},0)</f>
        <v>0</v>
      </c>
      <c r="N229" s="40">
        <v>0</v>
      </c>
      <c r="O229" s="40">
        <f t="shared" si="7"/>
        <v>0</v>
      </c>
      <c r="P229" s="40">
        <f t="shared" si="8"/>
        <v>0</v>
      </c>
    </row>
    <row r="230" spans="1:16" x14ac:dyDescent="0.35">
      <c r="A230" s="33">
        <v>227</v>
      </c>
      <c r="B230" s="34" t="s">
        <v>535</v>
      </c>
      <c r="C230" s="33" t="s">
        <v>346</v>
      </c>
      <c r="D230" s="33" t="s">
        <v>523</v>
      </c>
      <c r="E230" s="33" t="s">
        <v>524</v>
      </c>
      <c r="F230" s="35">
        <v>0.21</v>
      </c>
      <c r="G230" s="40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 cm="1">
        <f t="array" ref="M230:N230">VLOOKUP(B230,'Fumigation  Room'!B:H,{6,7},0)</f>
        <v>0</v>
      </c>
      <c r="N230" s="40">
        <v>0</v>
      </c>
      <c r="O230" s="40">
        <f t="shared" si="7"/>
        <v>0</v>
      </c>
      <c r="P230" s="40">
        <f t="shared" si="8"/>
        <v>0</v>
      </c>
    </row>
    <row r="231" spans="1:16" x14ac:dyDescent="0.35">
      <c r="A231" s="33">
        <v>228</v>
      </c>
      <c r="B231" s="34" t="s">
        <v>536</v>
      </c>
      <c r="C231" s="33" t="s">
        <v>346</v>
      </c>
      <c r="D231" s="33" t="s">
        <v>523</v>
      </c>
      <c r="E231" s="33" t="s">
        <v>524</v>
      </c>
      <c r="F231" s="35">
        <v>0.21</v>
      </c>
      <c r="G231" s="40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 cm="1">
        <f t="array" ref="M231:N231">VLOOKUP(B231,'Fumigation  Room'!B:H,{6,7},0)</f>
        <v>0</v>
      </c>
      <c r="N231" s="40">
        <v>0</v>
      </c>
      <c r="O231" s="40">
        <f t="shared" si="7"/>
        <v>0</v>
      </c>
      <c r="P231" s="40">
        <f t="shared" si="8"/>
        <v>0</v>
      </c>
    </row>
    <row r="232" spans="1:16" x14ac:dyDescent="0.35">
      <c r="A232" s="33">
        <v>229</v>
      </c>
      <c r="B232" s="34" t="s">
        <v>537</v>
      </c>
      <c r="C232" s="33" t="s">
        <v>346</v>
      </c>
      <c r="D232" s="33" t="s">
        <v>523</v>
      </c>
      <c r="E232" s="33" t="s">
        <v>524</v>
      </c>
      <c r="F232" s="35">
        <v>1</v>
      </c>
      <c r="G232" s="40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 cm="1">
        <f t="array" ref="M232:N232">VLOOKUP(B232,'Fumigation  Room'!B:H,{6,7},0)</f>
        <v>0</v>
      </c>
      <c r="N232" s="40">
        <v>0</v>
      </c>
      <c r="O232" s="40">
        <f t="shared" si="7"/>
        <v>0</v>
      </c>
      <c r="P232" s="40">
        <f t="shared" si="8"/>
        <v>0</v>
      </c>
    </row>
    <row r="233" spans="1:16" x14ac:dyDescent="0.35">
      <c r="A233" s="33">
        <v>230</v>
      </c>
      <c r="B233" s="34" t="s">
        <v>538</v>
      </c>
      <c r="C233" s="33" t="s">
        <v>346</v>
      </c>
      <c r="D233" s="33" t="s">
        <v>523</v>
      </c>
      <c r="E233" s="33" t="s">
        <v>524</v>
      </c>
      <c r="F233" s="35">
        <v>0.21</v>
      </c>
      <c r="G233" s="40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 cm="1">
        <f t="array" ref="M233:N233">VLOOKUP(B233,'Fumigation  Room'!B:H,{6,7},0)</f>
        <v>0</v>
      </c>
      <c r="N233" s="40">
        <v>0</v>
      </c>
      <c r="O233" s="40">
        <f t="shared" si="7"/>
        <v>0</v>
      </c>
      <c r="P233" s="40">
        <f t="shared" si="8"/>
        <v>0</v>
      </c>
    </row>
    <row r="234" spans="1:16" x14ac:dyDescent="0.35">
      <c r="A234" s="33">
        <v>231</v>
      </c>
      <c r="B234" s="34" t="s">
        <v>539</v>
      </c>
      <c r="C234" s="33" t="s">
        <v>346</v>
      </c>
      <c r="D234" s="33" t="s">
        <v>523</v>
      </c>
      <c r="E234" s="33" t="s">
        <v>524</v>
      </c>
      <c r="F234" s="35">
        <v>0.36</v>
      </c>
      <c r="G234" s="40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 cm="1">
        <f t="array" ref="M234:N234">VLOOKUP(B234,'Fumigation  Room'!B:H,{6,7},0)</f>
        <v>0</v>
      </c>
      <c r="N234" s="40">
        <v>0</v>
      </c>
      <c r="O234" s="40">
        <f t="shared" si="7"/>
        <v>0</v>
      </c>
      <c r="P234" s="40">
        <f t="shared" si="8"/>
        <v>0</v>
      </c>
    </row>
    <row r="235" spans="1:16" x14ac:dyDescent="0.35">
      <c r="A235" s="33">
        <v>232</v>
      </c>
      <c r="B235" s="34" t="s">
        <v>540</v>
      </c>
      <c r="C235" s="33" t="s">
        <v>346</v>
      </c>
      <c r="D235" s="33" t="s">
        <v>523</v>
      </c>
      <c r="E235" s="33" t="s">
        <v>524</v>
      </c>
      <c r="F235" s="35">
        <v>1</v>
      </c>
      <c r="G235" s="40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 cm="1">
        <f t="array" ref="M235:N235">VLOOKUP(B235,'Fumigation  Room'!B:H,{6,7},0)</f>
        <v>0</v>
      </c>
      <c r="N235" s="40">
        <v>0</v>
      </c>
      <c r="O235" s="40">
        <f t="shared" si="7"/>
        <v>0</v>
      </c>
      <c r="P235" s="40">
        <f t="shared" si="8"/>
        <v>0</v>
      </c>
    </row>
    <row r="236" spans="1:16" x14ac:dyDescent="0.35">
      <c r="A236" s="33">
        <v>233</v>
      </c>
      <c r="B236" s="34" t="s">
        <v>541</v>
      </c>
      <c r="C236" s="33" t="s">
        <v>346</v>
      </c>
      <c r="D236" s="33" t="s">
        <v>523</v>
      </c>
      <c r="E236" s="33" t="s">
        <v>524</v>
      </c>
      <c r="F236" s="35">
        <v>1</v>
      </c>
      <c r="G236" s="40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 cm="1">
        <f t="array" ref="M236:N236">VLOOKUP(B236,'Fumigation  Room'!B:H,{6,7},0)</f>
        <v>0</v>
      </c>
      <c r="N236" s="40">
        <v>0</v>
      </c>
      <c r="O236" s="40">
        <f t="shared" si="7"/>
        <v>0</v>
      </c>
      <c r="P236" s="40">
        <f t="shared" si="8"/>
        <v>0</v>
      </c>
    </row>
    <row r="237" spans="1:16" x14ac:dyDescent="0.35">
      <c r="A237" s="33">
        <v>234</v>
      </c>
      <c r="B237" s="34" t="s">
        <v>542</v>
      </c>
      <c r="C237" s="33" t="s">
        <v>346</v>
      </c>
      <c r="D237" s="33" t="s">
        <v>523</v>
      </c>
      <c r="E237" s="33" t="s">
        <v>524</v>
      </c>
      <c r="F237" s="35">
        <v>1</v>
      </c>
      <c r="G237" s="40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 cm="1">
        <f t="array" ref="M237:N237">VLOOKUP(B237,'Fumigation  Room'!B:H,{6,7},0)</f>
        <v>0</v>
      </c>
      <c r="N237" s="40">
        <v>0</v>
      </c>
      <c r="O237" s="40">
        <f t="shared" si="7"/>
        <v>0</v>
      </c>
      <c r="P237" s="40">
        <f t="shared" si="8"/>
        <v>0</v>
      </c>
    </row>
    <row r="238" spans="1:16" x14ac:dyDescent="0.35">
      <c r="A238" s="33">
        <v>235</v>
      </c>
      <c r="B238" s="34" t="s">
        <v>543</v>
      </c>
      <c r="C238" s="33" t="s">
        <v>346</v>
      </c>
      <c r="D238" s="33" t="s">
        <v>523</v>
      </c>
      <c r="E238" s="33" t="s">
        <v>524</v>
      </c>
      <c r="F238" s="35">
        <v>8.9999999999999993E-3</v>
      </c>
      <c r="G238" s="40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 cm="1">
        <f t="array" ref="M238:N238">VLOOKUP(B238,'Fumigation  Room'!B:H,{6,7},0)</f>
        <v>0</v>
      </c>
      <c r="N238" s="40">
        <v>0</v>
      </c>
      <c r="O238" s="40">
        <f t="shared" si="7"/>
        <v>0</v>
      </c>
      <c r="P238" s="40">
        <f t="shared" si="8"/>
        <v>0</v>
      </c>
    </row>
    <row r="239" spans="1:16" x14ac:dyDescent="0.35">
      <c r="A239" s="33">
        <v>236</v>
      </c>
      <c r="B239" s="34" t="s">
        <v>544</v>
      </c>
      <c r="C239" s="33" t="s">
        <v>346</v>
      </c>
      <c r="D239" s="33" t="s">
        <v>523</v>
      </c>
      <c r="E239" s="33" t="s">
        <v>524</v>
      </c>
      <c r="F239" s="35">
        <v>1</v>
      </c>
      <c r="G239" s="40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 cm="1">
        <f t="array" ref="M239:N239">VLOOKUP(B239,'Fumigation  Room'!B:H,{6,7},0)</f>
        <v>0</v>
      </c>
      <c r="N239" s="40">
        <v>0</v>
      </c>
      <c r="O239" s="40">
        <f t="shared" si="7"/>
        <v>0</v>
      </c>
      <c r="P239" s="40">
        <f t="shared" si="8"/>
        <v>0</v>
      </c>
    </row>
    <row r="240" spans="1:16" x14ac:dyDescent="0.35">
      <c r="A240" s="33">
        <v>237</v>
      </c>
      <c r="B240" s="34" t="s">
        <v>545</v>
      </c>
      <c r="C240" s="33" t="s">
        <v>346</v>
      </c>
      <c r="D240" s="33" t="s">
        <v>523</v>
      </c>
      <c r="E240" s="33" t="s">
        <v>524</v>
      </c>
      <c r="F240" s="35">
        <v>1</v>
      </c>
      <c r="G240" s="40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 cm="1">
        <f t="array" ref="M240:N240">VLOOKUP(B240,'Fumigation  Room'!B:H,{6,7},0)</f>
        <v>0</v>
      </c>
      <c r="N240" s="40">
        <v>0</v>
      </c>
      <c r="O240" s="40">
        <f t="shared" si="7"/>
        <v>0</v>
      </c>
      <c r="P240" s="40">
        <f t="shared" si="8"/>
        <v>0</v>
      </c>
    </row>
    <row r="241" spans="1:16" x14ac:dyDescent="0.35">
      <c r="A241" s="33">
        <v>238</v>
      </c>
      <c r="B241" s="34" t="s">
        <v>546</v>
      </c>
      <c r="C241" s="33" t="s">
        <v>346</v>
      </c>
      <c r="D241" s="33" t="s">
        <v>523</v>
      </c>
      <c r="E241" s="33" t="s">
        <v>524</v>
      </c>
      <c r="F241" s="35">
        <v>1</v>
      </c>
      <c r="G241" s="40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 cm="1">
        <f t="array" ref="M241:N241">VLOOKUP(B241,'Fumigation  Room'!B:H,{6,7},0)</f>
        <v>0</v>
      </c>
      <c r="N241" s="40">
        <v>0</v>
      </c>
      <c r="O241" s="40">
        <f t="shared" si="7"/>
        <v>0</v>
      </c>
      <c r="P241" s="40">
        <f t="shared" si="8"/>
        <v>0</v>
      </c>
    </row>
    <row r="242" spans="1:16" x14ac:dyDescent="0.35">
      <c r="A242" s="33">
        <v>239</v>
      </c>
      <c r="B242" s="34" t="s">
        <v>547</v>
      </c>
      <c r="C242" s="33" t="s">
        <v>346</v>
      </c>
      <c r="D242" s="33" t="s">
        <v>523</v>
      </c>
      <c r="E242" s="33" t="s">
        <v>524</v>
      </c>
      <c r="F242" s="35">
        <v>1.0500000000000001E-2</v>
      </c>
      <c r="G242" s="40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 cm="1">
        <f t="array" ref="M242:N242">VLOOKUP(B242,'Fumigation  Room'!B:H,{6,7},0)</f>
        <v>0</v>
      </c>
      <c r="N242" s="40">
        <v>0</v>
      </c>
      <c r="O242" s="40">
        <f t="shared" si="7"/>
        <v>0</v>
      </c>
      <c r="P242" s="40">
        <f t="shared" si="8"/>
        <v>0</v>
      </c>
    </row>
    <row r="243" spans="1:16" x14ac:dyDescent="0.35">
      <c r="A243" s="33">
        <v>240</v>
      </c>
      <c r="B243" s="34" t="s">
        <v>548</v>
      </c>
      <c r="C243" s="33" t="s">
        <v>346</v>
      </c>
      <c r="D243" s="33" t="s">
        <v>523</v>
      </c>
      <c r="E243" s="33" t="s">
        <v>524</v>
      </c>
      <c r="F243" s="35">
        <v>0.09</v>
      </c>
      <c r="G243" s="40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 cm="1">
        <f t="array" ref="M243:N243">VLOOKUP(B243,'Fumigation  Room'!B:H,{6,7},0)</f>
        <v>0</v>
      </c>
      <c r="N243" s="40">
        <v>0</v>
      </c>
      <c r="O243" s="40">
        <f t="shared" si="7"/>
        <v>0</v>
      </c>
      <c r="P243" s="40">
        <f t="shared" si="8"/>
        <v>0</v>
      </c>
    </row>
    <row r="244" spans="1:16" x14ac:dyDescent="0.35">
      <c r="A244" s="33">
        <v>241</v>
      </c>
      <c r="B244" s="34" t="s">
        <v>549</v>
      </c>
      <c r="C244" s="33" t="s">
        <v>346</v>
      </c>
      <c r="D244" s="33" t="s">
        <v>523</v>
      </c>
      <c r="E244" s="33" t="s">
        <v>524</v>
      </c>
      <c r="F244" s="35">
        <v>1</v>
      </c>
      <c r="G244" s="40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 cm="1">
        <f t="array" ref="M244:N244">VLOOKUP(B244,'Fumigation  Room'!B:H,{6,7},0)</f>
        <v>0</v>
      </c>
      <c r="N244" s="40">
        <v>0</v>
      </c>
      <c r="O244" s="40">
        <f t="shared" si="7"/>
        <v>0</v>
      </c>
      <c r="P244" s="40">
        <f t="shared" si="8"/>
        <v>0</v>
      </c>
    </row>
    <row r="245" spans="1:16" x14ac:dyDescent="0.35">
      <c r="A245" s="33">
        <v>242</v>
      </c>
      <c r="B245" s="34" t="s">
        <v>550</v>
      </c>
      <c r="C245" s="33" t="s">
        <v>346</v>
      </c>
      <c r="D245" s="33" t="s">
        <v>523</v>
      </c>
      <c r="E245" s="33" t="s">
        <v>524</v>
      </c>
      <c r="F245" s="35">
        <v>0.09</v>
      </c>
      <c r="G245" s="40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 cm="1">
        <f t="array" ref="M245:N245">VLOOKUP(B245,'Fumigation  Room'!B:H,{6,7},0)</f>
        <v>0</v>
      </c>
      <c r="N245" s="40">
        <v>0</v>
      </c>
      <c r="O245" s="40">
        <f t="shared" si="7"/>
        <v>0</v>
      </c>
      <c r="P245" s="40">
        <f t="shared" si="8"/>
        <v>0</v>
      </c>
    </row>
    <row r="246" spans="1:16" x14ac:dyDescent="0.35">
      <c r="A246" s="33">
        <v>243</v>
      </c>
      <c r="B246" s="34" t="s">
        <v>551</v>
      </c>
      <c r="C246" s="33" t="s">
        <v>346</v>
      </c>
      <c r="D246" s="33" t="s">
        <v>523</v>
      </c>
      <c r="E246" s="33" t="s">
        <v>524</v>
      </c>
      <c r="F246" s="35">
        <v>1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 cm="1">
        <f t="array" ref="M246:N246">VLOOKUP(B246,'Fumigation  Room'!B:H,{6,7},0)</f>
        <v>0</v>
      </c>
      <c r="N246" s="40">
        <v>0</v>
      </c>
      <c r="O246" s="40">
        <f t="shared" si="7"/>
        <v>0</v>
      </c>
      <c r="P246" s="40">
        <f t="shared" si="8"/>
        <v>0</v>
      </c>
    </row>
    <row r="247" spans="1:16" x14ac:dyDescent="0.35">
      <c r="A247" s="33">
        <v>244</v>
      </c>
      <c r="B247" s="34" t="s">
        <v>552</v>
      </c>
      <c r="C247" s="33" t="s">
        <v>346</v>
      </c>
      <c r="D247" s="33" t="s">
        <v>523</v>
      </c>
      <c r="E247" s="33" t="s">
        <v>524</v>
      </c>
      <c r="F247" s="35">
        <v>0.01</v>
      </c>
      <c r="G247" s="40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 cm="1">
        <f t="array" ref="M247:N247">VLOOKUP(B247,'Fumigation  Room'!B:H,{6,7},0)</f>
        <v>0</v>
      </c>
      <c r="N247" s="40">
        <v>0</v>
      </c>
      <c r="O247" s="40">
        <f t="shared" si="7"/>
        <v>0</v>
      </c>
      <c r="P247" s="40">
        <f t="shared" si="8"/>
        <v>0</v>
      </c>
    </row>
    <row r="248" spans="1:16" x14ac:dyDescent="0.35">
      <c r="A248" s="33">
        <v>245</v>
      </c>
      <c r="B248" s="34" t="s">
        <v>553</v>
      </c>
      <c r="C248" s="33" t="s">
        <v>346</v>
      </c>
      <c r="D248" s="33" t="s">
        <v>523</v>
      </c>
      <c r="E248" s="33" t="s">
        <v>524</v>
      </c>
      <c r="F248" s="35">
        <v>0.15</v>
      </c>
      <c r="G248" s="40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 cm="1">
        <f t="array" ref="M248:N248">VLOOKUP(B248,'Fumigation  Room'!B:H,{6,7},0)</f>
        <v>0</v>
      </c>
      <c r="N248" s="40">
        <v>0</v>
      </c>
      <c r="O248" s="40">
        <f t="shared" si="7"/>
        <v>0</v>
      </c>
      <c r="P248" s="40">
        <f t="shared" si="8"/>
        <v>0</v>
      </c>
    </row>
    <row r="249" spans="1:16" x14ac:dyDescent="0.35">
      <c r="A249" s="33">
        <v>246</v>
      </c>
      <c r="B249" s="34" t="s">
        <v>554</v>
      </c>
      <c r="C249" s="33" t="s">
        <v>346</v>
      </c>
      <c r="D249" s="33" t="s">
        <v>523</v>
      </c>
      <c r="E249" s="33" t="s">
        <v>524</v>
      </c>
      <c r="F249" s="35">
        <v>0.06</v>
      </c>
      <c r="G249" s="40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 cm="1">
        <f t="array" ref="M249:N249">VLOOKUP(B249,'Fumigation  Room'!B:H,{6,7},0)</f>
        <v>0</v>
      </c>
      <c r="N249" s="40">
        <v>0</v>
      </c>
      <c r="O249" s="40">
        <f t="shared" si="7"/>
        <v>0</v>
      </c>
      <c r="P249" s="40">
        <f t="shared" si="8"/>
        <v>0</v>
      </c>
    </row>
    <row r="250" spans="1:16" x14ac:dyDescent="0.35">
      <c r="A250" s="33">
        <v>247</v>
      </c>
      <c r="B250" s="34" t="s">
        <v>555</v>
      </c>
      <c r="C250" s="33" t="s">
        <v>346</v>
      </c>
      <c r="D250" s="33" t="s">
        <v>523</v>
      </c>
      <c r="E250" s="33" t="s">
        <v>556</v>
      </c>
      <c r="F250" s="35">
        <v>3.5000000000000003E-2</v>
      </c>
      <c r="G250" s="40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 cm="1">
        <f t="array" ref="M250:N250">VLOOKUP(B250,'Fumigation  Room'!B:H,{6,7},0)</f>
        <v>0</v>
      </c>
      <c r="N250" s="40">
        <v>0</v>
      </c>
      <c r="O250" s="40">
        <f t="shared" si="7"/>
        <v>0</v>
      </c>
      <c r="P250" s="40">
        <f t="shared" si="8"/>
        <v>0</v>
      </c>
    </row>
    <row r="251" spans="1:16" x14ac:dyDescent="0.35">
      <c r="A251" s="33">
        <v>248</v>
      </c>
      <c r="B251" s="34" t="s">
        <v>557</v>
      </c>
      <c r="C251" s="33" t="s">
        <v>346</v>
      </c>
      <c r="D251" s="33" t="s">
        <v>523</v>
      </c>
      <c r="E251" s="33" t="s">
        <v>556</v>
      </c>
      <c r="F251" s="35">
        <v>0.05</v>
      </c>
      <c r="G251" s="40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 cm="1">
        <f t="array" ref="M251:N251">VLOOKUP(B251,'Fumigation  Room'!B:H,{6,7},0)</f>
        <v>0</v>
      </c>
      <c r="N251" s="40">
        <v>0</v>
      </c>
      <c r="O251" s="40">
        <f t="shared" si="7"/>
        <v>0</v>
      </c>
      <c r="P251" s="40">
        <f t="shared" si="8"/>
        <v>0</v>
      </c>
    </row>
    <row r="252" spans="1:16" x14ac:dyDescent="0.35">
      <c r="A252" s="33">
        <v>249</v>
      </c>
      <c r="B252" s="34" t="s">
        <v>558</v>
      </c>
      <c r="C252" s="33" t="s">
        <v>346</v>
      </c>
      <c r="D252" s="33" t="s">
        <v>523</v>
      </c>
      <c r="E252" s="33" t="s">
        <v>556</v>
      </c>
      <c r="F252" s="35">
        <v>0.3</v>
      </c>
      <c r="G252" s="40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 cm="1">
        <f t="array" ref="M252:N252">VLOOKUP(B252,'Fumigation  Room'!B:H,{6,7},0)</f>
        <v>0</v>
      </c>
      <c r="N252" s="40">
        <v>0</v>
      </c>
      <c r="O252" s="40">
        <f t="shared" si="7"/>
        <v>0</v>
      </c>
      <c r="P252" s="40">
        <f t="shared" si="8"/>
        <v>0</v>
      </c>
    </row>
    <row r="253" spans="1:16" x14ac:dyDescent="0.35">
      <c r="A253" s="33">
        <v>250</v>
      </c>
      <c r="B253" s="34" t="s">
        <v>559</v>
      </c>
      <c r="C253" s="33" t="s">
        <v>346</v>
      </c>
      <c r="D253" s="33" t="s">
        <v>523</v>
      </c>
      <c r="E253" s="33" t="s">
        <v>556</v>
      </c>
      <c r="F253" s="35">
        <v>0.21</v>
      </c>
      <c r="G253" s="40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 cm="1">
        <f t="array" ref="M253:N253">VLOOKUP(B253,'Fumigation  Room'!B:H,{6,7},0)</f>
        <v>0</v>
      </c>
      <c r="N253" s="40">
        <v>0</v>
      </c>
      <c r="O253" s="40">
        <f t="shared" si="7"/>
        <v>0</v>
      </c>
      <c r="P253" s="40">
        <f t="shared" si="8"/>
        <v>0</v>
      </c>
    </row>
    <row r="254" spans="1:16" x14ac:dyDescent="0.35">
      <c r="A254" s="33">
        <v>251</v>
      </c>
      <c r="B254" s="34" t="s">
        <v>560</v>
      </c>
      <c r="C254" s="33" t="s">
        <v>346</v>
      </c>
      <c r="D254" s="33" t="s">
        <v>523</v>
      </c>
      <c r="E254" s="33" t="s">
        <v>561</v>
      </c>
      <c r="F254" s="35">
        <v>0.11</v>
      </c>
      <c r="G254" s="40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 cm="1">
        <f t="array" ref="M254:N254">VLOOKUP(B254,'Fumigation  Room'!B:H,{6,7},0)</f>
        <v>0</v>
      </c>
      <c r="N254" s="40">
        <v>0</v>
      </c>
      <c r="O254" s="40">
        <f t="shared" si="7"/>
        <v>0</v>
      </c>
      <c r="P254" s="40">
        <f t="shared" si="8"/>
        <v>0</v>
      </c>
    </row>
    <row r="255" spans="1:16" x14ac:dyDescent="0.35">
      <c r="A255" s="33">
        <v>252</v>
      </c>
      <c r="B255" s="34" t="s">
        <v>562</v>
      </c>
      <c r="C255" s="33" t="s">
        <v>346</v>
      </c>
      <c r="D255" s="33" t="s">
        <v>523</v>
      </c>
      <c r="E255" s="33" t="s">
        <v>563</v>
      </c>
      <c r="F255" s="35">
        <v>0.03</v>
      </c>
      <c r="G255" s="40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 cm="1">
        <f t="array" ref="M255:N255">VLOOKUP(B255,'Fumigation  Room'!B:H,{6,7},0)</f>
        <v>0</v>
      </c>
      <c r="N255" s="40">
        <v>0</v>
      </c>
      <c r="O255" s="40">
        <f t="shared" si="7"/>
        <v>0</v>
      </c>
      <c r="P255" s="40">
        <f t="shared" si="8"/>
        <v>0</v>
      </c>
    </row>
    <row r="256" spans="1:16" x14ac:dyDescent="0.35">
      <c r="A256" s="33">
        <v>253</v>
      </c>
      <c r="B256" s="34" t="s">
        <v>564</v>
      </c>
      <c r="C256" s="33" t="s">
        <v>346</v>
      </c>
      <c r="D256" s="33" t="s">
        <v>523</v>
      </c>
      <c r="E256" s="33" t="s">
        <v>563</v>
      </c>
      <c r="F256" s="35">
        <v>1</v>
      </c>
      <c r="G256" s="40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 cm="1">
        <f t="array" ref="M256:N256">VLOOKUP(B256,'Fumigation  Room'!B:H,{6,7},0)</f>
        <v>0</v>
      </c>
      <c r="N256" s="40">
        <v>0</v>
      </c>
      <c r="O256" s="40">
        <f t="shared" si="7"/>
        <v>0</v>
      </c>
      <c r="P256" s="40">
        <f t="shared" si="8"/>
        <v>0</v>
      </c>
    </row>
    <row r="257" spans="1:16" x14ac:dyDescent="0.35">
      <c r="A257" s="33">
        <v>254</v>
      </c>
      <c r="B257" s="34" t="s">
        <v>565</v>
      </c>
      <c r="C257" s="33" t="s">
        <v>346</v>
      </c>
      <c r="D257" s="33" t="s">
        <v>523</v>
      </c>
      <c r="E257" s="33" t="s">
        <v>563</v>
      </c>
      <c r="F257" s="35">
        <v>3.7999999999999999E-2</v>
      </c>
      <c r="G257" s="40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 cm="1">
        <f t="array" ref="M257:N257">VLOOKUP(B257,'Fumigation  Room'!B:H,{6,7},0)</f>
        <v>0</v>
      </c>
      <c r="N257" s="40">
        <v>0</v>
      </c>
      <c r="O257" s="40">
        <f t="shared" si="7"/>
        <v>0</v>
      </c>
      <c r="P257" s="40">
        <f t="shared" si="8"/>
        <v>0</v>
      </c>
    </row>
    <row r="258" spans="1:16" x14ac:dyDescent="0.35">
      <c r="A258" s="33">
        <v>255</v>
      </c>
      <c r="B258" s="34" t="s">
        <v>566</v>
      </c>
      <c r="C258" s="33" t="s">
        <v>346</v>
      </c>
      <c r="D258" s="33" t="s">
        <v>523</v>
      </c>
      <c r="E258" s="33" t="s">
        <v>563</v>
      </c>
      <c r="F258" s="35">
        <v>0.05</v>
      </c>
      <c r="G258" s="40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 cm="1">
        <f t="array" ref="M258:N258">VLOOKUP(B258,'Fumigation  Room'!B:H,{6,7},0)</f>
        <v>0</v>
      </c>
      <c r="N258" s="40">
        <v>0</v>
      </c>
      <c r="O258" s="40">
        <f t="shared" si="7"/>
        <v>0</v>
      </c>
      <c r="P258" s="40">
        <f t="shared" si="8"/>
        <v>0</v>
      </c>
    </row>
    <row r="259" spans="1:16" x14ac:dyDescent="0.35">
      <c r="A259" s="33">
        <v>256</v>
      </c>
      <c r="B259" s="34" t="s">
        <v>567</v>
      </c>
      <c r="C259" s="33" t="s">
        <v>346</v>
      </c>
      <c r="D259" s="33" t="s">
        <v>523</v>
      </c>
      <c r="E259" s="33" t="s">
        <v>563</v>
      </c>
      <c r="F259" s="35">
        <v>0.05</v>
      </c>
      <c r="G259" s="40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 cm="1">
        <f t="array" ref="M259:N259">VLOOKUP(B259,'Fumigation  Room'!B:H,{6,7},0)</f>
        <v>0</v>
      </c>
      <c r="N259" s="40">
        <v>0</v>
      </c>
      <c r="O259" s="40">
        <f t="shared" si="7"/>
        <v>0</v>
      </c>
      <c r="P259" s="40">
        <f t="shared" si="8"/>
        <v>0</v>
      </c>
    </row>
    <row r="260" spans="1:16" x14ac:dyDescent="0.35">
      <c r="A260" s="33">
        <v>257</v>
      </c>
      <c r="B260" s="34" t="s">
        <v>568</v>
      </c>
      <c r="C260" s="33" t="s">
        <v>346</v>
      </c>
      <c r="D260" s="33" t="s">
        <v>523</v>
      </c>
      <c r="E260" s="33" t="s">
        <v>563</v>
      </c>
      <c r="F260" s="35">
        <v>0.05</v>
      </c>
      <c r="G260" s="40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 cm="1">
        <f t="array" ref="M260:N260">VLOOKUP(B260,'Fumigation  Room'!B:H,{6,7},0)</f>
        <v>0</v>
      </c>
      <c r="N260" s="40">
        <v>0</v>
      </c>
      <c r="O260" s="40">
        <f t="shared" si="7"/>
        <v>0</v>
      </c>
      <c r="P260" s="40">
        <f t="shared" si="8"/>
        <v>0</v>
      </c>
    </row>
    <row r="261" spans="1:16" x14ac:dyDescent="0.35">
      <c r="A261" s="33">
        <v>258</v>
      </c>
      <c r="B261" s="34" t="s">
        <v>569</v>
      </c>
      <c r="C261" s="33" t="s">
        <v>346</v>
      </c>
      <c r="D261" s="33" t="s">
        <v>523</v>
      </c>
      <c r="E261" s="33" t="s">
        <v>563</v>
      </c>
      <c r="F261" s="35">
        <v>8.9999999999999993E-3</v>
      </c>
      <c r="G261" s="40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 cm="1">
        <f t="array" ref="M261:N261">VLOOKUP(B261,'Fumigation  Room'!B:H,{6,7},0)</f>
        <v>0</v>
      </c>
      <c r="N261" s="40">
        <v>0</v>
      </c>
      <c r="O261" s="40">
        <f t="shared" ref="O261:O324" si="9">G261+I261+K261+M261</f>
        <v>0</v>
      </c>
      <c r="P261" s="40">
        <f t="shared" ref="P261:P324" si="10">H261+J261+L261+N261</f>
        <v>0</v>
      </c>
    </row>
    <row r="262" spans="1:16" x14ac:dyDescent="0.35">
      <c r="A262" s="33">
        <v>259</v>
      </c>
      <c r="B262" s="34" t="s">
        <v>570</v>
      </c>
      <c r="C262" s="33" t="s">
        <v>346</v>
      </c>
      <c r="D262" s="33" t="s">
        <v>523</v>
      </c>
      <c r="E262" s="33" t="s">
        <v>563</v>
      </c>
      <c r="F262" s="35">
        <v>1</v>
      </c>
      <c r="G262" s="40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 cm="1">
        <f t="array" ref="M262:N262">VLOOKUP(B262,'Fumigation  Room'!B:H,{6,7},0)</f>
        <v>0</v>
      </c>
      <c r="N262" s="40">
        <v>0</v>
      </c>
      <c r="O262" s="40">
        <f t="shared" si="9"/>
        <v>0</v>
      </c>
      <c r="P262" s="40">
        <f t="shared" si="10"/>
        <v>0</v>
      </c>
    </row>
    <row r="263" spans="1:16" x14ac:dyDescent="0.35">
      <c r="A263" s="33">
        <v>260</v>
      </c>
      <c r="B263" s="34" t="s">
        <v>571</v>
      </c>
      <c r="C263" s="33" t="s">
        <v>346</v>
      </c>
      <c r="D263" s="33" t="s">
        <v>523</v>
      </c>
      <c r="E263" s="33" t="s">
        <v>563</v>
      </c>
      <c r="F263" s="35">
        <v>3.5000000000000003E-2</v>
      </c>
      <c r="G263" s="40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 cm="1">
        <f t="array" ref="M263:N263">VLOOKUP(B263,'Fumigation  Room'!B:H,{6,7},0)</f>
        <v>0</v>
      </c>
      <c r="N263" s="40">
        <v>0</v>
      </c>
      <c r="O263" s="40">
        <f t="shared" si="9"/>
        <v>0</v>
      </c>
      <c r="P263" s="40">
        <f t="shared" si="10"/>
        <v>0</v>
      </c>
    </row>
    <row r="264" spans="1:16" x14ac:dyDescent="0.35">
      <c r="A264" s="33">
        <v>261</v>
      </c>
      <c r="B264" s="34" t="s">
        <v>572</v>
      </c>
      <c r="C264" s="33" t="s">
        <v>346</v>
      </c>
      <c r="D264" s="33" t="s">
        <v>523</v>
      </c>
      <c r="E264" s="33" t="s">
        <v>563</v>
      </c>
      <c r="F264" s="35">
        <v>3.5000000000000003E-2</v>
      </c>
      <c r="G264" s="40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 cm="1">
        <f t="array" ref="M264:N264">VLOOKUP(B264,'Fumigation  Room'!B:H,{6,7},0)</f>
        <v>0</v>
      </c>
      <c r="N264" s="40">
        <v>0</v>
      </c>
      <c r="O264" s="40">
        <f t="shared" si="9"/>
        <v>0</v>
      </c>
      <c r="P264" s="40">
        <f t="shared" si="10"/>
        <v>0</v>
      </c>
    </row>
    <row r="265" spans="1:16" x14ac:dyDescent="0.35">
      <c r="A265" s="33">
        <v>262</v>
      </c>
      <c r="B265" s="34" t="s">
        <v>573</v>
      </c>
      <c r="C265" s="33" t="s">
        <v>346</v>
      </c>
      <c r="D265" s="33" t="s">
        <v>523</v>
      </c>
      <c r="E265" s="33" t="s">
        <v>563</v>
      </c>
      <c r="F265" s="35">
        <v>1</v>
      </c>
      <c r="G265" s="40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 cm="1">
        <f t="array" ref="M265:N265">VLOOKUP(B265,'Fumigation  Room'!B:H,{6,7},0)</f>
        <v>0</v>
      </c>
      <c r="N265" s="40">
        <v>0</v>
      </c>
      <c r="O265" s="40">
        <f t="shared" si="9"/>
        <v>0</v>
      </c>
      <c r="P265" s="40">
        <f t="shared" si="10"/>
        <v>0</v>
      </c>
    </row>
    <row r="266" spans="1:16" x14ac:dyDescent="0.35">
      <c r="A266" s="33">
        <v>263</v>
      </c>
      <c r="B266" s="34" t="s">
        <v>574</v>
      </c>
      <c r="C266" s="33" t="s">
        <v>346</v>
      </c>
      <c r="D266" s="33" t="s">
        <v>523</v>
      </c>
      <c r="E266" s="33" t="s">
        <v>563</v>
      </c>
      <c r="F266" s="35">
        <v>9.4499999999999993</v>
      </c>
      <c r="G266" s="40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 cm="1">
        <f t="array" ref="M266:N266">VLOOKUP(B266,'Fumigation  Room'!B:H,{6,7},0)</f>
        <v>0</v>
      </c>
      <c r="N266" s="40">
        <v>0</v>
      </c>
      <c r="O266" s="40">
        <f t="shared" si="9"/>
        <v>0</v>
      </c>
      <c r="P266" s="40">
        <f t="shared" si="10"/>
        <v>0</v>
      </c>
    </row>
    <row r="267" spans="1:16" x14ac:dyDescent="0.35">
      <c r="A267" s="33">
        <v>264</v>
      </c>
      <c r="B267" s="34" t="s">
        <v>575</v>
      </c>
      <c r="C267" s="33" t="s">
        <v>346</v>
      </c>
      <c r="D267" s="33" t="s">
        <v>523</v>
      </c>
      <c r="E267" s="33" t="s">
        <v>563</v>
      </c>
      <c r="F267" s="35">
        <v>5.0999999999999996</v>
      </c>
      <c r="G267" s="40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 cm="1">
        <f t="array" ref="M267:N267">VLOOKUP(B267,'Fumigation  Room'!B:H,{6,7},0)</f>
        <v>0</v>
      </c>
      <c r="N267" s="40">
        <v>0</v>
      </c>
      <c r="O267" s="40">
        <f t="shared" si="9"/>
        <v>0</v>
      </c>
      <c r="P267" s="40">
        <f t="shared" si="10"/>
        <v>0</v>
      </c>
    </row>
    <row r="268" spans="1:16" x14ac:dyDescent="0.35">
      <c r="A268" s="33">
        <v>265</v>
      </c>
      <c r="B268" s="34" t="s">
        <v>576</v>
      </c>
      <c r="C268" s="33" t="s">
        <v>346</v>
      </c>
      <c r="D268" s="33" t="s">
        <v>523</v>
      </c>
      <c r="E268" s="33" t="s">
        <v>563</v>
      </c>
      <c r="F268" s="35">
        <v>0.17499999999999999</v>
      </c>
      <c r="G268" s="40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 cm="1">
        <f t="array" ref="M268:N268">VLOOKUP(B268,'Fumigation  Room'!B:H,{6,7},0)</f>
        <v>0</v>
      </c>
      <c r="N268" s="40">
        <v>0</v>
      </c>
      <c r="O268" s="40">
        <f t="shared" si="9"/>
        <v>0</v>
      </c>
      <c r="P268" s="40">
        <f t="shared" si="10"/>
        <v>0</v>
      </c>
    </row>
    <row r="269" spans="1:16" x14ac:dyDescent="0.35">
      <c r="A269" s="33">
        <v>266</v>
      </c>
      <c r="B269" s="34" t="s">
        <v>577</v>
      </c>
      <c r="C269" s="33" t="s">
        <v>346</v>
      </c>
      <c r="D269" s="33" t="s">
        <v>523</v>
      </c>
      <c r="E269" s="33" t="s">
        <v>563</v>
      </c>
      <c r="F269" s="35">
        <v>1</v>
      </c>
      <c r="G269" s="40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 cm="1">
        <f t="array" ref="M269:N269">VLOOKUP(B269,'Fumigation  Room'!B:H,{6,7},0)</f>
        <v>0</v>
      </c>
      <c r="N269" s="40">
        <v>0</v>
      </c>
      <c r="O269" s="40">
        <f t="shared" si="9"/>
        <v>0</v>
      </c>
      <c r="P269" s="40">
        <f t="shared" si="10"/>
        <v>0</v>
      </c>
    </row>
    <row r="270" spans="1:16" x14ac:dyDescent="0.35">
      <c r="A270" s="33">
        <v>267</v>
      </c>
      <c r="B270" s="34" t="s">
        <v>578</v>
      </c>
      <c r="C270" s="33" t="s">
        <v>346</v>
      </c>
      <c r="D270" s="33" t="s">
        <v>523</v>
      </c>
      <c r="E270" s="33" t="s">
        <v>563</v>
      </c>
      <c r="F270" s="35">
        <v>0.03</v>
      </c>
      <c r="G270" s="40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 cm="1">
        <f t="array" ref="M270:N270">VLOOKUP(B270,'Fumigation  Room'!B:H,{6,7},0)</f>
        <v>0</v>
      </c>
      <c r="N270" s="40">
        <v>0</v>
      </c>
      <c r="O270" s="40">
        <f t="shared" si="9"/>
        <v>0</v>
      </c>
      <c r="P270" s="40">
        <f t="shared" si="10"/>
        <v>0</v>
      </c>
    </row>
    <row r="271" spans="1:16" x14ac:dyDescent="0.35">
      <c r="A271" s="33">
        <v>268</v>
      </c>
      <c r="B271" s="34" t="s">
        <v>579</v>
      </c>
      <c r="C271" s="33" t="s">
        <v>346</v>
      </c>
      <c r="D271" s="33" t="s">
        <v>523</v>
      </c>
      <c r="E271" s="33" t="s">
        <v>563</v>
      </c>
      <c r="F271" s="35">
        <v>0.03</v>
      </c>
      <c r="G271" s="40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 cm="1">
        <f t="array" ref="M271:N271">VLOOKUP(B271,'Fumigation  Room'!B:H,{6,7},0)</f>
        <v>0</v>
      </c>
      <c r="N271" s="40">
        <v>0</v>
      </c>
      <c r="O271" s="40">
        <f t="shared" si="9"/>
        <v>0</v>
      </c>
      <c r="P271" s="40">
        <f t="shared" si="10"/>
        <v>0</v>
      </c>
    </row>
    <row r="272" spans="1:16" x14ac:dyDescent="0.35">
      <c r="A272" s="33">
        <v>269</v>
      </c>
      <c r="B272" s="34" t="s">
        <v>580</v>
      </c>
      <c r="C272" s="33" t="s">
        <v>346</v>
      </c>
      <c r="D272" s="33" t="s">
        <v>523</v>
      </c>
      <c r="E272" s="33" t="s">
        <v>563</v>
      </c>
      <c r="F272" s="35">
        <v>0.03</v>
      </c>
      <c r="G272" s="40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 cm="1">
        <f t="array" ref="M272:N272">VLOOKUP(B272,'Fumigation  Room'!B:H,{6,7},0)</f>
        <v>0</v>
      </c>
      <c r="N272" s="40">
        <v>0</v>
      </c>
      <c r="O272" s="40">
        <f t="shared" si="9"/>
        <v>0</v>
      </c>
      <c r="P272" s="40">
        <f t="shared" si="10"/>
        <v>0</v>
      </c>
    </row>
    <row r="273" spans="1:16" x14ac:dyDescent="0.35">
      <c r="A273" s="33">
        <v>270</v>
      </c>
      <c r="B273" s="34" t="s">
        <v>581</v>
      </c>
      <c r="C273" s="33" t="s">
        <v>346</v>
      </c>
      <c r="D273" s="33" t="s">
        <v>523</v>
      </c>
      <c r="E273" s="33" t="s">
        <v>563</v>
      </c>
      <c r="F273" s="35">
        <v>0.03</v>
      </c>
      <c r="G273" s="40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 cm="1">
        <f t="array" ref="M273:N273">VLOOKUP(B273,'Fumigation  Room'!B:H,{6,7},0)</f>
        <v>0</v>
      </c>
      <c r="N273" s="40">
        <v>0</v>
      </c>
      <c r="O273" s="40">
        <f t="shared" si="9"/>
        <v>0</v>
      </c>
      <c r="P273" s="40">
        <f t="shared" si="10"/>
        <v>0</v>
      </c>
    </row>
    <row r="274" spans="1:16" x14ac:dyDescent="0.35">
      <c r="A274" s="33">
        <v>271</v>
      </c>
      <c r="B274" s="34" t="s">
        <v>582</v>
      </c>
      <c r="C274" s="33" t="s">
        <v>346</v>
      </c>
      <c r="D274" s="33" t="s">
        <v>523</v>
      </c>
      <c r="E274" s="33" t="s">
        <v>563</v>
      </c>
      <c r="F274" s="35">
        <v>1</v>
      </c>
      <c r="G274" s="40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 cm="1">
        <f t="array" ref="M274:N274">VLOOKUP(B274,'Fumigation  Room'!B:H,{6,7},0)</f>
        <v>0</v>
      </c>
      <c r="N274" s="40">
        <v>0</v>
      </c>
      <c r="O274" s="40">
        <f t="shared" si="9"/>
        <v>0</v>
      </c>
      <c r="P274" s="40">
        <f t="shared" si="10"/>
        <v>0</v>
      </c>
    </row>
    <row r="275" spans="1:16" x14ac:dyDescent="0.35">
      <c r="A275" s="33">
        <v>272</v>
      </c>
      <c r="B275" s="34" t="s">
        <v>583</v>
      </c>
      <c r="C275" s="33" t="s">
        <v>346</v>
      </c>
      <c r="D275" s="33" t="s">
        <v>523</v>
      </c>
      <c r="E275" s="33" t="s">
        <v>563</v>
      </c>
      <c r="F275" s="35">
        <v>1</v>
      </c>
      <c r="G275" s="40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 cm="1">
        <f t="array" ref="M275:N275">VLOOKUP(B275,'Fumigation  Room'!B:H,{6,7},0)</f>
        <v>0</v>
      </c>
      <c r="N275" s="40">
        <v>0</v>
      </c>
      <c r="O275" s="40">
        <f t="shared" si="9"/>
        <v>0</v>
      </c>
      <c r="P275" s="40">
        <f t="shared" si="10"/>
        <v>0</v>
      </c>
    </row>
    <row r="276" spans="1:16" x14ac:dyDescent="0.35">
      <c r="A276" s="33">
        <v>273</v>
      </c>
      <c r="B276" s="34" t="s">
        <v>584</v>
      </c>
      <c r="C276" s="33" t="s">
        <v>346</v>
      </c>
      <c r="D276" s="33" t="s">
        <v>523</v>
      </c>
      <c r="E276" s="33" t="s">
        <v>563</v>
      </c>
      <c r="F276" s="35">
        <v>1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 cm="1">
        <f t="array" ref="M276:N276">VLOOKUP(B276,'Fumigation  Room'!B:H,{6,7},0)</f>
        <v>0</v>
      </c>
      <c r="N276" s="40">
        <v>0</v>
      </c>
      <c r="O276" s="40">
        <f t="shared" si="9"/>
        <v>0</v>
      </c>
      <c r="P276" s="40">
        <f t="shared" si="10"/>
        <v>0</v>
      </c>
    </row>
    <row r="277" spans="1:16" x14ac:dyDescent="0.35">
      <c r="A277" s="33">
        <v>274</v>
      </c>
      <c r="B277" s="34" t="s">
        <v>2309</v>
      </c>
      <c r="C277" s="33" t="s">
        <v>346</v>
      </c>
      <c r="D277" s="33" t="s">
        <v>523</v>
      </c>
      <c r="E277" s="33" t="s">
        <v>563</v>
      </c>
      <c r="F277" s="35">
        <v>0.03</v>
      </c>
      <c r="G277" s="40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f t="shared" si="9"/>
        <v>0</v>
      </c>
      <c r="P277" s="40">
        <f t="shared" si="10"/>
        <v>0</v>
      </c>
    </row>
    <row r="278" spans="1:16" x14ac:dyDescent="0.35">
      <c r="A278" s="33">
        <v>275</v>
      </c>
      <c r="B278" s="34" t="s">
        <v>585</v>
      </c>
      <c r="C278" s="33" t="s">
        <v>346</v>
      </c>
      <c r="D278" s="33" t="s">
        <v>523</v>
      </c>
      <c r="E278" s="33" t="s">
        <v>563</v>
      </c>
      <c r="F278" s="35">
        <v>0.21</v>
      </c>
      <c r="G278" s="40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 cm="1">
        <f t="array" ref="M278:N278">VLOOKUP(B278,'Fumigation  Room'!B:H,{6,7},0)</f>
        <v>0</v>
      </c>
      <c r="N278" s="40">
        <v>0</v>
      </c>
      <c r="O278" s="40">
        <f t="shared" si="9"/>
        <v>0</v>
      </c>
      <c r="P278" s="40">
        <f t="shared" si="10"/>
        <v>0</v>
      </c>
    </row>
    <row r="279" spans="1:16" x14ac:dyDescent="0.35">
      <c r="A279" s="33">
        <v>276</v>
      </c>
      <c r="B279" s="34" t="s">
        <v>586</v>
      </c>
      <c r="C279" s="33" t="s">
        <v>346</v>
      </c>
      <c r="D279" s="33" t="s">
        <v>523</v>
      </c>
      <c r="E279" s="33" t="s">
        <v>563</v>
      </c>
      <c r="F279" s="35">
        <v>0.05</v>
      </c>
      <c r="G279" s="40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 cm="1">
        <f t="array" ref="M279:N279">VLOOKUP(B279,'Fumigation  Room'!B:H,{6,7},0)</f>
        <v>0</v>
      </c>
      <c r="N279" s="40">
        <v>0</v>
      </c>
      <c r="O279" s="40">
        <f t="shared" si="9"/>
        <v>0</v>
      </c>
      <c r="P279" s="40">
        <f t="shared" si="10"/>
        <v>0</v>
      </c>
    </row>
    <row r="280" spans="1:16" x14ac:dyDescent="0.35">
      <c r="A280" s="33">
        <v>277</v>
      </c>
      <c r="B280" s="34" t="s">
        <v>587</v>
      </c>
      <c r="C280" s="33" t="s">
        <v>346</v>
      </c>
      <c r="D280" s="33" t="s">
        <v>523</v>
      </c>
      <c r="E280" s="33" t="s">
        <v>563</v>
      </c>
      <c r="F280" s="35">
        <v>3.5000000000000003E-2</v>
      </c>
      <c r="G280" s="40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 cm="1">
        <f t="array" ref="M280:N280">VLOOKUP(B280,'Fumigation  Room'!B:H,{6,7},0)</f>
        <v>0</v>
      </c>
      <c r="N280" s="40">
        <v>0</v>
      </c>
      <c r="O280" s="40">
        <f t="shared" si="9"/>
        <v>0</v>
      </c>
      <c r="P280" s="40">
        <f t="shared" si="10"/>
        <v>0</v>
      </c>
    </row>
    <row r="281" spans="1:16" x14ac:dyDescent="0.35">
      <c r="A281" s="33">
        <v>278</v>
      </c>
      <c r="B281" s="34" t="s">
        <v>588</v>
      </c>
      <c r="C281" s="33" t="s">
        <v>346</v>
      </c>
      <c r="D281" s="33" t="s">
        <v>523</v>
      </c>
      <c r="E281" s="33" t="s">
        <v>563</v>
      </c>
      <c r="F281" s="35">
        <v>0.21</v>
      </c>
      <c r="G281" s="40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 cm="1">
        <f t="array" ref="M281:N281">VLOOKUP(B281,'Fumigation  Room'!B:H,{6,7},0)</f>
        <v>0</v>
      </c>
      <c r="N281" s="40">
        <v>0</v>
      </c>
      <c r="O281" s="40">
        <f t="shared" si="9"/>
        <v>0</v>
      </c>
      <c r="P281" s="40">
        <f t="shared" si="10"/>
        <v>0</v>
      </c>
    </row>
    <row r="282" spans="1:16" x14ac:dyDescent="0.35">
      <c r="A282" s="33">
        <v>279</v>
      </c>
      <c r="B282" s="34" t="s">
        <v>589</v>
      </c>
      <c r="C282" s="33" t="s">
        <v>346</v>
      </c>
      <c r="D282" s="33" t="s">
        <v>523</v>
      </c>
      <c r="E282" s="33" t="s">
        <v>563</v>
      </c>
      <c r="F282" s="35">
        <v>3.5000000000000003E-2</v>
      </c>
      <c r="G282" s="40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 cm="1">
        <f t="array" ref="M282:N282">VLOOKUP(B282,'Fumigation  Room'!B:H,{6,7},0)</f>
        <v>0</v>
      </c>
      <c r="N282" s="40">
        <v>0</v>
      </c>
      <c r="O282" s="40">
        <f t="shared" si="9"/>
        <v>0</v>
      </c>
      <c r="P282" s="40">
        <f t="shared" si="10"/>
        <v>0</v>
      </c>
    </row>
    <row r="283" spans="1:16" x14ac:dyDescent="0.35">
      <c r="A283" s="33">
        <v>280</v>
      </c>
      <c r="B283" s="34" t="s">
        <v>590</v>
      </c>
      <c r="C283" s="33" t="s">
        <v>346</v>
      </c>
      <c r="D283" s="33" t="s">
        <v>523</v>
      </c>
      <c r="E283" s="33" t="s">
        <v>563</v>
      </c>
      <c r="F283" s="35">
        <v>0.21</v>
      </c>
      <c r="G283" s="40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 cm="1">
        <f t="array" ref="M283:N283">VLOOKUP(B283,'Fumigation  Room'!B:H,{6,7},0)</f>
        <v>0</v>
      </c>
      <c r="N283" s="40">
        <v>0</v>
      </c>
      <c r="O283" s="40">
        <f t="shared" si="9"/>
        <v>0</v>
      </c>
      <c r="P283" s="40">
        <f t="shared" si="10"/>
        <v>0</v>
      </c>
    </row>
    <row r="284" spans="1:16" x14ac:dyDescent="0.35">
      <c r="A284" s="33">
        <v>281</v>
      </c>
      <c r="B284" s="34" t="s">
        <v>591</v>
      </c>
      <c r="C284" s="33" t="s">
        <v>346</v>
      </c>
      <c r="D284" s="33" t="s">
        <v>523</v>
      </c>
      <c r="E284" s="33" t="s">
        <v>563</v>
      </c>
      <c r="F284" s="35">
        <v>0.01</v>
      </c>
      <c r="G284" s="40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 cm="1">
        <f t="array" ref="M284:N284">VLOOKUP(B284,'Fumigation  Room'!B:H,{6,7},0)</f>
        <v>0</v>
      </c>
      <c r="N284" s="40">
        <v>0</v>
      </c>
      <c r="O284" s="40">
        <f t="shared" si="9"/>
        <v>0</v>
      </c>
      <c r="P284" s="40">
        <f t="shared" si="10"/>
        <v>0</v>
      </c>
    </row>
    <row r="285" spans="1:16" x14ac:dyDescent="0.35">
      <c r="A285" s="33">
        <v>282</v>
      </c>
      <c r="B285" s="34" t="s">
        <v>592</v>
      </c>
      <c r="C285" s="33" t="s">
        <v>346</v>
      </c>
      <c r="D285" s="33" t="s">
        <v>523</v>
      </c>
      <c r="E285" s="33" t="s">
        <v>563</v>
      </c>
      <c r="F285" s="35">
        <v>4.4999999999999998E-2</v>
      </c>
      <c r="G285" s="40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 cm="1">
        <f t="array" ref="M285:N285">VLOOKUP(B285,'Fumigation  Room'!B:H,{6,7},0)</f>
        <v>0</v>
      </c>
      <c r="N285" s="40">
        <v>0</v>
      </c>
      <c r="O285" s="40">
        <f t="shared" si="9"/>
        <v>0</v>
      </c>
      <c r="P285" s="40">
        <f t="shared" si="10"/>
        <v>0</v>
      </c>
    </row>
    <row r="286" spans="1:16" x14ac:dyDescent="0.35">
      <c r="A286" s="33">
        <v>283</v>
      </c>
      <c r="B286" s="34" t="s">
        <v>593</v>
      </c>
      <c r="C286" s="33" t="s">
        <v>346</v>
      </c>
      <c r="D286" s="33" t="s">
        <v>523</v>
      </c>
      <c r="E286" s="33" t="s">
        <v>563</v>
      </c>
      <c r="F286" s="35">
        <v>0.01</v>
      </c>
      <c r="G286" s="40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 cm="1">
        <f t="array" ref="M286:N286">VLOOKUP(B286,'Fumigation  Room'!B:H,{6,7},0)</f>
        <v>0</v>
      </c>
      <c r="N286" s="40">
        <v>0</v>
      </c>
      <c r="O286" s="40">
        <f t="shared" si="9"/>
        <v>0</v>
      </c>
      <c r="P286" s="40">
        <f t="shared" si="10"/>
        <v>0</v>
      </c>
    </row>
    <row r="287" spans="1:16" x14ac:dyDescent="0.35">
      <c r="A287" s="33">
        <v>284</v>
      </c>
      <c r="B287" s="34" t="s">
        <v>594</v>
      </c>
      <c r="C287" s="33" t="s">
        <v>346</v>
      </c>
      <c r="D287" s="33" t="s">
        <v>523</v>
      </c>
      <c r="E287" s="33" t="s">
        <v>563</v>
      </c>
      <c r="F287" s="35">
        <v>4.4999999999999998E-2</v>
      </c>
      <c r="G287" s="40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 cm="1">
        <f t="array" ref="M287:N287">VLOOKUP(B287,'Fumigation  Room'!B:H,{6,7},0)</f>
        <v>0</v>
      </c>
      <c r="N287" s="40">
        <v>0</v>
      </c>
      <c r="O287" s="40">
        <f t="shared" si="9"/>
        <v>0</v>
      </c>
      <c r="P287" s="40">
        <f t="shared" si="10"/>
        <v>0</v>
      </c>
    </row>
    <row r="288" spans="1:16" x14ac:dyDescent="0.35">
      <c r="A288" s="33">
        <v>285</v>
      </c>
      <c r="B288" s="34" t="s">
        <v>595</v>
      </c>
      <c r="C288" s="33" t="s">
        <v>346</v>
      </c>
      <c r="D288" s="33" t="s">
        <v>523</v>
      </c>
      <c r="E288" s="33" t="s">
        <v>563</v>
      </c>
      <c r="F288" s="35">
        <v>4.4999999999999998E-2</v>
      </c>
      <c r="G288" s="40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 cm="1">
        <f t="array" ref="M288:N288">VLOOKUP(B288,'Fumigation  Room'!B:H,{6,7},0)</f>
        <v>0</v>
      </c>
      <c r="N288" s="40">
        <v>0</v>
      </c>
      <c r="O288" s="40">
        <f t="shared" si="9"/>
        <v>0</v>
      </c>
      <c r="P288" s="40">
        <f t="shared" si="10"/>
        <v>0</v>
      </c>
    </row>
    <row r="289" spans="1:16" x14ac:dyDescent="0.35">
      <c r="A289" s="33">
        <v>286</v>
      </c>
      <c r="B289" s="34" t="s">
        <v>596</v>
      </c>
      <c r="C289" s="33" t="s">
        <v>346</v>
      </c>
      <c r="D289" s="33" t="s">
        <v>523</v>
      </c>
      <c r="E289" s="33" t="s">
        <v>563</v>
      </c>
      <c r="F289" s="35">
        <v>0.01</v>
      </c>
      <c r="G289" s="40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 cm="1">
        <f t="array" ref="M289:N289">VLOOKUP(B289,'Fumigation  Room'!B:H,{6,7},0)</f>
        <v>0</v>
      </c>
      <c r="N289" s="40">
        <v>0</v>
      </c>
      <c r="O289" s="40">
        <f t="shared" si="9"/>
        <v>0</v>
      </c>
      <c r="P289" s="40">
        <f t="shared" si="10"/>
        <v>0</v>
      </c>
    </row>
    <row r="290" spans="1:16" x14ac:dyDescent="0.35">
      <c r="A290" s="33">
        <v>287</v>
      </c>
      <c r="B290" s="34" t="s">
        <v>597</v>
      </c>
      <c r="C290" s="33" t="s">
        <v>346</v>
      </c>
      <c r="D290" s="33" t="s">
        <v>523</v>
      </c>
      <c r="E290" s="33" t="s">
        <v>563</v>
      </c>
      <c r="F290" s="35">
        <v>4.4999999999999998E-2</v>
      </c>
      <c r="G290" s="40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 cm="1">
        <f t="array" ref="M290:N290">VLOOKUP(B290,'Fumigation  Room'!B:H,{6,7},0)</f>
        <v>0</v>
      </c>
      <c r="N290" s="40">
        <v>0</v>
      </c>
      <c r="O290" s="40">
        <f t="shared" si="9"/>
        <v>0</v>
      </c>
      <c r="P290" s="40">
        <f t="shared" si="10"/>
        <v>0</v>
      </c>
    </row>
    <row r="291" spans="1:16" x14ac:dyDescent="0.35">
      <c r="A291" s="33">
        <v>288</v>
      </c>
      <c r="B291" s="34" t="s">
        <v>598</v>
      </c>
      <c r="C291" s="33" t="s">
        <v>346</v>
      </c>
      <c r="D291" s="33" t="s">
        <v>523</v>
      </c>
      <c r="E291" s="33" t="s">
        <v>563</v>
      </c>
      <c r="F291" s="35">
        <v>0.01</v>
      </c>
      <c r="G291" s="40">
        <v>0</v>
      </c>
      <c r="H291" s="40">
        <v>0</v>
      </c>
      <c r="I291" s="40">
        <v>0</v>
      </c>
      <c r="J291" s="40">
        <v>0</v>
      </c>
      <c r="K291" s="40">
        <v>0</v>
      </c>
      <c r="L291" s="40">
        <v>0</v>
      </c>
      <c r="M291" s="40" cm="1">
        <f t="array" ref="M291:N291">VLOOKUP(B291,'Fumigation  Room'!B:H,{6,7},0)</f>
        <v>0</v>
      </c>
      <c r="N291" s="40">
        <v>0</v>
      </c>
      <c r="O291" s="40">
        <f t="shared" si="9"/>
        <v>0</v>
      </c>
      <c r="P291" s="40">
        <f t="shared" si="10"/>
        <v>0</v>
      </c>
    </row>
    <row r="292" spans="1:16" x14ac:dyDescent="0.35">
      <c r="A292" s="33">
        <v>289</v>
      </c>
      <c r="B292" s="34" t="s">
        <v>599</v>
      </c>
      <c r="C292" s="33" t="s">
        <v>346</v>
      </c>
      <c r="D292" s="33" t="s">
        <v>523</v>
      </c>
      <c r="E292" s="33" t="s">
        <v>563</v>
      </c>
      <c r="F292" s="35">
        <v>4.4999999999999998E-2</v>
      </c>
      <c r="G292" s="40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 cm="1">
        <f t="array" ref="M292:N292">VLOOKUP(B292,'Fumigation  Room'!B:H,{6,7},0)</f>
        <v>0</v>
      </c>
      <c r="N292" s="40">
        <v>0</v>
      </c>
      <c r="O292" s="40">
        <f t="shared" si="9"/>
        <v>0</v>
      </c>
      <c r="P292" s="40">
        <f t="shared" si="10"/>
        <v>0</v>
      </c>
    </row>
    <row r="293" spans="1:16" x14ac:dyDescent="0.35">
      <c r="A293" s="33">
        <v>290</v>
      </c>
      <c r="B293" s="34" t="s">
        <v>600</v>
      </c>
      <c r="C293" s="33" t="s">
        <v>346</v>
      </c>
      <c r="D293" s="33" t="s">
        <v>523</v>
      </c>
      <c r="E293" s="33" t="s">
        <v>563</v>
      </c>
      <c r="F293" s="35">
        <v>0.36</v>
      </c>
      <c r="G293" s="40">
        <v>0</v>
      </c>
      <c r="H293" s="40">
        <v>0</v>
      </c>
      <c r="I293" s="40">
        <v>0</v>
      </c>
      <c r="J293" s="40">
        <v>0</v>
      </c>
      <c r="K293" s="40">
        <v>0</v>
      </c>
      <c r="L293" s="40">
        <v>0</v>
      </c>
      <c r="M293" s="40" cm="1">
        <f t="array" ref="M293:N293">VLOOKUP(B293,'Fumigation  Room'!B:H,{6,7},0)</f>
        <v>0</v>
      </c>
      <c r="N293" s="40">
        <v>0</v>
      </c>
      <c r="O293" s="40">
        <f t="shared" si="9"/>
        <v>0</v>
      </c>
      <c r="P293" s="40">
        <f t="shared" si="10"/>
        <v>0</v>
      </c>
    </row>
    <row r="294" spans="1:16" x14ac:dyDescent="0.35">
      <c r="A294" s="33">
        <v>291</v>
      </c>
      <c r="B294" s="34" t="s">
        <v>601</v>
      </c>
      <c r="C294" s="33" t="s">
        <v>346</v>
      </c>
      <c r="D294" s="33" t="s">
        <v>523</v>
      </c>
      <c r="E294" s="33" t="s">
        <v>563</v>
      </c>
      <c r="F294" s="35">
        <v>0.18</v>
      </c>
      <c r="G294" s="40">
        <v>0</v>
      </c>
      <c r="H294" s="40">
        <v>0</v>
      </c>
      <c r="I294" s="40">
        <v>0</v>
      </c>
      <c r="J294" s="40">
        <v>0</v>
      </c>
      <c r="K294" s="40">
        <v>0</v>
      </c>
      <c r="L294" s="40">
        <v>0</v>
      </c>
      <c r="M294" s="40" cm="1">
        <f t="array" ref="M294:N294">VLOOKUP(B294,'Fumigation  Room'!B:H,{6,7},0)</f>
        <v>0</v>
      </c>
      <c r="N294" s="40">
        <v>0</v>
      </c>
      <c r="O294" s="40">
        <f t="shared" si="9"/>
        <v>0</v>
      </c>
      <c r="P294" s="40">
        <f t="shared" si="10"/>
        <v>0</v>
      </c>
    </row>
    <row r="295" spans="1:16" x14ac:dyDescent="0.35">
      <c r="A295" s="33">
        <v>292</v>
      </c>
      <c r="B295" s="34" t="s">
        <v>602</v>
      </c>
      <c r="C295" s="33" t="s">
        <v>346</v>
      </c>
      <c r="D295" s="33" t="s">
        <v>523</v>
      </c>
      <c r="E295" s="33" t="s">
        <v>563</v>
      </c>
      <c r="F295" s="35">
        <v>0.18</v>
      </c>
      <c r="G295" s="40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 cm="1">
        <f t="array" ref="M295:N295">VLOOKUP(B295,'Fumigation  Room'!B:H,{6,7},0)</f>
        <v>0</v>
      </c>
      <c r="N295" s="40">
        <v>0</v>
      </c>
      <c r="O295" s="40">
        <f t="shared" si="9"/>
        <v>0</v>
      </c>
      <c r="P295" s="40">
        <f t="shared" si="10"/>
        <v>0</v>
      </c>
    </row>
    <row r="296" spans="1:16" x14ac:dyDescent="0.35">
      <c r="A296" s="33">
        <v>293</v>
      </c>
      <c r="B296" s="34" t="s">
        <v>603</v>
      </c>
      <c r="C296" s="33" t="s">
        <v>346</v>
      </c>
      <c r="D296" s="33" t="s">
        <v>523</v>
      </c>
      <c r="E296" s="33" t="s">
        <v>563</v>
      </c>
      <c r="F296" s="35">
        <v>0.03</v>
      </c>
      <c r="G296" s="40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 cm="1">
        <f t="array" ref="M296:N296">VLOOKUP(B296,'Fumigation  Room'!B:H,{6,7},0)</f>
        <v>0</v>
      </c>
      <c r="N296" s="40">
        <v>0</v>
      </c>
      <c r="O296" s="40">
        <f t="shared" si="9"/>
        <v>0</v>
      </c>
      <c r="P296" s="40">
        <f t="shared" si="10"/>
        <v>0</v>
      </c>
    </row>
    <row r="297" spans="1:16" x14ac:dyDescent="0.35">
      <c r="A297" s="33">
        <v>294</v>
      </c>
      <c r="B297" s="34" t="s">
        <v>604</v>
      </c>
      <c r="C297" s="33" t="s">
        <v>346</v>
      </c>
      <c r="D297" s="33" t="s">
        <v>523</v>
      </c>
      <c r="E297" s="33" t="s">
        <v>563</v>
      </c>
      <c r="F297" s="35">
        <v>0.18</v>
      </c>
      <c r="G297" s="40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0</v>
      </c>
      <c r="M297" s="40" cm="1">
        <f t="array" ref="M297:N297">VLOOKUP(B297,'Fumigation  Room'!B:H,{6,7},0)</f>
        <v>0</v>
      </c>
      <c r="N297" s="40">
        <v>0</v>
      </c>
      <c r="O297" s="40">
        <f t="shared" si="9"/>
        <v>0</v>
      </c>
      <c r="P297" s="40">
        <f t="shared" si="10"/>
        <v>0</v>
      </c>
    </row>
    <row r="298" spans="1:16" x14ac:dyDescent="0.35">
      <c r="A298" s="33">
        <v>295</v>
      </c>
      <c r="B298" s="34" t="s">
        <v>605</v>
      </c>
      <c r="C298" s="33" t="s">
        <v>346</v>
      </c>
      <c r="D298" s="33" t="s">
        <v>523</v>
      </c>
      <c r="E298" s="33" t="s">
        <v>563</v>
      </c>
      <c r="F298" s="35">
        <v>0.03</v>
      </c>
      <c r="G298" s="40">
        <v>0</v>
      </c>
      <c r="H298" s="40">
        <v>0</v>
      </c>
      <c r="I298" s="40">
        <v>0</v>
      </c>
      <c r="J298" s="40">
        <v>0</v>
      </c>
      <c r="K298" s="40">
        <v>0</v>
      </c>
      <c r="L298" s="40">
        <v>0</v>
      </c>
      <c r="M298" s="40" cm="1">
        <f t="array" ref="M298:N298">VLOOKUP(B298,'Fumigation  Room'!B:H,{6,7},0)</f>
        <v>0</v>
      </c>
      <c r="N298" s="40">
        <v>0</v>
      </c>
      <c r="O298" s="40">
        <f t="shared" si="9"/>
        <v>0</v>
      </c>
      <c r="P298" s="40">
        <f t="shared" si="10"/>
        <v>0</v>
      </c>
    </row>
    <row r="299" spans="1:16" x14ac:dyDescent="0.35">
      <c r="A299" s="33">
        <v>296</v>
      </c>
      <c r="B299" s="34" t="s">
        <v>606</v>
      </c>
      <c r="C299" s="33" t="s">
        <v>346</v>
      </c>
      <c r="D299" s="33" t="s">
        <v>523</v>
      </c>
      <c r="E299" s="33" t="s">
        <v>563</v>
      </c>
      <c r="F299" s="35">
        <v>0.03</v>
      </c>
      <c r="G299" s="40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 cm="1">
        <f t="array" ref="M299:N299">VLOOKUP(B299,'Fumigation  Room'!B:H,{6,7},0)</f>
        <v>0</v>
      </c>
      <c r="N299" s="40">
        <v>0</v>
      </c>
      <c r="O299" s="40">
        <f t="shared" si="9"/>
        <v>0</v>
      </c>
      <c r="P299" s="40">
        <f t="shared" si="10"/>
        <v>0</v>
      </c>
    </row>
    <row r="300" spans="1:16" x14ac:dyDescent="0.35">
      <c r="A300" s="33">
        <v>297</v>
      </c>
      <c r="B300" s="34" t="s">
        <v>607</v>
      </c>
      <c r="C300" s="33" t="s">
        <v>346</v>
      </c>
      <c r="D300" s="33" t="s">
        <v>523</v>
      </c>
      <c r="E300" s="33" t="s">
        <v>563</v>
      </c>
      <c r="F300" s="35">
        <v>0.03</v>
      </c>
      <c r="G300" s="40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40" cm="1">
        <f t="array" ref="M300:N300">VLOOKUP(B300,'Fumigation  Room'!B:H,{6,7},0)</f>
        <v>0</v>
      </c>
      <c r="N300" s="40">
        <v>0</v>
      </c>
      <c r="O300" s="40">
        <f t="shared" si="9"/>
        <v>0</v>
      </c>
      <c r="P300" s="40">
        <f t="shared" si="10"/>
        <v>0</v>
      </c>
    </row>
    <row r="301" spans="1:16" x14ac:dyDescent="0.35">
      <c r="A301" s="33">
        <v>298</v>
      </c>
      <c r="B301" s="34" t="s">
        <v>608</v>
      </c>
      <c r="C301" s="33" t="s">
        <v>346</v>
      </c>
      <c r="D301" s="33" t="s">
        <v>523</v>
      </c>
      <c r="E301" s="33" t="s">
        <v>563</v>
      </c>
      <c r="F301" s="35">
        <v>0.18</v>
      </c>
      <c r="G301" s="40">
        <v>0</v>
      </c>
      <c r="H301" s="40">
        <v>0</v>
      </c>
      <c r="I301" s="40">
        <v>0</v>
      </c>
      <c r="J301" s="40">
        <v>0</v>
      </c>
      <c r="K301" s="40">
        <v>0</v>
      </c>
      <c r="L301" s="40">
        <v>0</v>
      </c>
      <c r="M301" s="40" cm="1">
        <f t="array" ref="M301:N301">VLOOKUP(B301,'Fumigation  Room'!B:H,{6,7},0)</f>
        <v>0</v>
      </c>
      <c r="N301" s="40">
        <v>0</v>
      </c>
      <c r="O301" s="40">
        <f t="shared" si="9"/>
        <v>0</v>
      </c>
      <c r="P301" s="40">
        <f t="shared" si="10"/>
        <v>0</v>
      </c>
    </row>
    <row r="302" spans="1:16" x14ac:dyDescent="0.35">
      <c r="A302" s="33">
        <v>299</v>
      </c>
      <c r="B302" s="34" t="s">
        <v>609</v>
      </c>
      <c r="C302" s="33" t="s">
        <v>346</v>
      </c>
      <c r="D302" s="33" t="s">
        <v>523</v>
      </c>
      <c r="E302" s="33" t="s">
        <v>563</v>
      </c>
      <c r="F302" s="35">
        <v>0.05</v>
      </c>
      <c r="G302" s="40">
        <v>0</v>
      </c>
      <c r="H302" s="40">
        <v>0</v>
      </c>
      <c r="I302" s="40">
        <v>0</v>
      </c>
      <c r="J302" s="40">
        <v>0</v>
      </c>
      <c r="K302" s="40">
        <v>0</v>
      </c>
      <c r="L302" s="40">
        <v>0</v>
      </c>
      <c r="M302" s="40" cm="1">
        <f t="array" ref="M302:N302">VLOOKUP(B302,'Fumigation  Room'!B:H,{6,7},0)</f>
        <v>0</v>
      </c>
      <c r="N302" s="40">
        <v>0</v>
      </c>
      <c r="O302" s="40">
        <f t="shared" si="9"/>
        <v>0</v>
      </c>
      <c r="P302" s="40">
        <f t="shared" si="10"/>
        <v>0</v>
      </c>
    </row>
    <row r="303" spans="1:16" x14ac:dyDescent="0.35">
      <c r="A303" s="33">
        <v>300</v>
      </c>
      <c r="B303" s="34" t="s">
        <v>610</v>
      </c>
      <c r="C303" s="33" t="s">
        <v>346</v>
      </c>
      <c r="D303" s="33" t="s">
        <v>523</v>
      </c>
      <c r="E303" s="33" t="s">
        <v>563</v>
      </c>
      <c r="F303" s="35">
        <v>0.05</v>
      </c>
      <c r="G303" s="40">
        <v>0</v>
      </c>
      <c r="H303" s="40">
        <v>0</v>
      </c>
      <c r="I303" s="40">
        <v>0</v>
      </c>
      <c r="J303" s="40">
        <v>0</v>
      </c>
      <c r="K303" s="40">
        <v>0</v>
      </c>
      <c r="L303" s="40">
        <v>0</v>
      </c>
      <c r="M303" s="40" cm="1">
        <f t="array" ref="M303:N303">VLOOKUP(B303,'Fumigation  Room'!B:H,{6,7},0)</f>
        <v>0</v>
      </c>
      <c r="N303" s="40">
        <v>0</v>
      </c>
      <c r="O303" s="40">
        <f t="shared" si="9"/>
        <v>0</v>
      </c>
      <c r="P303" s="40">
        <f t="shared" si="10"/>
        <v>0</v>
      </c>
    </row>
    <row r="304" spans="1:16" x14ac:dyDescent="0.35">
      <c r="A304" s="33">
        <v>301</v>
      </c>
      <c r="B304" s="34" t="s">
        <v>611</v>
      </c>
      <c r="C304" s="33" t="s">
        <v>346</v>
      </c>
      <c r="D304" s="33" t="s">
        <v>523</v>
      </c>
      <c r="E304" s="33" t="s">
        <v>563</v>
      </c>
      <c r="F304" s="35">
        <v>0.05</v>
      </c>
      <c r="G304" s="40">
        <v>0</v>
      </c>
      <c r="H304" s="40">
        <v>0</v>
      </c>
      <c r="I304" s="40">
        <v>0</v>
      </c>
      <c r="J304" s="40">
        <v>0</v>
      </c>
      <c r="K304" s="40">
        <v>0</v>
      </c>
      <c r="L304" s="40">
        <v>0</v>
      </c>
      <c r="M304" s="40" cm="1">
        <f t="array" ref="M304:N304">VLOOKUP(B304,'Fumigation  Room'!B:H,{6,7},0)</f>
        <v>0</v>
      </c>
      <c r="N304" s="40">
        <v>0</v>
      </c>
      <c r="O304" s="40">
        <f t="shared" si="9"/>
        <v>0</v>
      </c>
      <c r="P304" s="40">
        <f t="shared" si="10"/>
        <v>0</v>
      </c>
    </row>
    <row r="305" spans="1:16" x14ac:dyDescent="0.35">
      <c r="A305" s="33">
        <v>302</v>
      </c>
      <c r="B305" s="34" t="s">
        <v>612</v>
      </c>
      <c r="C305" s="33" t="s">
        <v>346</v>
      </c>
      <c r="D305" s="33" t="s">
        <v>523</v>
      </c>
      <c r="E305" s="33" t="s">
        <v>563</v>
      </c>
      <c r="F305" s="35">
        <v>0.05</v>
      </c>
      <c r="G305" s="40">
        <v>0</v>
      </c>
      <c r="H305" s="40">
        <v>0</v>
      </c>
      <c r="I305" s="40">
        <v>0</v>
      </c>
      <c r="J305" s="40">
        <v>0</v>
      </c>
      <c r="K305" s="40">
        <v>0</v>
      </c>
      <c r="L305" s="40">
        <v>0</v>
      </c>
      <c r="M305" s="40" cm="1">
        <f t="array" ref="M305:N305">VLOOKUP(B305,'Fumigation  Room'!B:H,{6,7},0)</f>
        <v>0</v>
      </c>
      <c r="N305" s="40">
        <v>0</v>
      </c>
      <c r="O305" s="40">
        <f t="shared" si="9"/>
        <v>0</v>
      </c>
      <c r="P305" s="40">
        <f t="shared" si="10"/>
        <v>0</v>
      </c>
    </row>
    <row r="306" spans="1:16" x14ac:dyDescent="0.35">
      <c r="A306" s="33">
        <v>303</v>
      </c>
      <c r="B306" s="34" t="s">
        <v>613</v>
      </c>
      <c r="C306" s="33" t="s">
        <v>346</v>
      </c>
      <c r="D306" s="33" t="s">
        <v>523</v>
      </c>
      <c r="E306" s="33" t="s">
        <v>563</v>
      </c>
      <c r="F306" s="35">
        <v>0.05</v>
      </c>
      <c r="G306" s="40">
        <v>0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40" cm="1">
        <f t="array" ref="M306:N306">VLOOKUP(B306,'Fumigation  Room'!B:H,{6,7},0)</f>
        <v>0</v>
      </c>
      <c r="N306" s="40">
        <v>0</v>
      </c>
      <c r="O306" s="40">
        <f t="shared" si="9"/>
        <v>0</v>
      </c>
      <c r="P306" s="40">
        <f t="shared" si="10"/>
        <v>0</v>
      </c>
    </row>
    <row r="307" spans="1:16" x14ac:dyDescent="0.35">
      <c r="A307" s="33">
        <v>304</v>
      </c>
      <c r="B307" s="34" t="s">
        <v>614</v>
      </c>
      <c r="C307" s="33" t="s">
        <v>346</v>
      </c>
      <c r="D307" s="33" t="s">
        <v>523</v>
      </c>
      <c r="E307" s="33" t="s">
        <v>563</v>
      </c>
      <c r="F307" s="35">
        <v>0.05</v>
      </c>
      <c r="G307" s="40">
        <v>0</v>
      </c>
      <c r="H307" s="40">
        <v>0</v>
      </c>
      <c r="I307" s="40">
        <v>0</v>
      </c>
      <c r="J307" s="40">
        <v>0</v>
      </c>
      <c r="K307" s="40">
        <v>0</v>
      </c>
      <c r="L307" s="40">
        <v>0</v>
      </c>
      <c r="M307" s="40" cm="1">
        <f t="array" ref="M307:N307">VLOOKUP(B307,'Fumigation  Room'!B:H,{6,7},0)</f>
        <v>0</v>
      </c>
      <c r="N307" s="40">
        <v>0</v>
      </c>
      <c r="O307" s="40">
        <f t="shared" si="9"/>
        <v>0</v>
      </c>
      <c r="P307" s="40">
        <f t="shared" si="10"/>
        <v>0</v>
      </c>
    </row>
    <row r="308" spans="1:16" x14ac:dyDescent="0.35">
      <c r="A308" s="33">
        <v>305</v>
      </c>
      <c r="B308" s="34" t="s">
        <v>615</v>
      </c>
      <c r="C308" s="33" t="s">
        <v>346</v>
      </c>
      <c r="D308" s="33" t="s">
        <v>523</v>
      </c>
      <c r="E308" s="33" t="s">
        <v>563</v>
      </c>
      <c r="F308" s="35">
        <v>4.4999999999999998E-2</v>
      </c>
      <c r="G308" s="40">
        <v>0</v>
      </c>
      <c r="H308" s="40">
        <v>0</v>
      </c>
      <c r="I308" s="40">
        <v>0</v>
      </c>
      <c r="J308" s="40">
        <v>0</v>
      </c>
      <c r="K308" s="40">
        <v>0</v>
      </c>
      <c r="L308" s="40">
        <v>0</v>
      </c>
      <c r="M308" s="40" cm="1">
        <f t="array" ref="M308:N308">VLOOKUP(B308,'Fumigation  Room'!B:H,{6,7},0)</f>
        <v>0</v>
      </c>
      <c r="N308" s="40">
        <v>0</v>
      </c>
      <c r="O308" s="40">
        <f t="shared" si="9"/>
        <v>0</v>
      </c>
      <c r="P308" s="40">
        <f t="shared" si="10"/>
        <v>0</v>
      </c>
    </row>
    <row r="309" spans="1:16" x14ac:dyDescent="0.35">
      <c r="A309" s="33">
        <v>306</v>
      </c>
      <c r="B309" s="34" t="s">
        <v>616</v>
      </c>
      <c r="C309" s="33" t="s">
        <v>346</v>
      </c>
      <c r="D309" s="33" t="s">
        <v>523</v>
      </c>
      <c r="E309" s="33" t="s">
        <v>563</v>
      </c>
      <c r="F309" s="35">
        <v>4.4999999999999998E-2</v>
      </c>
      <c r="G309" s="40">
        <v>0</v>
      </c>
      <c r="H309" s="40">
        <v>0</v>
      </c>
      <c r="I309" s="40">
        <v>0</v>
      </c>
      <c r="J309" s="40">
        <v>0</v>
      </c>
      <c r="K309" s="40">
        <v>0</v>
      </c>
      <c r="L309" s="40">
        <v>0</v>
      </c>
      <c r="M309" s="40" cm="1">
        <f t="array" ref="M309:N309">VLOOKUP(B309,'Fumigation  Room'!B:H,{6,7},0)</f>
        <v>0</v>
      </c>
      <c r="N309" s="40">
        <v>0</v>
      </c>
      <c r="O309" s="40">
        <f t="shared" si="9"/>
        <v>0</v>
      </c>
      <c r="P309" s="40">
        <f t="shared" si="10"/>
        <v>0</v>
      </c>
    </row>
    <row r="310" spans="1:16" x14ac:dyDescent="0.35">
      <c r="A310" s="33">
        <v>307</v>
      </c>
      <c r="B310" s="34" t="s">
        <v>617</v>
      </c>
      <c r="C310" s="33" t="s">
        <v>346</v>
      </c>
      <c r="D310" s="33" t="s">
        <v>523</v>
      </c>
      <c r="E310" s="33" t="s">
        <v>563</v>
      </c>
      <c r="F310" s="35">
        <v>4.4999999999999998E-2</v>
      </c>
      <c r="G310" s="40">
        <v>0</v>
      </c>
      <c r="H310" s="40">
        <v>0</v>
      </c>
      <c r="I310" s="40">
        <v>0</v>
      </c>
      <c r="J310" s="40">
        <v>0</v>
      </c>
      <c r="K310" s="40">
        <v>0</v>
      </c>
      <c r="L310" s="40">
        <v>0</v>
      </c>
      <c r="M310" s="40" cm="1">
        <f t="array" ref="M310:N310">VLOOKUP(B310,'Fumigation  Room'!B:H,{6,7},0)</f>
        <v>0</v>
      </c>
      <c r="N310" s="40">
        <v>0</v>
      </c>
      <c r="O310" s="40">
        <f t="shared" si="9"/>
        <v>0</v>
      </c>
      <c r="P310" s="40">
        <f t="shared" si="10"/>
        <v>0</v>
      </c>
    </row>
    <row r="311" spans="1:16" x14ac:dyDescent="0.35">
      <c r="A311" s="33">
        <v>308</v>
      </c>
      <c r="B311" s="34" t="s">
        <v>618</v>
      </c>
      <c r="C311" s="33" t="s">
        <v>346</v>
      </c>
      <c r="D311" s="33" t="s">
        <v>523</v>
      </c>
      <c r="E311" s="33" t="s">
        <v>563</v>
      </c>
      <c r="F311" s="35">
        <v>4.4999999999999998E-2</v>
      </c>
      <c r="G311" s="40">
        <v>0</v>
      </c>
      <c r="H311" s="40">
        <v>0</v>
      </c>
      <c r="I311" s="40">
        <v>0</v>
      </c>
      <c r="J311" s="40">
        <v>0</v>
      </c>
      <c r="K311" s="40">
        <v>0</v>
      </c>
      <c r="L311" s="40">
        <v>0</v>
      </c>
      <c r="M311" s="40" cm="1">
        <f t="array" ref="M311:N311">VLOOKUP(B311,'Fumigation  Room'!B:H,{6,7},0)</f>
        <v>0</v>
      </c>
      <c r="N311" s="40">
        <v>0</v>
      </c>
      <c r="O311" s="40">
        <f t="shared" si="9"/>
        <v>0</v>
      </c>
      <c r="P311" s="40">
        <f t="shared" si="10"/>
        <v>0</v>
      </c>
    </row>
    <row r="312" spans="1:16" x14ac:dyDescent="0.35">
      <c r="A312" s="33">
        <v>309</v>
      </c>
      <c r="B312" s="34" t="s">
        <v>619</v>
      </c>
      <c r="C312" s="33" t="s">
        <v>346</v>
      </c>
      <c r="D312" s="33" t="s">
        <v>523</v>
      </c>
      <c r="E312" s="33" t="s">
        <v>563</v>
      </c>
      <c r="F312" s="35">
        <v>1</v>
      </c>
      <c r="G312" s="40">
        <v>0</v>
      </c>
      <c r="H312" s="40">
        <v>0</v>
      </c>
      <c r="I312" s="40">
        <v>0</v>
      </c>
      <c r="J312" s="40">
        <v>0</v>
      </c>
      <c r="K312" s="40">
        <v>0</v>
      </c>
      <c r="L312" s="40">
        <v>0</v>
      </c>
      <c r="M312" s="40" cm="1">
        <f t="array" ref="M312:N312">VLOOKUP(B312,'Fumigation  Room'!B:H,{6,7},0)</f>
        <v>0</v>
      </c>
      <c r="N312" s="40">
        <v>0</v>
      </c>
      <c r="O312" s="40">
        <f t="shared" si="9"/>
        <v>0</v>
      </c>
      <c r="P312" s="40">
        <f t="shared" si="10"/>
        <v>0</v>
      </c>
    </row>
    <row r="313" spans="1:16" x14ac:dyDescent="0.35">
      <c r="A313" s="33">
        <v>310</v>
      </c>
      <c r="B313" s="34" t="s">
        <v>620</v>
      </c>
      <c r="C313" s="33" t="s">
        <v>346</v>
      </c>
      <c r="D313" s="33" t="s">
        <v>523</v>
      </c>
      <c r="E313" s="33" t="s">
        <v>563</v>
      </c>
      <c r="F313" s="35">
        <v>3.5000000000000003E-2</v>
      </c>
      <c r="G313" s="40">
        <v>0</v>
      </c>
      <c r="H313" s="40">
        <v>0</v>
      </c>
      <c r="I313" s="40">
        <v>0</v>
      </c>
      <c r="J313" s="40">
        <v>0</v>
      </c>
      <c r="K313" s="40">
        <v>0</v>
      </c>
      <c r="L313" s="40">
        <v>0</v>
      </c>
      <c r="M313" s="40" cm="1">
        <f t="array" ref="M313:N313">VLOOKUP(B313,'Fumigation  Room'!B:H,{6,7},0)</f>
        <v>0</v>
      </c>
      <c r="N313" s="40">
        <v>0</v>
      </c>
      <c r="O313" s="40">
        <f t="shared" si="9"/>
        <v>0</v>
      </c>
      <c r="P313" s="40">
        <f t="shared" si="10"/>
        <v>0</v>
      </c>
    </row>
    <row r="314" spans="1:16" x14ac:dyDescent="0.35">
      <c r="A314" s="33">
        <v>311</v>
      </c>
      <c r="B314" s="34" t="s">
        <v>621</v>
      </c>
      <c r="C314" s="33" t="s">
        <v>346</v>
      </c>
      <c r="D314" s="33" t="s">
        <v>523</v>
      </c>
      <c r="E314" s="33" t="s">
        <v>563</v>
      </c>
      <c r="F314" s="35">
        <v>0.21</v>
      </c>
      <c r="G314" s="40">
        <v>0</v>
      </c>
      <c r="H314" s="40">
        <v>0</v>
      </c>
      <c r="I314" s="40">
        <v>0</v>
      </c>
      <c r="J314" s="40">
        <v>0</v>
      </c>
      <c r="K314" s="40">
        <v>0</v>
      </c>
      <c r="L314" s="40">
        <v>0</v>
      </c>
      <c r="M314" s="40" cm="1">
        <f t="array" ref="M314:N314">VLOOKUP(B314,'Fumigation  Room'!B:H,{6,7},0)</f>
        <v>0</v>
      </c>
      <c r="N314" s="40">
        <v>0</v>
      </c>
      <c r="O314" s="40">
        <f t="shared" si="9"/>
        <v>0</v>
      </c>
      <c r="P314" s="40">
        <f t="shared" si="10"/>
        <v>0</v>
      </c>
    </row>
    <row r="315" spans="1:16" x14ac:dyDescent="0.35">
      <c r="A315" s="33">
        <v>312</v>
      </c>
      <c r="B315" s="34" t="s">
        <v>622</v>
      </c>
      <c r="C315" s="33" t="s">
        <v>346</v>
      </c>
      <c r="D315" s="33" t="s">
        <v>523</v>
      </c>
      <c r="E315" s="33" t="s">
        <v>623</v>
      </c>
      <c r="F315" s="35">
        <v>0.05</v>
      </c>
      <c r="G315" s="40">
        <v>0</v>
      </c>
      <c r="H315" s="40">
        <v>0</v>
      </c>
      <c r="I315" s="40">
        <v>0</v>
      </c>
      <c r="J315" s="40">
        <v>0</v>
      </c>
      <c r="K315" s="40">
        <v>0</v>
      </c>
      <c r="L315" s="40">
        <v>0</v>
      </c>
      <c r="M315" s="40" cm="1">
        <f t="array" ref="M315:N315">VLOOKUP(B315,'Fumigation  Room'!B:H,{6,7},0)</f>
        <v>0</v>
      </c>
      <c r="N315" s="40">
        <v>0</v>
      </c>
      <c r="O315" s="40">
        <f t="shared" si="9"/>
        <v>0</v>
      </c>
      <c r="P315" s="40">
        <f t="shared" si="10"/>
        <v>0</v>
      </c>
    </row>
    <row r="316" spans="1:16" x14ac:dyDescent="0.35">
      <c r="A316" s="33">
        <v>313</v>
      </c>
      <c r="B316" s="34" t="s">
        <v>624</v>
      </c>
      <c r="C316" s="33" t="s">
        <v>297</v>
      </c>
      <c r="D316" s="33" t="s">
        <v>625</v>
      </c>
      <c r="E316" s="33" t="s">
        <v>624</v>
      </c>
      <c r="F316" s="35">
        <v>1</v>
      </c>
      <c r="G316" s="40">
        <v>0</v>
      </c>
      <c r="H316" s="40">
        <v>0</v>
      </c>
      <c r="I316" s="40">
        <v>0</v>
      </c>
      <c r="J316" s="40">
        <v>0</v>
      </c>
      <c r="K316" s="40">
        <v>0</v>
      </c>
      <c r="L316" s="40">
        <v>0</v>
      </c>
      <c r="M316" s="40" cm="1">
        <f t="array" ref="M316:N316">VLOOKUP(B316,'Fumigation  Room'!B:H,{6,7},0)</f>
        <v>0</v>
      </c>
      <c r="N316" s="40">
        <v>0</v>
      </c>
      <c r="O316" s="40">
        <f t="shared" si="9"/>
        <v>0</v>
      </c>
      <c r="P316" s="40">
        <f t="shared" si="10"/>
        <v>0</v>
      </c>
    </row>
    <row r="317" spans="1:16" x14ac:dyDescent="0.35">
      <c r="A317" s="33">
        <v>314</v>
      </c>
      <c r="B317" s="34" t="s">
        <v>626</v>
      </c>
      <c r="C317" s="33" t="s">
        <v>346</v>
      </c>
      <c r="D317" s="33" t="s">
        <v>625</v>
      </c>
      <c r="E317" s="33" t="s">
        <v>624</v>
      </c>
      <c r="F317" s="35">
        <v>1</v>
      </c>
      <c r="G317" s="40">
        <v>0</v>
      </c>
      <c r="H317" s="40">
        <v>0</v>
      </c>
      <c r="I317" s="40">
        <v>0</v>
      </c>
      <c r="J317" s="40">
        <v>0</v>
      </c>
      <c r="K317" s="40">
        <v>0</v>
      </c>
      <c r="L317" s="40">
        <v>0</v>
      </c>
      <c r="M317" s="40" cm="1">
        <f t="array" ref="M317:N317">VLOOKUP(B317,'Fumigation  Room'!B:H,{6,7},0)</f>
        <v>0</v>
      </c>
      <c r="N317" s="40">
        <v>0</v>
      </c>
      <c r="O317" s="40">
        <f t="shared" si="9"/>
        <v>0</v>
      </c>
      <c r="P317" s="40">
        <f t="shared" si="10"/>
        <v>0</v>
      </c>
    </row>
    <row r="318" spans="1:16" x14ac:dyDescent="0.35">
      <c r="A318" s="33">
        <v>315</v>
      </c>
      <c r="B318" s="34" t="s">
        <v>627</v>
      </c>
      <c r="C318" s="33" t="s">
        <v>297</v>
      </c>
      <c r="D318" s="33" t="s">
        <v>179</v>
      </c>
      <c r="E318" s="33" t="s">
        <v>628</v>
      </c>
      <c r="F318" s="35">
        <v>1</v>
      </c>
      <c r="G318" s="40">
        <v>0</v>
      </c>
      <c r="H318" s="40">
        <v>0</v>
      </c>
      <c r="I318" s="40">
        <v>0</v>
      </c>
      <c r="J318" s="40">
        <v>0</v>
      </c>
      <c r="K318" s="40">
        <v>0</v>
      </c>
      <c r="L318" s="40">
        <v>0</v>
      </c>
      <c r="M318" s="40" cm="1">
        <f t="array" ref="M318:N318">VLOOKUP(B318,'Fumigation  Room'!B:H,{6,7},0)</f>
        <v>0</v>
      </c>
      <c r="N318" s="40">
        <v>0</v>
      </c>
      <c r="O318" s="40">
        <f t="shared" si="9"/>
        <v>0</v>
      </c>
      <c r="P318" s="40">
        <f t="shared" si="10"/>
        <v>0</v>
      </c>
    </row>
    <row r="319" spans="1:16" x14ac:dyDescent="0.35">
      <c r="A319" s="33">
        <v>316</v>
      </c>
      <c r="B319" s="34" t="s">
        <v>629</v>
      </c>
      <c r="C319" s="33" t="s">
        <v>297</v>
      </c>
      <c r="D319" s="33" t="s">
        <v>179</v>
      </c>
      <c r="E319" s="33" t="s">
        <v>628</v>
      </c>
      <c r="F319" s="35">
        <v>1</v>
      </c>
      <c r="G319" s="40">
        <v>0</v>
      </c>
      <c r="H319" s="40">
        <v>0</v>
      </c>
      <c r="I319" s="40">
        <v>0</v>
      </c>
      <c r="J319" s="40">
        <v>0</v>
      </c>
      <c r="K319" s="40">
        <v>0</v>
      </c>
      <c r="L319" s="40">
        <v>0</v>
      </c>
      <c r="M319" s="40" cm="1">
        <f t="array" ref="M319:N319">VLOOKUP(B319,'Fumigation  Room'!B:H,{6,7},0)</f>
        <v>0</v>
      </c>
      <c r="N319" s="40">
        <v>0</v>
      </c>
      <c r="O319" s="40">
        <f t="shared" si="9"/>
        <v>0</v>
      </c>
      <c r="P319" s="40">
        <f t="shared" si="10"/>
        <v>0</v>
      </c>
    </row>
    <row r="320" spans="1:16" x14ac:dyDescent="0.35">
      <c r="A320" s="33">
        <v>317</v>
      </c>
      <c r="B320" s="34" t="s">
        <v>630</v>
      </c>
      <c r="C320" s="33" t="s">
        <v>346</v>
      </c>
      <c r="D320" s="33" t="s">
        <v>179</v>
      </c>
      <c r="E320" s="33" t="s">
        <v>628</v>
      </c>
      <c r="F320" s="35">
        <v>0.25</v>
      </c>
      <c r="G320" s="40">
        <v>0</v>
      </c>
      <c r="H320" s="40">
        <v>0</v>
      </c>
      <c r="I320" s="40">
        <v>0</v>
      </c>
      <c r="J320" s="40">
        <v>0</v>
      </c>
      <c r="K320" s="40">
        <v>0</v>
      </c>
      <c r="L320" s="40">
        <v>0</v>
      </c>
      <c r="M320" s="40" cm="1">
        <f t="array" ref="M320:N320">VLOOKUP(B320,'Fumigation  Room'!B:H,{6,7},0)</f>
        <v>0</v>
      </c>
      <c r="N320" s="40">
        <v>0</v>
      </c>
      <c r="O320" s="40">
        <f t="shared" si="9"/>
        <v>0</v>
      </c>
      <c r="P320" s="40">
        <f t="shared" si="10"/>
        <v>0</v>
      </c>
    </row>
    <row r="321" spans="1:16" x14ac:dyDescent="0.35">
      <c r="A321" s="33">
        <v>318</v>
      </c>
      <c r="B321" s="34" t="s">
        <v>631</v>
      </c>
      <c r="C321" s="33" t="s">
        <v>346</v>
      </c>
      <c r="D321" s="33" t="s">
        <v>179</v>
      </c>
      <c r="E321" s="33" t="s">
        <v>628</v>
      </c>
      <c r="F321" s="35">
        <v>0.1</v>
      </c>
      <c r="G321" s="40">
        <v>0</v>
      </c>
      <c r="H321" s="40">
        <v>0</v>
      </c>
      <c r="I321" s="40">
        <v>0</v>
      </c>
      <c r="J321" s="40">
        <v>0</v>
      </c>
      <c r="K321" s="40">
        <v>0</v>
      </c>
      <c r="L321" s="40">
        <v>0</v>
      </c>
      <c r="M321" s="40" cm="1">
        <f t="array" ref="M321:N321">VLOOKUP(B321,'Fumigation  Room'!B:H,{6,7},0)</f>
        <v>0</v>
      </c>
      <c r="N321" s="40">
        <v>0</v>
      </c>
      <c r="O321" s="40">
        <f t="shared" si="9"/>
        <v>0</v>
      </c>
      <c r="P321" s="40">
        <f t="shared" si="10"/>
        <v>0</v>
      </c>
    </row>
    <row r="322" spans="1:16" x14ac:dyDescent="0.35">
      <c r="A322" s="33">
        <v>319</v>
      </c>
      <c r="B322" s="34" t="s">
        <v>632</v>
      </c>
      <c r="C322" s="33" t="s">
        <v>346</v>
      </c>
      <c r="D322" s="33" t="s">
        <v>179</v>
      </c>
      <c r="E322" s="33" t="s">
        <v>628</v>
      </c>
      <c r="F322" s="35">
        <v>0.25</v>
      </c>
      <c r="G322" s="40">
        <v>0</v>
      </c>
      <c r="H322" s="40">
        <v>0</v>
      </c>
      <c r="I322" s="40">
        <v>0</v>
      </c>
      <c r="J322" s="40">
        <v>0</v>
      </c>
      <c r="K322" s="40">
        <v>0</v>
      </c>
      <c r="L322" s="40">
        <v>0</v>
      </c>
      <c r="M322" s="40" cm="1">
        <f t="array" ref="M322:N322">VLOOKUP(B322,'Fumigation  Room'!B:H,{6,7},0)</f>
        <v>0</v>
      </c>
      <c r="N322" s="40">
        <v>0</v>
      </c>
      <c r="O322" s="40">
        <f t="shared" si="9"/>
        <v>0</v>
      </c>
      <c r="P322" s="40">
        <f t="shared" si="10"/>
        <v>0</v>
      </c>
    </row>
    <row r="323" spans="1:16" x14ac:dyDescent="0.35">
      <c r="A323" s="33">
        <v>320</v>
      </c>
      <c r="B323" s="34" t="s">
        <v>633</v>
      </c>
      <c r="C323" s="33" t="s">
        <v>346</v>
      </c>
      <c r="D323" s="33" t="s">
        <v>179</v>
      </c>
      <c r="E323" s="33" t="s">
        <v>628</v>
      </c>
      <c r="F323" s="35">
        <v>1</v>
      </c>
      <c r="G323" s="40">
        <v>0</v>
      </c>
      <c r="H323" s="40">
        <v>0</v>
      </c>
      <c r="I323" s="40">
        <v>0</v>
      </c>
      <c r="J323" s="40">
        <v>0</v>
      </c>
      <c r="K323" s="40">
        <v>0</v>
      </c>
      <c r="L323" s="40">
        <v>0</v>
      </c>
      <c r="M323" s="40" cm="1">
        <f t="array" ref="M323:N323">VLOOKUP(B323,'Fumigation  Room'!B:H,{6,7},0)</f>
        <v>0</v>
      </c>
      <c r="N323" s="40">
        <v>0</v>
      </c>
      <c r="O323" s="40">
        <f t="shared" si="9"/>
        <v>0</v>
      </c>
      <c r="P323" s="40">
        <f t="shared" si="10"/>
        <v>0</v>
      </c>
    </row>
    <row r="324" spans="1:16" x14ac:dyDescent="0.35">
      <c r="A324" s="33">
        <v>321</v>
      </c>
      <c r="B324" s="34" t="s">
        <v>634</v>
      </c>
      <c r="C324" s="33" t="s">
        <v>346</v>
      </c>
      <c r="D324" s="33" t="s">
        <v>179</v>
      </c>
      <c r="E324" s="33" t="s">
        <v>628</v>
      </c>
      <c r="F324" s="35">
        <v>0.1</v>
      </c>
      <c r="G324" s="40">
        <v>0</v>
      </c>
      <c r="H324" s="40">
        <v>0</v>
      </c>
      <c r="I324" s="40">
        <v>0</v>
      </c>
      <c r="J324" s="40">
        <v>0</v>
      </c>
      <c r="K324" s="40">
        <v>0</v>
      </c>
      <c r="L324" s="40">
        <v>0</v>
      </c>
      <c r="M324" s="40" cm="1">
        <f t="array" ref="M324:N324">VLOOKUP(B324,'Fumigation  Room'!B:H,{6,7},0)</f>
        <v>0</v>
      </c>
      <c r="N324" s="40">
        <v>0</v>
      </c>
      <c r="O324" s="40">
        <f t="shared" si="9"/>
        <v>0</v>
      </c>
      <c r="P324" s="40">
        <f t="shared" si="10"/>
        <v>0</v>
      </c>
    </row>
    <row r="325" spans="1:16" x14ac:dyDescent="0.35">
      <c r="A325" s="33">
        <v>322</v>
      </c>
      <c r="B325" s="34" t="s">
        <v>635</v>
      </c>
      <c r="C325" s="33" t="s">
        <v>297</v>
      </c>
      <c r="D325" s="33" t="s">
        <v>107</v>
      </c>
      <c r="E325" s="33" t="s">
        <v>636</v>
      </c>
      <c r="F325" s="35">
        <v>1</v>
      </c>
      <c r="G325" s="40">
        <v>0</v>
      </c>
      <c r="H325" s="40">
        <v>0</v>
      </c>
      <c r="I325" s="40">
        <v>0</v>
      </c>
      <c r="J325" s="40">
        <v>0</v>
      </c>
      <c r="K325" s="40">
        <v>0</v>
      </c>
      <c r="L325" s="40">
        <v>0</v>
      </c>
      <c r="M325" s="40" cm="1">
        <f t="array" ref="M325:N325">VLOOKUP(B325,'Fumigation  Room'!B:H,{6,7},0)</f>
        <v>0</v>
      </c>
      <c r="N325" s="40">
        <v>0</v>
      </c>
      <c r="O325" s="40">
        <f t="shared" ref="O325:O388" si="11">G325+I325+K325+M325</f>
        <v>0</v>
      </c>
      <c r="P325" s="40">
        <f t="shared" ref="P325:P388" si="12">H325+J325+L325+N325</f>
        <v>0</v>
      </c>
    </row>
    <row r="326" spans="1:16" x14ac:dyDescent="0.35">
      <c r="A326" s="33">
        <v>323</v>
      </c>
      <c r="B326" s="34" t="s">
        <v>637</v>
      </c>
      <c r="C326" s="33" t="s">
        <v>297</v>
      </c>
      <c r="D326" s="33" t="s">
        <v>107</v>
      </c>
      <c r="E326" s="33" t="s">
        <v>638</v>
      </c>
      <c r="F326" s="35">
        <v>1</v>
      </c>
      <c r="G326" s="40">
        <v>0</v>
      </c>
      <c r="H326" s="40">
        <v>0</v>
      </c>
      <c r="I326" s="40">
        <v>0</v>
      </c>
      <c r="J326" s="40">
        <v>0</v>
      </c>
      <c r="K326" s="40">
        <v>0</v>
      </c>
      <c r="L326" s="40">
        <v>0</v>
      </c>
      <c r="M326" s="40" cm="1">
        <f t="array" ref="M326:N326">VLOOKUP(B326,'Fumigation  Room'!B:H,{6,7},0)</f>
        <v>0</v>
      </c>
      <c r="N326" s="40">
        <v>0</v>
      </c>
      <c r="O326" s="40">
        <f t="shared" si="11"/>
        <v>0</v>
      </c>
      <c r="P326" s="40">
        <f t="shared" si="12"/>
        <v>0</v>
      </c>
    </row>
    <row r="327" spans="1:16" x14ac:dyDescent="0.35">
      <c r="A327" s="33">
        <v>324</v>
      </c>
      <c r="B327" s="34" t="s">
        <v>639</v>
      </c>
      <c r="C327" s="33" t="s">
        <v>346</v>
      </c>
      <c r="D327" s="33" t="s">
        <v>107</v>
      </c>
      <c r="E327" s="33" t="s">
        <v>638</v>
      </c>
      <c r="F327" s="35">
        <v>0.1</v>
      </c>
      <c r="G327" s="40">
        <v>0</v>
      </c>
      <c r="H327" s="40">
        <v>0</v>
      </c>
      <c r="I327" s="40">
        <v>0</v>
      </c>
      <c r="J327" s="40">
        <v>0</v>
      </c>
      <c r="K327" s="40">
        <v>0</v>
      </c>
      <c r="L327" s="40">
        <v>0</v>
      </c>
      <c r="M327" s="40" cm="1">
        <f t="array" ref="M327:N327">VLOOKUP(B327,'Fumigation  Room'!B:H,{6,7},0)</f>
        <v>0</v>
      </c>
      <c r="N327" s="40">
        <v>0</v>
      </c>
      <c r="O327" s="40">
        <f t="shared" si="11"/>
        <v>0</v>
      </c>
      <c r="P327" s="40">
        <f t="shared" si="12"/>
        <v>0</v>
      </c>
    </row>
    <row r="328" spans="1:16" x14ac:dyDescent="0.35">
      <c r="A328" s="33">
        <v>325</v>
      </c>
      <c r="B328" s="34" t="s">
        <v>640</v>
      </c>
      <c r="C328" s="33" t="s">
        <v>346</v>
      </c>
      <c r="D328" s="33" t="s">
        <v>107</v>
      </c>
      <c r="E328" s="33" t="s">
        <v>638</v>
      </c>
      <c r="F328" s="35">
        <v>0.25</v>
      </c>
      <c r="G328" s="40">
        <v>0</v>
      </c>
      <c r="H328" s="40">
        <v>0</v>
      </c>
      <c r="I328" s="40">
        <v>0</v>
      </c>
      <c r="J328" s="40">
        <v>0</v>
      </c>
      <c r="K328" s="40">
        <v>0</v>
      </c>
      <c r="L328" s="40">
        <v>0</v>
      </c>
      <c r="M328" s="40" cm="1">
        <f t="array" ref="M328:N328">VLOOKUP(B328,'Fumigation  Room'!B:H,{6,7},0)</f>
        <v>0</v>
      </c>
      <c r="N328" s="40">
        <v>0</v>
      </c>
      <c r="O328" s="40">
        <f t="shared" si="11"/>
        <v>0</v>
      </c>
      <c r="P328" s="40">
        <f t="shared" si="12"/>
        <v>0</v>
      </c>
    </row>
    <row r="329" spans="1:16" x14ac:dyDescent="0.35">
      <c r="A329" s="33">
        <v>326</v>
      </c>
      <c r="B329" s="34" t="s">
        <v>641</v>
      </c>
      <c r="C329" s="33" t="s">
        <v>346</v>
      </c>
      <c r="D329" s="33" t="s">
        <v>107</v>
      </c>
      <c r="E329" s="33" t="s">
        <v>638</v>
      </c>
      <c r="F329" s="35">
        <v>0.23</v>
      </c>
      <c r="G329" s="40">
        <v>0</v>
      </c>
      <c r="H329" s="40">
        <v>0</v>
      </c>
      <c r="I329" s="40">
        <v>0</v>
      </c>
      <c r="J329" s="40">
        <v>0</v>
      </c>
      <c r="K329" s="40">
        <v>0</v>
      </c>
      <c r="L329" s="40">
        <v>0</v>
      </c>
      <c r="M329" s="40" cm="1">
        <f t="array" ref="M329:N329">VLOOKUP(B329,'Fumigation  Room'!B:H,{6,7},0)</f>
        <v>0</v>
      </c>
      <c r="N329" s="40">
        <v>0</v>
      </c>
      <c r="O329" s="40">
        <f t="shared" si="11"/>
        <v>0</v>
      </c>
      <c r="P329" s="40">
        <f t="shared" si="12"/>
        <v>0</v>
      </c>
    </row>
    <row r="330" spans="1:16" x14ac:dyDescent="0.35">
      <c r="A330" s="33">
        <v>327</v>
      </c>
      <c r="B330" s="34" t="s">
        <v>642</v>
      </c>
      <c r="C330" s="33" t="s">
        <v>346</v>
      </c>
      <c r="D330" s="33" t="s">
        <v>107</v>
      </c>
      <c r="E330" s="33" t="s">
        <v>638</v>
      </c>
      <c r="F330" s="35">
        <v>7.4999999999999997E-2</v>
      </c>
      <c r="G330" s="40">
        <v>0</v>
      </c>
      <c r="H330" s="40">
        <v>0</v>
      </c>
      <c r="I330" s="40">
        <v>0</v>
      </c>
      <c r="J330" s="40">
        <v>0</v>
      </c>
      <c r="K330" s="40">
        <v>0</v>
      </c>
      <c r="L330" s="40">
        <v>0</v>
      </c>
      <c r="M330" s="40" cm="1">
        <f t="array" ref="M330:N330">VLOOKUP(B330,'Fumigation  Room'!B:H,{6,7},0)</f>
        <v>0</v>
      </c>
      <c r="N330" s="40">
        <v>0</v>
      </c>
      <c r="O330" s="40">
        <f t="shared" si="11"/>
        <v>0</v>
      </c>
      <c r="P330" s="40">
        <f t="shared" si="12"/>
        <v>0</v>
      </c>
    </row>
    <row r="331" spans="1:16" x14ac:dyDescent="0.35">
      <c r="A331" s="33">
        <v>328</v>
      </c>
      <c r="B331" s="34" t="s">
        <v>643</v>
      </c>
      <c r="C331" s="33" t="s">
        <v>346</v>
      </c>
      <c r="D331" s="33" t="s">
        <v>107</v>
      </c>
      <c r="E331" s="33" t="s">
        <v>638</v>
      </c>
      <c r="F331" s="35">
        <v>0.25</v>
      </c>
      <c r="G331" s="40">
        <v>0</v>
      </c>
      <c r="H331" s="40">
        <v>0</v>
      </c>
      <c r="I331" s="40">
        <v>0</v>
      </c>
      <c r="J331" s="40">
        <v>0</v>
      </c>
      <c r="K331" s="40">
        <v>0</v>
      </c>
      <c r="L331" s="40">
        <v>0</v>
      </c>
      <c r="M331" s="40" cm="1">
        <f t="array" ref="M331:N331">VLOOKUP(B331,'Fumigation  Room'!B:H,{6,7},0)</f>
        <v>0</v>
      </c>
      <c r="N331" s="40">
        <v>0</v>
      </c>
      <c r="O331" s="40">
        <f t="shared" si="11"/>
        <v>0</v>
      </c>
      <c r="P331" s="40">
        <f t="shared" si="12"/>
        <v>0</v>
      </c>
    </row>
    <row r="332" spans="1:16" x14ac:dyDescent="0.35">
      <c r="A332" s="33">
        <v>329</v>
      </c>
      <c r="B332" s="34" t="s">
        <v>644</v>
      </c>
      <c r="C332" s="33" t="s">
        <v>346</v>
      </c>
      <c r="D332" s="33" t="s">
        <v>107</v>
      </c>
      <c r="E332" s="33" t="s">
        <v>638</v>
      </c>
      <c r="F332" s="35">
        <v>0.25</v>
      </c>
      <c r="G332" s="40">
        <v>0</v>
      </c>
      <c r="H332" s="40">
        <v>0</v>
      </c>
      <c r="I332" s="40">
        <v>0</v>
      </c>
      <c r="J332" s="40">
        <v>0</v>
      </c>
      <c r="K332" s="40">
        <v>0</v>
      </c>
      <c r="L332" s="40">
        <v>0</v>
      </c>
      <c r="M332" s="40" cm="1">
        <f t="array" ref="M332:N332">VLOOKUP(B332,'Fumigation  Room'!B:H,{6,7},0)</f>
        <v>0</v>
      </c>
      <c r="N332" s="40">
        <v>0</v>
      </c>
      <c r="O332" s="40">
        <f t="shared" si="11"/>
        <v>0</v>
      </c>
      <c r="P332" s="40">
        <f t="shared" si="12"/>
        <v>0</v>
      </c>
    </row>
    <row r="333" spans="1:16" x14ac:dyDescent="0.35">
      <c r="A333" s="33">
        <v>330</v>
      </c>
      <c r="B333" s="34" t="s">
        <v>645</v>
      </c>
      <c r="C333" s="33" t="s">
        <v>346</v>
      </c>
      <c r="D333" s="33" t="s">
        <v>107</v>
      </c>
      <c r="E333" s="33" t="s">
        <v>638</v>
      </c>
      <c r="F333" s="35">
        <v>0.1</v>
      </c>
      <c r="G333" s="40">
        <v>0</v>
      </c>
      <c r="H333" s="40">
        <v>0</v>
      </c>
      <c r="I333" s="40">
        <v>0</v>
      </c>
      <c r="J333" s="40">
        <v>0</v>
      </c>
      <c r="K333" s="40">
        <v>0</v>
      </c>
      <c r="L333" s="40">
        <v>0</v>
      </c>
      <c r="M333" s="40" cm="1">
        <f t="array" ref="M333:N333">VLOOKUP(B333,'Fumigation  Room'!B:H,{6,7},0)</f>
        <v>0</v>
      </c>
      <c r="N333" s="40">
        <v>0</v>
      </c>
      <c r="O333" s="40">
        <f t="shared" si="11"/>
        <v>0</v>
      </c>
      <c r="P333" s="40">
        <f t="shared" si="12"/>
        <v>0</v>
      </c>
    </row>
    <row r="334" spans="1:16" x14ac:dyDescent="0.35">
      <c r="A334" s="33">
        <v>331</v>
      </c>
      <c r="B334" s="34" t="s">
        <v>646</v>
      </c>
      <c r="C334" s="33" t="s">
        <v>346</v>
      </c>
      <c r="D334" s="33" t="s">
        <v>107</v>
      </c>
      <c r="E334" s="33" t="s">
        <v>638</v>
      </c>
      <c r="F334" s="35">
        <v>0.25</v>
      </c>
      <c r="G334" s="40">
        <v>0</v>
      </c>
      <c r="H334" s="40">
        <v>0</v>
      </c>
      <c r="I334" s="40">
        <v>0</v>
      </c>
      <c r="J334" s="40">
        <v>0</v>
      </c>
      <c r="K334" s="40">
        <v>0</v>
      </c>
      <c r="L334" s="40">
        <v>0</v>
      </c>
      <c r="M334" s="40" cm="1">
        <f t="array" ref="M334:N334">VLOOKUP(B334,'Fumigation  Room'!B:H,{6,7},0)</f>
        <v>0</v>
      </c>
      <c r="N334" s="40">
        <v>0</v>
      </c>
      <c r="O334" s="40">
        <f t="shared" si="11"/>
        <v>0</v>
      </c>
      <c r="P334" s="40">
        <f t="shared" si="12"/>
        <v>0</v>
      </c>
    </row>
    <row r="335" spans="1:16" x14ac:dyDescent="0.35">
      <c r="A335" s="33">
        <v>332</v>
      </c>
      <c r="B335" s="34" t="s">
        <v>647</v>
      </c>
      <c r="C335" s="33" t="s">
        <v>346</v>
      </c>
      <c r="D335" s="33" t="s">
        <v>107</v>
      </c>
      <c r="E335" s="33" t="s">
        <v>638</v>
      </c>
      <c r="F335" s="35">
        <v>0.25</v>
      </c>
      <c r="G335" s="40">
        <v>0</v>
      </c>
      <c r="H335" s="40">
        <v>0</v>
      </c>
      <c r="I335" s="40">
        <v>0</v>
      </c>
      <c r="J335" s="40">
        <v>0</v>
      </c>
      <c r="K335" s="40">
        <v>0</v>
      </c>
      <c r="L335" s="40">
        <v>0</v>
      </c>
      <c r="M335" s="40" cm="1">
        <f t="array" ref="M335:N335">VLOOKUP(B335,'Fumigation  Room'!B:H,{6,7},0)</f>
        <v>0</v>
      </c>
      <c r="N335" s="40">
        <v>0</v>
      </c>
      <c r="O335" s="40">
        <f t="shared" si="11"/>
        <v>0</v>
      </c>
      <c r="P335" s="40">
        <f t="shared" si="12"/>
        <v>0</v>
      </c>
    </row>
    <row r="336" spans="1:16" x14ac:dyDescent="0.35">
      <c r="A336" s="33">
        <v>333</v>
      </c>
      <c r="B336" s="34" t="s">
        <v>648</v>
      </c>
      <c r="C336" s="33" t="s">
        <v>346</v>
      </c>
      <c r="D336" s="33" t="s">
        <v>107</v>
      </c>
      <c r="E336" s="33" t="s">
        <v>638</v>
      </c>
      <c r="F336" s="35">
        <v>0.2</v>
      </c>
      <c r="G336" s="40">
        <v>0</v>
      </c>
      <c r="H336" s="40">
        <v>0</v>
      </c>
      <c r="I336" s="40">
        <v>0</v>
      </c>
      <c r="J336" s="40">
        <v>0</v>
      </c>
      <c r="K336" s="40">
        <v>0</v>
      </c>
      <c r="L336" s="40">
        <v>0</v>
      </c>
      <c r="M336" s="40" cm="1">
        <f t="array" ref="M336:N336">VLOOKUP(B336,'Fumigation  Room'!B:H,{6,7},0)</f>
        <v>0</v>
      </c>
      <c r="N336" s="40">
        <v>0</v>
      </c>
      <c r="O336" s="40">
        <f t="shared" si="11"/>
        <v>0</v>
      </c>
      <c r="P336" s="40">
        <f t="shared" si="12"/>
        <v>0</v>
      </c>
    </row>
    <row r="337" spans="1:16" x14ac:dyDescent="0.35">
      <c r="A337" s="33">
        <v>334</v>
      </c>
      <c r="B337" s="34" t="s">
        <v>649</v>
      </c>
      <c r="C337" s="33" t="s">
        <v>346</v>
      </c>
      <c r="D337" s="33" t="s">
        <v>107</v>
      </c>
      <c r="E337" s="33" t="s">
        <v>638</v>
      </c>
      <c r="F337" s="35">
        <v>0.3</v>
      </c>
      <c r="G337" s="40">
        <v>0</v>
      </c>
      <c r="H337" s="40">
        <v>0</v>
      </c>
      <c r="I337" s="40">
        <v>0</v>
      </c>
      <c r="J337" s="40">
        <v>0</v>
      </c>
      <c r="K337" s="40">
        <v>0</v>
      </c>
      <c r="L337" s="40">
        <v>0</v>
      </c>
      <c r="M337" s="40" cm="1">
        <f t="array" ref="M337:N337">VLOOKUP(B337,'Fumigation  Room'!B:H,{6,7},0)</f>
        <v>0</v>
      </c>
      <c r="N337" s="40">
        <v>0</v>
      </c>
      <c r="O337" s="40">
        <f t="shared" si="11"/>
        <v>0</v>
      </c>
      <c r="P337" s="40">
        <f t="shared" si="12"/>
        <v>0</v>
      </c>
    </row>
    <row r="338" spans="1:16" x14ac:dyDescent="0.35">
      <c r="A338" s="33">
        <v>335</v>
      </c>
      <c r="B338" s="34" t="s">
        <v>650</v>
      </c>
      <c r="C338" s="33" t="s">
        <v>346</v>
      </c>
      <c r="D338" s="33" t="s">
        <v>107</v>
      </c>
      <c r="E338" s="33" t="s">
        <v>638</v>
      </c>
      <c r="F338" s="35">
        <v>0.1</v>
      </c>
      <c r="G338" s="40">
        <v>0</v>
      </c>
      <c r="H338" s="40">
        <v>0</v>
      </c>
      <c r="I338" s="40">
        <v>0</v>
      </c>
      <c r="J338" s="40">
        <v>0</v>
      </c>
      <c r="K338" s="40">
        <v>0</v>
      </c>
      <c r="L338" s="40">
        <v>0</v>
      </c>
      <c r="M338" s="40" cm="1">
        <f t="array" ref="M338:N338">VLOOKUP(B338,'Fumigation  Room'!B:H,{6,7},0)</f>
        <v>0</v>
      </c>
      <c r="N338" s="40">
        <v>0</v>
      </c>
      <c r="O338" s="40">
        <f t="shared" si="11"/>
        <v>0</v>
      </c>
      <c r="P338" s="40">
        <f t="shared" si="12"/>
        <v>0</v>
      </c>
    </row>
    <row r="339" spans="1:16" x14ac:dyDescent="0.35">
      <c r="A339" s="33">
        <v>336</v>
      </c>
      <c r="B339" s="34" t="s">
        <v>651</v>
      </c>
      <c r="C339" s="33" t="s">
        <v>346</v>
      </c>
      <c r="D339" s="33" t="s">
        <v>107</v>
      </c>
      <c r="E339" s="33" t="s">
        <v>638</v>
      </c>
      <c r="F339" s="35">
        <v>1</v>
      </c>
      <c r="G339" s="40">
        <v>0</v>
      </c>
      <c r="H339" s="40">
        <v>0</v>
      </c>
      <c r="I339" s="40">
        <v>0</v>
      </c>
      <c r="J339" s="40">
        <v>0</v>
      </c>
      <c r="K339" s="40">
        <v>0</v>
      </c>
      <c r="L339" s="40">
        <v>0</v>
      </c>
      <c r="M339" s="40" cm="1">
        <f t="array" ref="M339:N339">VLOOKUP(B339,'Fumigation  Room'!B:H,{6,7},0)</f>
        <v>0</v>
      </c>
      <c r="N339" s="40">
        <v>0</v>
      </c>
      <c r="O339" s="40">
        <f t="shared" si="11"/>
        <v>0</v>
      </c>
      <c r="P339" s="40">
        <f t="shared" si="12"/>
        <v>0</v>
      </c>
    </row>
    <row r="340" spans="1:16" x14ac:dyDescent="0.35">
      <c r="A340" s="33">
        <v>337</v>
      </c>
      <c r="B340" s="34" t="s">
        <v>652</v>
      </c>
      <c r="C340" s="33" t="s">
        <v>346</v>
      </c>
      <c r="D340" s="33" t="s">
        <v>107</v>
      </c>
      <c r="E340" s="33" t="s">
        <v>638</v>
      </c>
      <c r="F340" s="35">
        <v>1</v>
      </c>
      <c r="G340" s="40">
        <v>0</v>
      </c>
      <c r="H340" s="40">
        <v>0</v>
      </c>
      <c r="I340" s="40">
        <v>0</v>
      </c>
      <c r="J340" s="40">
        <v>0</v>
      </c>
      <c r="K340" s="40">
        <v>0</v>
      </c>
      <c r="L340" s="40">
        <v>0</v>
      </c>
      <c r="M340" s="40" cm="1">
        <f t="array" ref="M340:N340">VLOOKUP(B340,'Fumigation  Room'!B:H,{6,7},0)</f>
        <v>0</v>
      </c>
      <c r="N340" s="40">
        <v>0</v>
      </c>
      <c r="O340" s="40">
        <f t="shared" si="11"/>
        <v>0</v>
      </c>
      <c r="P340" s="40">
        <f t="shared" si="12"/>
        <v>0</v>
      </c>
    </row>
    <row r="341" spans="1:16" x14ac:dyDescent="0.35">
      <c r="A341" s="33">
        <v>338</v>
      </c>
      <c r="B341" s="34" t="s">
        <v>653</v>
      </c>
      <c r="C341" s="33" t="s">
        <v>346</v>
      </c>
      <c r="D341" s="33" t="s">
        <v>107</v>
      </c>
      <c r="E341" s="33" t="s">
        <v>638</v>
      </c>
      <c r="F341" s="35">
        <v>0.1</v>
      </c>
      <c r="G341" s="40">
        <v>0</v>
      </c>
      <c r="H341" s="40">
        <v>0</v>
      </c>
      <c r="I341" s="40">
        <v>0</v>
      </c>
      <c r="J341" s="40">
        <v>0</v>
      </c>
      <c r="K341" s="40">
        <v>0</v>
      </c>
      <c r="L341" s="40">
        <v>0</v>
      </c>
      <c r="M341" s="40" cm="1">
        <f t="array" ref="M341:N341">VLOOKUP(B341,'Fumigation  Room'!B:H,{6,7},0)</f>
        <v>0</v>
      </c>
      <c r="N341" s="40">
        <v>0</v>
      </c>
      <c r="O341" s="40">
        <f t="shared" si="11"/>
        <v>0</v>
      </c>
      <c r="P341" s="40">
        <f t="shared" si="12"/>
        <v>0</v>
      </c>
    </row>
    <row r="342" spans="1:16" x14ac:dyDescent="0.35">
      <c r="A342" s="33">
        <v>339</v>
      </c>
      <c r="B342" s="34" t="s">
        <v>654</v>
      </c>
      <c r="C342" s="33" t="s">
        <v>346</v>
      </c>
      <c r="D342" s="33" t="s">
        <v>107</v>
      </c>
      <c r="E342" s="33" t="s">
        <v>638</v>
      </c>
      <c r="F342" s="35">
        <v>0.1</v>
      </c>
      <c r="G342" s="40">
        <v>0</v>
      </c>
      <c r="H342" s="40">
        <v>0</v>
      </c>
      <c r="I342" s="40">
        <v>0</v>
      </c>
      <c r="J342" s="40">
        <v>0</v>
      </c>
      <c r="K342" s="40">
        <v>0</v>
      </c>
      <c r="L342" s="40">
        <v>0</v>
      </c>
      <c r="M342" s="40" cm="1">
        <f t="array" ref="M342:N342">VLOOKUP(B342,'Fumigation  Room'!B:H,{6,7},0)</f>
        <v>0</v>
      </c>
      <c r="N342" s="40">
        <v>0</v>
      </c>
      <c r="O342" s="40">
        <f t="shared" si="11"/>
        <v>0</v>
      </c>
      <c r="P342" s="40">
        <f t="shared" si="12"/>
        <v>0</v>
      </c>
    </row>
    <row r="343" spans="1:16" x14ac:dyDescent="0.35">
      <c r="A343" s="33">
        <v>340</v>
      </c>
      <c r="B343" s="34" t="s">
        <v>655</v>
      </c>
      <c r="C343" s="33" t="s">
        <v>346</v>
      </c>
      <c r="D343" s="33" t="s">
        <v>107</v>
      </c>
      <c r="E343" s="33" t="s">
        <v>638</v>
      </c>
      <c r="F343" s="35">
        <v>0.23</v>
      </c>
      <c r="G343" s="40">
        <v>0</v>
      </c>
      <c r="H343" s="40">
        <v>0</v>
      </c>
      <c r="I343" s="40">
        <v>0</v>
      </c>
      <c r="J343" s="40">
        <v>0</v>
      </c>
      <c r="K343" s="40">
        <v>0</v>
      </c>
      <c r="L343" s="40">
        <v>0</v>
      </c>
      <c r="M343" s="40" cm="1">
        <f t="array" ref="M343:N343">VLOOKUP(B343,'Fumigation  Room'!B:H,{6,7},0)</f>
        <v>0</v>
      </c>
      <c r="N343" s="40">
        <v>0</v>
      </c>
      <c r="O343" s="40">
        <f t="shared" si="11"/>
        <v>0</v>
      </c>
      <c r="P343" s="40">
        <f t="shared" si="12"/>
        <v>0</v>
      </c>
    </row>
    <row r="344" spans="1:16" x14ac:dyDescent="0.35">
      <c r="A344" s="33">
        <v>341</v>
      </c>
      <c r="B344" s="34" t="s">
        <v>656</v>
      </c>
      <c r="C344" s="33" t="s">
        <v>346</v>
      </c>
      <c r="D344" s="33" t="s">
        <v>107</v>
      </c>
      <c r="E344" s="33" t="s">
        <v>638</v>
      </c>
      <c r="F344" s="35">
        <v>0.1</v>
      </c>
      <c r="G344" s="40">
        <v>0</v>
      </c>
      <c r="H344" s="40">
        <v>0</v>
      </c>
      <c r="I344" s="40">
        <v>0</v>
      </c>
      <c r="J344" s="40">
        <v>0</v>
      </c>
      <c r="K344" s="40">
        <v>0</v>
      </c>
      <c r="L344" s="40">
        <v>0</v>
      </c>
      <c r="M344" s="40" cm="1">
        <f t="array" ref="M344:N344">VLOOKUP(B344,'Fumigation  Room'!B:H,{6,7},0)</f>
        <v>0</v>
      </c>
      <c r="N344" s="40">
        <v>0</v>
      </c>
      <c r="O344" s="40">
        <f t="shared" si="11"/>
        <v>0</v>
      </c>
      <c r="P344" s="40">
        <f t="shared" si="12"/>
        <v>0</v>
      </c>
    </row>
    <row r="345" spans="1:16" x14ac:dyDescent="0.35">
      <c r="A345" s="33">
        <v>342</v>
      </c>
      <c r="B345" s="34" t="s">
        <v>657</v>
      </c>
      <c r="C345" s="33" t="s">
        <v>346</v>
      </c>
      <c r="D345" s="33" t="s">
        <v>107</v>
      </c>
      <c r="E345" s="33" t="s">
        <v>638</v>
      </c>
      <c r="F345" s="35">
        <v>1</v>
      </c>
      <c r="G345" s="40">
        <v>0</v>
      </c>
      <c r="H345" s="40">
        <v>0</v>
      </c>
      <c r="I345" s="40">
        <v>0</v>
      </c>
      <c r="J345" s="40">
        <v>0</v>
      </c>
      <c r="K345" s="40">
        <v>0</v>
      </c>
      <c r="L345" s="40">
        <v>0</v>
      </c>
      <c r="M345" s="40" cm="1">
        <f t="array" ref="M345:N345">VLOOKUP(B345,'Fumigation  Room'!B:H,{6,7},0)</f>
        <v>0</v>
      </c>
      <c r="N345" s="40">
        <v>0</v>
      </c>
      <c r="O345" s="40">
        <f t="shared" si="11"/>
        <v>0</v>
      </c>
      <c r="P345" s="40">
        <f t="shared" si="12"/>
        <v>0</v>
      </c>
    </row>
    <row r="346" spans="1:16" x14ac:dyDescent="0.35">
      <c r="A346" s="33">
        <v>343</v>
      </c>
      <c r="B346" s="34" t="s">
        <v>658</v>
      </c>
      <c r="C346" s="33" t="s">
        <v>346</v>
      </c>
      <c r="D346" s="33" t="s">
        <v>107</v>
      </c>
      <c r="E346" s="33" t="s">
        <v>638</v>
      </c>
      <c r="F346" s="35">
        <v>0.2</v>
      </c>
      <c r="G346" s="40">
        <v>0</v>
      </c>
      <c r="H346" s="40">
        <v>0</v>
      </c>
      <c r="I346" s="40">
        <v>0</v>
      </c>
      <c r="J346" s="40">
        <v>0</v>
      </c>
      <c r="K346" s="40">
        <v>0</v>
      </c>
      <c r="L346" s="40">
        <v>0</v>
      </c>
      <c r="M346" s="40" cm="1">
        <f t="array" ref="M346:N346">VLOOKUP(B346,'Fumigation  Room'!B:H,{6,7},0)</f>
        <v>0</v>
      </c>
      <c r="N346" s="40">
        <v>0</v>
      </c>
      <c r="O346" s="40">
        <f t="shared" si="11"/>
        <v>0</v>
      </c>
      <c r="P346" s="40">
        <f t="shared" si="12"/>
        <v>0</v>
      </c>
    </row>
    <row r="347" spans="1:16" x14ac:dyDescent="0.35">
      <c r="A347" s="33">
        <v>344</v>
      </c>
      <c r="B347" s="34" t="s">
        <v>659</v>
      </c>
      <c r="C347" s="33" t="s">
        <v>346</v>
      </c>
      <c r="D347" s="33" t="s">
        <v>107</v>
      </c>
      <c r="E347" s="33" t="s">
        <v>638</v>
      </c>
      <c r="F347" s="35">
        <v>0.5</v>
      </c>
      <c r="G347" s="40">
        <v>0</v>
      </c>
      <c r="H347" s="40">
        <v>0</v>
      </c>
      <c r="I347" s="40">
        <v>0</v>
      </c>
      <c r="J347" s="40">
        <v>0</v>
      </c>
      <c r="K347" s="40">
        <v>0</v>
      </c>
      <c r="L347" s="40">
        <v>0</v>
      </c>
      <c r="M347" s="40" cm="1">
        <f t="array" ref="M347:N347">VLOOKUP(B347,'Fumigation  Room'!B:H,{6,7},0)</f>
        <v>0</v>
      </c>
      <c r="N347" s="40">
        <v>0</v>
      </c>
      <c r="O347" s="40">
        <f t="shared" si="11"/>
        <v>0</v>
      </c>
      <c r="P347" s="40">
        <f t="shared" si="12"/>
        <v>0</v>
      </c>
    </row>
    <row r="348" spans="1:16" x14ac:dyDescent="0.35">
      <c r="A348" s="33">
        <v>345</v>
      </c>
      <c r="B348" s="34" t="s">
        <v>660</v>
      </c>
      <c r="C348" s="33" t="s">
        <v>297</v>
      </c>
      <c r="D348" s="33" t="s">
        <v>17</v>
      </c>
      <c r="E348" s="33" t="s">
        <v>661</v>
      </c>
      <c r="F348" s="35">
        <v>1</v>
      </c>
      <c r="G348" s="40">
        <v>0</v>
      </c>
      <c r="H348" s="40">
        <v>0</v>
      </c>
      <c r="I348" s="40">
        <v>0</v>
      </c>
      <c r="J348" s="40">
        <v>0</v>
      </c>
      <c r="K348" s="40">
        <v>0</v>
      </c>
      <c r="L348" s="40">
        <v>0</v>
      </c>
      <c r="M348" s="40" cm="1">
        <f t="array" ref="M348:N348">VLOOKUP(B348,'Fumigation  Room'!B:H,{6,7},0)</f>
        <v>0</v>
      </c>
      <c r="N348" s="40">
        <v>0</v>
      </c>
      <c r="O348" s="40">
        <f t="shared" si="11"/>
        <v>0</v>
      </c>
      <c r="P348" s="40">
        <f t="shared" si="12"/>
        <v>0</v>
      </c>
    </row>
    <row r="349" spans="1:16" x14ac:dyDescent="0.35">
      <c r="A349" s="33">
        <v>346</v>
      </c>
      <c r="B349" s="34" t="s">
        <v>662</v>
      </c>
      <c r="C349" s="33" t="s">
        <v>297</v>
      </c>
      <c r="D349" s="33" t="s">
        <v>17</v>
      </c>
      <c r="E349" s="33" t="s">
        <v>661</v>
      </c>
      <c r="F349" s="35">
        <v>1</v>
      </c>
      <c r="G349" s="40">
        <v>0</v>
      </c>
      <c r="H349" s="40">
        <v>0</v>
      </c>
      <c r="I349" s="40">
        <v>0</v>
      </c>
      <c r="J349" s="40">
        <v>0</v>
      </c>
      <c r="K349" s="40">
        <v>0</v>
      </c>
      <c r="L349" s="40">
        <v>0</v>
      </c>
      <c r="M349" s="40" cm="1">
        <f t="array" ref="M349:N349">VLOOKUP(B349,'Fumigation  Room'!B:H,{6,7},0)</f>
        <v>0</v>
      </c>
      <c r="N349" s="40">
        <v>0</v>
      </c>
      <c r="O349" s="40">
        <f t="shared" si="11"/>
        <v>0</v>
      </c>
      <c r="P349" s="40">
        <f t="shared" si="12"/>
        <v>0</v>
      </c>
    </row>
    <row r="350" spans="1:16" x14ac:dyDescent="0.35">
      <c r="A350" s="33">
        <v>347</v>
      </c>
      <c r="B350" s="34" t="s">
        <v>663</v>
      </c>
      <c r="C350" s="33" t="s">
        <v>297</v>
      </c>
      <c r="D350" s="33" t="s">
        <v>17</v>
      </c>
      <c r="E350" s="33" t="s">
        <v>661</v>
      </c>
      <c r="F350" s="35">
        <v>1</v>
      </c>
      <c r="G350" s="40">
        <v>0</v>
      </c>
      <c r="H350" s="40">
        <v>0</v>
      </c>
      <c r="I350" s="40">
        <v>0</v>
      </c>
      <c r="J350" s="40">
        <v>0</v>
      </c>
      <c r="K350" s="40">
        <v>0</v>
      </c>
      <c r="L350" s="40">
        <v>0</v>
      </c>
      <c r="M350" s="40" cm="1">
        <f t="array" ref="M350:N350">VLOOKUP(B350,'Fumigation  Room'!B:H,{6,7},0)</f>
        <v>0</v>
      </c>
      <c r="N350" s="40">
        <v>0</v>
      </c>
      <c r="O350" s="40">
        <f t="shared" si="11"/>
        <v>0</v>
      </c>
      <c r="P350" s="40">
        <f t="shared" si="12"/>
        <v>0</v>
      </c>
    </row>
    <row r="351" spans="1:16" x14ac:dyDescent="0.35">
      <c r="A351" s="33">
        <v>348</v>
      </c>
      <c r="B351" s="34" t="s">
        <v>664</v>
      </c>
      <c r="C351" s="33" t="s">
        <v>297</v>
      </c>
      <c r="D351" s="33" t="s">
        <v>17</v>
      </c>
      <c r="E351" s="33" t="s">
        <v>661</v>
      </c>
      <c r="F351" s="35">
        <v>1</v>
      </c>
      <c r="G351" s="40">
        <v>0</v>
      </c>
      <c r="H351" s="40">
        <v>0</v>
      </c>
      <c r="I351" s="40">
        <v>0</v>
      </c>
      <c r="J351" s="40">
        <v>0</v>
      </c>
      <c r="K351" s="40">
        <v>0</v>
      </c>
      <c r="L351" s="40">
        <v>0</v>
      </c>
      <c r="M351" s="40" cm="1">
        <f t="array" ref="M351:N351">VLOOKUP(B351,'Fumigation  Room'!B:H,{6,7},0)</f>
        <v>0</v>
      </c>
      <c r="N351" s="40">
        <v>13.5</v>
      </c>
      <c r="O351" s="40">
        <f t="shared" si="11"/>
        <v>0</v>
      </c>
      <c r="P351" s="40">
        <f t="shared" si="12"/>
        <v>13.5</v>
      </c>
    </row>
    <row r="352" spans="1:16" x14ac:dyDescent="0.35">
      <c r="A352" s="33">
        <v>349</v>
      </c>
      <c r="B352" s="34" t="s">
        <v>678</v>
      </c>
      <c r="C352" s="33" t="s">
        <v>346</v>
      </c>
      <c r="D352" s="33" t="s">
        <v>17</v>
      </c>
      <c r="E352" s="33" t="s">
        <v>661</v>
      </c>
      <c r="F352" s="35">
        <v>1</v>
      </c>
      <c r="G352" s="40">
        <v>0</v>
      </c>
      <c r="H352" s="40">
        <v>0</v>
      </c>
      <c r="I352" s="40">
        <v>0</v>
      </c>
      <c r="J352" s="40">
        <v>0</v>
      </c>
      <c r="K352" s="40">
        <v>0</v>
      </c>
      <c r="L352" s="40">
        <v>0</v>
      </c>
      <c r="M352" s="40" cm="1">
        <f t="array" ref="M352:N352">VLOOKUP(B352,'Fumigation  Room'!B:H,{6,7},0)</f>
        <v>0</v>
      </c>
      <c r="N352" s="40">
        <v>0</v>
      </c>
      <c r="O352" s="40">
        <f t="shared" si="11"/>
        <v>0</v>
      </c>
      <c r="P352" s="40">
        <f t="shared" si="12"/>
        <v>0</v>
      </c>
    </row>
    <row r="353" spans="1:16" x14ac:dyDescent="0.35">
      <c r="A353" s="33">
        <v>350</v>
      </c>
      <c r="B353" s="34" t="s">
        <v>679</v>
      </c>
      <c r="C353" s="33" t="s">
        <v>346</v>
      </c>
      <c r="D353" s="33" t="s">
        <v>17</v>
      </c>
      <c r="E353" s="33" t="s">
        <v>661</v>
      </c>
      <c r="F353" s="35">
        <v>0.2</v>
      </c>
      <c r="G353" s="40">
        <v>0</v>
      </c>
      <c r="H353" s="40">
        <v>0</v>
      </c>
      <c r="I353" s="40">
        <v>0</v>
      </c>
      <c r="J353" s="40">
        <v>0</v>
      </c>
      <c r="K353" s="40">
        <v>0</v>
      </c>
      <c r="L353" s="40">
        <v>0</v>
      </c>
      <c r="M353" s="40" cm="1">
        <f t="array" ref="M353:N353">VLOOKUP(B353,'Fumigation  Room'!B:H,{6,7},0)</f>
        <v>0</v>
      </c>
      <c r="N353" s="40">
        <v>0</v>
      </c>
      <c r="O353" s="40">
        <f t="shared" si="11"/>
        <v>0</v>
      </c>
      <c r="P353" s="40">
        <f t="shared" si="12"/>
        <v>0</v>
      </c>
    </row>
    <row r="354" spans="1:16" x14ac:dyDescent="0.35">
      <c r="A354" s="33">
        <v>351</v>
      </c>
      <c r="B354" s="34" t="s">
        <v>680</v>
      </c>
      <c r="C354" s="33" t="s">
        <v>346</v>
      </c>
      <c r="D354" s="33" t="s">
        <v>17</v>
      </c>
      <c r="E354" s="33" t="s">
        <v>661</v>
      </c>
      <c r="F354" s="35">
        <v>0.2</v>
      </c>
      <c r="G354" s="40">
        <v>0</v>
      </c>
      <c r="H354" s="40">
        <v>0</v>
      </c>
      <c r="I354" s="40">
        <v>0</v>
      </c>
      <c r="J354" s="40">
        <v>0</v>
      </c>
      <c r="K354" s="40">
        <v>0</v>
      </c>
      <c r="L354" s="40">
        <v>0</v>
      </c>
      <c r="M354" s="40" cm="1">
        <f t="array" ref="M354:N354">VLOOKUP(B354,'Fumigation  Room'!B:H,{6,7},0)</f>
        <v>0</v>
      </c>
      <c r="N354" s="40">
        <v>0</v>
      </c>
      <c r="O354" s="40">
        <f t="shared" si="11"/>
        <v>0</v>
      </c>
      <c r="P354" s="40">
        <f t="shared" si="12"/>
        <v>0</v>
      </c>
    </row>
    <row r="355" spans="1:16" x14ac:dyDescent="0.35">
      <c r="A355" s="33">
        <v>352</v>
      </c>
      <c r="B355" s="34" t="s">
        <v>681</v>
      </c>
      <c r="C355" s="33" t="s">
        <v>346</v>
      </c>
      <c r="D355" s="33" t="s">
        <v>17</v>
      </c>
      <c r="E355" s="33" t="s">
        <v>661</v>
      </c>
      <c r="F355" s="35">
        <v>1</v>
      </c>
      <c r="G355" s="40">
        <v>0</v>
      </c>
      <c r="H355" s="40">
        <v>0</v>
      </c>
      <c r="I355" s="40">
        <v>0</v>
      </c>
      <c r="J355" s="40">
        <v>0</v>
      </c>
      <c r="K355" s="40">
        <v>0</v>
      </c>
      <c r="L355" s="40">
        <v>0</v>
      </c>
      <c r="M355" s="40" cm="1">
        <f t="array" ref="M355:N355">VLOOKUP(B355,'Fumigation  Room'!B:H,{6,7},0)</f>
        <v>0</v>
      </c>
      <c r="N355" s="40">
        <v>0</v>
      </c>
      <c r="O355" s="40">
        <f t="shared" si="11"/>
        <v>0</v>
      </c>
      <c r="P355" s="40">
        <f t="shared" si="12"/>
        <v>0</v>
      </c>
    </row>
    <row r="356" spans="1:16" x14ac:dyDescent="0.35">
      <c r="A356" s="33">
        <v>353</v>
      </c>
      <c r="B356" s="34" t="s">
        <v>665</v>
      </c>
      <c r="C356" s="33" t="s">
        <v>297</v>
      </c>
      <c r="D356" s="33" t="s">
        <v>17</v>
      </c>
      <c r="E356" s="33" t="s">
        <v>666</v>
      </c>
      <c r="F356" s="35">
        <v>1</v>
      </c>
      <c r="G356" s="40">
        <v>0</v>
      </c>
      <c r="H356" s="40">
        <v>0</v>
      </c>
      <c r="I356" s="40">
        <v>0</v>
      </c>
      <c r="J356" s="40">
        <v>0</v>
      </c>
      <c r="K356" s="40">
        <v>0</v>
      </c>
      <c r="L356" s="40">
        <v>0</v>
      </c>
      <c r="M356" s="40" cm="1">
        <f t="array" ref="M356:N356">VLOOKUP(B356,'Fumigation  Room'!B:H,{6,7},0)</f>
        <v>0</v>
      </c>
      <c r="N356" s="40">
        <v>0</v>
      </c>
      <c r="O356" s="40">
        <f t="shared" si="11"/>
        <v>0</v>
      </c>
      <c r="P356" s="40">
        <f t="shared" si="12"/>
        <v>0</v>
      </c>
    </row>
    <row r="357" spans="1:16" x14ac:dyDescent="0.35">
      <c r="A357" s="33">
        <v>354</v>
      </c>
      <c r="B357" s="34" t="s">
        <v>667</v>
      </c>
      <c r="C357" s="33" t="s">
        <v>297</v>
      </c>
      <c r="D357" s="33" t="s">
        <v>17</v>
      </c>
      <c r="E357" s="33" t="s">
        <v>666</v>
      </c>
      <c r="F357" s="35">
        <v>1</v>
      </c>
      <c r="G357" s="40">
        <v>0</v>
      </c>
      <c r="H357" s="40">
        <v>0</v>
      </c>
      <c r="I357" s="40">
        <v>0</v>
      </c>
      <c r="J357" s="40">
        <v>0</v>
      </c>
      <c r="K357" s="40">
        <v>0</v>
      </c>
      <c r="L357" s="40">
        <v>0</v>
      </c>
      <c r="M357" s="40" cm="1">
        <f t="array" ref="M357:N357">VLOOKUP(B357,'Fumigation  Room'!B:H,{6,7},0)</f>
        <v>0</v>
      </c>
      <c r="N357" s="40">
        <v>0</v>
      </c>
      <c r="O357" s="40">
        <f t="shared" si="11"/>
        <v>0</v>
      </c>
      <c r="P357" s="40">
        <f t="shared" si="12"/>
        <v>0</v>
      </c>
    </row>
    <row r="358" spans="1:16" x14ac:dyDescent="0.35">
      <c r="A358" s="33">
        <v>355</v>
      </c>
      <c r="B358" s="34" t="s">
        <v>668</v>
      </c>
      <c r="C358" s="33" t="s">
        <v>297</v>
      </c>
      <c r="D358" s="33" t="s">
        <v>17</v>
      </c>
      <c r="E358" s="33" t="s">
        <v>666</v>
      </c>
      <c r="F358" s="35">
        <v>1</v>
      </c>
      <c r="G358" s="40">
        <v>0</v>
      </c>
      <c r="H358" s="40">
        <v>0</v>
      </c>
      <c r="I358" s="40">
        <v>0</v>
      </c>
      <c r="J358" s="40">
        <v>0</v>
      </c>
      <c r="K358" s="40">
        <v>0</v>
      </c>
      <c r="L358" s="40">
        <v>0</v>
      </c>
      <c r="M358" s="40" cm="1">
        <f t="array" ref="M358:N358">VLOOKUP(B358,'Fumigation  Room'!B:H,{6,7},0)</f>
        <v>0</v>
      </c>
      <c r="N358" s="40">
        <v>0</v>
      </c>
      <c r="O358" s="40">
        <f t="shared" si="11"/>
        <v>0</v>
      </c>
      <c r="P358" s="40">
        <f t="shared" si="12"/>
        <v>0</v>
      </c>
    </row>
    <row r="359" spans="1:16" x14ac:dyDescent="0.35">
      <c r="A359" s="33">
        <v>356</v>
      </c>
      <c r="B359" s="34" t="s">
        <v>669</v>
      </c>
      <c r="C359" s="33" t="s">
        <v>297</v>
      </c>
      <c r="D359" s="33" t="s">
        <v>17</v>
      </c>
      <c r="E359" s="33" t="s">
        <v>666</v>
      </c>
      <c r="F359" s="35">
        <v>1</v>
      </c>
      <c r="G359" s="40">
        <v>0</v>
      </c>
      <c r="H359" s="40">
        <v>0</v>
      </c>
      <c r="I359" s="40">
        <v>0</v>
      </c>
      <c r="J359" s="40">
        <v>0</v>
      </c>
      <c r="K359" s="40">
        <v>0</v>
      </c>
      <c r="L359" s="40">
        <v>0</v>
      </c>
      <c r="M359" s="40" cm="1">
        <f t="array" ref="M359:N359">VLOOKUP(B359,'Fumigation  Room'!B:H,{6,7},0)</f>
        <v>0</v>
      </c>
      <c r="N359" s="40">
        <v>0</v>
      </c>
      <c r="O359" s="40">
        <f t="shared" si="11"/>
        <v>0</v>
      </c>
      <c r="P359" s="40">
        <f t="shared" si="12"/>
        <v>0</v>
      </c>
    </row>
    <row r="360" spans="1:16" x14ac:dyDescent="0.35">
      <c r="A360" s="33">
        <v>357</v>
      </c>
      <c r="B360" s="34" t="s">
        <v>670</v>
      </c>
      <c r="C360" s="33" t="s">
        <v>297</v>
      </c>
      <c r="D360" s="33" t="s">
        <v>17</v>
      </c>
      <c r="E360" s="33" t="s">
        <v>666</v>
      </c>
      <c r="F360" s="35">
        <v>1</v>
      </c>
      <c r="G360" s="40">
        <v>0</v>
      </c>
      <c r="H360" s="40">
        <v>0</v>
      </c>
      <c r="I360" s="40">
        <v>0</v>
      </c>
      <c r="J360" s="40">
        <v>0</v>
      </c>
      <c r="K360" s="40">
        <v>0</v>
      </c>
      <c r="L360" s="40">
        <v>0</v>
      </c>
      <c r="M360" s="40" cm="1">
        <f t="array" ref="M360:N360">VLOOKUP(B360,'Fumigation  Room'!B:H,{6,7},0)</f>
        <v>0</v>
      </c>
      <c r="N360" s="40">
        <v>0</v>
      </c>
      <c r="O360" s="40">
        <f t="shared" si="11"/>
        <v>0</v>
      </c>
      <c r="P360" s="40">
        <f t="shared" si="12"/>
        <v>0</v>
      </c>
    </row>
    <row r="361" spans="1:16" x14ac:dyDescent="0.35">
      <c r="A361" s="33">
        <v>358</v>
      </c>
      <c r="B361" s="34" t="s">
        <v>671</v>
      </c>
      <c r="C361" s="33" t="s">
        <v>297</v>
      </c>
      <c r="D361" s="33" t="s">
        <v>17</v>
      </c>
      <c r="E361" s="33" t="s">
        <v>666</v>
      </c>
      <c r="F361" s="35">
        <v>1</v>
      </c>
      <c r="G361" s="40">
        <v>0</v>
      </c>
      <c r="H361" s="40">
        <v>0</v>
      </c>
      <c r="I361" s="40">
        <v>0</v>
      </c>
      <c r="J361" s="40">
        <v>0</v>
      </c>
      <c r="K361" s="40">
        <v>0</v>
      </c>
      <c r="L361" s="40">
        <v>0</v>
      </c>
      <c r="M361" s="40" cm="1">
        <f t="array" ref="M361:N361">VLOOKUP(B361,'Fumigation  Room'!B:H,{6,7},0)</f>
        <v>0</v>
      </c>
      <c r="N361" s="40">
        <v>0</v>
      </c>
      <c r="O361" s="40">
        <f t="shared" si="11"/>
        <v>0</v>
      </c>
      <c r="P361" s="40">
        <f t="shared" si="12"/>
        <v>0</v>
      </c>
    </row>
    <row r="362" spans="1:16" x14ac:dyDescent="0.35">
      <c r="A362" s="33">
        <v>359</v>
      </c>
      <c r="B362" s="34" t="s">
        <v>672</v>
      </c>
      <c r="C362" s="33" t="s">
        <v>297</v>
      </c>
      <c r="D362" s="33" t="s">
        <v>17</v>
      </c>
      <c r="E362" s="33" t="s">
        <v>666</v>
      </c>
      <c r="F362" s="35">
        <v>1</v>
      </c>
      <c r="G362" s="40">
        <v>0</v>
      </c>
      <c r="H362" s="40">
        <v>0</v>
      </c>
      <c r="I362" s="40">
        <v>0</v>
      </c>
      <c r="J362" s="40">
        <v>0</v>
      </c>
      <c r="K362" s="40">
        <v>0</v>
      </c>
      <c r="L362" s="40">
        <v>0</v>
      </c>
      <c r="M362" s="40" cm="1">
        <f t="array" ref="M362:N362">VLOOKUP(B362,'Fumigation  Room'!B:H,{6,7},0)</f>
        <v>0</v>
      </c>
      <c r="N362" s="40">
        <v>10</v>
      </c>
      <c r="O362" s="40">
        <f t="shared" si="11"/>
        <v>0</v>
      </c>
      <c r="P362" s="40">
        <f t="shared" si="12"/>
        <v>10</v>
      </c>
    </row>
    <row r="363" spans="1:16" x14ac:dyDescent="0.35">
      <c r="A363" s="33">
        <v>360</v>
      </c>
      <c r="B363" s="34" t="s">
        <v>673</v>
      </c>
      <c r="C363" s="33" t="s">
        <v>297</v>
      </c>
      <c r="D363" s="33" t="s">
        <v>17</v>
      </c>
      <c r="E363" s="33" t="s">
        <v>666</v>
      </c>
      <c r="F363" s="35">
        <v>1</v>
      </c>
      <c r="G363" s="40">
        <v>0</v>
      </c>
      <c r="H363" s="40">
        <v>0</v>
      </c>
      <c r="I363" s="40">
        <v>0</v>
      </c>
      <c r="J363" s="40">
        <v>0</v>
      </c>
      <c r="K363" s="40">
        <v>0</v>
      </c>
      <c r="L363" s="40">
        <v>0</v>
      </c>
      <c r="M363" s="40" cm="1">
        <f t="array" ref="M363:N363">VLOOKUP(B363,'Fumigation  Room'!B:H,{6,7},0)</f>
        <v>0</v>
      </c>
      <c r="N363" s="40">
        <v>0</v>
      </c>
      <c r="O363" s="40">
        <f t="shared" si="11"/>
        <v>0</v>
      </c>
      <c r="P363" s="40">
        <f t="shared" si="12"/>
        <v>0</v>
      </c>
    </row>
    <row r="364" spans="1:16" x14ac:dyDescent="0.35">
      <c r="A364" s="33">
        <v>361</v>
      </c>
      <c r="B364" s="34" t="s">
        <v>674</v>
      </c>
      <c r="C364" s="33" t="s">
        <v>297</v>
      </c>
      <c r="D364" s="33" t="s">
        <v>17</v>
      </c>
      <c r="E364" s="33" t="s">
        <v>666</v>
      </c>
      <c r="F364" s="35">
        <v>1</v>
      </c>
      <c r="G364" s="40">
        <v>0</v>
      </c>
      <c r="H364" s="40">
        <v>0</v>
      </c>
      <c r="I364" s="40">
        <v>0</v>
      </c>
      <c r="J364" s="40">
        <v>0</v>
      </c>
      <c r="K364" s="40">
        <v>0</v>
      </c>
      <c r="L364" s="40">
        <v>0</v>
      </c>
      <c r="M364" s="40" cm="1">
        <f t="array" ref="M364:N364">VLOOKUP(B364,'Fumigation  Room'!B:H,{6,7},0)</f>
        <v>0</v>
      </c>
      <c r="N364" s="40">
        <v>0</v>
      </c>
      <c r="O364" s="40">
        <f t="shared" si="11"/>
        <v>0</v>
      </c>
      <c r="P364" s="40">
        <f t="shared" si="12"/>
        <v>0</v>
      </c>
    </row>
    <row r="365" spans="1:16" x14ac:dyDescent="0.35">
      <c r="A365" s="33">
        <v>362</v>
      </c>
      <c r="B365" s="34" t="s">
        <v>675</v>
      </c>
      <c r="C365" s="33" t="s">
        <v>297</v>
      </c>
      <c r="D365" s="33" t="s">
        <v>17</v>
      </c>
      <c r="E365" s="33" t="s">
        <v>666</v>
      </c>
      <c r="F365" s="35">
        <v>1</v>
      </c>
      <c r="G365" s="40">
        <v>0</v>
      </c>
      <c r="H365" s="40">
        <v>0</v>
      </c>
      <c r="I365" s="40">
        <v>0</v>
      </c>
      <c r="J365" s="40">
        <v>0</v>
      </c>
      <c r="K365" s="40">
        <v>0</v>
      </c>
      <c r="L365" s="40">
        <v>0</v>
      </c>
      <c r="M365" s="40" cm="1">
        <f t="array" ref="M365:N365">VLOOKUP(B365,'Fumigation  Room'!B:H,{6,7},0)</f>
        <v>0</v>
      </c>
      <c r="N365" s="40">
        <v>0</v>
      </c>
      <c r="O365" s="40">
        <f t="shared" si="11"/>
        <v>0</v>
      </c>
      <c r="P365" s="40">
        <f t="shared" si="12"/>
        <v>0</v>
      </c>
    </row>
    <row r="366" spans="1:16" x14ac:dyDescent="0.35">
      <c r="A366" s="33">
        <v>363</v>
      </c>
      <c r="B366" s="34" t="s">
        <v>676</v>
      </c>
      <c r="C366" s="33" t="s">
        <v>297</v>
      </c>
      <c r="D366" s="33" t="s">
        <v>17</v>
      </c>
      <c r="E366" s="33" t="s">
        <v>666</v>
      </c>
      <c r="F366" s="35">
        <v>1</v>
      </c>
      <c r="G366" s="40">
        <v>0</v>
      </c>
      <c r="H366" s="40">
        <v>0</v>
      </c>
      <c r="I366" s="40">
        <v>0</v>
      </c>
      <c r="J366" s="40">
        <v>0</v>
      </c>
      <c r="K366" s="40">
        <v>0</v>
      </c>
      <c r="L366" s="40">
        <v>0</v>
      </c>
      <c r="M366" s="40" cm="1">
        <f t="array" ref="M366:N366">VLOOKUP(B366,'Fumigation  Room'!B:H,{6,7},0)</f>
        <v>0</v>
      </c>
      <c r="N366" s="40">
        <v>0</v>
      </c>
      <c r="O366" s="40">
        <f t="shared" si="11"/>
        <v>0</v>
      </c>
      <c r="P366" s="40">
        <f t="shared" si="12"/>
        <v>0</v>
      </c>
    </row>
    <row r="367" spans="1:16" x14ac:dyDescent="0.35">
      <c r="A367" s="33">
        <v>364</v>
      </c>
      <c r="B367" s="34" t="s">
        <v>682</v>
      </c>
      <c r="C367" s="33" t="s">
        <v>346</v>
      </c>
      <c r="D367" s="33" t="s">
        <v>17</v>
      </c>
      <c r="E367" s="33" t="s">
        <v>666</v>
      </c>
      <c r="F367" s="35">
        <v>1</v>
      </c>
      <c r="G367" s="40">
        <v>0</v>
      </c>
      <c r="H367" s="40">
        <v>0</v>
      </c>
      <c r="I367" s="40">
        <v>0</v>
      </c>
      <c r="J367" s="40">
        <v>0</v>
      </c>
      <c r="K367" s="40">
        <v>0</v>
      </c>
      <c r="L367" s="40">
        <v>0</v>
      </c>
      <c r="M367" s="40" cm="1">
        <f t="array" ref="M367:N367">VLOOKUP(B367,'Fumigation  Room'!B:H,{6,7},0)</f>
        <v>0</v>
      </c>
      <c r="N367" s="40">
        <v>0</v>
      </c>
      <c r="O367" s="40">
        <f t="shared" si="11"/>
        <v>0</v>
      </c>
      <c r="P367" s="40">
        <f t="shared" si="12"/>
        <v>0</v>
      </c>
    </row>
    <row r="368" spans="1:16" x14ac:dyDescent="0.35">
      <c r="A368" s="33">
        <v>365</v>
      </c>
      <c r="B368" s="34" t="s">
        <v>683</v>
      </c>
      <c r="C368" s="33" t="s">
        <v>346</v>
      </c>
      <c r="D368" s="33" t="s">
        <v>17</v>
      </c>
      <c r="E368" s="33" t="s">
        <v>666</v>
      </c>
      <c r="F368" s="35">
        <v>1</v>
      </c>
      <c r="G368" s="40">
        <v>0</v>
      </c>
      <c r="H368" s="40">
        <v>0</v>
      </c>
      <c r="I368" s="40">
        <v>0</v>
      </c>
      <c r="J368" s="40">
        <v>0</v>
      </c>
      <c r="K368" s="40">
        <v>0</v>
      </c>
      <c r="L368" s="40">
        <v>0</v>
      </c>
      <c r="M368" s="40" cm="1">
        <f t="array" ref="M368:N368">VLOOKUP(B368,'Fumigation  Room'!B:H,{6,7},0)</f>
        <v>0</v>
      </c>
      <c r="N368" s="40">
        <v>0</v>
      </c>
      <c r="O368" s="40">
        <f t="shared" si="11"/>
        <v>0</v>
      </c>
      <c r="P368" s="40">
        <f t="shared" si="12"/>
        <v>0</v>
      </c>
    </row>
    <row r="369" spans="1:16" x14ac:dyDescent="0.35">
      <c r="A369" s="33">
        <v>366</v>
      </c>
      <c r="B369" s="34" t="s">
        <v>216</v>
      </c>
      <c r="C369" s="33" t="s">
        <v>346</v>
      </c>
      <c r="D369" s="33" t="s">
        <v>17</v>
      </c>
      <c r="E369" s="33" t="s">
        <v>666</v>
      </c>
      <c r="F369" s="35">
        <v>1</v>
      </c>
      <c r="G369" s="40">
        <v>0</v>
      </c>
      <c r="H369" s="40">
        <v>0</v>
      </c>
      <c r="I369" s="40">
        <v>0</v>
      </c>
      <c r="J369" s="40">
        <v>0</v>
      </c>
      <c r="K369" s="40">
        <v>0</v>
      </c>
      <c r="L369" s="40">
        <f>VLOOKUP(B369,'Packing Off Grade'!I:J,2,0)</f>
        <v>22.7</v>
      </c>
      <c r="M369" s="40" cm="1">
        <f t="array" ref="M369:N369">VLOOKUP(B369,'Fumigation  Room'!B:H,{6,7},0)</f>
        <v>0</v>
      </c>
      <c r="N369" s="40">
        <v>40.15</v>
      </c>
      <c r="O369" s="40">
        <f t="shared" si="11"/>
        <v>0</v>
      </c>
      <c r="P369" s="40">
        <f t="shared" si="12"/>
        <v>62.849999999999994</v>
      </c>
    </row>
    <row r="370" spans="1:16" x14ac:dyDescent="0.35">
      <c r="A370" s="33">
        <v>367</v>
      </c>
      <c r="B370" s="34" t="s">
        <v>684</v>
      </c>
      <c r="C370" s="33" t="s">
        <v>346</v>
      </c>
      <c r="D370" s="33" t="s">
        <v>17</v>
      </c>
      <c r="E370" s="33" t="s">
        <v>666</v>
      </c>
      <c r="F370" s="35">
        <v>1</v>
      </c>
      <c r="G370" s="40">
        <v>0</v>
      </c>
      <c r="H370" s="40">
        <v>0</v>
      </c>
      <c r="I370" s="40">
        <v>0</v>
      </c>
      <c r="J370" s="40">
        <v>0</v>
      </c>
      <c r="K370" s="40">
        <v>0</v>
      </c>
      <c r="L370" s="40">
        <v>0</v>
      </c>
      <c r="M370" s="40" cm="1">
        <f t="array" ref="M370:N370">VLOOKUP(B370,'Fumigation  Room'!B:H,{6,7},0)</f>
        <v>0</v>
      </c>
      <c r="N370" s="40">
        <v>0</v>
      </c>
      <c r="O370" s="40">
        <f t="shared" si="11"/>
        <v>0</v>
      </c>
      <c r="P370" s="40">
        <f t="shared" si="12"/>
        <v>0</v>
      </c>
    </row>
    <row r="371" spans="1:16" x14ac:dyDescent="0.35">
      <c r="A371" s="33">
        <v>368</v>
      </c>
      <c r="B371" s="34" t="s">
        <v>685</v>
      </c>
      <c r="C371" s="33" t="s">
        <v>346</v>
      </c>
      <c r="D371" s="33" t="s">
        <v>17</v>
      </c>
      <c r="E371" s="33" t="s">
        <v>666</v>
      </c>
      <c r="F371" s="35">
        <v>0.23</v>
      </c>
      <c r="G371" s="40">
        <v>0</v>
      </c>
      <c r="H371" s="40">
        <v>0</v>
      </c>
      <c r="I371" s="40">
        <v>0</v>
      </c>
      <c r="J371" s="40">
        <v>0</v>
      </c>
      <c r="K371" s="40">
        <v>0</v>
      </c>
      <c r="L371" s="40">
        <v>0</v>
      </c>
      <c r="M371" s="40" cm="1">
        <f t="array" ref="M371:N371">VLOOKUP(B371,'Fumigation  Room'!B:H,{6,7},0)</f>
        <v>0</v>
      </c>
      <c r="N371" s="40">
        <v>0</v>
      </c>
      <c r="O371" s="40">
        <f t="shared" si="11"/>
        <v>0</v>
      </c>
      <c r="P371" s="40">
        <f t="shared" si="12"/>
        <v>0</v>
      </c>
    </row>
    <row r="372" spans="1:16" x14ac:dyDescent="0.35">
      <c r="A372" s="33">
        <v>369</v>
      </c>
      <c r="B372" s="34" t="s">
        <v>686</v>
      </c>
      <c r="C372" s="33" t="s">
        <v>346</v>
      </c>
      <c r="D372" s="33" t="s">
        <v>17</v>
      </c>
      <c r="E372" s="33" t="s">
        <v>666</v>
      </c>
      <c r="F372" s="35">
        <v>0.25</v>
      </c>
      <c r="G372" s="40">
        <v>0</v>
      </c>
      <c r="H372" s="40">
        <v>0</v>
      </c>
      <c r="I372" s="40">
        <v>0</v>
      </c>
      <c r="J372" s="40">
        <v>0</v>
      </c>
      <c r="K372" s="40">
        <v>0</v>
      </c>
      <c r="L372" s="40">
        <v>0</v>
      </c>
      <c r="M372" s="40" cm="1">
        <f t="array" ref="M372:N372">VLOOKUP(B372,'Fumigation  Room'!B:H,{6,7},0)</f>
        <v>0</v>
      </c>
      <c r="N372" s="40">
        <v>0</v>
      </c>
      <c r="O372" s="40">
        <f t="shared" si="11"/>
        <v>0</v>
      </c>
      <c r="P372" s="40">
        <f t="shared" si="12"/>
        <v>0</v>
      </c>
    </row>
    <row r="373" spans="1:16" x14ac:dyDescent="0.35">
      <c r="A373" s="33">
        <v>370</v>
      </c>
      <c r="B373" s="34" t="s">
        <v>687</v>
      </c>
      <c r="C373" s="33" t="s">
        <v>346</v>
      </c>
      <c r="D373" s="33" t="s">
        <v>17</v>
      </c>
      <c r="E373" s="33" t="s">
        <v>666</v>
      </c>
      <c r="F373" s="35">
        <v>0.25</v>
      </c>
      <c r="G373" s="40">
        <v>0</v>
      </c>
      <c r="H373" s="40">
        <v>0</v>
      </c>
      <c r="I373" s="40">
        <v>0</v>
      </c>
      <c r="J373" s="40">
        <v>0</v>
      </c>
      <c r="K373" s="40">
        <v>0</v>
      </c>
      <c r="L373" s="40">
        <v>0</v>
      </c>
      <c r="M373" s="40" cm="1">
        <f t="array" ref="M373:N373">VLOOKUP(B373,'Fumigation  Room'!B:H,{6,7},0)</f>
        <v>0</v>
      </c>
      <c r="N373" s="40">
        <v>0</v>
      </c>
      <c r="O373" s="40">
        <f t="shared" si="11"/>
        <v>0</v>
      </c>
      <c r="P373" s="40">
        <f t="shared" si="12"/>
        <v>0</v>
      </c>
    </row>
    <row r="374" spans="1:16" x14ac:dyDescent="0.35">
      <c r="A374" s="33">
        <v>371</v>
      </c>
      <c r="B374" s="34" t="s">
        <v>688</v>
      </c>
      <c r="C374" s="33" t="s">
        <v>346</v>
      </c>
      <c r="D374" s="33" t="s">
        <v>17</v>
      </c>
      <c r="E374" s="33" t="s">
        <v>666</v>
      </c>
      <c r="F374" s="35">
        <v>0.5</v>
      </c>
      <c r="G374" s="40">
        <v>0</v>
      </c>
      <c r="H374" s="40">
        <v>0</v>
      </c>
      <c r="I374" s="40">
        <v>0</v>
      </c>
      <c r="J374" s="40">
        <v>0</v>
      </c>
      <c r="K374" s="40">
        <v>0</v>
      </c>
      <c r="L374" s="40">
        <v>0</v>
      </c>
      <c r="M374" s="40" cm="1">
        <f t="array" ref="M374:N374">VLOOKUP(B374,'Fumigation  Room'!B:H,{6,7},0)</f>
        <v>0</v>
      </c>
      <c r="N374" s="40">
        <v>0</v>
      </c>
      <c r="O374" s="40">
        <f t="shared" si="11"/>
        <v>0</v>
      </c>
      <c r="P374" s="40">
        <f t="shared" si="12"/>
        <v>0</v>
      </c>
    </row>
    <row r="375" spans="1:16" x14ac:dyDescent="0.35">
      <c r="A375" s="33">
        <v>372</v>
      </c>
      <c r="B375" s="34" t="s">
        <v>689</v>
      </c>
      <c r="C375" s="33" t="s">
        <v>346</v>
      </c>
      <c r="D375" s="33" t="s">
        <v>17</v>
      </c>
      <c r="E375" s="33" t="s">
        <v>666</v>
      </c>
      <c r="F375" s="35">
        <v>0.25</v>
      </c>
      <c r="G375" s="40">
        <v>0</v>
      </c>
      <c r="H375" s="40">
        <v>0</v>
      </c>
      <c r="I375" s="40">
        <v>0</v>
      </c>
      <c r="J375" s="40">
        <v>0</v>
      </c>
      <c r="K375" s="40">
        <v>0</v>
      </c>
      <c r="L375" s="40">
        <v>0</v>
      </c>
      <c r="M375" s="40" cm="1">
        <f t="array" ref="M375:N375">VLOOKUP(B375,'Fumigation  Room'!B:H,{6,7},0)</f>
        <v>0</v>
      </c>
      <c r="N375" s="40">
        <v>0</v>
      </c>
      <c r="O375" s="40">
        <f t="shared" si="11"/>
        <v>0</v>
      </c>
      <c r="P375" s="40">
        <f t="shared" si="12"/>
        <v>0</v>
      </c>
    </row>
    <row r="376" spans="1:16" x14ac:dyDescent="0.35">
      <c r="A376" s="33">
        <v>373</v>
      </c>
      <c r="B376" s="34" t="s">
        <v>690</v>
      </c>
      <c r="C376" s="33" t="s">
        <v>346</v>
      </c>
      <c r="D376" s="33" t="s">
        <v>17</v>
      </c>
      <c r="E376" s="33" t="s">
        <v>666</v>
      </c>
      <c r="F376" s="35">
        <v>0.5</v>
      </c>
      <c r="G376" s="40">
        <v>0</v>
      </c>
      <c r="H376" s="40">
        <v>0</v>
      </c>
      <c r="I376" s="40">
        <v>0</v>
      </c>
      <c r="J376" s="40">
        <v>0</v>
      </c>
      <c r="K376" s="40">
        <v>0</v>
      </c>
      <c r="L376" s="40">
        <v>0</v>
      </c>
      <c r="M376" s="40" cm="1">
        <f t="array" ref="M376:N376">VLOOKUP(B376,'Fumigation  Room'!B:H,{6,7},0)</f>
        <v>0</v>
      </c>
      <c r="N376" s="40">
        <v>0</v>
      </c>
      <c r="O376" s="40">
        <f t="shared" si="11"/>
        <v>0</v>
      </c>
      <c r="P376" s="40">
        <f t="shared" si="12"/>
        <v>0</v>
      </c>
    </row>
    <row r="377" spans="1:16" x14ac:dyDescent="0.35">
      <c r="A377" s="33">
        <v>374</v>
      </c>
      <c r="B377" s="34" t="s">
        <v>691</v>
      </c>
      <c r="C377" s="33" t="s">
        <v>346</v>
      </c>
      <c r="D377" s="33" t="s">
        <v>17</v>
      </c>
      <c r="E377" s="33" t="s">
        <v>666</v>
      </c>
      <c r="F377" s="35">
        <v>0.25</v>
      </c>
      <c r="G377" s="40">
        <v>0</v>
      </c>
      <c r="H377" s="40">
        <v>0</v>
      </c>
      <c r="I377" s="40">
        <v>0</v>
      </c>
      <c r="J377" s="40">
        <v>0</v>
      </c>
      <c r="K377" s="40">
        <v>0</v>
      </c>
      <c r="L377" s="40">
        <v>0</v>
      </c>
      <c r="M377" s="40" cm="1">
        <f t="array" ref="M377:N377">VLOOKUP(B377,'Fumigation  Room'!B:H,{6,7},0)</f>
        <v>0</v>
      </c>
      <c r="N377" s="40">
        <v>0</v>
      </c>
      <c r="O377" s="40">
        <f t="shared" si="11"/>
        <v>0</v>
      </c>
      <c r="P377" s="40">
        <f t="shared" si="12"/>
        <v>0</v>
      </c>
    </row>
    <row r="378" spans="1:16" x14ac:dyDescent="0.35">
      <c r="A378" s="33">
        <v>375</v>
      </c>
      <c r="B378" s="34" t="s">
        <v>692</v>
      </c>
      <c r="C378" s="33" t="s">
        <v>346</v>
      </c>
      <c r="D378" s="33" t="s">
        <v>17</v>
      </c>
      <c r="E378" s="33" t="s">
        <v>666</v>
      </c>
      <c r="F378" s="35">
        <v>0.5</v>
      </c>
      <c r="G378" s="40">
        <v>0</v>
      </c>
      <c r="H378" s="40">
        <v>0</v>
      </c>
      <c r="I378" s="40">
        <v>0</v>
      </c>
      <c r="J378" s="40">
        <v>0</v>
      </c>
      <c r="K378" s="40">
        <v>0</v>
      </c>
      <c r="L378" s="40">
        <v>0</v>
      </c>
      <c r="M378" s="40" cm="1">
        <f t="array" ref="M378:N378">VLOOKUP(B378,'Fumigation  Room'!B:H,{6,7},0)</f>
        <v>0</v>
      </c>
      <c r="N378" s="40">
        <v>0</v>
      </c>
      <c r="O378" s="40">
        <f t="shared" si="11"/>
        <v>0</v>
      </c>
      <c r="P378" s="40">
        <f t="shared" si="12"/>
        <v>0</v>
      </c>
    </row>
    <row r="379" spans="1:16" x14ac:dyDescent="0.35">
      <c r="A379" s="33">
        <v>376</v>
      </c>
      <c r="B379" s="34" t="s">
        <v>693</v>
      </c>
      <c r="C379" s="33" t="s">
        <v>346</v>
      </c>
      <c r="D379" s="33" t="s">
        <v>17</v>
      </c>
      <c r="E379" s="33" t="s">
        <v>666</v>
      </c>
      <c r="F379" s="35">
        <v>0.25</v>
      </c>
      <c r="G379" s="40">
        <v>0</v>
      </c>
      <c r="H379" s="40">
        <v>0</v>
      </c>
      <c r="I379" s="40">
        <v>0</v>
      </c>
      <c r="J379" s="40">
        <v>0</v>
      </c>
      <c r="K379" s="40">
        <v>0</v>
      </c>
      <c r="L379" s="40">
        <v>0</v>
      </c>
      <c r="M379" s="40" cm="1">
        <f t="array" ref="M379:N379">VLOOKUP(B379,'Fumigation  Room'!B:H,{6,7},0)</f>
        <v>0</v>
      </c>
      <c r="N379" s="40">
        <v>0</v>
      </c>
      <c r="O379" s="40">
        <f t="shared" si="11"/>
        <v>0</v>
      </c>
      <c r="P379" s="40">
        <f t="shared" si="12"/>
        <v>0</v>
      </c>
    </row>
    <row r="380" spans="1:16" x14ac:dyDescent="0.35">
      <c r="A380" s="33">
        <v>377</v>
      </c>
      <c r="B380" s="34" t="s">
        <v>694</v>
      </c>
      <c r="C380" s="33" t="s">
        <v>346</v>
      </c>
      <c r="D380" s="33" t="s">
        <v>17</v>
      </c>
      <c r="E380" s="33" t="s">
        <v>666</v>
      </c>
      <c r="F380" s="35">
        <v>0.25</v>
      </c>
      <c r="G380" s="40">
        <v>0</v>
      </c>
      <c r="H380" s="40">
        <v>0</v>
      </c>
      <c r="I380" s="40">
        <v>0</v>
      </c>
      <c r="J380" s="40">
        <v>0</v>
      </c>
      <c r="K380" s="40">
        <v>0</v>
      </c>
      <c r="L380" s="40">
        <v>0</v>
      </c>
      <c r="M380" s="40" cm="1">
        <f t="array" ref="M380:N380">VLOOKUP(B380,'Fumigation  Room'!B:H,{6,7},0)</f>
        <v>0</v>
      </c>
      <c r="N380" s="40">
        <v>0</v>
      </c>
      <c r="O380" s="40">
        <f t="shared" si="11"/>
        <v>0</v>
      </c>
      <c r="P380" s="40">
        <f t="shared" si="12"/>
        <v>0</v>
      </c>
    </row>
    <row r="381" spans="1:16" x14ac:dyDescent="0.35">
      <c r="A381" s="33">
        <v>378</v>
      </c>
      <c r="B381" s="34" t="s">
        <v>695</v>
      </c>
      <c r="C381" s="33" t="s">
        <v>346</v>
      </c>
      <c r="D381" s="33" t="s">
        <v>17</v>
      </c>
      <c r="E381" s="33" t="s">
        <v>666</v>
      </c>
      <c r="F381" s="35">
        <v>0.25</v>
      </c>
      <c r="G381" s="40">
        <v>0</v>
      </c>
      <c r="H381" s="40">
        <v>0</v>
      </c>
      <c r="I381" s="40">
        <v>0</v>
      </c>
      <c r="J381" s="40">
        <v>0</v>
      </c>
      <c r="K381" s="40">
        <v>0</v>
      </c>
      <c r="L381" s="40">
        <v>0</v>
      </c>
      <c r="M381" s="40" cm="1">
        <f t="array" ref="M381:N381">VLOOKUP(B381,'Fumigation  Room'!B:H,{6,7},0)</f>
        <v>0</v>
      </c>
      <c r="N381" s="40">
        <v>0</v>
      </c>
      <c r="O381" s="40">
        <f t="shared" si="11"/>
        <v>0</v>
      </c>
      <c r="P381" s="40">
        <f t="shared" si="12"/>
        <v>0</v>
      </c>
    </row>
    <row r="382" spans="1:16" x14ac:dyDescent="0.35">
      <c r="A382" s="33">
        <v>379</v>
      </c>
      <c r="B382" s="34" t="s">
        <v>696</v>
      </c>
      <c r="C382" s="33" t="s">
        <v>346</v>
      </c>
      <c r="D382" s="33" t="s">
        <v>17</v>
      </c>
      <c r="E382" s="33" t="s">
        <v>666</v>
      </c>
      <c r="F382" s="35">
        <v>0.25</v>
      </c>
      <c r="G382" s="40">
        <v>0</v>
      </c>
      <c r="H382" s="40">
        <v>0</v>
      </c>
      <c r="I382" s="40">
        <v>0</v>
      </c>
      <c r="J382" s="40">
        <v>0</v>
      </c>
      <c r="K382" s="40">
        <v>0</v>
      </c>
      <c r="L382" s="40">
        <v>0</v>
      </c>
      <c r="M382" s="40" cm="1">
        <f t="array" ref="M382:N382">VLOOKUP(B382,'Fumigation  Room'!B:H,{6,7},0)</f>
        <v>0</v>
      </c>
      <c r="N382" s="40">
        <v>0</v>
      </c>
      <c r="O382" s="40">
        <f t="shared" si="11"/>
        <v>0</v>
      </c>
      <c r="P382" s="40">
        <f t="shared" si="12"/>
        <v>0</v>
      </c>
    </row>
    <row r="383" spans="1:16" x14ac:dyDescent="0.35">
      <c r="A383" s="33">
        <v>380</v>
      </c>
      <c r="B383" s="34" t="s">
        <v>697</v>
      </c>
      <c r="C383" s="33" t="s">
        <v>346</v>
      </c>
      <c r="D383" s="33" t="s">
        <v>17</v>
      </c>
      <c r="E383" s="33" t="s">
        <v>666</v>
      </c>
      <c r="F383" s="35">
        <v>0.1</v>
      </c>
      <c r="G383" s="40">
        <v>0</v>
      </c>
      <c r="H383" s="40">
        <v>0</v>
      </c>
      <c r="I383" s="40">
        <v>0</v>
      </c>
      <c r="J383" s="40">
        <v>0</v>
      </c>
      <c r="K383" s="40">
        <v>0</v>
      </c>
      <c r="L383" s="40">
        <v>0</v>
      </c>
      <c r="M383" s="40" cm="1">
        <f t="array" ref="M383:N383">VLOOKUP(B383,'Fumigation  Room'!B:H,{6,7},0)</f>
        <v>0</v>
      </c>
      <c r="N383" s="40">
        <v>0</v>
      </c>
      <c r="O383" s="40">
        <f t="shared" si="11"/>
        <v>0</v>
      </c>
      <c r="P383" s="40">
        <f t="shared" si="12"/>
        <v>0</v>
      </c>
    </row>
    <row r="384" spans="1:16" x14ac:dyDescent="0.35">
      <c r="A384" s="33">
        <v>381</v>
      </c>
      <c r="B384" s="34" t="s">
        <v>698</v>
      </c>
      <c r="C384" s="33" t="s">
        <v>346</v>
      </c>
      <c r="D384" s="33" t="s">
        <v>17</v>
      </c>
      <c r="E384" s="33" t="s">
        <v>666</v>
      </c>
      <c r="F384" s="35">
        <v>0.2</v>
      </c>
      <c r="G384" s="40">
        <v>0</v>
      </c>
      <c r="H384" s="40">
        <v>0</v>
      </c>
      <c r="I384" s="40">
        <v>0</v>
      </c>
      <c r="J384" s="40">
        <v>0</v>
      </c>
      <c r="K384" s="40">
        <v>0</v>
      </c>
      <c r="L384" s="40">
        <v>0</v>
      </c>
      <c r="M384" s="40" cm="1">
        <f t="array" ref="M384:N384">VLOOKUP(B384,'Fumigation  Room'!B:H,{6,7},0)</f>
        <v>0</v>
      </c>
      <c r="N384" s="40">
        <v>0</v>
      </c>
      <c r="O384" s="40">
        <f t="shared" si="11"/>
        <v>0</v>
      </c>
      <c r="P384" s="40">
        <f t="shared" si="12"/>
        <v>0</v>
      </c>
    </row>
    <row r="385" spans="1:16" x14ac:dyDescent="0.35">
      <c r="A385" s="33">
        <v>382</v>
      </c>
      <c r="B385" s="34" t="s">
        <v>699</v>
      </c>
      <c r="C385" s="33" t="s">
        <v>346</v>
      </c>
      <c r="D385" s="33" t="s">
        <v>17</v>
      </c>
      <c r="E385" s="33" t="s">
        <v>666</v>
      </c>
      <c r="F385" s="35">
        <v>0.2</v>
      </c>
      <c r="G385" s="40">
        <v>0</v>
      </c>
      <c r="H385" s="40">
        <v>0</v>
      </c>
      <c r="I385" s="40">
        <v>0</v>
      </c>
      <c r="J385" s="40">
        <v>0</v>
      </c>
      <c r="K385" s="40">
        <v>0</v>
      </c>
      <c r="L385" s="40">
        <v>0</v>
      </c>
      <c r="M385" s="40" cm="1">
        <f t="array" ref="M385:N385">VLOOKUP(B385,'Fumigation  Room'!B:H,{6,7},0)</f>
        <v>0</v>
      </c>
      <c r="N385" s="40">
        <v>0</v>
      </c>
      <c r="O385" s="40">
        <f t="shared" si="11"/>
        <v>0</v>
      </c>
      <c r="P385" s="40">
        <f t="shared" si="12"/>
        <v>0</v>
      </c>
    </row>
    <row r="386" spans="1:16" x14ac:dyDescent="0.35">
      <c r="A386" s="33">
        <v>383</v>
      </c>
      <c r="B386" s="34" t="s">
        <v>700</v>
      </c>
      <c r="C386" s="33" t="s">
        <v>346</v>
      </c>
      <c r="D386" s="33" t="s">
        <v>17</v>
      </c>
      <c r="E386" s="33" t="s">
        <v>666</v>
      </c>
      <c r="F386" s="35">
        <v>0.25</v>
      </c>
      <c r="G386" s="40">
        <v>0</v>
      </c>
      <c r="H386" s="40">
        <v>0</v>
      </c>
      <c r="I386" s="40">
        <v>0</v>
      </c>
      <c r="J386" s="40">
        <v>0</v>
      </c>
      <c r="K386" s="40">
        <v>0</v>
      </c>
      <c r="L386" s="40">
        <v>0</v>
      </c>
      <c r="M386" s="40" cm="1">
        <f t="array" ref="M386:N386">VLOOKUP(B386,'Fumigation  Room'!B:H,{6,7},0)</f>
        <v>0</v>
      </c>
      <c r="N386" s="40">
        <v>0</v>
      </c>
      <c r="O386" s="40">
        <f t="shared" si="11"/>
        <v>0</v>
      </c>
      <c r="P386" s="40">
        <f t="shared" si="12"/>
        <v>0</v>
      </c>
    </row>
    <row r="387" spans="1:16" x14ac:dyDescent="0.35">
      <c r="A387" s="33">
        <v>384</v>
      </c>
      <c r="B387" s="34" t="s">
        <v>701</v>
      </c>
      <c r="C387" s="33" t="s">
        <v>346</v>
      </c>
      <c r="D387" s="33" t="s">
        <v>17</v>
      </c>
      <c r="E387" s="33" t="s">
        <v>666</v>
      </c>
      <c r="F387" s="35">
        <v>0.25</v>
      </c>
      <c r="G387" s="40">
        <v>0</v>
      </c>
      <c r="H387" s="40">
        <v>0</v>
      </c>
      <c r="I387" s="40">
        <v>0</v>
      </c>
      <c r="J387" s="40">
        <v>0</v>
      </c>
      <c r="K387" s="40">
        <v>0</v>
      </c>
      <c r="L387" s="40">
        <v>0</v>
      </c>
      <c r="M387" s="40" cm="1">
        <f t="array" ref="M387:N387">VLOOKUP(B387,'Fumigation  Room'!B:H,{6,7},0)</f>
        <v>0</v>
      </c>
      <c r="N387" s="40">
        <v>0</v>
      </c>
      <c r="O387" s="40">
        <f t="shared" si="11"/>
        <v>0</v>
      </c>
      <c r="P387" s="40">
        <f t="shared" si="12"/>
        <v>0</v>
      </c>
    </row>
    <row r="388" spans="1:16" x14ac:dyDescent="0.35">
      <c r="A388" s="33">
        <v>385</v>
      </c>
      <c r="B388" s="34" t="s">
        <v>702</v>
      </c>
      <c r="C388" s="33" t="s">
        <v>346</v>
      </c>
      <c r="D388" s="33" t="s">
        <v>17</v>
      </c>
      <c r="E388" s="33" t="s">
        <v>666</v>
      </c>
      <c r="F388" s="35">
        <v>0.1</v>
      </c>
      <c r="G388" s="40">
        <v>0</v>
      </c>
      <c r="H388" s="40">
        <v>0</v>
      </c>
      <c r="I388" s="40">
        <v>0</v>
      </c>
      <c r="J388" s="40">
        <v>0</v>
      </c>
      <c r="K388" s="40">
        <v>0</v>
      </c>
      <c r="L388" s="40">
        <v>0</v>
      </c>
      <c r="M388" s="40" cm="1">
        <f t="array" ref="M388:N388">VLOOKUP(B388,'Fumigation  Room'!B:H,{6,7},0)</f>
        <v>0</v>
      </c>
      <c r="N388" s="40">
        <v>0</v>
      </c>
      <c r="O388" s="40">
        <f t="shared" si="11"/>
        <v>0</v>
      </c>
      <c r="P388" s="40">
        <f t="shared" si="12"/>
        <v>0</v>
      </c>
    </row>
    <row r="389" spans="1:16" x14ac:dyDescent="0.35">
      <c r="A389" s="33">
        <v>386</v>
      </c>
      <c r="B389" s="34" t="s">
        <v>703</v>
      </c>
      <c r="C389" s="33" t="s">
        <v>346</v>
      </c>
      <c r="D389" s="33" t="s">
        <v>17</v>
      </c>
      <c r="E389" s="33" t="s">
        <v>666</v>
      </c>
      <c r="F389" s="35">
        <v>0.23</v>
      </c>
      <c r="G389" s="40">
        <v>0</v>
      </c>
      <c r="H389" s="40">
        <v>0</v>
      </c>
      <c r="I389" s="40">
        <v>0</v>
      </c>
      <c r="J389" s="40">
        <v>0</v>
      </c>
      <c r="K389" s="40">
        <v>0</v>
      </c>
      <c r="L389" s="40">
        <v>0</v>
      </c>
      <c r="M389" s="40" cm="1">
        <f t="array" ref="M389:N389">VLOOKUP(B389,'Fumigation  Room'!B:H,{6,7},0)</f>
        <v>0</v>
      </c>
      <c r="N389" s="40">
        <v>0</v>
      </c>
      <c r="O389" s="40">
        <f t="shared" ref="O389:O452" si="13">G389+I389+K389+M389</f>
        <v>0</v>
      </c>
      <c r="P389" s="40">
        <f t="shared" ref="P389:P452" si="14">H389+J389+L389+N389</f>
        <v>0</v>
      </c>
    </row>
    <row r="390" spans="1:16" x14ac:dyDescent="0.35">
      <c r="A390" s="33">
        <v>387</v>
      </c>
      <c r="B390" s="34" t="s">
        <v>704</v>
      </c>
      <c r="C390" s="33" t="s">
        <v>346</v>
      </c>
      <c r="D390" s="33" t="s">
        <v>17</v>
      </c>
      <c r="E390" s="33" t="s">
        <v>666</v>
      </c>
      <c r="F390" s="35">
        <v>0.2</v>
      </c>
      <c r="G390" s="40">
        <v>0</v>
      </c>
      <c r="H390" s="40">
        <v>0</v>
      </c>
      <c r="I390" s="40">
        <v>0</v>
      </c>
      <c r="J390" s="40">
        <v>0</v>
      </c>
      <c r="K390" s="40">
        <v>0</v>
      </c>
      <c r="L390" s="40">
        <v>0</v>
      </c>
      <c r="M390" s="40" cm="1">
        <f t="array" ref="M390:N390">VLOOKUP(B390,'Fumigation  Room'!B:H,{6,7},0)</f>
        <v>0</v>
      </c>
      <c r="N390" s="40">
        <v>0</v>
      </c>
      <c r="O390" s="40">
        <f t="shared" si="13"/>
        <v>0</v>
      </c>
      <c r="P390" s="40">
        <f t="shared" si="14"/>
        <v>0</v>
      </c>
    </row>
    <row r="391" spans="1:16" x14ac:dyDescent="0.35">
      <c r="A391" s="33">
        <v>388</v>
      </c>
      <c r="B391" s="34" t="s">
        <v>705</v>
      </c>
      <c r="C391" s="33" t="s">
        <v>346</v>
      </c>
      <c r="D391" s="33" t="s">
        <v>17</v>
      </c>
      <c r="E391" s="33" t="s">
        <v>666</v>
      </c>
      <c r="F391" s="35">
        <v>0.25</v>
      </c>
      <c r="G391" s="40">
        <v>0</v>
      </c>
      <c r="H391" s="40">
        <v>0</v>
      </c>
      <c r="I391" s="40">
        <v>0</v>
      </c>
      <c r="J391" s="40">
        <v>0</v>
      </c>
      <c r="K391" s="40">
        <v>0</v>
      </c>
      <c r="L391" s="40">
        <v>0</v>
      </c>
      <c r="M391" s="40" cm="1">
        <f t="array" ref="M391:N391">VLOOKUP(B391,'Fumigation  Room'!B:H,{6,7},0)</f>
        <v>0</v>
      </c>
      <c r="N391" s="40">
        <v>0</v>
      </c>
      <c r="O391" s="40">
        <f t="shared" si="13"/>
        <v>0</v>
      </c>
      <c r="P391" s="40">
        <f t="shared" si="14"/>
        <v>0</v>
      </c>
    </row>
    <row r="392" spans="1:16" x14ac:dyDescent="0.35">
      <c r="A392" s="33">
        <v>389</v>
      </c>
      <c r="B392" s="34" t="s">
        <v>706</v>
      </c>
      <c r="C392" s="33" t="s">
        <v>346</v>
      </c>
      <c r="D392" s="33" t="s">
        <v>17</v>
      </c>
      <c r="E392" s="33" t="s">
        <v>666</v>
      </c>
      <c r="F392" s="35">
        <v>1</v>
      </c>
      <c r="G392" s="40">
        <v>0</v>
      </c>
      <c r="H392" s="40">
        <v>0</v>
      </c>
      <c r="I392" s="40">
        <v>0</v>
      </c>
      <c r="J392" s="40">
        <v>0</v>
      </c>
      <c r="K392" s="40">
        <v>0</v>
      </c>
      <c r="L392" s="40">
        <v>0</v>
      </c>
      <c r="M392" s="40" cm="1">
        <f t="array" ref="M392:N392">VLOOKUP(B392,'Fumigation  Room'!B:H,{6,7},0)</f>
        <v>0</v>
      </c>
      <c r="N392" s="40">
        <v>0</v>
      </c>
      <c r="O392" s="40">
        <f t="shared" si="13"/>
        <v>0</v>
      </c>
      <c r="P392" s="40">
        <f t="shared" si="14"/>
        <v>0</v>
      </c>
    </row>
    <row r="393" spans="1:16" x14ac:dyDescent="0.35">
      <c r="A393" s="33">
        <v>390</v>
      </c>
      <c r="B393" s="34" t="s">
        <v>707</v>
      </c>
      <c r="C393" s="33" t="s">
        <v>346</v>
      </c>
      <c r="D393" s="33" t="s">
        <v>17</v>
      </c>
      <c r="E393" s="33" t="s">
        <v>666</v>
      </c>
      <c r="F393" s="35">
        <v>0.1</v>
      </c>
      <c r="G393" s="40">
        <v>0</v>
      </c>
      <c r="H393" s="40">
        <v>0</v>
      </c>
      <c r="I393" s="40">
        <v>0</v>
      </c>
      <c r="J393" s="40">
        <v>0</v>
      </c>
      <c r="K393" s="40">
        <v>0</v>
      </c>
      <c r="L393" s="40">
        <v>0</v>
      </c>
      <c r="M393" s="40" cm="1">
        <f t="array" ref="M393:N393">VLOOKUP(B393,'Fumigation  Room'!B:H,{6,7},0)</f>
        <v>0</v>
      </c>
      <c r="N393" s="40">
        <v>0</v>
      </c>
      <c r="O393" s="40">
        <f t="shared" si="13"/>
        <v>0</v>
      </c>
      <c r="P393" s="40">
        <f t="shared" si="14"/>
        <v>0</v>
      </c>
    </row>
    <row r="394" spans="1:16" x14ac:dyDescent="0.35">
      <c r="A394" s="33">
        <v>391</v>
      </c>
      <c r="B394" s="34" t="s">
        <v>708</v>
      </c>
      <c r="C394" s="33" t="s">
        <v>346</v>
      </c>
      <c r="D394" s="33" t="s">
        <v>17</v>
      </c>
      <c r="E394" s="33" t="s">
        <v>666</v>
      </c>
      <c r="F394" s="35">
        <v>0.125</v>
      </c>
      <c r="G394" s="40">
        <v>0</v>
      </c>
      <c r="H394" s="40">
        <v>0</v>
      </c>
      <c r="I394" s="40">
        <v>0</v>
      </c>
      <c r="J394" s="40">
        <v>0</v>
      </c>
      <c r="K394" s="40">
        <v>0</v>
      </c>
      <c r="L394" s="40">
        <v>0</v>
      </c>
      <c r="M394" s="40" cm="1">
        <f t="array" ref="M394:N394">VLOOKUP(B394,'Fumigation  Room'!B:H,{6,7},0)</f>
        <v>0</v>
      </c>
      <c r="N394" s="40">
        <v>0</v>
      </c>
      <c r="O394" s="40">
        <f t="shared" si="13"/>
        <v>0</v>
      </c>
      <c r="P394" s="40">
        <f t="shared" si="14"/>
        <v>0</v>
      </c>
    </row>
    <row r="395" spans="1:16" x14ac:dyDescent="0.35">
      <c r="A395" s="33">
        <v>392</v>
      </c>
      <c r="B395" s="34" t="s">
        <v>709</v>
      </c>
      <c r="C395" s="33" t="s">
        <v>346</v>
      </c>
      <c r="D395" s="33" t="s">
        <v>17</v>
      </c>
      <c r="E395" s="33" t="s">
        <v>666</v>
      </c>
      <c r="F395" s="35">
        <v>0.15</v>
      </c>
      <c r="G395" s="40">
        <v>0</v>
      </c>
      <c r="H395" s="40">
        <v>0</v>
      </c>
      <c r="I395" s="40">
        <v>0</v>
      </c>
      <c r="J395" s="40">
        <v>0</v>
      </c>
      <c r="K395" s="40">
        <v>0</v>
      </c>
      <c r="L395" s="40">
        <v>0</v>
      </c>
      <c r="M395" s="40" cm="1">
        <f t="array" ref="M395:N395">VLOOKUP(B395,'Fumigation  Room'!B:H,{6,7},0)</f>
        <v>0</v>
      </c>
      <c r="N395" s="40">
        <v>0</v>
      </c>
      <c r="O395" s="40">
        <f t="shared" si="13"/>
        <v>0</v>
      </c>
      <c r="P395" s="40">
        <f t="shared" si="14"/>
        <v>0</v>
      </c>
    </row>
    <row r="396" spans="1:16" x14ac:dyDescent="0.35">
      <c r="A396" s="33">
        <v>393</v>
      </c>
      <c r="B396" s="34" t="s">
        <v>710</v>
      </c>
      <c r="C396" s="33" t="s">
        <v>346</v>
      </c>
      <c r="D396" s="33" t="s">
        <v>17</v>
      </c>
      <c r="E396" s="33" t="s">
        <v>666</v>
      </c>
      <c r="F396" s="35">
        <v>0.2</v>
      </c>
      <c r="G396" s="40">
        <v>0</v>
      </c>
      <c r="H396" s="40">
        <v>0</v>
      </c>
      <c r="I396" s="40">
        <v>0</v>
      </c>
      <c r="J396" s="40">
        <v>0</v>
      </c>
      <c r="K396" s="40">
        <v>0</v>
      </c>
      <c r="L396" s="40">
        <v>0</v>
      </c>
      <c r="M396" s="40" cm="1">
        <f t="array" ref="M396:N396">VLOOKUP(B396,'Fumigation  Room'!B:H,{6,7},0)</f>
        <v>0</v>
      </c>
      <c r="N396" s="40">
        <v>0</v>
      </c>
      <c r="O396" s="40">
        <f t="shared" si="13"/>
        <v>0</v>
      </c>
      <c r="P396" s="40">
        <f t="shared" si="14"/>
        <v>0</v>
      </c>
    </row>
    <row r="397" spans="1:16" x14ac:dyDescent="0.35">
      <c r="A397" s="33">
        <v>394</v>
      </c>
      <c r="B397" s="34" t="s">
        <v>711</v>
      </c>
      <c r="C397" s="33" t="s">
        <v>346</v>
      </c>
      <c r="D397" s="33" t="s">
        <v>17</v>
      </c>
      <c r="E397" s="33" t="s">
        <v>666</v>
      </c>
      <c r="F397" s="35">
        <v>0.08</v>
      </c>
      <c r="G397" s="40">
        <v>0</v>
      </c>
      <c r="H397" s="40">
        <v>0</v>
      </c>
      <c r="I397" s="40">
        <v>0</v>
      </c>
      <c r="J397" s="40">
        <v>0</v>
      </c>
      <c r="K397" s="40">
        <v>0</v>
      </c>
      <c r="L397" s="40">
        <v>0</v>
      </c>
      <c r="M397" s="40" cm="1">
        <f t="array" ref="M397:N397">VLOOKUP(B397,'Fumigation  Room'!B:H,{6,7},0)</f>
        <v>0</v>
      </c>
      <c r="N397" s="40">
        <v>0</v>
      </c>
      <c r="O397" s="40">
        <f t="shared" si="13"/>
        <v>0</v>
      </c>
      <c r="P397" s="40">
        <f t="shared" si="14"/>
        <v>0</v>
      </c>
    </row>
    <row r="398" spans="1:16" x14ac:dyDescent="0.35">
      <c r="A398" s="33">
        <v>395</v>
      </c>
      <c r="B398" s="34" t="s">
        <v>712</v>
      </c>
      <c r="C398" s="33" t="s">
        <v>346</v>
      </c>
      <c r="D398" s="33" t="s">
        <v>17</v>
      </c>
      <c r="E398" s="33" t="s">
        <v>666</v>
      </c>
      <c r="F398" s="35">
        <v>0.1</v>
      </c>
      <c r="G398" s="40">
        <v>0</v>
      </c>
      <c r="H398" s="40">
        <v>0</v>
      </c>
      <c r="I398" s="40">
        <v>0</v>
      </c>
      <c r="J398" s="40">
        <v>0</v>
      </c>
      <c r="K398" s="40">
        <v>0</v>
      </c>
      <c r="L398" s="40">
        <v>0</v>
      </c>
      <c r="M398" s="40" cm="1">
        <f t="array" ref="M398:N398">VLOOKUP(B398,'Fumigation  Room'!B:H,{6,7},0)</f>
        <v>0</v>
      </c>
      <c r="N398" s="40">
        <v>0</v>
      </c>
      <c r="O398" s="40">
        <f t="shared" si="13"/>
        <v>0</v>
      </c>
      <c r="P398" s="40">
        <f t="shared" si="14"/>
        <v>0</v>
      </c>
    </row>
    <row r="399" spans="1:16" x14ac:dyDescent="0.35">
      <c r="A399" s="33">
        <v>396</v>
      </c>
      <c r="B399" s="34" t="s">
        <v>713</v>
      </c>
      <c r="C399" s="33" t="s">
        <v>346</v>
      </c>
      <c r="D399" s="33" t="s">
        <v>17</v>
      </c>
      <c r="E399" s="33" t="s">
        <v>666</v>
      </c>
      <c r="F399" s="35">
        <v>0.08</v>
      </c>
      <c r="G399" s="40">
        <v>0</v>
      </c>
      <c r="H399" s="40">
        <v>0</v>
      </c>
      <c r="I399" s="40">
        <v>0</v>
      </c>
      <c r="J399" s="40">
        <v>0</v>
      </c>
      <c r="K399" s="40">
        <v>0</v>
      </c>
      <c r="L399" s="40">
        <v>0</v>
      </c>
      <c r="M399" s="40" cm="1">
        <f t="array" ref="M399:N399">VLOOKUP(B399,'Fumigation  Room'!B:H,{6,7},0)</f>
        <v>0</v>
      </c>
      <c r="N399" s="40">
        <v>0</v>
      </c>
      <c r="O399" s="40">
        <f t="shared" si="13"/>
        <v>0</v>
      </c>
      <c r="P399" s="40">
        <f t="shared" si="14"/>
        <v>0</v>
      </c>
    </row>
    <row r="400" spans="1:16" x14ac:dyDescent="0.35">
      <c r="A400" s="33">
        <v>397</v>
      </c>
      <c r="B400" s="34" t="s">
        <v>714</v>
      </c>
      <c r="C400" s="33" t="s">
        <v>346</v>
      </c>
      <c r="D400" s="33" t="s">
        <v>17</v>
      </c>
      <c r="E400" s="33" t="s">
        <v>666</v>
      </c>
      <c r="F400" s="35">
        <v>0.15</v>
      </c>
      <c r="G400" s="40">
        <v>0</v>
      </c>
      <c r="H400" s="40">
        <v>0</v>
      </c>
      <c r="I400" s="40">
        <v>0</v>
      </c>
      <c r="J400" s="40">
        <v>0</v>
      </c>
      <c r="K400" s="40">
        <v>0</v>
      </c>
      <c r="L400" s="40">
        <v>0</v>
      </c>
      <c r="M400" s="40" cm="1">
        <f t="array" ref="M400:N400">VLOOKUP(B400,'Fumigation  Room'!B:H,{6,7},0)</f>
        <v>0</v>
      </c>
      <c r="N400" s="40">
        <v>0</v>
      </c>
      <c r="O400" s="40">
        <f t="shared" si="13"/>
        <v>0</v>
      </c>
      <c r="P400" s="40">
        <f t="shared" si="14"/>
        <v>0</v>
      </c>
    </row>
    <row r="401" spans="1:16" x14ac:dyDescent="0.35">
      <c r="A401" s="33">
        <v>398</v>
      </c>
      <c r="B401" s="34" t="s">
        <v>715</v>
      </c>
      <c r="C401" s="33" t="s">
        <v>346</v>
      </c>
      <c r="D401" s="33" t="s">
        <v>17</v>
      </c>
      <c r="E401" s="33" t="s">
        <v>666</v>
      </c>
      <c r="F401" s="35">
        <v>0.23</v>
      </c>
      <c r="G401" s="40">
        <v>0</v>
      </c>
      <c r="H401" s="40">
        <v>0</v>
      </c>
      <c r="I401" s="40">
        <v>0</v>
      </c>
      <c r="J401" s="40">
        <v>0</v>
      </c>
      <c r="K401" s="40">
        <v>0</v>
      </c>
      <c r="L401" s="40">
        <v>0</v>
      </c>
      <c r="M401" s="40" cm="1">
        <f t="array" ref="M401:N401">VLOOKUP(B401,'Fumigation  Room'!B:H,{6,7},0)</f>
        <v>0</v>
      </c>
      <c r="N401" s="40">
        <v>0</v>
      </c>
      <c r="O401" s="40">
        <f t="shared" si="13"/>
        <v>0</v>
      </c>
      <c r="P401" s="40">
        <f t="shared" si="14"/>
        <v>0</v>
      </c>
    </row>
    <row r="402" spans="1:16" x14ac:dyDescent="0.35">
      <c r="A402" s="33">
        <v>399</v>
      </c>
      <c r="B402" s="34" t="s">
        <v>716</v>
      </c>
      <c r="C402" s="33" t="s">
        <v>346</v>
      </c>
      <c r="D402" s="33" t="s">
        <v>17</v>
      </c>
      <c r="E402" s="33" t="s">
        <v>666</v>
      </c>
      <c r="F402" s="35">
        <v>0.1</v>
      </c>
      <c r="G402" s="40">
        <v>0</v>
      </c>
      <c r="H402" s="40">
        <v>0</v>
      </c>
      <c r="I402" s="40">
        <v>0</v>
      </c>
      <c r="J402" s="40">
        <v>0</v>
      </c>
      <c r="K402" s="40">
        <v>0</v>
      </c>
      <c r="L402" s="40">
        <v>0</v>
      </c>
      <c r="M402" s="40" cm="1">
        <f t="array" ref="M402:N402">VLOOKUP(B402,'Fumigation  Room'!B:H,{6,7},0)</f>
        <v>0</v>
      </c>
      <c r="N402" s="40">
        <v>0</v>
      </c>
      <c r="O402" s="40">
        <f t="shared" si="13"/>
        <v>0</v>
      </c>
      <c r="P402" s="40">
        <f t="shared" si="14"/>
        <v>0</v>
      </c>
    </row>
    <row r="403" spans="1:16" x14ac:dyDescent="0.35">
      <c r="A403" s="33">
        <v>400</v>
      </c>
      <c r="B403" s="34" t="s">
        <v>717</v>
      </c>
      <c r="C403" s="33" t="s">
        <v>346</v>
      </c>
      <c r="D403" s="33" t="s">
        <v>17</v>
      </c>
      <c r="E403" s="33" t="s">
        <v>666</v>
      </c>
      <c r="F403" s="35">
        <v>0.1</v>
      </c>
      <c r="G403" s="40">
        <v>0</v>
      </c>
      <c r="H403" s="40">
        <v>0</v>
      </c>
      <c r="I403" s="40">
        <v>0</v>
      </c>
      <c r="J403" s="40">
        <v>0</v>
      </c>
      <c r="K403" s="40">
        <v>0</v>
      </c>
      <c r="L403" s="40">
        <v>0</v>
      </c>
      <c r="M403" s="40" cm="1">
        <f t="array" ref="M403:N403">VLOOKUP(B403,'Fumigation  Room'!B:H,{6,7},0)</f>
        <v>0</v>
      </c>
      <c r="N403" s="40">
        <v>0</v>
      </c>
      <c r="O403" s="40">
        <f t="shared" si="13"/>
        <v>0</v>
      </c>
      <c r="P403" s="40">
        <f t="shared" si="14"/>
        <v>0</v>
      </c>
    </row>
    <row r="404" spans="1:16" x14ac:dyDescent="0.35">
      <c r="A404" s="33">
        <v>401</v>
      </c>
      <c r="B404" s="34" t="s">
        <v>718</v>
      </c>
      <c r="C404" s="33" t="s">
        <v>346</v>
      </c>
      <c r="D404" s="33" t="s">
        <v>17</v>
      </c>
      <c r="E404" s="33" t="s">
        <v>666</v>
      </c>
      <c r="F404" s="35">
        <v>0.23</v>
      </c>
      <c r="G404" s="40">
        <v>0</v>
      </c>
      <c r="H404" s="40">
        <v>0</v>
      </c>
      <c r="I404" s="40">
        <v>0</v>
      </c>
      <c r="J404" s="40">
        <v>0</v>
      </c>
      <c r="K404" s="40">
        <v>0</v>
      </c>
      <c r="L404" s="40">
        <v>0</v>
      </c>
      <c r="M404" s="40" cm="1">
        <f t="array" ref="M404:N404">VLOOKUP(B404,'Fumigation  Room'!B:H,{6,7},0)</f>
        <v>0</v>
      </c>
      <c r="N404" s="40">
        <v>0</v>
      </c>
      <c r="O404" s="40">
        <f t="shared" si="13"/>
        <v>0</v>
      </c>
      <c r="P404" s="40">
        <f t="shared" si="14"/>
        <v>0</v>
      </c>
    </row>
    <row r="405" spans="1:16" x14ac:dyDescent="0.35">
      <c r="A405" s="33">
        <v>402</v>
      </c>
      <c r="B405" s="34" t="s">
        <v>719</v>
      </c>
      <c r="C405" s="33" t="s">
        <v>346</v>
      </c>
      <c r="D405" s="33" t="s">
        <v>17</v>
      </c>
      <c r="E405" s="33" t="s">
        <v>666</v>
      </c>
      <c r="F405" s="35">
        <v>0.2</v>
      </c>
      <c r="G405" s="40">
        <v>0</v>
      </c>
      <c r="H405" s="40">
        <v>0</v>
      </c>
      <c r="I405" s="40">
        <v>0</v>
      </c>
      <c r="J405" s="40">
        <v>0</v>
      </c>
      <c r="K405" s="40">
        <v>0</v>
      </c>
      <c r="L405" s="40">
        <v>0</v>
      </c>
      <c r="M405" s="40" cm="1">
        <f t="array" ref="M405:N405">VLOOKUP(B405,'Fumigation  Room'!B:H,{6,7},0)</f>
        <v>0</v>
      </c>
      <c r="N405" s="40">
        <v>0</v>
      </c>
      <c r="O405" s="40">
        <f t="shared" si="13"/>
        <v>0</v>
      </c>
      <c r="P405" s="40">
        <f t="shared" si="14"/>
        <v>0</v>
      </c>
    </row>
    <row r="406" spans="1:16" x14ac:dyDescent="0.35">
      <c r="A406" s="33">
        <v>403</v>
      </c>
      <c r="B406" s="34" t="s">
        <v>720</v>
      </c>
      <c r="C406" s="33" t="s">
        <v>346</v>
      </c>
      <c r="D406" s="33" t="s">
        <v>17</v>
      </c>
      <c r="E406" s="33" t="s">
        <v>666</v>
      </c>
      <c r="F406" s="35">
        <v>0.1</v>
      </c>
      <c r="G406" s="40">
        <v>0</v>
      </c>
      <c r="H406" s="40">
        <v>0</v>
      </c>
      <c r="I406" s="40">
        <v>0</v>
      </c>
      <c r="J406" s="40">
        <v>0</v>
      </c>
      <c r="K406" s="40">
        <v>0</v>
      </c>
      <c r="L406" s="40">
        <v>0</v>
      </c>
      <c r="M406" s="40" cm="1">
        <f t="array" ref="M406:N406">VLOOKUP(B406,'Fumigation  Room'!B:H,{6,7},0)</f>
        <v>0</v>
      </c>
      <c r="N406" s="40">
        <v>0</v>
      </c>
      <c r="O406" s="40">
        <f t="shared" si="13"/>
        <v>0</v>
      </c>
      <c r="P406" s="40">
        <f t="shared" si="14"/>
        <v>0</v>
      </c>
    </row>
    <row r="407" spans="1:16" x14ac:dyDescent="0.35">
      <c r="A407" s="33">
        <v>404</v>
      </c>
      <c r="B407" s="34" t="s">
        <v>721</v>
      </c>
      <c r="C407" s="33" t="s">
        <v>346</v>
      </c>
      <c r="D407" s="33" t="s">
        <v>17</v>
      </c>
      <c r="E407" s="33" t="s">
        <v>666</v>
      </c>
      <c r="F407" s="35">
        <v>0.125</v>
      </c>
      <c r="G407" s="40">
        <v>0</v>
      </c>
      <c r="H407" s="40">
        <v>0</v>
      </c>
      <c r="I407" s="40">
        <v>0</v>
      </c>
      <c r="J407" s="40">
        <v>0</v>
      </c>
      <c r="K407" s="40">
        <v>0</v>
      </c>
      <c r="L407" s="40">
        <v>0</v>
      </c>
      <c r="M407" s="40" cm="1">
        <f t="array" ref="M407:N407">VLOOKUP(B407,'Fumigation  Room'!B:H,{6,7},0)</f>
        <v>0</v>
      </c>
      <c r="N407" s="40">
        <v>0</v>
      </c>
      <c r="O407" s="40">
        <f t="shared" si="13"/>
        <v>0</v>
      </c>
      <c r="P407" s="40">
        <f t="shared" si="14"/>
        <v>0</v>
      </c>
    </row>
    <row r="408" spans="1:16" x14ac:dyDescent="0.35">
      <c r="A408" s="33">
        <v>405</v>
      </c>
      <c r="B408" s="34" t="s">
        <v>722</v>
      </c>
      <c r="C408" s="33" t="s">
        <v>346</v>
      </c>
      <c r="D408" s="33" t="s">
        <v>17</v>
      </c>
      <c r="E408" s="33" t="s">
        <v>666</v>
      </c>
      <c r="F408" s="35">
        <v>0.2</v>
      </c>
      <c r="G408" s="40">
        <v>0</v>
      </c>
      <c r="H408" s="40">
        <v>0</v>
      </c>
      <c r="I408" s="40">
        <v>0</v>
      </c>
      <c r="J408" s="40">
        <v>0</v>
      </c>
      <c r="K408" s="40">
        <v>0</v>
      </c>
      <c r="L408" s="40">
        <v>0</v>
      </c>
      <c r="M408" s="40" cm="1">
        <f t="array" ref="M408:N408">VLOOKUP(B408,'Fumigation  Room'!B:H,{6,7},0)</f>
        <v>0</v>
      </c>
      <c r="N408" s="40">
        <v>0</v>
      </c>
      <c r="O408" s="40">
        <f t="shared" si="13"/>
        <v>0</v>
      </c>
      <c r="P408" s="40">
        <f t="shared" si="14"/>
        <v>0</v>
      </c>
    </row>
    <row r="409" spans="1:16" x14ac:dyDescent="0.35">
      <c r="A409" s="33">
        <v>406</v>
      </c>
      <c r="B409" s="34" t="s">
        <v>723</v>
      </c>
      <c r="C409" s="33" t="s">
        <v>346</v>
      </c>
      <c r="D409" s="33" t="s">
        <v>17</v>
      </c>
      <c r="E409" s="33" t="s">
        <v>666</v>
      </c>
      <c r="F409" s="35">
        <v>0.1</v>
      </c>
      <c r="G409" s="40">
        <v>0</v>
      </c>
      <c r="H409" s="40">
        <v>0</v>
      </c>
      <c r="I409" s="40">
        <v>0</v>
      </c>
      <c r="J409" s="40">
        <v>0</v>
      </c>
      <c r="K409" s="40">
        <v>0</v>
      </c>
      <c r="L409" s="40">
        <v>0</v>
      </c>
      <c r="M409" s="40" cm="1">
        <f t="array" ref="M409:N409">VLOOKUP(B409,'Fumigation  Room'!B:H,{6,7},0)</f>
        <v>0</v>
      </c>
      <c r="N409" s="40">
        <v>0</v>
      </c>
      <c r="O409" s="40">
        <f t="shared" si="13"/>
        <v>0</v>
      </c>
      <c r="P409" s="40">
        <f t="shared" si="14"/>
        <v>0</v>
      </c>
    </row>
    <row r="410" spans="1:16" x14ac:dyDescent="0.35">
      <c r="A410" s="33">
        <v>407</v>
      </c>
      <c r="B410" s="34" t="s">
        <v>724</v>
      </c>
      <c r="C410" s="33" t="s">
        <v>346</v>
      </c>
      <c r="D410" s="33" t="s">
        <v>17</v>
      </c>
      <c r="E410" s="33" t="s">
        <v>666</v>
      </c>
      <c r="F410" s="35">
        <v>0.15</v>
      </c>
      <c r="G410" s="40">
        <v>0</v>
      </c>
      <c r="H410" s="40">
        <v>0</v>
      </c>
      <c r="I410" s="40">
        <v>0</v>
      </c>
      <c r="J410" s="40">
        <v>0</v>
      </c>
      <c r="K410" s="40">
        <v>0</v>
      </c>
      <c r="L410" s="40">
        <v>0</v>
      </c>
      <c r="M410" s="40" cm="1">
        <f t="array" ref="M410:N410">VLOOKUP(B410,'Fumigation  Room'!B:H,{6,7},0)</f>
        <v>0</v>
      </c>
      <c r="N410" s="40">
        <v>0</v>
      </c>
      <c r="O410" s="40">
        <f t="shared" si="13"/>
        <v>0</v>
      </c>
      <c r="P410" s="40">
        <f t="shared" si="14"/>
        <v>0</v>
      </c>
    </row>
    <row r="411" spans="1:16" x14ac:dyDescent="0.35">
      <c r="A411" s="33">
        <v>408</v>
      </c>
      <c r="B411" s="34" t="s">
        <v>725</v>
      </c>
      <c r="C411" s="33" t="s">
        <v>346</v>
      </c>
      <c r="D411" s="33" t="s">
        <v>17</v>
      </c>
      <c r="E411" s="33" t="s">
        <v>666</v>
      </c>
      <c r="F411" s="35">
        <v>0.2</v>
      </c>
      <c r="G411" s="40">
        <v>0</v>
      </c>
      <c r="H411" s="40">
        <v>0</v>
      </c>
      <c r="I411" s="40">
        <v>0</v>
      </c>
      <c r="J411" s="40">
        <v>0</v>
      </c>
      <c r="K411" s="40">
        <v>0</v>
      </c>
      <c r="L411" s="40">
        <v>0</v>
      </c>
      <c r="M411" s="40" cm="1">
        <f t="array" ref="M411:N411">VLOOKUP(B411,'Fumigation  Room'!B:H,{6,7},0)</f>
        <v>0</v>
      </c>
      <c r="N411" s="40">
        <v>0</v>
      </c>
      <c r="O411" s="40">
        <f t="shared" si="13"/>
        <v>0</v>
      </c>
      <c r="P411" s="40">
        <f t="shared" si="14"/>
        <v>0</v>
      </c>
    </row>
    <row r="412" spans="1:16" x14ac:dyDescent="0.35">
      <c r="A412" s="33">
        <v>409</v>
      </c>
      <c r="B412" s="34" t="s">
        <v>726</v>
      </c>
      <c r="C412" s="33" t="s">
        <v>346</v>
      </c>
      <c r="D412" s="33" t="s">
        <v>17</v>
      </c>
      <c r="E412" s="33" t="s">
        <v>666</v>
      </c>
      <c r="F412" s="35">
        <v>0.1</v>
      </c>
      <c r="G412" s="40">
        <v>0</v>
      </c>
      <c r="H412" s="40">
        <v>0</v>
      </c>
      <c r="I412" s="40">
        <v>0</v>
      </c>
      <c r="J412" s="40">
        <v>0</v>
      </c>
      <c r="K412" s="40">
        <v>0</v>
      </c>
      <c r="L412" s="40">
        <v>0</v>
      </c>
      <c r="M412" s="40" cm="1">
        <f t="array" ref="M412:N412">VLOOKUP(B412,'Fumigation  Room'!B:H,{6,7},0)</f>
        <v>0</v>
      </c>
      <c r="N412" s="40">
        <v>0</v>
      </c>
      <c r="O412" s="40">
        <f t="shared" si="13"/>
        <v>0</v>
      </c>
      <c r="P412" s="40">
        <f t="shared" si="14"/>
        <v>0</v>
      </c>
    </row>
    <row r="413" spans="1:16" x14ac:dyDescent="0.35">
      <c r="A413" s="33">
        <v>410</v>
      </c>
      <c r="B413" s="34" t="s">
        <v>727</v>
      </c>
      <c r="C413" s="33" t="s">
        <v>346</v>
      </c>
      <c r="D413" s="33" t="s">
        <v>17</v>
      </c>
      <c r="E413" s="33" t="s">
        <v>666</v>
      </c>
      <c r="F413" s="35">
        <v>0.23</v>
      </c>
      <c r="G413" s="40">
        <v>0</v>
      </c>
      <c r="H413" s="40">
        <v>0</v>
      </c>
      <c r="I413" s="40">
        <v>0</v>
      </c>
      <c r="J413" s="40">
        <v>0</v>
      </c>
      <c r="K413" s="40">
        <v>0</v>
      </c>
      <c r="L413" s="40">
        <v>0</v>
      </c>
      <c r="M413" s="40" cm="1">
        <f t="array" ref="M413:N413">VLOOKUP(B413,'Fumigation  Room'!B:H,{6,7},0)</f>
        <v>0</v>
      </c>
      <c r="N413" s="40">
        <v>0</v>
      </c>
      <c r="O413" s="40">
        <f t="shared" si="13"/>
        <v>0</v>
      </c>
      <c r="P413" s="40">
        <f t="shared" si="14"/>
        <v>0</v>
      </c>
    </row>
    <row r="414" spans="1:16" x14ac:dyDescent="0.35">
      <c r="A414" s="33">
        <v>411</v>
      </c>
      <c r="B414" s="34" t="s">
        <v>728</v>
      </c>
      <c r="C414" s="33" t="s">
        <v>346</v>
      </c>
      <c r="D414" s="33" t="s">
        <v>17</v>
      </c>
      <c r="E414" s="33" t="s">
        <v>666</v>
      </c>
      <c r="F414" s="35">
        <v>0.1</v>
      </c>
      <c r="G414" s="40">
        <v>0</v>
      </c>
      <c r="H414" s="40">
        <v>0</v>
      </c>
      <c r="I414" s="40">
        <v>0</v>
      </c>
      <c r="J414" s="40">
        <v>0</v>
      </c>
      <c r="K414" s="40">
        <v>0</v>
      </c>
      <c r="L414" s="40">
        <v>0</v>
      </c>
      <c r="M414" s="40" cm="1">
        <f t="array" ref="M414:N414">VLOOKUP(B414,'Fumigation  Room'!B:H,{6,7},0)</f>
        <v>0</v>
      </c>
      <c r="N414" s="40">
        <v>0</v>
      </c>
      <c r="O414" s="40">
        <f t="shared" si="13"/>
        <v>0</v>
      </c>
      <c r="P414" s="40">
        <f t="shared" si="14"/>
        <v>0</v>
      </c>
    </row>
    <row r="415" spans="1:16" x14ac:dyDescent="0.35">
      <c r="A415" s="33">
        <v>412</v>
      </c>
      <c r="B415" s="34" t="s">
        <v>729</v>
      </c>
      <c r="C415" s="33" t="s">
        <v>346</v>
      </c>
      <c r="D415" s="33" t="s">
        <v>17</v>
      </c>
      <c r="E415" s="33" t="s">
        <v>666</v>
      </c>
      <c r="F415" s="35">
        <v>0.1</v>
      </c>
      <c r="G415" s="40">
        <v>0</v>
      </c>
      <c r="H415" s="40">
        <v>0</v>
      </c>
      <c r="I415" s="40">
        <v>0</v>
      </c>
      <c r="J415" s="40">
        <v>0</v>
      </c>
      <c r="K415" s="40">
        <v>0</v>
      </c>
      <c r="L415" s="40">
        <v>0</v>
      </c>
      <c r="M415" s="40" cm="1">
        <f t="array" ref="M415:N415">VLOOKUP(B415,'Fumigation  Room'!B:H,{6,7},0)</f>
        <v>0</v>
      </c>
      <c r="N415" s="40">
        <v>0</v>
      </c>
      <c r="O415" s="40">
        <f t="shared" si="13"/>
        <v>0</v>
      </c>
      <c r="P415" s="40">
        <f t="shared" si="14"/>
        <v>0</v>
      </c>
    </row>
    <row r="416" spans="1:16" x14ac:dyDescent="0.35">
      <c r="A416" s="33">
        <v>413</v>
      </c>
      <c r="B416" s="34" t="s">
        <v>730</v>
      </c>
      <c r="C416" s="33" t="s">
        <v>346</v>
      </c>
      <c r="D416" s="33" t="s">
        <v>17</v>
      </c>
      <c r="E416" s="33" t="s">
        <v>666</v>
      </c>
      <c r="F416" s="35">
        <v>0.23</v>
      </c>
      <c r="G416" s="40">
        <v>0</v>
      </c>
      <c r="H416" s="40">
        <v>0</v>
      </c>
      <c r="I416" s="40">
        <v>0</v>
      </c>
      <c r="J416" s="40">
        <v>0</v>
      </c>
      <c r="K416" s="40">
        <v>0</v>
      </c>
      <c r="L416" s="40">
        <v>0</v>
      </c>
      <c r="M416" s="40" cm="1">
        <f t="array" ref="M416:N416">VLOOKUP(B416,'Fumigation  Room'!B:H,{6,7},0)</f>
        <v>0</v>
      </c>
      <c r="N416" s="40">
        <v>0</v>
      </c>
      <c r="O416" s="40">
        <f t="shared" si="13"/>
        <v>0</v>
      </c>
      <c r="P416" s="40">
        <f t="shared" si="14"/>
        <v>0</v>
      </c>
    </row>
    <row r="417" spans="1:16" x14ac:dyDescent="0.35">
      <c r="A417" s="33">
        <v>414</v>
      </c>
      <c r="B417" s="34" t="s">
        <v>731</v>
      </c>
      <c r="C417" s="33" t="s">
        <v>346</v>
      </c>
      <c r="D417" s="33" t="s">
        <v>17</v>
      </c>
      <c r="E417" s="33" t="s">
        <v>666</v>
      </c>
      <c r="F417" s="35">
        <v>0.23</v>
      </c>
      <c r="G417" s="40">
        <v>0</v>
      </c>
      <c r="H417" s="40">
        <v>0</v>
      </c>
      <c r="I417" s="40">
        <v>0</v>
      </c>
      <c r="J417" s="40">
        <v>0</v>
      </c>
      <c r="K417" s="40">
        <v>0</v>
      </c>
      <c r="L417" s="40">
        <v>0</v>
      </c>
      <c r="M417" s="40" cm="1">
        <f t="array" ref="M417:N417">VLOOKUP(B417,'Fumigation  Room'!B:H,{6,7},0)</f>
        <v>0</v>
      </c>
      <c r="N417" s="40">
        <v>0</v>
      </c>
      <c r="O417" s="40">
        <f t="shared" si="13"/>
        <v>0</v>
      </c>
      <c r="P417" s="40">
        <f t="shared" si="14"/>
        <v>0</v>
      </c>
    </row>
    <row r="418" spans="1:16" x14ac:dyDescent="0.35">
      <c r="A418" s="33">
        <v>415</v>
      </c>
      <c r="B418" s="34" t="s">
        <v>732</v>
      </c>
      <c r="C418" s="33" t="s">
        <v>346</v>
      </c>
      <c r="D418" s="33" t="s">
        <v>17</v>
      </c>
      <c r="E418" s="33" t="s">
        <v>666</v>
      </c>
      <c r="F418" s="35">
        <v>0.5</v>
      </c>
      <c r="G418" s="40">
        <v>0</v>
      </c>
      <c r="H418" s="40">
        <v>0</v>
      </c>
      <c r="I418" s="40">
        <v>0</v>
      </c>
      <c r="J418" s="40">
        <v>0</v>
      </c>
      <c r="K418" s="40">
        <v>0</v>
      </c>
      <c r="L418" s="40">
        <v>0</v>
      </c>
      <c r="M418" s="40" cm="1">
        <f t="array" ref="M418:N418">VLOOKUP(B418,'Fumigation  Room'!B:H,{6,7},0)</f>
        <v>0</v>
      </c>
      <c r="N418" s="40">
        <v>0</v>
      </c>
      <c r="O418" s="40">
        <f t="shared" si="13"/>
        <v>0</v>
      </c>
      <c r="P418" s="40">
        <f t="shared" si="14"/>
        <v>0</v>
      </c>
    </row>
    <row r="419" spans="1:16" x14ac:dyDescent="0.35">
      <c r="A419" s="33">
        <v>416</v>
      </c>
      <c r="B419" s="34" t="s">
        <v>733</v>
      </c>
      <c r="C419" s="33" t="s">
        <v>346</v>
      </c>
      <c r="D419" s="33" t="s">
        <v>17</v>
      </c>
      <c r="E419" s="33" t="s">
        <v>666</v>
      </c>
      <c r="F419" s="35">
        <v>1</v>
      </c>
      <c r="G419" s="40">
        <v>0</v>
      </c>
      <c r="H419" s="40">
        <v>0</v>
      </c>
      <c r="I419" s="40">
        <v>0</v>
      </c>
      <c r="J419" s="40">
        <v>0</v>
      </c>
      <c r="K419" s="40">
        <v>0</v>
      </c>
      <c r="L419" s="40">
        <v>0</v>
      </c>
      <c r="M419" s="40" cm="1">
        <f t="array" ref="M419:N419">VLOOKUP(B419,'Fumigation  Room'!B:H,{6,7},0)</f>
        <v>0</v>
      </c>
      <c r="N419" s="40">
        <v>0</v>
      </c>
      <c r="O419" s="40">
        <f t="shared" si="13"/>
        <v>0</v>
      </c>
      <c r="P419" s="40">
        <f t="shared" si="14"/>
        <v>0</v>
      </c>
    </row>
    <row r="420" spans="1:16" x14ac:dyDescent="0.35">
      <c r="A420" s="33">
        <v>417</v>
      </c>
      <c r="B420" s="34" t="s">
        <v>734</v>
      </c>
      <c r="C420" s="33" t="s">
        <v>346</v>
      </c>
      <c r="D420" s="33" t="s">
        <v>17</v>
      </c>
      <c r="E420" s="33" t="s">
        <v>666</v>
      </c>
      <c r="F420" s="35">
        <v>1</v>
      </c>
      <c r="G420" s="40">
        <v>0</v>
      </c>
      <c r="H420" s="40">
        <v>0</v>
      </c>
      <c r="I420" s="40">
        <v>0</v>
      </c>
      <c r="J420" s="40">
        <v>0</v>
      </c>
      <c r="K420" s="40">
        <v>0</v>
      </c>
      <c r="L420" s="40">
        <v>0</v>
      </c>
      <c r="M420" s="40" cm="1">
        <f t="array" ref="M420:N420">VLOOKUP(B420,'Fumigation  Room'!B:H,{6,7},0)</f>
        <v>0</v>
      </c>
      <c r="N420" s="40">
        <v>0</v>
      </c>
      <c r="O420" s="40">
        <f t="shared" si="13"/>
        <v>0</v>
      </c>
      <c r="P420" s="40">
        <f t="shared" si="14"/>
        <v>0</v>
      </c>
    </row>
    <row r="421" spans="1:16" x14ac:dyDescent="0.35">
      <c r="A421" s="33">
        <v>418</v>
      </c>
      <c r="B421" s="34" t="s">
        <v>735</v>
      </c>
      <c r="C421" s="33" t="s">
        <v>346</v>
      </c>
      <c r="D421" s="33" t="s">
        <v>17</v>
      </c>
      <c r="E421" s="33" t="s">
        <v>666</v>
      </c>
      <c r="F421" s="35">
        <v>1</v>
      </c>
      <c r="G421" s="40">
        <v>0</v>
      </c>
      <c r="H421" s="40">
        <v>0</v>
      </c>
      <c r="I421" s="40">
        <v>0</v>
      </c>
      <c r="J421" s="40">
        <v>0</v>
      </c>
      <c r="K421" s="40">
        <v>0</v>
      </c>
      <c r="L421" s="40">
        <v>0</v>
      </c>
      <c r="M421" s="40" cm="1">
        <f t="array" ref="M421:N421">VLOOKUP(B421,'Fumigation  Room'!B:H,{6,7},0)</f>
        <v>0</v>
      </c>
      <c r="N421" s="40">
        <v>0</v>
      </c>
      <c r="O421" s="40">
        <f t="shared" si="13"/>
        <v>0</v>
      </c>
      <c r="P421" s="40">
        <f t="shared" si="14"/>
        <v>0</v>
      </c>
    </row>
    <row r="422" spans="1:16" x14ac:dyDescent="0.35">
      <c r="A422" s="33">
        <v>419</v>
      </c>
      <c r="B422" s="34" t="s">
        <v>736</v>
      </c>
      <c r="C422" s="33" t="s">
        <v>346</v>
      </c>
      <c r="D422" s="33" t="s">
        <v>17</v>
      </c>
      <c r="E422" s="33" t="s">
        <v>666</v>
      </c>
      <c r="F422" s="35">
        <v>1</v>
      </c>
      <c r="G422" s="40">
        <v>0</v>
      </c>
      <c r="H422" s="40">
        <v>0</v>
      </c>
      <c r="I422" s="40">
        <v>0</v>
      </c>
      <c r="J422" s="40">
        <v>0</v>
      </c>
      <c r="K422" s="40">
        <v>0</v>
      </c>
      <c r="L422" s="40">
        <v>0</v>
      </c>
      <c r="M422" s="40" cm="1">
        <f t="array" ref="M422:N422">VLOOKUP(B422,'Fumigation  Room'!B:H,{6,7},0)</f>
        <v>0</v>
      </c>
      <c r="N422" s="40">
        <v>0</v>
      </c>
      <c r="O422" s="40">
        <f t="shared" si="13"/>
        <v>0</v>
      </c>
      <c r="P422" s="40">
        <f t="shared" si="14"/>
        <v>0</v>
      </c>
    </row>
    <row r="423" spans="1:16" x14ac:dyDescent="0.35">
      <c r="A423" s="33">
        <v>420</v>
      </c>
      <c r="B423" s="34" t="s">
        <v>737</v>
      </c>
      <c r="C423" s="33" t="s">
        <v>346</v>
      </c>
      <c r="D423" s="33" t="s">
        <v>17</v>
      </c>
      <c r="E423" s="33" t="s">
        <v>666</v>
      </c>
      <c r="F423" s="35">
        <v>1</v>
      </c>
      <c r="G423" s="40">
        <v>0</v>
      </c>
      <c r="H423" s="40">
        <v>0</v>
      </c>
      <c r="I423" s="40">
        <v>0</v>
      </c>
      <c r="J423" s="40">
        <v>0</v>
      </c>
      <c r="K423" s="40">
        <v>0</v>
      </c>
      <c r="L423" s="40">
        <v>0</v>
      </c>
      <c r="M423" s="40" cm="1">
        <f t="array" ref="M423:N423">VLOOKUP(B423,'Fumigation  Room'!B:H,{6,7},0)</f>
        <v>0</v>
      </c>
      <c r="N423" s="40">
        <v>0</v>
      </c>
      <c r="O423" s="40">
        <f t="shared" si="13"/>
        <v>0</v>
      </c>
      <c r="P423" s="40">
        <f t="shared" si="14"/>
        <v>0</v>
      </c>
    </row>
    <row r="424" spans="1:16" x14ac:dyDescent="0.35">
      <c r="A424" s="33">
        <v>421</v>
      </c>
      <c r="B424" s="34" t="s">
        <v>738</v>
      </c>
      <c r="C424" s="33" t="s">
        <v>346</v>
      </c>
      <c r="D424" s="33" t="s">
        <v>17</v>
      </c>
      <c r="E424" s="33" t="s">
        <v>666</v>
      </c>
      <c r="F424" s="35">
        <v>0.25</v>
      </c>
      <c r="G424" s="40">
        <v>0</v>
      </c>
      <c r="H424" s="40">
        <v>0</v>
      </c>
      <c r="I424" s="40">
        <v>0</v>
      </c>
      <c r="J424" s="40">
        <v>0</v>
      </c>
      <c r="K424" s="40">
        <v>0</v>
      </c>
      <c r="L424" s="40">
        <v>0</v>
      </c>
      <c r="M424" s="40" cm="1">
        <f t="array" ref="M424:N424">VLOOKUP(B424,'Fumigation  Room'!B:H,{6,7},0)</f>
        <v>0</v>
      </c>
      <c r="N424" s="40">
        <v>0</v>
      </c>
      <c r="O424" s="40">
        <f t="shared" si="13"/>
        <v>0</v>
      </c>
      <c r="P424" s="40">
        <f t="shared" si="14"/>
        <v>0</v>
      </c>
    </row>
    <row r="425" spans="1:16" x14ac:dyDescent="0.35">
      <c r="A425" s="33">
        <v>422</v>
      </c>
      <c r="B425" s="34" t="s">
        <v>739</v>
      </c>
      <c r="C425" s="33" t="s">
        <v>346</v>
      </c>
      <c r="D425" s="33" t="s">
        <v>17</v>
      </c>
      <c r="E425" s="33" t="s">
        <v>666</v>
      </c>
      <c r="F425" s="35">
        <v>1</v>
      </c>
      <c r="G425" s="40">
        <v>0</v>
      </c>
      <c r="H425" s="40">
        <v>0</v>
      </c>
      <c r="I425" s="40">
        <v>0</v>
      </c>
      <c r="J425" s="40">
        <v>0</v>
      </c>
      <c r="K425" s="40">
        <v>0</v>
      </c>
      <c r="L425" s="40">
        <v>0</v>
      </c>
      <c r="M425" s="40" cm="1">
        <f t="array" ref="M425:N425">VLOOKUP(B425,'Fumigation  Room'!B:H,{6,7},0)</f>
        <v>0</v>
      </c>
      <c r="N425" s="40">
        <v>0</v>
      </c>
      <c r="O425" s="40">
        <f t="shared" si="13"/>
        <v>0</v>
      </c>
      <c r="P425" s="40">
        <f t="shared" si="14"/>
        <v>0</v>
      </c>
    </row>
    <row r="426" spans="1:16" x14ac:dyDescent="0.35">
      <c r="A426" s="33">
        <v>423</v>
      </c>
      <c r="B426" s="34" t="s">
        <v>740</v>
      </c>
      <c r="C426" s="33" t="s">
        <v>346</v>
      </c>
      <c r="D426" s="33" t="s">
        <v>17</v>
      </c>
      <c r="E426" s="33" t="s">
        <v>666</v>
      </c>
      <c r="F426" s="35">
        <v>1</v>
      </c>
      <c r="G426" s="40">
        <v>0</v>
      </c>
      <c r="H426" s="40">
        <v>0</v>
      </c>
      <c r="I426" s="40">
        <v>0</v>
      </c>
      <c r="J426" s="40">
        <v>0</v>
      </c>
      <c r="K426" s="40">
        <v>0</v>
      </c>
      <c r="L426" s="40">
        <v>0</v>
      </c>
      <c r="M426" s="40" cm="1">
        <f t="array" ref="M426:N426">VLOOKUP(B426,'Fumigation  Room'!B:H,{6,7},0)</f>
        <v>0</v>
      </c>
      <c r="N426" s="40">
        <v>0</v>
      </c>
      <c r="O426" s="40">
        <f t="shared" si="13"/>
        <v>0</v>
      </c>
      <c r="P426" s="40">
        <f t="shared" si="14"/>
        <v>0</v>
      </c>
    </row>
    <row r="427" spans="1:16" x14ac:dyDescent="0.35">
      <c r="A427" s="33">
        <v>424</v>
      </c>
      <c r="B427" s="34" t="s">
        <v>741</v>
      </c>
      <c r="C427" s="33" t="s">
        <v>346</v>
      </c>
      <c r="D427" s="33" t="s">
        <v>17</v>
      </c>
      <c r="E427" s="33" t="s">
        <v>666</v>
      </c>
      <c r="F427" s="35">
        <v>1</v>
      </c>
      <c r="G427" s="40">
        <v>0</v>
      </c>
      <c r="H427" s="40">
        <v>0</v>
      </c>
      <c r="I427" s="40">
        <v>0</v>
      </c>
      <c r="J427" s="40">
        <v>0</v>
      </c>
      <c r="K427" s="40">
        <v>0</v>
      </c>
      <c r="L427" s="40">
        <v>0</v>
      </c>
      <c r="M427" s="40" cm="1">
        <f t="array" ref="M427:N427">VLOOKUP(B427,'Fumigation  Room'!B:H,{6,7},0)</f>
        <v>0</v>
      </c>
      <c r="N427" s="40">
        <v>0</v>
      </c>
      <c r="O427" s="40">
        <f t="shared" si="13"/>
        <v>0</v>
      </c>
      <c r="P427" s="40">
        <f t="shared" si="14"/>
        <v>0</v>
      </c>
    </row>
    <row r="428" spans="1:16" x14ac:dyDescent="0.35">
      <c r="A428" s="33">
        <v>425</v>
      </c>
      <c r="B428" s="34" t="s">
        <v>742</v>
      </c>
      <c r="C428" s="33" t="s">
        <v>346</v>
      </c>
      <c r="D428" s="33" t="s">
        <v>17</v>
      </c>
      <c r="E428" s="33" t="s">
        <v>666</v>
      </c>
      <c r="F428" s="35">
        <v>0.55000000000000004</v>
      </c>
      <c r="G428" s="40">
        <v>0</v>
      </c>
      <c r="H428" s="40">
        <v>0</v>
      </c>
      <c r="I428" s="40">
        <v>0</v>
      </c>
      <c r="J428" s="40">
        <v>0</v>
      </c>
      <c r="K428" s="40">
        <v>0</v>
      </c>
      <c r="L428" s="40">
        <v>0</v>
      </c>
      <c r="M428" s="40" cm="1">
        <f t="array" ref="M428:N428">VLOOKUP(B428,'Fumigation  Room'!B:H,{6,7},0)</f>
        <v>0</v>
      </c>
      <c r="N428" s="40">
        <v>0</v>
      </c>
      <c r="O428" s="40">
        <f t="shared" si="13"/>
        <v>0</v>
      </c>
      <c r="P428" s="40">
        <f t="shared" si="14"/>
        <v>0</v>
      </c>
    </row>
    <row r="429" spans="1:16" x14ac:dyDescent="0.35">
      <c r="A429" s="33">
        <v>426</v>
      </c>
      <c r="B429" s="34" t="s">
        <v>743</v>
      </c>
      <c r="C429" s="33" t="s">
        <v>346</v>
      </c>
      <c r="D429" s="33" t="s">
        <v>17</v>
      </c>
      <c r="E429" s="33" t="s">
        <v>666</v>
      </c>
      <c r="F429" s="35">
        <v>0.2</v>
      </c>
      <c r="G429" s="40">
        <v>0</v>
      </c>
      <c r="H429" s="40">
        <v>0</v>
      </c>
      <c r="I429" s="40">
        <v>0</v>
      </c>
      <c r="J429" s="40">
        <v>0</v>
      </c>
      <c r="K429" s="40">
        <v>0</v>
      </c>
      <c r="L429" s="40">
        <v>0</v>
      </c>
      <c r="M429" s="40" cm="1">
        <f t="array" ref="M429:N429">VLOOKUP(B429,'Fumigation  Room'!B:H,{6,7},0)</f>
        <v>0</v>
      </c>
      <c r="N429" s="40">
        <v>0</v>
      </c>
      <c r="O429" s="40">
        <f t="shared" si="13"/>
        <v>0</v>
      </c>
      <c r="P429" s="40">
        <f t="shared" si="14"/>
        <v>0</v>
      </c>
    </row>
    <row r="430" spans="1:16" x14ac:dyDescent="0.35">
      <c r="A430" s="33">
        <v>427</v>
      </c>
      <c r="B430" s="34" t="s">
        <v>744</v>
      </c>
      <c r="C430" s="33" t="s">
        <v>346</v>
      </c>
      <c r="D430" s="33" t="s">
        <v>17</v>
      </c>
      <c r="E430" s="33" t="s">
        <v>666</v>
      </c>
      <c r="F430" s="35">
        <v>0.25</v>
      </c>
      <c r="G430" s="40">
        <v>0</v>
      </c>
      <c r="H430" s="40">
        <v>0</v>
      </c>
      <c r="I430" s="40">
        <v>0</v>
      </c>
      <c r="J430" s="40">
        <v>0</v>
      </c>
      <c r="K430" s="40">
        <v>0</v>
      </c>
      <c r="L430" s="40">
        <v>0</v>
      </c>
      <c r="M430" s="40" cm="1">
        <f t="array" ref="M430:N430">VLOOKUP(B430,'Fumigation  Room'!B:H,{6,7},0)</f>
        <v>0</v>
      </c>
      <c r="N430" s="40">
        <v>0</v>
      </c>
      <c r="O430" s="40">
        <f t="shared" si="13"/>
        <v>0</v>
      </c>
      <c r="P430" s="40">
        <f t="shared" si="14"/>
        <v>0</v>
      </c>
    </row>
    <row r="431" spans="1:16" x14ac:dyDescent="0.35">
      <c r="A431" s="33">
        <v>428</v>
      </c>
      <c r="B431" s="34" t="s">
        <v>745</v>
      </c>
      <c r="C431" s="33" t="s">
        <v>346</v>
      </c>
      <c r="D431" s="33" t="s">
        <v>17</v>
      </c>
      <c r="E431" s="33" t="s">
        <v>666</v>
      </c>
      <c r="F431" s="35">
        <v>0.5</v>
      </c>
      <c r="G431" s="40">
        <v>0</v>
      </c>
      <c r="H431" s="40">
        <v>0</v>
      </c>
      <c r="I431" s="40">
        <v>0</v>
      </c>
      <c r="J431" s="40">
        <v>0</v>
      </c>
      <c r="K431" s="40">
        <v>0</v>
      </c>
      <c r="L431" s="40">
        <v>0</v>
      </c>
      <c r="M431" s="40" cm="1">
        <f t="array" ref="M431:N431">VLOOKUP(B431,'Fumigation  Room'!B:H,{6,7},0)</f>
        <v>0</v>
      </c>
      <c r="N431" s="40">
        <v>0</v>
      </c>
      <c r="O431" s="40">
        <f t="shared" si="13"/>
        <v>0</v>
      </c>
      <c r="P431" s="40">
        <f t="shared" si="14"/>
        <v>0</v>
      </c>
    </row>
    <row r="432" spans="1:16" x14ac:dyDescent="0.35">
      <c r="A432" s="33">
        <v>429</v>
      </c>
      <c r="B432" s="34" t="s">
        <v>746</v>
      </c>
      <c r="C432" s="33" t="s">
        <v>346</v>
      </c>
      <c r="D432" s="33" t="s">
        <v>17</v>
      </c>
      <c r="E432" s="33" t="s">
        <v>666</v>
      </c>
      <c r="F432" s="35">
        <v>1</v>
      </c>
      <c r="G432" s="40">
        <v>0</v>
      </c>
      <c r="H432" s="40">
        <v>0</v>
      </c>
      <c r="I432" s="40">
        <v>0</v>
      </c>
      <c r="J432" s="40">
        <v>0</v>
      </c>
      <c r="K432" s="40">
        <v>0</v>
      </c>
      <c r="L432" s="40">
        <v>0</v>
      </c>
      <c r="M432" s="40" cm="1">
        <f t="array" ref="M432:N432">VLOOKUP(B432,'Fumigation  Room'!B:H,{6,7},0)</f>
        <v>0</v>
      </c>
      <c r="N432" s="40">
        <v>0</v>
      </c>
      <c r="O432" s="40">
        <f t="shared" si="13"/>
        <v>0</v>
      </c>
      <c r="P432" s="40">
        <f t="shared" si="14"/>
        <v>0</v>
      </c>
    </row>
    <row r="433" spans="1:16" x14ac:dyDescent="0.35">
      <c r="A433" s="33">
        <v>430</v>
      </c>
      <c r="B433" s="34" t="s">
        <v>747</v>
      </c>
      <c r="C433" s="33" t="s">
        <v>346</v>
      </c>
      <c r="D433" s="33" t="s">
        <v>17</v>
      </c>
      <c r="E433" s="33" t="s">
        <v>666</v>
      </c>
      <c r="F433" s="35">
        <v>1</v>
      </c>
      <c r="G433" s="40">
        <v>0</v>
      </c>
      <c r="H433" s="40">
        <v>0</v>
      </c>
      <c r="I433" s="40">
        <v>0</v>
      </c>
      <c r="J433" s="40">
        <v>0</v>
      </c>
      <c r="K433" s="40">
        <v>0</v>
      </c>
      <c r="L433" s="40">
        <v>0</v>
      </c>
      <c r="M433" s="40" cm="1">
        <f t="array" ref="M433:N433">VLOOKUP(B433,'Fumigation  Room'!B:H,{6,7},0)</f>
        <v>0</v>
      </c>
      <c r="N433" s="40">
        <v>0</v>
      </c>
      <c r="O433" s="40">
        <f t="shared" si="13"/>
        <v>0</v>
      </c>
      <c r="P433" s="40">
        <f t="shared" si="14"/>
        <v>0</v>
      </c>
    </row>
    <row r="434" spans="1:16" x14ac:dyDescent="0.35">
      <c r="A434" s="33">
        <v>431</v>
      </c>
      <c r="B434" s="34" t="s">
        <v>748</v>
      </c>
      <c r="C434" s="33" t="s">
        <v>346</v>
      </c>
      <c r="D434" s="33" t="s">
        <v>17</v>
      </c>
      <c r="E434" s="33" t="s">
        <v>666</v>
      </c>
      <c r="F434" s="35">
        <v>1</v>
      </c>
      <c r="G434" s="40">
        <v>0</v>
      </c>
      <c r="H434" s="40">
        <v>0</v>
      </c>
      <c r="I434" s="40">
        <v>0</v>
      </c>
      <c r="J434" s="40">
        <v>0</v>
      </c>
      <c r="K434" s="40">
        <v>0</v>
      </c>
      <c r="L434" s="40">
        <v>0</v>
      </c>
      <c r="M434" s="40" cm="1">
        <f t="array" ref="M434:N434">VLOOKUP(B434,'Fumigation  Room'!B:H,{6,7},0)</f>
        <v>0</v>
      </c>
      <c r="N434" s="40">
        <v>0</v>
      </c>
      <c r="O434" s="40">
        <f t="shared" si="13"/>
        <v>0</v>
      </c>
      <c r="P434" s="40">
        <f t="shared" si="14"/>
        <v>0</v>
      </c>
    </row>
    <row r="435" spans="1:16" x14ac:dyDescent="0.35">
      <c r="A435" s="33">
        <v>432</v>
      </c>
      <c r="B435" s="34" t="s">
        <v>749</v>
      </c>
      <c r="C435" s="33" t="s">
        <v>346</v>
      </c>
      <c r="D435" s="33" t="s">
        <v>17</v>
      </c>
      <c r="E435" s="33" t="s">
        <v>666</v>
      </c>
      <c r="F435" s="35">
        <v>1</v>
      </c>
      <c r="G435" s="40">
        <v>0</v>
      </c>
      <c r="H435" s="40">
        <v>0</v>
      </c>
      <c r="I435" s="40">
        <v>0</v>
      </c>
      <c r="J435" s="40">
        <v>0</v>
      </c>
      <c r="K435" s="40">
        <v>0</v>
      </c>
      <c r="L435" s="40">
        <v>0</v>
      </c>
      <c r="M435" s="40" cm="1">
        <f t="array" ref="M435:N435">VLOOKUP(B435,'Fumigation  Room'!B:H,{6,7},0)</f>
        <v>0</v>
      </c>
      <c r="N435" s="40">
        <v>0</v>
      </c>
      <c r="O435" s="40">
        <f t="shared" si="13"/>
        <v>0</v>
      </c>
      <c r="P435" s="40">
        <f t="shared" si="14"/>
        <v>0</v>
      </c>
    </row>
    <row r="436" spans="1:16" x14ac:dyDescent="0.35">
      <c r="A436" s="33">
        <v>433</v>
      </c>
      <c r="B436" s="34" t="s">
        <v>750</v>
      </c>
      <c r="C436" s="33" t="s">
        <v>346</v>
      </c>
      <c r="D436" s="33" t="s">
        <v>17</v>
      </c>
      <c r="E436" s="33" t="s">
        <v>666</v>
      </c>
      <c r="F436" s="35">
        <v>0.1</v>
      </c>
      <c r="G436" s="40">
        <v>0</v>
      </c>
      <c r="H436" s="40">
        <v>0</v>
      </c>
      <c r="I436" s="40">
        <v>0</v>
      </c>
      <c r="J436" s="40">
        <v>0</v>
      </c>
      <c r="K436" s="40">
        <v>0</v>
      </c>
      <c r="L436" s="40">
        <v>0</v>
      </c>
      <c r="M436" s="40" cm="1">
        <f t="array" ref="M436:N436">VLOOKUP(B436,'Fumigation  Room'!B:H,{6,7},0)</f>
        <v>0</v>
      </c>
      <c r="N436" s="40">
        <v>0</v>
      </c>
      <c r="O436" s="40">
        <f t="shared" si="13"/>
        <v>0</v>
      </c>
      <c r="P436" s="40">
        <f t="shared" si="14"/>
        <v>0</v>
      </c>
    </row>
    <row r="437" spans="1:16" x14ac:dyDescent="0.35">
      <c r="A437" s="33">
        <v>434</v>
      </c>
      <c r="B437" s="34" t="s">
        <v>751</v>
      </c>
      <c r="C437" s="33" t="s">
        <v>346</v>
      </c>
      <c r="D437" s="33" t="s">
        <v>17</v>
      </c>
      <c r="E437" s="33" t="s">
        <v>666</v>
      </c>
      <c r="F437" s="35">
        <v>0.2</v>
      </c>
      <c r="G437" s="40">
        <v>0</v>
      </c>
      <c r="H437" s="40">
        <v>0</v>
      </c>
      <c r="I437" s="40">
        <v>0</v>
      </c>
      <c r="J437" s="40">
        <v>0</v>
      </c>
      <c r="K437" s="40">
        <v>0</v>
      </c>
      <c r="L437" s="40">
        <v>0</v>
      </c>
      <c r="M437" s="40" cm="1">
        <f t="array" ref="M437:N437">VLOOKUP(B437,'Fumigation  Room'!B:H,{6,7},0)</f>
        <v>0</v>
      </c>
      <c r="N437" s="40">
        <v>0</v>
      </c>
      <c r="O437" s="40">
        <f t="shared" si="13"/>
        <v>0</v>
      </c>
      <c r="P437" s="40">
        <f t="shared" si="14"/>
        <v>0</v>
      </c>
    </row>
    <row r="438" spans="1:16" x14ac:dyDescent="0.35">
      <c r="A438" s="33">
        <v>435</v>
      </c>
      <c r="B438" s="34" t="s">
        <v>752</v>
      </c>
      <c r="C438" s="33" t="s">
        <v>346</v>
      </c>
      <c r="D438" s="33" t="s">
        <v>17</v>
      </c>
      <c r="E438" s="33" t="s">
        <v>666</v>
      </c>
      <c r="F438" s="35">
        <v>0.2</v>
      </c>
      <c r="G438" s="40">
        <v>0</v>
      </c>
      <c r="H438" s="40">
        <v>0</v>
      </c>
      <c r="I438" s="40">
        <v>0</v>
      </c>
      <c r="J438" s="40">
        <v>0</v>
      </c>
      <c r="K438" s="40">
        <v>0</v>
      </c>
      <c r="L438" s="40">
        <v>0</v>
      </c>
      <c r="M438" s="40" cm="1">
        <f t="array" ref="M438:N438">VLOOKUP(B438,'Fumigation  Room'!B:H,{6,7},0)</f>
        <v>0</v>
      </c>
      <c r="N438" s="40">
        <v>0</v>
      </c>
      <c r="O438" s="40">
        <f t="shared" si="13"/>
        <v>0</v>
      </c>
      <c r="P438" s="40">
        <f t="shared" si="14"/>
        <v>0</v>
      </c>
    </row>
    <row r="439" spans="1:16" x14ac:dyDescent="0.35">
      <c r="A439" s="33">
        <v>436</v>
      </c>
      <c r="B439" s="34" t="s">
        <v>753</v>
      </c>
      <c r="C439" s="33" t="s">
        <v>346</v>
      </c>
      <c r="D439" s="33" t="s">
        <v>17</v>
      </c>
      <c r="E439" s="33" t="s">
        <v>666</v>
      </c>
      <c r="F439" s="35">
        <v>0.05</v>
      </c>
      <c r="G439" s="40">
        <v>0</v>
      </c>
      <c r="H439" s="40">
        <v>0</v>
      </c>
      <c r="I439" s="40">
        <v>0</v>
      </c>
      <c r="J439" s="40">
        <v>0</v>
      </c>
      <c r="K439" s="40">
        <v>0</v>
      </c>
      <c r="L439" s="40">
        <v>0</v>
      </c>
      <c r="M439" s="40" cm="1">
        <f t="array" ref="M439:N439">VLOOKUP(B439,'Fumigation  Room'!B:H,{6,7},0)</f>
        <v>0</v>
      </c>
      <c r="N439" s="40">
        <v>0</v>
      </c>
      <c r="O439" s="40">
        <f t="shared" si="13"/>
        <v>0</v>
      </c>
      <c r="P439" s="40">
        <f t="shared" si="14"/>
        <v>0</v>
      </c>
    </row>
    <row r="440" spans="1:16" x14ac:dyDescent="0.35">
      <c r="A440" s="33">
        <v>437</v>
      </c>
      <c r="B440" s="34" t="s">
        <v>754</v>
      </c>
      <c r="C440" s="33" t="s">
        <v>346</v>
      </c>
      <c r="D440" s="33" t="s">
        <v>17</v>
      </c>
      <c r="E440" s="33" t="s">
        <v>666</v>
      </c>
      <c r="F440" s="35">
        <v>0.05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  <c r="L440" s="40">
        <v>0</v>
      </c>
      <c r="M440" s="40" cm="1">
        <f t="array" ref="M440:N440">VLOOKUP(B440,'Fumigation  Room'!B:H,{6,7},0)</f>
        <v>0</v>
      </c>
      <c r="N440" s="40">
        <v>0</v>
      </c>
      <c r="O440" s="40">
        <f t="shared" si="13"/>
        <v>0</v>
      </c>
      <c r="P440" s="40">
        <f t="shared" si="14"/>
        <v>0</v>
      </c>
    </row>
    <row r="441" spans="1:16" x14ac:dyDescent="0.35">
      <c r="A441" s="33">
        <v>438</v>
      </c>
      <c r="B441" s="34" t="s">
        <v>755</v>
      </c>
      <c r="C441" s="33" t="s">
        <v>346</v>
      </c>
      <c r="D441" s="33" t="s">
        <v>17</v>
      </c>
      <c r="E441" s="33" t="s">
        <v>666</v>
      </c>
      <c r="F441" s="35">
        <v>1</v>
      </c>
      <c r="G441" s="40">
        <v>0</v>
      </c>
      <c r="H441" s="40">
        <v>0</v>
      </c>
      <c r="I441" s="40">
        <v>0</v>
      </c>
      <c r="J441" s="40">
        <v>0</v>
      </c>
      <c r="K441" s="40">
        <v>0</v>
      </c>
      <c r="L441" s="40">
        <v>0</v>
      </c>
      <c r="M441" s="40" cm="1">
        <f t="array" ref="M441:N441">VLOOKUP(B441,'Fumigation  Room'!B:H,{6,7},0)</f>
        <v>0</v>
      </c>
      <c r="N441" s="40">
        <v>0</v>
      </c>
      <c r="O441" s="40">
        <f t="shared" si="13"/>
        <v>0</v>
      </c>
      <c r="P441" s="40">
        <f t="shared" si="14"/>
        <v>0</v>
      </c>
    </row>
    <row r="442" spans="1:16" x14ac:dyDescent="0.35">
      <c r="A442" s="33">
        <v>439</v>
      </c>
      <c r="B442" s="34" t="s">
        <v>756</v>
      </c>
      <c r="C442" s="33" t="s">
        <v>346</v>
      </c>
      <c r="D442" s="33" t="s">
        <v>17</v>
      </c>
      <c r="E442" s="33" t="s">
        <v>666</v>
      </c>
      <c r="F442" s="35">
        <v>1</v>
      </c>
      <c r="G442" s="40">
        <v>0</v>
      </c>
      <c r="H442" s="40">
        <v>0</v>
      </c>
      <c r="I442" s="40">
        <v>0</v>
      </c>
      <c r="J442" s="40">
        <v>0</v>
      </c>
      <c r="K442" s="40">
        <v>0</v>
      </c>
      <c r="L442" s="40">
        <v>0</v>
      </c>
      <c r="M442" s="40" cm="1">
        <f t="array" ref="M442:N442">VLOOKUP(B442,'Fumigation  Room'!B:H,{6,7},0)</f>
        <v>0</v>
      </c>
      <c r="N442" s="40">
        <v>0</v>
      </c>
      <c r="O442" s="40">
        <f t="shared" si="13"/>
        <v>0</v>
      </c>
      <c r="P442" s="40">
        <f t="shared" si="14"/>
        <v>0</v>
      </c>
    </row>
    <row r="443" spans="1:16" x14ac:dyDescent="0.35">
      <c r="A443" s="33">
        <v>440</v>
      </c>
      <c r="B443" s="34" t="s">
        <v>757</v>
      </c>
      <c r="C443" s="33" t="s">
        <v>346</v>
      </c>
      <c r="D443" s="33" t="s">
        <v>17</v>
      </c>
      <c r="E443" s="33" t="s">
        <v>666</v>
      </c>
      <c r="F443" s="35">
        <v>1</v>
      </c>
      <c r="G443" s="40">
        <v>0</v>
      </c>
      <c r="H443" s="40">
        <v>0</v>
      </c>
      <c r="I443" s="40">
        <v>0</v>
      </c>
      <c r="J443" s="40">
        <v>0</v>
      </c>
      <c r="K443" s="40">
        <v>0</v>
      </c>
      <c r="L443" s="40">
        <v>0</v>
      </c>
      <c r="M443" s="40" cm="1">
        <f t="array" ref="M443:N443">VLOOKUP(B443,'Fumigation  Room'!B:H,{6,7},0)</f>
        <v>0</v>
      </c>
      <c r="N443" s="40">
        <v>0</v>
      </c>
      <c r="O443" s="40">
        <f t="shared" si="13"/>
        <v>0</v>
      </c>
      <c r="P443" s="40">
        <f t="shared" si="14"/>
        <v>0</v>
      </c>
    </row>
    <row r="444" spans="1:16" x14ac:dyDescent="0.35">
      <c r="A444" s="33">
        <v>441</v>
      </c>
      <c r="B444" s="34" t="s">
        <v>758</v>
      </c>
      <c r="C444" s="33" t="s">
        <v>346</v>
      </c>
      <c r="D444" s="33" t="s">
        <v>17</v>
      </c>
      <c r="E444" s="33" t="s">
        <v>666</v>
      </c>
      <c r="F444" s="35">
        <v>1</v>
      </c>
      <c r="G444" s="40">
        <v>0</v>
      </c>
      <c r="H444" s="40">
        <v>0</v>
      </c>
      <c r="I444" s="40">
        <v>0</v>
      </c>
      <c r="J444" s="40">
        <v>0</v>
      </c>
      <c r="K444" s="40">
        <v>0</v>
      </c>
      <c r="L444" s="40">
        <v>0</v>
      </c>
      <c r="M444" s="40" cm="1">
        <f t="array" ref="M444:N444">VLOOKUP(B444,'Fumigation  Room'!B:H,{6,7},0)</f>
        <v>0</v>
      </c>
      <c r="N444" s="40">
        <v>0</v>
      </c>
      <c r="O444" s="40">
        <f t="shared" si="13"/>
        <v>0</v>
      </c>
      <c r="P444" s="40">
        <f t="shared" si="14"/>
        <v>0</v>
      </c>
    </row>
    <row r="445" spans="1:16" x14ac:dyDescent="0.35">
      <c r="A445" s="33">
        <v>442</v>
      </c>
      <c r="B445" s="34" t="s">
        <v>759</v>
      </c>
      <c r="C445" s="33" t="s">
        <v>346</v>
      </c>
      <c r="D445" s="33" t="s">
        <v>17</v>
      </c>
      <c r="E445" s="33" t="s">
        <v>666</v>
      </c>
      <c r="F445" s="35">
        <v>1</v>
      </c>
      <c r="G445" s="40">
        <v>0</v>
      </c>
      <c r="H445" s="40">
        <v>0</v>
      </c>
      <c r="I445" s="40">
        <v>0</v>
      </c>
      <c r="J445" s="40">
        <v>0</v>
      </c>
      <c r="K445" s="40">
        <v>0</v>
      </c>
      <c r="L445" s="40">
        <v>0</v>
      </c>
      <c r="M445" s="40" cm="1">
        <f t="array" ref="M445:N445">VLOOKUP(B445,'Fumigation  Room'!B:H,{6,7},0)</f>
        <v>0</v>
      </c>
      <c r="N445" s="40">
        <v>0</v>
      </c>
      <c r="O445" s="40">
        <f t="shared" si="13"/>
        <v>0</v>
      </c>
      <c r="P445" s="40">
        <f t="shared" si="14"/>
        <v>0</v>
      </c>
    </row>
    <row r="446" spans="1:16" x14ac:dyDescent="0.35">
      <c r="A446" s="33">
        <v>443</v>
      </c>
      <c r="B446" s="34" t="s">
        <v>760</v>
      </c>
      <c r="C446" s="33" t="s">
        <v>346</v>
      </c>
      <c r="D446" s="33" t="s">
        <v>17</v>
      </c>
      <c r="E446" s="33" t="s">
        <v>666</v>
      </c>
      <c r="F446" s="35">
        <v>1</v>
      </c>
      <c r="G446" s="40">
        <v>0</v>
      </c>
      <c r="H446" s="40">
        <v>0</v>
      </c>
      <c r="I446" s="40">
        <v>0</v>
      </c>
      <c r="J446" s="40">
        <v>0</v>
      </c>
      <c r="K446" s="40">
        <v>0</v>
      </c>
      <c r="L446" s="40">
        <v>0</v>
      </c>
      <c r="M446" s="40" cm="1">
        <f t="array" ref="M446:N446">VLOOKUP(B446,'Fumigation  Room'!B:H,{6,7},0)</f>
        <v>0</v>
      </c>
      <c r="N446" s="40">
        <v>0</v>
      </c>
      <c r="O446" s="40">
        <f t="shared" si="13"/>
        <v>0</v>
      </c>
      <c r="P446" s="40">
        <f t="shared" si="14"/>
        <v>0</v>
      </c>
    </row>
    <row r="447" spans="1:16" x14ac:dyDescent="0.35">
      <c r="A447" s="33">
        <v>444</v>
      </c>
      <c r="B447" s="34" t="s">
        <v>761</v>
      </c>
      <c r="C447" s="33" t="s">
        <v>346</v>
      </c>
      <c r="D447" s="33" t="s">
        <v>17</v>
      </c>
      <c r="E447" s="33" t="s">
        <v>666</v>
      </c>
      <c r="F447" s="35">
        <v>1</v>
      </c>
      <c r="G447" s="40">
        <v>0</v>
      </c>
      <c r="H447" s="40">
        <v>0</v>
      </c>
      <c r="I447" s="40">
        <v>0</v>
      </c>
      <c r="J447" s="40">
        <v>0</v>
      </c>
      <c r="K447" s="40">
        <v>0</v>
      </c>
      <c r="L447" s="40">
        <v>0</v>
      </c>
      <c r="M447" s="40" cm="1">
        <f t="array" ref="M447:N447">VLOOKUP(B447,'Fumigation  Room'!B:H,{6,7},0)</f>
        <v>0</v>
      </c>
      <c r="N447" s="40">
        <v>0</v>
      </c>
      <c r="O447" s="40">
        <f t="shared" si="13"/>
        <v>0</v>
      </c>
      <c r="P447" s="40">
        <f t="shared" si="14"/>
        <v>0</v>
      </c>
    </row>
    <row r="448" spans="1:16" x14ac:dyDescent="0.35">
      <c r="A448" s="33">
        <v>445</v>
      </c>
      <c r="B448" s="34" t="s">
        <v>762</v>
      </c>
      <c r="C448" s="33" t="s">
        <v>346</v>
      </c>
      <c r="D448" s="33" t="s">
        <v>17</v>
      </c>
      <c r="E448" s="33" t="s">
        <v>666</v>
      </c>
      <c r="F448" s="35">
        <v>0.2</v>
      </c>
      <c r="G448" s="40">
        <v>0</v>
      </c>
      <c r="H448" s="40">
        <v>0</v>
      </c>
      <c r="I448" s="40">
        <v>0</v>
      </c>
      <c r="J448" s="40">
        <v>0</v>
      </c>
      <c r="K448" s="40">
        <v>0</v>
      </c>
      <c r="L448" s="40">
        <v>0</v>
      </c>
      <c r="M448" s="40" cm="1">
        <f t="array" ref="M448:N448">VLOOKUP(B448,'Fumigation  Room'!B:H,{6,7},0)</f>
        <v>0</v>
      </c>
      <c r="N448" s="40">
        <v>0</v>
      </c>
      <c r="O448" s="40">
        <f t="shared" si="13"/>
        <v>0</v>
      </c>
      <c r="P448" s="40">
        <f t="shared" si="14"/>
        <v>0</v>
      </c>
    </row>
    <row r="449" spans="1:16" x14ac:dyDescent="0.35">
      <c r="A449" s="33">
        <v>446</v>
      </c>
      <c r="B449" s="34" t="s">
        <v>763</v>
      </c>
      <c r="C449" s="33" t="s">
        <v>346</v>
      </c>
      <c r="D449" s="33" t="s">
        <v>17</v>
      </c>
      <c r="E449" s="33" t="s">
        <v>666</v>
      </c>
      <c r="F449" s="35">
        <v>0.5</v>
      </c>
      <c r="G449" s="40">
        <v>0</v>
      </c>
      <c r="H449" s="40">
        <v>0</v>
      </c>
      <c r="I449" s="40">
        <v>0</v>
      </c>
      <c r="J449" s="40">
        <v>0</v>
      </c>
      <c r="K449" s="40">
        <v>0</v>
      </c>
      <c r="L449" s="40">
        <v>0</v>
      </c>
      <c r="M449" s="40" cm="1">
        <f t="array" ref="M449:N449">VLOOKUP(B449,'Fumigation  Room'!B:H,{6,7},0)</f>
        <v>0</v>
      </c>
      <c r="N449" s="40">
        <v>0</v>
      </c>
      <c r="O449" s="40">
        <f t="shared" si="13"/>
        <v>0</v>
      </c>
      <c r="P449" s="40">
        <f t="shared" si="14"/>
        <v>0</v>
      </c>
    </row>
    <row r="450" spans="1:16" x14ac:dyDescent="0.35">
      <c r="A450" s="33">
        <v>447</v>
      </c>
      <c r="B450" s="34" t="s">
        <v>764</v>
      </c>
      <c r="C450" s="33" t="s">
        <v>346</v>
      </c>
      <c r="D450" s="33" t="s">
        <v>17</v>
      </c>
      <c r="E450" s="33" t="s">
        <v>666</v>
      </c>
      <c r="F450" s="35">
        <v>0.1</v>
      </c>
      <c r="G450" s="40">
        <v>0</v>
      </c>
      <c r="H450" s="40">
        <v>0</v>
      </c>
      <c r="I450" s="40">
        <v>0</v>
      </c>
      <c r="J450" s="40">
        <v>0</v>
      </c>
      <c r="K450" s="40">
        <v>0</v>
      </c>
      <c r="L450" s="40">
        <v>0</v>
      </c>
      <c r="M450" s="40" cm="1">
        <f t="array" ref="M450:N450">VLOOKUP(B450,'Fumigation  Room'!B:H,{6,7},0)</f>
        <v>0</v>
      </c>
      <c r="N450" s="40">
        <v>0</v>
      </c>
      <c r="O450" s="40">
        <f t="shared" si="13"/>
        <v>0</v>
      </c>
      <c r="P450" s="40">
        <f t="shared" si="14"/>
        <v>0</v>
      </c>
    </row>
    <row r="451" spans="1:16" x14ac:dyDescent="0.35">
      <c r="A451" s="33">
        <v>448</v>
      </c>
      <c r="B451" s="34" t="s">
        <v>765</v>
      </c>
      <c r="C451" s="33" t="s">
        <v>346</v>
      </c>
      <c r="D451" s="33" t="s">
        <v>17</v>
      </c>
      <c r="E451" s="33" t="s">
        <v>666</v>
      </c>
      <c r="F451" s="35">
        <v>0.25</v>
      </c>
      <c r="G451" s="40">
        <v>0</v>
      </c>
      <c r="H451" s="40">
        <v>0</v>
      </c>
      <c r="I451" s="40">
        <v>0</v>
      </c>
      <c r="J451" s="40">
        <v>0</v>
      </c>
      <c r="K451" s="40">
        <v>0</v>
      </c>
      <c r="L451" s="40">
        <v>0</v>
      </c>
      <c r="M451" s="40" cm="1">
        <f t="array" ref="M451:N451">VLOOKUP(B451,'Fumigation  Room'!B:H,{6,7},0)</f>
        <v>0</v>
      </c>
      <c r="N451" s="40">
        <v>0</v>
      </c>
      <c r="O451" s="40">
        <f t="shared" si="13"/>
        <v>0</v>
      </c>
      <c r="P451" s="40">
        <f t="shared" si="14"/>
        <v>0</v>
      </c>
    </row>
    <row r="452" spans="1:16" x14ac:dyDescent="0.35">
      <c r="A452" s="33">
        <v>449</v>
      </c>
      <c r="B452" s="34" t="s">
        <v>766</v>
      </c>
      <c r="C452" s="33" t="s">
        <v>346</v>
      </c>
      <c r="D452" s="33" t="s">
        <v>17</v>
      </c>
      <c r="E452" s="33" t="s">
        <v>666</v>
      </c>
      <c r="F452" s="35">
        <v>1</v>
      </c>
      <c r="G452" s="40">
        <v>0</v>
      </c>
      <c r="H452" s="40">
        <v>0</v>
      </c>
      <c r="I452" s="40">
        <v>0</v>
      </c>
      <c r="J452" s="40">
        <v>0</v>
      </c>
      <c r="K452" s="40">
        <v>0</v>
      </c>
      <c r="L452" s="40">
        <v>0</v>
      </c>
      <c r="M452" s="40" cm="1">
        <f t="array" ref="M452:N452">VLOOKUP(B452,'Fumigation  Room'!B:H,{6,7},0)</f>
        <v>0</v>
      </c>
      <c r="N452" s="40">
        <v>0</v>
      </c>
      <c r="O452" s="40">
        <f t="shared" si="13"/>
        <v>0</v>
      </c>
      <c r="P452" s="40">
        <f t="shared" si="14"/>
        <v>0</v>
      </c>
    </row>
    <row r="453" spans="1:16" x14ac:dyDescent="0.35">
      <c r="A453" s="33">
        <v>450</v>
      </c>
      <c r="B453" s="34" t="s">
        <v>767</v>
      </c>
      <c r="C453" s="33" t="s">
        <v>346</v>
      </c>
      <c r="D453" s="33" t="s">
        <v>17</v>
      </c>
      <c r="E453" s="33" t="s">
        <v>666</v>
      </c>
      <c r="F453" s="35">
        <v>1</v>
      </c>
      <c r="G453" s="40">
        <v>0</v>
      </c>
      <c r="H453" s="40">
        <v>0</v>
      </c>
      <c r="I453" s="40">
        <v>0</v>
      </c>
      <c r="J453" s="40">
        <v>0</v>
      </c>
      <c r="K453" s="40">
        <v>0</v>
      </c>
      <c r="L453" s="40">
        <v>0</v>
      </c>
      <c r="M453" s="40" cm="1">
        <f t="array" ref="M453:N453">VLOOKUP(B453,'Fumigation  Room'!B:H,{6,7},0)</f>
        <v>0</v>
      </c>
      <c r="N453" s="40">
        <v>0</v>
      </c>
      <c r="O453" s="40">
        <f t="shared" ref="O453:O516" si="15">G453+I453+K453+M453</f>
        <v>0</v>
      </c>
      <c r="P453" s="40">
        <f t="shared" ref="P453:P516" si="16">H453+J453+L453+N453</f>
        <v>0</v>
      </c>
    </row>
    <row r="454" spans="1:16" x14ac:dyDescent="0.35">
      <c r="A454" s="33">
        <v>451</v>
      </c>
      <c r="B454" s="34" t="s">
        <v>768</v>
      </c>
      <c r="C454" s="33" t="s">
        <v>346</v>
      </c>
      <c r="D454" s="33" t="s">
        <v>17</v>
      </c>
      <c r="E454" s="33" t="s">
        <v>666</v>
      </c>
      <c r="F454" s="35">
        <v>1</v>
      </c>
      <c r="G454" s="40">
        <v>0</v>
      </c>
      <c r="H454" s="40">
        <v>0</v>
      </c>
      <c r="I454" s="40">
        <v>0</v>
      </c>
      <c r="J454" s="40">
        <v>0</v>
      </c>
      <c r="K454" s="40">
        <v>0</v>
      </c>
      <c r="L454" s="40">
        <v>0</v>
      </c>
      <c r="M454" s="40" cm="1">
        <f t="array" ref="M454:N454">VLOOKUP(B454,'Fumigation  Room'!B:H,{6,7},0)</f>
        <v>0</v>
      </c>
      <c r="N454" s="40">
        <v>0</v>
      </c>
      <c r="O454" s="40">
        <f t="shared" si="15"/>
        <v>0</v>
      </c>
      <c r="P454" s="40">
        <f t="shared" si="16"/>
        <v>0</v>
      </c>
    </row>
    <row r="455" spans="1:16" x14ac:dyDescent="0.35">
      <c r="A455" s="33">
        <v>452</v>
      </c>
      <c r="B455" s="34" t="s">
        <v>769</v>
      </c>
      <c r="C455" s="33" t="s">
        <v>346</v>
      </c>
      <c r="D455" s="33" t="s">
        <v>17</v>
      </c>
      <c r="E455" s="33" t="s">
        <v>666</v>
      </c>
      <c r="F455" s="35">
        <v>1</v>
      </c>
      <c r="G455" s="40">
        <v>0</v>
      </c>
      <c r="H455" s="40">
        <v>0</v>
      </c>
      <c r="I455" s="40">
        <v>0</v>
      </c>
      <c r="J455" s="40">
        <v>0</v>
      </c>
      <c r="K455" s="40">
        <v>0</v>
      </c>
      <c r="L455" s="40">
        <v>0</v>
      </c>
      <c r="M455" s="40" cm="1">
        <f t="array" ref="M455:N455">VLOOKUP(B455,'Fumigation  Room'!B:H,{6,7},0)</f>
        <v>0</v>
      </c>
      <c r="N455" s="40">
        <v>0</v>
      </c>
      <c r="O455" s="40">
        <f t="shared" si="15"/>
        <v>0</v>
      </c>
      <c r="P455" s="40">
        <f t="shared" si="16"/>
        <v>0</v>
      </c>
    </row>
    <row r="456" spans="1:16" x14ac:dyDescent="0.35">
      <c r="A456" s="33">
        <v>453</v>
      </c>
      <c r="B456" s="34" t="s">
        <v>770</v>
      </c>
      <c r="C456" s="33" t="s">
        <v>346</v>
      </c>
      <c r="D456" s="33" t="s">
        <v>17</v>
      </c>
      <c r="E456" s="33" t="s">
        <v>666</v>
      </c>
      <c r="F456" s="35">
        <v>1</v>
      </c>
      <c r="G456" s="40">
        <v>0</v>
      </c>
      <c r="H456" s="40">
        <v>0</v>
      </c>
      <c r="I456" s="40">
        <v>0</v>
      </c>
      <c r="J456" s="40">
        <v>0</v>
      </c>
      <c r="K456" s="40">
        <v>0</v>
      </c>
      <c r="L456" s="40">
        <v>0</v>
      </c>
      <c r="M456" s="40" cm="1">
        <f t="array" ref="M456:N456">VLOOKUP(B456,'Fumigation  Room'!B:H,{6,7},0)</f>
        <v>0</v>
      </c>
      <c r="N456" s="40">
        <v>0</v>
      </c>
      <c r="O456" s="40">
        <f t="shared" si="15"/>
        <v>0</v>
      </c>
      <c r="P456" s="40">
        <f t="shared" si="16"/>
        <v>0</v>
      </c>
    </row>
    <row r="457" spans="1:16" x14ac:dyDescent="0.35">
      <c r="A457" s="33">
        <v>454</v>
      </c>
      <c r="B457" s="34" t="s">
        <v>771</v>
      </c>
      <c r="C457" s="33" t="s">
        <v>346</v>
      </c>
      <c r="D457" s="33" t="s">
        <v>17</v>
      </c>
      <c r="E457" s="33" t="s">
        <v>666</v>
      </c>
      <c r="F457" s="35">
        <v>1</v>
      </c>
      <c r="G457" s="40">
        <v>0</v>
      </c>
      <c r="H457" s="40">
        <v>0</v>
      </c>
      <c r="I457" s="40">
        <v>0</v>
      </c>
      <c r="J457" s="40">
        <v>0</v>
      </c>
      <c r="K457" s="40">
        <v>0</v>
      </c>
      <c r="L457" s="40">
        <v>0</v>
      </c>
      <c r="M457" s="40" cm="1">
        <f t="array" ref="M457:N457">VLOOKUP(B457,'Fumigation  Room'!B:H,{6,7},0)</f>
        <v>0</v>
      </c>
      <c r="N457" s="40">
        <v>0</v>
      </c>
      <c r="O457" s="40">
        <f t="shared" si="15"/>
        <v>0</v>
      </c>
      <c r="P457" s="40">
        <f t="shared" si="16"/>
        <v>0</v>
      </c>
    </row>
    <row r="458" spans="1:16" x14ac:dyDescent="0.35">
      <c r="A458" s="33">
        <v>455</v>
      </c>
      <c r="B458" s="34" t="s">
        <v>772</v>
      </c>
      <c r="C458" s="33" t="s">
        <v>346</v>
      </c>
      <c r="D458" s="33" t="s">
        <v>17</v>
      </c>
      <c r="E458" s="33" t="s">
        <v>666</v>
      </c>
      <c r="F458" s="35">
        <v>1</v>
      </c>
      <c r="G458" s="40">
        <v>0</v>
      </c>
      <c r="H458" s="40">
        <v>0</v>
      </c>
      <c r="I458" s="40">
        <v>0</v>
      </c>
      <c r="J458" s="40">
        <v>0</v>
      </c>
      <c r="K458" s="40">
        <v>0</v>
      </c>
      <c r="L458" s="40">
        <v>0</v>
      </c>
      <c r="M458" s="40" cm="1">
        <f t="array" ref="M458:N458">VLOOKUP(B458,'Fumigation  Room'!B:H,{6,7},0)</f>
        <v>0</v>
      </c>
      <c r="N458" s="40">
        <v>0</v>
      </c>
      <c r="O458" s="40">
        <f t="shared" si="15"/>
        <v>0</v>
      </c>
      <c r="P458" s="40">
        <f t="shared" si="16"/>
        <v>0</v>
      </c>
    </row>
    <row r="459" spans="1:16" x14ac:dyDescent="0.35">
      <c r="A459" s="33">
        <v>456</v>
      </c>
      <c r="B459" s="34" t="s">
        <v>773</v>
      </c>
      <c r="C459" s="33" t="s">
        <v>346</v>
      </c>
      <c r="D459" s="33" t="s">
        <v>17</v>
      </c>
      <c r="E459" s="33" t="s">
        <v>666</v>
      </c>
      <c r="F459" s="35">
        <v>1</v>
      </c>
      <c r="G459" s="40">
        <v>0</v>
      </c>
      <c r="H459" s="40">
        <v>0</v>
      </c>
      <c r="I459" s="40">
        <v>0</v>
      </c>
      <c r="J459" s="40">
        <v>0</v>
      </c>
      <c r="K459" s="40">
        <v>0</v>
      </c>
      <c r="L459" s="40">
        <v>0</v>
      </c>
      <c r="M459" s="40" cm="1">
        <f t="array" ref="M459:N459">VLOOKUP(B459,'Fumigation  Room'!B:H,{6,7},0)</f>
        <v>0</v>
      </c>
      <c r="N459" s="40">
        <v>0</v>
      </c>
      <c r="O459" s="40">
        <f t="shared" si="15"/>
        <v>0</v>
      </c>
      <c r="P459" s="40">
        <f t="shared" si="16"/>
        <v>0</v>
      </c>
    </row>
    <row r="460" spans="1:16" x14ac:dyDescent="0.35">
      <c r="A460" s="33">
        <v>457</v>
      </c>
      <c r="B460" s="34" t="s">
        <v>774</v>
      </c>
      <c r="C460" s="33" t="s">
        <v>346</v>
      </c>
      <c r="D460" s="33" t="s">
        <v>17</v>
      </c>
      <c r="E460" s="33" t="s">
        <v>666</v>
      </c>
      <c r="F460" s="35">
        <v>1</v>
      </c>
      <c r="G460" s="40">
        <v>0</v>
      </c>
      <c r="H460" s="40">
        <v>0</v>
      </c>
      <c r="I460" s="40">
        <v>0</v>
      </c>
      <c r="J460" s="40">
        <v>0</v>
      </c>
      <c r="K460" s="40">
        <v>0</v>
      </c>
      <c r="L460" s="40">
        <v>0</v>
      </c>
      <c r="M460" s="40" cm="1">
        <f t="array" ref="M460:N460">VLOOKUP(B460,'Fumigation  Room'!B:H,{6,7},0)</f>
        <v>0</v>
      </c>
      <c r="N460" s="40">
        <v>0</v>
      </c>
      <c r="O460" s="40">
        <f t="shared" si="15"/>
        <v>0</v>
      </c>
      <c r="P460" s="40">
        <f t="shared" si="16"/>
        <v>0</v>
      </c>
    </row>
    <row r="461" spans="1:16" x14ac:dyDescent="0.35">
      <c r="A461" s="33">
        <v>458</v>
      </c>
      <c r="B461" s="34" t="s">
        <v>775</v>
      </c>
      <c r="C461" s="33" t="s">
        <v>346</v>
      </c>
      <c r="D461" s="33" t="s">
        <v>17</v>
      </c>
      <c r="E461" s="33" t="s">
        <v>666</v>
      </c>
      <c r="F461" s="35">
        <v>1</v>
      </c>
      <c r="G461" s="40">
        <v>0</v>
      </c>
      <c r="H461" s="40">
        <v>0</v>
      </c>
      <c r="I461" s="40">
        <v>0</v>
      </c>
      <c r="J461" s="40">
        <v>0</v>
      </c>
      <c r="K461" s="40">
        <v>0</v>
      </c>
      <c r="L461" s="40">
        <v>0</v>
      </c>
      <c r="M461" s="40" cm="1">
        <f t="array" ref="M461:N461">VLOOKUP(B461,'Fumigation  Room'!B:H,{6,7},0)</f>
        <v>0</v>
      </c>
      <c r="N461" s="40">
        <v>0</v>
      </c>
      <c r="O461" s="40">
        <f t="shared" si="15"/>
        <v>0</v>
      </c>
      <c r="P461" s="40">
        <f t="shared" si="16"/>
        <v>0</v>
      </c>
    </row>
    <row r="462" spans="1:16" x14ac:dyDescent="0.35">
      <c r="A462" s="33">
        <v>459</v>
      </c>
      <c r="B462" s="34" t="s">
        <v>776</v>
      </c>
      <c r="C462" s="33" t="s">
        <v>346</v>
      </c>
      <c r="D462" s="33" t="s">
        <v>17</v>
      </c>
      <c r="E462" s="33" t="s">
        <v>666</v>
      </c>
      <c r="F462" s="35">
        <v>1</v>
      </c>
      <c r="G462" s="40">
        <v>0</v>
      </c>
      <c r="H462" s="40">
        <v>0</v>
      </c>
      <c r="I462" s="40">
        <v>0</v>
      </c>
      <c r="J462" s="40">
        <v>0</v>
      </c>
      <c r="K462" s="40">
        <v>0</v>
      </c>
      <c r="L462" s="40">
        <v>0</v>
      </c>
      <c r="M462" s="40" cm="1">
        <f t="array" ref="M462:N462">VLOOKUP(B462,'Fumigation  Room'!B:H,{6,7},0)</f>
        <v>0</v>
      </c>
      <c r="N462" s="40">
        <v>0</v>
      </c>
      <c r="O462" s="40">
        <f t="shared" si="15"/>
        <v>0</v>
      </c>
      <c r="P462" s="40">
        <f t="shared" si="16"/>
        <v>0</v>
      </c>
    </row>
    <row r="463" spans="1:16" x14ac:dyDescent="0.35">
      <c r="A463" s="33">
        <v>460</v>
      </c>
      <c r="B463" s="34" t="s">
        <v>777</v>
      </c>
      <c r="C463" s="33" t="s">
        <v>346</v>
      </c>
      <c r="D463" s="33" t="s">
        <v>17</v>
      </c>
      <c r="E463" s="33" t="s">
        <v>666</v>
      </c>
      <c r="F463" s="35">
        <v>1</v>
      </c>
      <c r="G463" s="40">
        <v>0</v>
      </c>
      <c r="H463" s="40">
        <v>0</v>
      </c>
      <c r="I463" s="40">
        <v>0</v>
      </c>
      <c r="J463" s="40">
        <v>0</v>
      </c>
      <c r="K463" s="40">
        <v>0</v>
      </c>
      <c r="L463" s="40">
        <v>0</v>
      </c>
      <c r="M463" s="40" cm="1">
        <f t="array" ref="M463:N463">VLOOKUP(B463,'Fumigation  Room'!B:H,{6,7},0)</f>
        <v>0</v>
      </c>
      <c r="N463" s="40">
        <v>0</v>
      </c>
      <c r="O463" s="40">
        <f t="shared" si="15"/>
        <v>0</v>
      </c>
      <c r="P463" s="40">
        <f t="shared" si="16"/>
        <v>0</v>
      </c>
    </row>
    <row r="464" spans="1:16" x14ac:dyDescent="0.35">
      <c r="A464" s="33">
        <v>461</v>
      </c>
      <c r="B464" s="34" t="s">
        <v>778</v>
      </c>
      <c r="C464" s="33" t="s">
        <v>346</v>
      </c>
      <c r="D464" s="33" t="s">
        <v>17</v>
      </c>
      <c r="E464" s="33" t="s">
        <v>666</v>
      </c>
      <c r="F464" s="35">
        <v>1</v>
      </c>
      <c r="G464" s="40">
        <v>0</v>
      </c>
      <c r="H464" s="40">
        <v>0</v>
      </c>
      <c r="I464" s="40">
        <v>0</v>
      </c>
      <c r="J464" s="40">
        <v>0</v>
      </c>
      <c r="K464" s="40">
        <v>0</v>
      </c>
      <c r="L464" s="40">
        <v>0</v>
      </c>
      <c r="M464" s="40" cm="1">
        <f t="array" ref="M464:N464">VLOOKUP(B464,'Fumigation  Room'!B:H,{6,7},0)</f>
        <v>0</v>
      </c>
      <c r="N464" s="40">
        <v>0</v>
      </c>
      <c r="O464" s="40">
        <f t="shared" si="15"/>
        <v>0</v>
      </c>
      <c r="P464" s="40">
        <f t="shared" si="16"/>
        <v>0</v>
      </c>
    </row>
    <row r="465" spans="1:16" x14ac:dyDescent="0.35">
      <c r="A465" s="33">
        <v>462</v>
      </c>
      <c r="B465" s="34" t="s">
        <v>779</v>
      </c>
      <c r="C465" s="33" t="s">
        <v>346</v>
      </c>
      <c r="D465" s="33" t="s">
        <v>17</v>
      </c>
      <c r="E465" s="33" t="s">
        <v>666</v>
      </c>
      <c r="F465" s="35">
        <v>1</v>
      </c>
      <c r="G465" s="40">
        <v>0</v>
      </c>
      <c r="H465" s="40">
        <v>0</v>
      </c>
      <c r="I465" s="40">
        <v>0</v>
      </c>
      <c r="J465" s="40">
        <v>0</v>
      </c>
      <c r="K465" s="40">
        <v>0</v>
      </c>
      <c r="L465" s="40">
        <v>0</v>
      </c>
      <c r="M465" s="40" cm="1">
        <f t="array" ref="M465:N465">VLOOKUP(B465,'Fumigation  Room'!B:H,{6,7},0)</f>
        <v>0</v>
      </c>
      <c r="N465" s="40">
        <v>0</v>
      </c>
      <c r="O465" s="40">
        <f t="shared" si="15"/>
        <v>0</v>
      </c>
      <c r="P465" s="40">
        <f t="shared" si="16"/>
        <v>0</v>
      </c>
    </row>
    <row r="466" spans="1:16" x14ac:dyDescent="0.35">
      <c r="A466" s="33">
        <v>463</v>
      </c>
      <c r="B466" s="34" t="s">
        <v>780</v>
      </c>
      <c r="C466" s="33" t="s">
        <v>346</v>
      </c>
      <c r="D466" s="33" t="s">
        <v>17</v>
      </c>
      <c r="E466" s="33" t="s">
        <v>666</v>
      </c>
      <c r="F466" s="35">
        <v>1</v>
      </c>
      <c r="G466" s="40">
        <v>0</v>
      </c>
      <c r="H466" s="40">
        <v>0</v>
      </c>
      <c r="I466" s="40">
        <v>0</v>
      </c>
      <c r="J466" s="40">
        <v>0</v>
      </c>
      <c r="K466" s="40">
        <v>0</v>
      </c>
      <c r="L466" s="40">
        <v>0</v>
      </c>
      <c r="M466" s="40" cm="1">
        <f t="array" ref="M466:N466">VLOOKUP(B466,'Fumigation  Room'!B:H,{6,7},0)</f>
        <v>0</v>
      </c>
      <c r="N466" s="40">
        <v>0</v>
      </c>
      <c r="O466" s="40">
        <f t="shared" si="15"/>
        <v>0</v>
      </c>
      <c r="P466" s="40">
        <f t="shared" si="16"/>
        <v>0</v>
      </c>
    </row>
    <row r="467" spans="1:16" x14ac:dyDescent="0.35">
      <c r="A467" s="33">
        <v>464</v>
      </c>
      <c r="B467" s="34" t="s">
        <v>781</v>
      </c>
      <c r="C467" s="33" t="s">
        <v>346</v>
      </c>
      <c r="D467" s="33" t="s">
        <v>17</v>
      </c>
      <c r="E467" s="33" t="s">
        <v>666</v>
      </c>
      <c r="F467" s="35">
        <v>1</v>
      </c>
      <c r="G467" s="40">
        <v>0</v>
      </c>
      <c r="H467" s="40">
        <v>0</v>
      </c>
      <c r="I467" s="40">
        <v>0</v>
      </c>
      <c r="J467" s="40">
        <v>0</v>
      </c>
      <c r="K467" s="40">
        <v>0</v>
      </c>
      <c r="L467" s="40">
        <v>0</v>
      </c>
      <c r="M467" s="40" cm="1">
        <f t="array" ref="M467:N467">VLOOKUP(B467,'Fumigation  Room'!B:H,{6,7},0)</f>
        <v>0</v>
      </c>
      <c r="N467" s="40">
        <v>0</v>
      </c>
      <c r="O467" s="40">
        <f t="shared" si="15"/>
        <v>0</v>
      </c>
      <c r="P467" s="40">
        <f t="shared" si="16"/>
        <v>0</v>
      </c>
    </row>
    <row r="468" spans="1:16" x14ac:dyDescent="0.35">
      <c r="A468" s="33">
        <v>465</v>
      </c>
      <c r="B468" s="34" t="s">
        <v>782</v>
      </c>
      <c r="C468" s="33" t="s">
        <v>346</v>
      </c>
      <c r="D468" s="33" t="s">
        <v>17</v>
      </c>
      <c r="E468" s="33" t="s">
        <v>666</v>
      </c>
      <c r="F468" s="35">
        <v>1</v>
      </c>
      <c r="G468" s="40">
        <v>0</v>
      </c>
      <c r="H468" s="40">
        <v>0</v>
      </c>
      <c r="I468" s="40">
        <v>0</v>
      </c>
      <c r="J468" s="40">
        <v>0</v>
      </c>
      <c r="K468" s="40">
        <v>0</v>
      </c>
      <c r="L468" s="40">
        <v>0</v>
      </c>
      <c r="M468" s="40" cm="1">
        <f t="array" ref="M468:N468">VLOOKUP(B468,'Fumigation  Room'!B:H,{6,7},0)</f>
        <v>0</v>
      </c>
      <c r="N468" s="40">
        <v>0</v>
      </c>
      <c r="O468" s="40">
        <f t="shared" si="15"/>
        <v>0</v>
      </c>
      <c r="P468" s="40">
        <f t="shared" si="16"/>
        <v>0</v>
      </c>
    </row>
    <row r="469" spans="1:16" x14ac:dyDescent="0.35">
      <c r="A469" s="33">
        <v>466</v>
      </c>
      <c r="B469" s="34" t="s">
        <v>783</v>
      </c>
      <c r="C469" s="33" t="s">
        <v>346</v>
      </c>
      <c r="D469" s="33" t="s">
        <v>17</v>
      </c>
      <c r="E469" s="33" t="s">
        <v>666</v>
      </c>
      <c r="F469" s="35">
        <v>1</v>
      </c>
      <c r="G469" s="40">
        <v>0</v>
      </c>
      <c r="H469" s="40">
        <v>0</v>
      </c>
      <c r="I469" s="40">
        <v>0</v>
      </c>
      <c r="J469" s="40">
        <v>0</v>
      </c>
      <c r="K469" s="40">
        <v>0</v>
      </c>
      <c r="L469" s="40">
        <v>0</v>
      </c>
      <c r="M469" s="40" cm="1">
        <f t="array" ref="M469:N469">VLOOKUP(B469,'Fumigation  Room'!B:H,{6,7},0)</f>
        <v>0</v>
      </c>
      <c r="N469" s="40">
        <v>0</v>
      </c>
      <c r="O469" s="40">
        <f t="shared" si="15"/>
        <v>0</v>
      </c>
      <c r="P469" s="40">
        <f t="shared" si="16"/>
        <v>0</v>
      </c>
    </row>
    <row r="470" spans="1:16" x14ac:dyDescent="0.35">
      <c r="A470" s="33">
        <v>467</v>
      </c>
      <c r="B470" s="34" t="s">
        <v>784</v>
      </c>
      <c r="C470" s="33" t="s">
        <v>346</v>
      </c>
      <c r="D470" s="33" t="s">
        <v>17</v>
      </c>
      <c r="E470" s="33" t="s">
        <v>666</v>
      </c>
      <c r="F470" s="35">
        <v>0.1</v>
      </c>
      <c r="G470" s="40">
        <v>0</v>
      </c>
      <c r="H470" s="40">
        <v>0</v>
      </c>
      <c r="I470" s="40">
        <v>0</v>
      </c>
      <c r="J470" s="40">
        <v>0</v>
      </c>
      <c r="K470" s="40">
        <v>0</v>
      </c>
      <c r="L470" s="40">
        <v>0</v>
      </c>
      <c r="M470" s="40" cm="1">
        <f t="array" ref="M470:N470">VLOOKUP(B470,'Fumigation  Room'!B:H,{6,7},0)</f>
        <v>0</v>
      </c>
      <c r="N470" s="40">
        <v>0</v>
      </c>
      <c r="O470" s="40">
        <f t="shared" si="15"/>
        <v>0</v>
      </c>
      <c r="P470" s="40">
        <f t="shared" si="16"/>
        <v>0</v>
      </c>
    </row>
    <row r="471" spans="1:16" x14ac:dyDescent="0.35">
      <c r="A471" s="33">
        <v>468</v>
      </c>
      <c r="B471" s="34" t="s">
        <v>785</v>
      </c>
      <c r="C471" s="33" t="s">
        <v>346</v>
      </c>
      <c r="D471" s="33" t="s">
        <v>17</v>
      </c>
      <c r="E471" s="33" t="s">
        <v>666</v>
      </c>
      <c r="F471" s="35">
        <v>0.1</v>
      </c>
      <c r="G471" s="40">
        <v>0</v>
      </c>
      <c r="H471" s="40">
        <v>0</v>
      </c>
      <c r="I471" s="40">
        <v>0</v>
      </c>
      <c r="J471" s="40">
        <v>0</v>
      </c>
      <c r="K471" s="40">
        <v>0</v>
      </c>
      <c r="L471" s="40">
        <v>0</v>
      </c>
      <c r="M471" s="40" cm="1">
        <f t="array" ref="M471:N471">VLOOKUP(B471,'Fumigation  Room'!B:H,{6,7},0)</f>
        <v>0</v>
      </c>
      <c r="N471" s="40">
        <v>0</v>
      </c>
      <c r="O471" s="40">
        <f t="shared" si="15"/>
        <v>0</v>
      </c>
      <c r="P471" s="40">
        <f t="shared" si="16"/>
        <v>0</v>
      </c>
    </row>
    <row r="472" spans="1:16" x14ac:dyDescent="0.35">
      <c r="A472" s="33">
        <v>469</v>
      </c>
      <c r="B472" s="34" t="s">
        <v>786</v>
      </c>
      <c r="C472" s="33" t="s">
        <v>346</v>
      </c>
      <c r="D472" s="33" t="s">
        <v>17</v>
      </c>
      <c r="E472" s="33" t="s">
        <v>666</v>
      </c>
      <c r="F472" s="35">
        <v>1</v>
      </c>
      <c r="G472" s="40">
        <v>0</v>
      </c>
      <c r="H472" s="40">
        <v>0</v>
      </c>
      <c r="I472" s="40">
        <v>0</v>
      </c>
      <c r="J472" s="40">
        <v>0</v>
      </c>
      <c r="K472" s="40">
        <v>0</v>
      </c>
      <c r="L472" s="40">
        <v>0</v>
      </c>
      <c r="M472" s="40" cm="1">
        <f t="array" ref="M472:N472">VLOOKUP(B472,'Fumigation  Room'!B:H,{6,7},0)</f>
        <v>0</v>
      </c>
      <c r="N472" s="40">
        <v>0</v>
      </c>
      <c r="O472" s="40">
        <f t="shared" si="15"/>
        <v>0</v>
      </c>
      <c r="P472" s="40">
        <f t="shared" si="16"/>
        <v>0</v>
      </c>
    </row>
    <row r="473" spans="1:16" x14ac:dyDescent="0.35">
      <c r="A473" s="33">
        <v>470</v>
      </c>
      <c r="B473" s="34" t="s">
        <v>787</v>
      </c>
      <c r="C473" s="33" t="s">
        <v>346</v>
      </c>
      <c r="D473" s="33" t="s">
        <v>17</v>
      </c>
      <c r="E473" s="33" t="s">
        <v>666</v>
      </c>
      <c r="F473" s="35">
        <v>1</v>
      </c>
      <c r="G473" s="40">
        <v>0</v>
      </c>
      <c r="H473" s="40">
        <v>0</v>
      </c>
      <c r="I473" s="40">
        <v>0</v>
      </c>
      <c r="J473" s="40">
        <v>0</v>
      </c>
      <c r="K473" s="40">
        <v>0</v>
      </c>
      <c r="L473" s="40">
        <f>VLOOKUP(B473,'Packing Off Grade'!I:J,2,0)</f>
        <v>37.18</v>
      </c>
      <c r="M473" s="40" cm="1">
        <f t="array" ref="M473:N473">VLOOKUP(B473,'Fumigation  Room'!B:H,{6,7},0)</f>
        <v>0</v>
      </c>
      <c r="N473" s="40">
        <v>9.5</v>
      </c>
      <c r="O473" s="40">
        <f t="shared" si="15"/>
        <v>0</v>
      </c>
      <c r="P473" s="40">
        <f t="shared" si="16"/>
        <v>46.68</v>
      </c>
    </row>
    <row r="474" spans="1:16" x14ac:dyDescent="0.35">
      <c r="A474" s="33">
        <v>471</v>
      </c>
      <c r="B474" s="34" t="s">
        <v>788</v>
      </c>
      <c r="C474" s="33" t="s">
        <v>346</v>
      </c>
      <c r="D474" s="33" t="s">
        <v>17</v>
      </c>
      <c r="E474" s="33" t="s">
        <v>666</v>
      </c>
      <c r="F474" s="35">
        <v>0.14000000000000001</v>
      </c>
      <c r="G474" s="40">
        <v>0</v>
      </c>
      <c r="H474" s="40">
        <v>0</v>
      </c>
      <c r="I474" s="40">
        <v>0</v>
      </c>
      <c r="J474" s="40">
        <v>0</v>
      </c>
      <c r="K474" s="40">
        <v>0</v>
      </c>
      <c r="L474" s="40">
        <v>0</v>
      </c>
      <c r="M474" s="40" cm="1">
        <f t="array" ref="M474:N474">VLOOKUP(B474,'Fumigation  Room'!B:H,{6,7},0)</f>
        <v>0</v>
      </c>
      <c r="N474" s="40">
        <v>0</v>
      </c>
      <c r="O474" s="40">
        <f t="shared" si="15"/>
        <v>0</v>
      </c>
      <c r="P474" s="40">
        <f t="shared" si="16"/>
        <v>0</v>
      </c>
    </row>
    <row r="475" spans="1:16" x14ac:dyDescent="0.35">
      <c r="A475" s="33">
        <v>472</v>
      </c>
      <c r="B475" s="34" t="s">
        <v>789</v>
      </c>
      <c r="C475" s="33" t="s">
        <v>346</v>
      </c>
      <c r="D475" s="33" t="s">
        <v>17</v>
      </c>
      <c r="E475" s="33" t="s">
        <v>666</v>
      </c>
      <c r="F475" s="35">
        <v>7.4999999999999997E-2</v>
      </c>
      <c r="G475" s="40">
        <v>0</v>
      </c>
      <c r="H475" s="40">
        <v>0</v>
      </c>
      <c r="I475" s="40">
        <v>0</v>
      </c>
      <c r="J475" s="40">
        <v>0</v>
      </c>
      <c r="K475" s="40">
        <v>0</v>
      </c>
      <c r="L475" s="40">
        <v>0</v>
      </c>
      <c r="M475" s="40" cm="1">
        <f t="array" ref="M475:N475">VLOOKUP(B475,'Fumigation  Room'!B:H,{6,7},0)</f>
        <v>0</v>
      </c>
      <c r="N475" s="40">
        <v>0</v>
      </c>
      <c r="O475" s="40">
        <f t="shared" si="15"/>
        <v>0</v>
      </c>
      <c r="P475" s="40">
        <f t="shared" si="16"/>
        <v>0</v>
      </c>
    </row>
    <row r="476" spans="1:16" x14ac:dyDescent="0.35">
      <c r="A476" s="33">
        <v>473</v>
      </c>
      <c r="B476" s="34" t="s">
        <v>790</v>
      </c>
      <c r="C476" s="33" t="s">
        <v>346</v>
      </c>
      <c r="D476" s="33" t="s">
        <v>17</v>
      </c>
      <c r="E476" s="33" t="s">
        <v>666</v>
      </c>
      <c r="F476" s="35">
        <v>0.09</v>
      </c>
      <c r="G476" s="40">
        <v>0</v>
      </c>
      <c r="H476" s="40">
        <v>0</v>
      </c>
      <c r="I476" s="40">
        <v>0</v>
      </c>
      <c r="J476" s="40">
        <v>0</v>
      </c>
      <c r="K476" s="40">
        <v>0</v>
      </c>
      <c r="L476" s="40">
        <v>0</v>
      </c>
      <c r="M476" s="40" cm="1">
        <f t="array" ref="M476:N476">VLOOKUP(B476,'Fumigation  Room'!B:H,{6,7},0)</f>
        <v>0</v>
      </c>
      <c r="N476" s="40">
        <v>0</v>
      </c>
      <c r="O476" s="40">
        <f t="shared" si="15"/>
        <v>0</v>
      </c>
      <c r="P476" s="40">
        <f t="shared" si="16"/>
        <v>0</v>
      </c>
    </row>
    <row r="477" spans="1:16" x14ac:dyDescent="0.35">
      <c r="A477" s="33">
        <v>474</v>
      </c>
      <c r="B477" s="34" t="s">
        <v>791</v>
      </c>
      <c r="C477" s="33" t="s">
        <v>346</v>
      </c>
      <c r="D477" s="33" t="s">
        <v>17</v>
      </c>
      <c r="E477" s="33" t="s">
        <v>666</v>
      </c>
      <c r="F477" s="35">
        <v>1</v>
      </c>
      <c r="G477" s="40">
        <v>0</v>
      </c>
      <c r="H477" s="40">
        <v>0</v>
      </c>
      <c r="I477" s="40">
        <v>0</v>
      </c>
      <c r="J477" s="40">
        <v>0</v>
      </c>
      <c r="K477" s="40">
        <v>0</v>
      </c>
      <c r="L477" s="40">
        <v>0</v>
      </c>
      <c r="M477" s="40" cm="1">
        <f t="array" ref="M477:N477">VLOOKUP(B477,'Fumigation  Room'!B:H,{6,7},0)</f>
        <v>0</v>
      </c>
      <c r="N477" s="40">
        <v>0</v>
      </c>
      <c r="O477" s="40">
        <f t="shared" si="15"/>
        <v>0</v>
      </c>
      <c r="P477" s="40">
        <f t="shared" si="16"/>
        <v>0</v>
      </c>
    </row>
    <row r="478" spans="1:16" x14ac:dyDescent="0.35">
      <c r="A478" s="33">
        <v>475</v>
      </c>
      <c r="B478" s="34" t="s">
        <v>792</v>
      </c>
      <c r="C478" s="33" t="s">
        <v>346</v>
      </c>
      <c r="D478" s="33" t="s">
        <v>17</v>
      </c>
      <c r="E478" s="33" t="s">
        <v>666</v>
      </c>
      <c r="F478" s="35">
        <v>1</v>
      </c>
      <c r="G478" s="40">
        <v>0</v>
      </c>
      <c r="H478" s="40">
        <v>0</v>
      </c>
      <c r="I478" s="40">
        <v>0</v>
      </c>
      <c r="J478" s="40">
        <v>0</v>
      </c>
      <c r="K478" s="40">
        <v>0</v>
      </c>
      <c r="L478" s="40">
        <v>0</v>
      </c>
      <c r="M478" s="40" cm="1">
        <f t="array" ref="M478:N478">VLOOKUP(B478,'Fumigation  Room'!B:H,{6,7},0)</f>
        <v>0</v>
      </c>
      <c r="N478" s="40">
        <v>0</v>
      </c>
      <c r="O478" s="40">
        <f t="shared" si="15"/>
        <v>0</v>
      </c>
      <c r="P478" s="40">
        <f t="shared" si="16"/>
        <v>0</v>
      </c>
    </row>
    <row r="479" spans="1:16" x14ac:dyDescent="0.35">
      <c r="A479" s="33">
        <v>476</v>
      </c>
      <c r="B479" s="34" t="s">
        <v>793</v>
      </c>
      <c r="C479" s="33" t="s">
        <v>346</v>
      </c>
      <c r="D479" s="33" t="s">
        <v>17</v>
      </c>
      <c r="E479" s="33" t="s">
        <v>666</v>
      </c>
      <c r="F479" s="35">
        <v>0.1</v>
      </c>
      <c r="G479" s="40">
        <v>0</v>
      </c>
      <c r="H479" s="40">
        <v>0</v>
      </c>
      <c r="I479" s="40">
        <v>0</v>
      </c>
      <c r="J479" s="40">
        <v>0</v>
      </c>
      <c r="K479" s="40">
        <v>0</v>
      </c>
      <c r="L479" s="40">
        <v>0</v>
      </c>
      <c r="M479" s="40" cm="1">
        <f t="array" ref="M479:N479">VLOOKUP(B479,'Fumigation  Room'!B:H,{6,7},0)</f>
        <v>0</v>
      </c>
      <c r="N479" s="40">
        <v>0</v>
      </c>
      <c r="O479" s="40">
        <f t="shared" si="15"/>
        <v>0</v>
      </c>
      <c r="P479" s="40">
        <f t="shared" si="16"/>
        <v>0</v>
      </c>
    </row>
    <row r="480" spans="1:16" x14ac:dyDescent="0.35">
      <c r="A480" s="33">
        <v>477</v>
      </c>
      <c r="B480" s="34" t="s">
        <v>794</v>
      </c>
      <c r="C480" s="33" t="s">
        <v>346</v>
      </c>
      <c r="D480" s="33" t="s">
        <v>17</v>
      </c>
      <c r="E480" s="33" t="s">
        <v>666</v>
      </c>
      <c r="F480" s="35">
        <v>0.1</v>
      </c>
      <c r="G480" s="40">
        <v>0</v>
      </c>
      <c r="H480" s="40">
        <v>0</v>
      </c>
      <c r="I480" s="40">
        <v>0</v>
      </c>
      <c r="J480" s="40">
        <v>0</v>
      </c>
      <c r="K480" s="40">
        <v>0</v>
      </c>
      <c r="L480" s="40">
        <v>0</v>
      </c>
      <c r="M480" s="40" cm="1">
        <f t="array" ref="M480:N480">VLOOKUP(B480,'Fumigation  Room'!B:H,{6,7},0)</f>
        <v>0</v>
      </c>
      <c r="N480" s="40">
        <v>0</v>
      </c>
      <c r="O480" s="40">
        <f t="shared" si="15"/>
        <v>0</v>
      </c>
      <c r="P480" s="40">
        <f t="shared" si="16"/>
        <v>0</v>
      </c>
    </row>
    <row r="481" spans="1:16" x14ac:dyDescent="0.35">
      <c r="A481" s="33">
        <v>478</v>
      </c>
      <c r="B481" s="34" t="s">
        <v>795</v>
      </c>
      <c r="C481" s="33" t="s">
        <v>346</v>
      </c>
      <c r="D481" s="33" t="s">
        <v>17</v>
      </c>
      <c r="E481" s="33" t="s">
        <v>666</v>
      </c>
      <c r="F481" s="35">
        <v>0.1</v>
      </c>
      <c r="G481" s="40">
        <v>0</v>
      </c>
      <c r="H481" s="40">
        <v>0</v>
      </c>
      <c r="I481" s="40">
        <v>0</v>
      </c>
      <c r="J481" s="40">
        <v>0</v>
      </c>
      <c r="K481" s="40">
        <v>0</v>
      </c>
      <c r="L481" s="40">
        <v>0</v>
      </c>
      <c r="M481" s="40" cm="1">
        <f t="array" ref="M481:N481">VLOOKUP(B481,'Fumigation  Room'!B:H,{6,7},0)</f>
        <v>0</v>
      </c>
      <c r="N481" s="40">
        <v>0</v>
      </c>
      <c r="O481" s="40">
        <f t="shared" si="15"/>
        <v>0</v>
      </c>
      <c r="P481" s="40">
        <f t="shared" si="16"/>
        <v>0</v>
      </c>
    </row>
    <row r="482" spans="1:16" x14ac:dyDescent="0.35">
      <c r="A482" s="33">
        <v>479</v>
      </c>
      <c r="B482" s="34" t="s">
        <v>796</v>
      </c>
      <c r="C482" s="33" t="s">
        <v>346</v>
      </c>
      <c r="D482" s="33" t="s">
        <v>17</v>
      </c>
      <c r="E482" s="33" t="s">
        <v>666</v>
      </c>
      <c r="F482" s="35">
        <v>1</v>
      </c>
      <c r="G482" s="40">
        <v>0</v>
      </c>
      <c r="H482" s="40">
        <v>0</v>
      </c>
      <c r="I482" s="40">
        <v>0</v>
      </c>
      <c r="J482" s="40">
        <v>0</v>
      </c>
      <c r="K482" s="40">
        <v>0</v>
      </c>
      <c r="L482" s="40">
        <v>0</v>
      </c>
      <c r="M482" s="40" cm="1">
        <f t="array" ref="M482:N482">VLOOKUP(B482,'Fumigation  Room'!B:H,{6,7},0)</f>
        <v>0</v>
      </c>
      <c r="N482" s="40">
        <v>0</v>
      </c>
      <c r="O482" s="40">
        <f t="shared" si="15"/>
        <v>0</v>
      </c>
      <c r="P482" s="40">
        <f t="shared" si="16"/>
        <v>0</v>
      </c>
    </row>
    <row r="483" spans="1:16" x14ac:dyDescent="0.35">
      <c r="A483" s="33">
        <v>480</v>
      </c>
      <c r="B483" s="34" t="s">
        <v>797</v>
      </c>
      <c r="C483" s="33" t="s">
        <v>346</v>
      </c>
      <c r="D483" s="33" t="s">
        <v>17</v>
      </c>
      <c r="E483" s="33" t="s">
        <v>666</v>
      </c>
      <c r="F483" s="35">
        <v>1</v>
      </c>
      <c r="G483" s="40">
        <v>0</v>
      </c>
      <c r="H483" s="40">
        <v>0</v>
      </c>
      <c r="I483" s="40">
        <v>0</v>
      </c>
      <c r="J483" s="40">
        <v>0</v>
      </c>
      <c r="K483" s="40">
        <v>0</v>
      </c>
      <c r="L483" s="40">
        <v>0</v>
      </c>
      <c r="M483" s="40" cm="1">
        <f t="array" ref="M483:N483">VLOOKUP(B483,'Fumigation  Room'!B:H,{6,7},0)</f>
        <v>0</v>
      </c>
      <c r="N483" s="40">
        <v>0</v>
      </c>
      <c r="O483" s="40">
        <f t="shared" si="15"/>
        <v>0</v>
      </c>
      <c r="P483" s="40">
        <f t="shared" si="16"/>
        <v>0</v>
      </c>
    </row>
    <row r="484" spans="1:16" x14ac:dyDescent="0.35">
      <c r="A484" s="33">
        <v>481</v>
      </c>
      <c r="B484" s="34" t="s">
        <v>798</v>
      </c>
      <c r="C484" s="33" t="s">
        <v>346</v>
      </c>
      <c r="D484" s="33" t="s">
        <v>17</v>
      </c>
      <c r="E484" s="33" t="s">
        <v>666</v>
      </c>
      <c r="F484" s="35">
        <v>0.17</v>
      </c>
      <c r="G484" s="40">
        <v>0</v>
      </c>
      <c r="H484" s="40">
        <v>0</v>
      </c>
      <c r="I484" s="40">
        <v>0</v>
      </c>
      <c r="J484" s="40">
        <v>0</v>
      </c>
      <c r="K484" s="40">
        <v>0</v>
      </c>
      <c r="L484" s="40">
        <v>0</v>
      </c>
      <c r="M484" s="40" cm="1">
        <f t="array" ref="M484:N484">VLOOKUP(B484,'Fumigation  Room'!B:H,{6,7},0)</f>
        <v>0</v>
      </c>
      <c r="N484" s="40">
        <v>0</v>
      </c>
      <c r="O484" s="40">
        <f t="shared" si="15"/>
        <v>0</v>
      </c>
      <c r="P484" s="40">
        <f t="shared" si="16"/>
        <v>0</v>
      </c>
    </row>
    <row r="485" spans="1:16" x14ac:dyDescent="0.35">
      <c r="A485" s="33">
        <v>482</v>
      </c>
      <c r="B485" s="34" t="s">
        <v>799</v>
      </c>
      <c r="C485" s="33" t="s">
        <v>346</v>
      </c>
      <c r="D485" s="33" t="s">
        <v>17</v>
      </c>
      <c r="E485" s="33" t="s">
        <v>666</v>
      </c>
      <c r="F485" s="35">
        <v>0.17</v>
      </c>
      <c r="G485" s="40">
        <v>0</v>
      </c>
      <c r="H485" s="40">
        <v>0</v>
      </c>
      <c r="I485" s="40">
        <v>0</v>
      </c>
      <c r="J485" s="40">
        <v>0</v>
      </c>
      <c r="K485" s="40">
        <v>0</v>
      </c>
      <c r="L485" s="40">
        <v>0</v>
      </c>
      <c r="M485" s="40" cm="1">
        <f t="array" ref="M485:N485">VLOOKUP(B485,'Fumigation  Room'!B:H,{6,7},0)</f>
        <v>0</v>
      </c>
      <c r="N485" s="40">
        <v>0</v>
      </c>
      <c r="O485" s="40">
        <f t="shared" si="15"/>
        <v>0</v>
      </c>
      <c r="P485" s="40">
        <f t="shared" si="16"/>
        <v>0</v>
      </c>
    </row>
    <row r="486" spans="1:16" x14ac:dyDescent="0.35">
      <c r="A486" s="33">
        <v>483</v>
      </c>
      <c r="B486" s="34" t="s">
        <v>800</v>
      </c>
      <c r="C486" s="33" t="s">
        <v>346</v>
      </c>
      <c r="D486" s="33" t="s">
        <v>17</v>
      </c>
      <c r="E486" s="33" t="s">
        <v>666</v>
      </c>
      <c r="F486" s="35">
        <v>0.48</v>
      </c>
      <c r="G486" s="40">
        <v>0</v>
      </c>
      <c r="H486" s="40">
        <v>0</v>
      </c>
      <c r="I486" s="40">
        <v>0</v>
      </c>
      <c r="J486" s="40">
        <v>0</v>
      </c>
      <c r="K486" s="40">
        <v>0</v>
      </c>
      <c r="L486" s="40">
        <v>0</v>
      </c>
      <c r="M486" s="40" cm="1">
        <f t="array" ref="M486:N486">VLOOKUP(B486,'Fumigation  Room'!B:H,{6,7},0)</f>
        <v>0</v>
      </c>
      <c r="N486" s="40">
        <v>0</v>
      </c>
      <c r="O486" s="40">
        <f t="shared" si="15"/>
        <v>0</v>
      </c>
      <c r="P486" s="40">
        <f t="shared" si="16"/>
        <v>0</v>
      </c>
    </row>
    <row r="487" spans="1:16" x14ac:dyDescent="0.35">
      <c r="A487" s="33">
        <v>484</v>
      </c>
      <c r="B487" s="34" t="s">
        <v>801</v>
      </c>
      <c r="C487" s="33" t="s">
        <v>346</v>
      </c>
      <c r="D487" s="33" t="s">
        <v>17</v>
      </c>
      <c r="E487" s="33" t="s">
        <v>666</v>
      </c>
      <c r="F487" s="35">
        <v>0.23</v>
      </c>
      <c r="G487" s="40">
        <v>0</v>
      </c>
      <c r="H487" s="40">
        <v>0</v>
      </c>
      <c r="I487" s="40">
        <v>0</v>
      </c>
      <c r="J487" s="40">
        <v>0</v>
      </c>
      <c r="K487" s="40">
        <v>0</v>
      </c>
      <c r="L487" s="40">
        <v>0</v>
      </c>
      <c r="M487" s="40" cm="1">
        <f t="array" ref="M487:N487">VLOOKUP(B487,'Fumigation  Room'!B:H,{6,7},0)</f>
        <v>0</v>
      </c>
      <c r="N487" s="40">
        <v>0</v>
      </c>
      <c r="O487" s="40">
        <f t="shared" si="15"/>
        <v>0</v>
      </c>
      <c r="P487" s="40">
        <f t="shared" si="16"/>
        <v>0</v>
      </c>
    </row>
    <row r="488" spans="1:16" x14ac:dyDescent="0.35">
      <c r="A488" s="33">
        <v>485</v>
      </c>
      <c r="B488" s="34" t="s">
        <v>802</v>
      </c>
      <c r="C488" s="33" t="s">
        <v>346</v>
      </c>
      <c r="D488" s="33" t="s">
        <v>17</v>
      </c>
      <c r="E488" s="33" t="s">
        <v>666</v>
      </c>
      <c r="F488" s="35">
        <v>0.25</v>
      </c>
      <c r="G488" s="40">
        <v>0</v>
      </c>
      <c r="H488" s="40">
        <v>0</v>
      </c>
      <c r="I488" s="40">
        <v>0</v>
      </c>
      <c r="J488" s="40">
        <v>0</v>
      </c>
      <c r="K488" s="40">
        <v>0</v>
      </c>
      <c r="L488" s="40">
        <v>0</v>
      </c>
      <c r="M488" s="40" cm="1">
        <f t="array" ref="M488:N488">VLOOKUP(B488,'Fumigation  Room'!B:H,{6,7},0)</f>
        <v>0</v>
      </c>
      <c r="N488" s="40">
        <v>0</v>
      </c>
      <c r="O488" s="40">
        <f t="shared" si="15"/>
        <v>0</v>
      </c>
      <c r="P488" s="40">
        <f t="shared" si="16"/>
        <v>0</v>
      </c>
    </row>
    <row r="489" spans="1:16" x14ac:dyDescent="0.35">
      <c r="A489" s="33">
        <v>486</v>
      </c>
      <c r="B489" s="34" t="s">
        <v>803</v>
      </c>
      <c r="C489" s="33" t="s">
        <v>346</v>
      </c>
      <c r="D489" s="33" t="s">
        <v>17</v>
      </c>
      <c r="E489" s="33" t="s">
        <v>666</v>
      </c>
      <c r="F489" s="35">
        <v>0.25</v>
      </c>
      <c r="G489" s="40">
        <v>0</v>
      </c>
      <c r="H489" s="40">
        <v>0</v>
      </c>
      <c r="I489" s="40">
        <v>0</v>
      </c>
      <c r="J489" s="40">
        <v>0</v>
      </c>
      <c r="K489" s="40">
        <v>0</v>
      </c>
      <c r="L489" s="40">
        <v>0</v>
      </c>
      <c r="M489" s="40" cm="1">
        <f t="array" ref="M489:N489">VLOOKUP(B489,'Fumigation  Room'!B:H,{6,7},0)</f>
        <v>0</v>
      </c>
      <c r="N489" s="40">
        <v>0</v>
      </c>
      <c r="O489" s="40">
        <f t="shared" si="15"/>
        <v>0</v>
      </c>
      <c r="P489" s="40">
        <f t="shared" si="16"/>
        <v>0</v>
      </c>
    </row>
    <row r="490" spans="1:16" x14ac:dyDescent="0.35">
      <c r="A490" s="33">
        <v>487</v>
      </c>
      <c r="B490" s="34" t="s">
        <v>804</v>
      </c>
      <c r="C490" s="33" t="s">
        <v>346</v>
      </c>
      <c r="D490" s="33" t="s">
        <v>17</v>
      </c>
      <c r="E490" s="33" t="s">
        <v>666</v>
      </c>
      <c r="F490" s="35">
        <v>0.5</v>
      </c>
      <c r="G490" s="40">
        <v>0</v>
      </c>
      <c r="H490" s="40">
        <v>0</v>
      </c>
      <c r="I490" s="40">
        <v>0</v>
      </c>
      <c r="J490" s="40">
        <v>0</v>
      </c>
      <c r="K490" s="40">
        <v>0</v>
      </c>
      <c r="L490" s="40">
        <v>0</v>
      </c>
      <c r="M490" s="40" cm="1">
        <f t="array" ref="M490:N490">VLOOKUP(B490,'Fumigation  Room'!B:H,{6,7},0)</f>
        <v>0</v>
      </c>
      <c r="N490" s="40">
        <v>0</v>
      </c>
      <c r="O490" s="40">
        <f t="shared" si="15"/>
        <v>0</v>
      </c>
      <c r="P490" s="40">
        <f t="shared" si="16"/>
        <v>0</v>
      </c>
    </row>
    <row r="491" spans="1:16" x14ac:dyDescent="0.35">
      <c r="A491" s="33">
        <v>488</v>
      </c>
      <c r="B491" s="34" t="s">
        <v>805</v>
      </c>
      <c r="C491" s="33" t="s">
        <v>346</v>
      </c>
      <c r="D491" s="33" t="s">
        <v>17</v>
      </c>
      <c r="E491" s="33" t="s">
        <v>666</v>
      </c>
      <c r="F491" s="35">
        <v>1</v>
      </c>
      <c r="G491" s="40">
        <v>0</v>
      </c>
      <c r="H491" s="40">
        <v>0</v>
      </c>
      <c r="I491" s="40">
        <v>0</v>
      </c>
      <c r="J491" s="40">
        <v>0</v>
      </c>
      <c r="K491" s="40">
        <v>0</v>
      </c>
      <c r="L491" s="40">
        <v>0</v>
      </c>
      <c r="M491" s="40" cm="1">
        <f t="array" ref="M491:N491">VLOOKUP(B491,'Fumigation  Room'!B:H,{6,7},0)</f>
        <v>0</v>
      </c>
      <c r="N491" s="40">
        <v>0</v>
      </c>
      <c r="O491" s="40">
        <f t="shared" si="15"/>
        <v>0</v>
      </c>
      <c r="P491" s="40">
        <f t="shared" si="16"/>
        <v>0</v>
      </c>
    </row>
    <row r="492" spans="1:16" x14ac:dyDescent="0.35">
      <c r="A492" s="33">
        <v>489</v>
      </c>
      <c r="B492" s="34" t="s">
        <v>806</v>
      </c>
      <c r="C492" s="33" t="s">
        <v>346</v>
      </c>
      <c r="D492" s="33" t="s">
        <v>17</v>
      </c>
      <c r="E492" s="33" t="s">
        <v>666</v>
      </c>
      <c r="F492" s="35">
        <v>7.4999999999999997E-2</v>
      </c>
      <c r="G492" s="40">
        <v>0</v>
      </c>
      <c r="H492" s="40">
        <v>0</v>
      </c>
      <c r="I492" s="40">
        <v>0</v>
      </c>
      <c r="J492" s="40">
        <v>0</v>
      </c>
      <c r="K492" s="40">
        <v>0</v>
      </c>
      <c r="L492" s="40">
        <v>0</v>
      </c>
      <c r="M492" s="40" cm="1">
        <f t="array" ref="M492:N492">VLOOKUP(B492,'Fumigation  Room'!B:H,{6,7},0)</f>
        <v>0</v>
      </c>
      <c r="N492" s="40">
        <v>0</v>
      </c>
      <c r="O492" s="40">
        <f t="shared" si="15"/>
        <v>0</v>
      </c>
      <c r="P492" s="40">
        <f t="shared" si="16"/>
        <v>0</v>
      </c>
    </row>
    <row r="493" spans="1:16" x14ac:dyDescent="0.35">
      <c r="A493" s="33">
        <v>490</v>
      </c>
      <c r="B493" s="34" t="s">
        <v>807</v>
      </c>
      <c r="C493" s="33" t="s">
        <v>346</v>
      </c>
      <c r="D493" s="33" t="s">
        <v>17</v>
      </c>
      <c r="E493" s="33" t="s">
        <v>666</v>
      </c>
      <c r="F493" s="35">
        <v>7.4999999999999997E-2</v>
      </c>
      <c r="G493" s="40">
        <v>0</v>
      </c>
      <c r="H493" s="40">
        <v>0</v>
      </c>
      <c r="I493" s="40">
        <v>0</v>
      </c>
      <c r="J493" s="40">
        <v>0</v>
      </c>
      <c r="K493" s="40">
        <v>0</v>
      </c>
      <c r="L493" s="40">
        <v>0</v>
      </c>
      <c r="M493" s="40" cm="1">
        <f t="array" ref="M493:N493">VLOOKUP(B493,'Fumigation  Room'!B:H,{6,7},0)</f>
        <v>0</v>
      </c>
      <c r="N493" s="40">
        <v>0</v>
      </c>
      <c r="O493" s="40">
        <f t="shared" si="15"/>
        <v>0</v>
      </c>
      <c r="P493" s="40">
        <f t="shared" si="16"/>
        <v>0</v>
      </c>
    </row>
    <row r="494" spans="1:16" x14ac:dyDescent="0.35">
      <c r="A494" s="33">
        <v>491</v>
      </c>
      <c r="B494" s="34" t="s">
        <v>808</v>
      </c>
      <c r="C494" s="33" t="s">
        <v>346</v>
      </c>
      <c r="D494" s="33" t="s">
        <v>17</v>
      </c>
      <c r="E494" s="33" t="s">
        <v>666</v>
      </c>
      <c r="F494" s="35">
        <v>7.4999999999999997E-2</v>
      </c>
      <c r="G494" s="40">
        <v>0</v>
      </c>
      <c r="H494" s="40">
        <v>0</v>
      </c>
      <c r="I494" s="40">
        <v>0</v>
      </c>
      <c r="J494" s="40">
        <v>0</v>
      </c>
      <c r="K494" s="40">
        <v>0</v>
      </c>
      <c r="L494" s="40">
        <v>0</v>
      </c>
      <c r="M494" s="40" cm="1">
        <f t="array" ref="M494:N494">VLOOKUP(B494,'Fumigation  Room'!B:H,{6,7},0)</f>
        <v>0</v>
      </c>
      <c r="N494" s="40">
        <v>0</v>
      </c>
      <c r="O494" s="40">
        <f t="shared" si="15"/>
        <v>0</v>
      </c>
      <c r="P494" s="40">
        <f t="shared" si="16"/>
        <v>0</v>
      </c>
    </row>
    <row r="495" spans="1:16" x14ac:dyDescent="0.35">
      <c r="A495" s="33">
        <v>492</v>
      </c>
      <c r="B495" s="34" t="s">
        <v>809</v>
      </c>
      <c r="C495" s="33" t="s">
        <v>346</v>
      </c>
      <c r="D495" s="33" t="s">
        <v>17</v>
      </c>
      <c r="E495" s="33" t="s">
        <v>666</v>
      </c>
      <c r="F495" s="35">
        <v>0.2</v>
      </c>
      <c r="G495" s="40">
        <v>0</v>
      </c>
      <c r="H495" s="40">
        <v>0</v>
      </c>
      <c r="I495" s="40">
        <v>0</v>
      </c>
      <c r="J495" s="40">
        <v>0</v>
      </c>
      <c r="K495" s="40">
        <v>0</v>
      </c>
      <c r="L495" s="40">
        <v>0</v>
      </c>
      <c r="M495" s="40" cm="1">
        <f t="array" ref="M495:N495">VLOOKUP(B495,'Fumigation  Room'!B:H,{6,7},0)</f>
        <v>0</v>
      </c>
      <c r="N495" s="40">
        <v>0</v>
      </c>
      <c r="O495" s="40">
        <f t="shared" si="15"/>
        <v>0</v>
      </c>
      <c r="P495" s="40">
        <f t="shared" si="16"/>
        <v>0</v>
      </c>
    </row>
    <row r="496" spans="1:16" x14ac:dyDescent="0.35">
      <c r="A496" s="33">
        <v>493</v>
      </c>
      <c r="B496" s="34" t="s">
        <v>810</v>
      </c>
      <c r="C496" s="33" t="s">
        <v>346</v>
      </c>
      <c r="D496" s="33" t="s">
        <v>17</v>
      </c>
      <c r="E496" s="33" t="s">
        <v>666</v>
      </c>
      <c r="F496" s="35">
        <v>0.2</v>
      </c>
      <c r="G496" s="40">
        <v>0</v>
      </c>
      <c r="H496" s="40">
        <v>0</v>
      </c>
      <c r="I496" s="40">
        <v>0</v>
      </c>
      <c r="J496" s="40">
        <v>0</v>
      </c>
      <c r="K496" s="40">
        <v>0</v>
      </c>
      <c r="L496" s="40">
        <v>0</v>
      </c>
      <c r="M496" s="40" cm="1">
        <f t="array" ref="M496:N496">VLOOKUP(B496,'Fumigation  Room'!B:H,{6,7},0)</f>
        <v>0</v>
      </c>
      <c r="N496" s="40">
        <v>0</v>
      </c>
      <c r="O496" s="40">
        <f t="shared" si="15"/>
        <v>0</v>
      </c>
      <c r="P496" s="40">
        <f t="shared" si="16"/>
        <v>0</v>
      </c>
    </row>
    <row r="497" spans="1:16" x14ac:dyDescent="0.35">
      <c r="A497" s="33">
        <v>494</v>
      </c>
      <c r="B497" s="34" t="s">
        <v>811</v>
      </c>
      <c r="C497" s="33" t="s">
        <v>346</v>
      </c>
      <c r="D497" s="33" t="s">
        <v>17</v>
      </c>
      <c r="E497" s="33" t="s">
        <v>666</v>
      </c>
      <c r="F497" s="35">
        <v>0.5</v>
      </c>
      <c r="G497" s="40">
        <v>0</v>
      </c>
      <c r="H497" s="40">
        <v>0</v>
      </c>
      <c r="I497" s="40">
        <v>0</v>
      </c>
      <c r="J497" s="40">
        <v>0</v>
      </c>
      <c r="K497" s="40">
        <v>0</v>
      </c>
      <c r="L497" s="40">
        <v>0</v>
      </c>
      <c r="M497" s="40" cm="1">
        <f t="array" ref="M497:N497">VLOOKUP(B497,'Fumigation  Room'!B:H,{6,7},0)</f>
        <v>0</v>
      </c>
      <c r="N497" s="40">
        <v>0</v>
      </c>
      <c r="O497" s="40">
        <f t="shared" si="15"/>
        <v>0</v>
      </c>
      <c r="P497" s="40">
        <f t="shared" si="16"/>
        <v>0</v>
      </c>
    </row>
    <row r="498" spans="1:16" x14ac:dyDescent="0.35">
      <c r="A498" s="33">
        <v>495</v>
      </c>
      <c r="B498" s="34" t="s">
        <v>812</v>
      </c>
      <c r="C498" s="33" t="s">
        <v>346</v>
      </c>
      <c r="D498" s="33" t="s">
        <v>17</v>
      </c>
      <c r="E498" s="33" t="s">
        <v>666</v>
      </c>
      <c r="F498" s="35">
        <v>0.2</v>
      </c>
      <c r="G498" s="40">
        <v>0</v>
      </c>
      <c r="H498" s="40">
        <v>0</v>
      </c>
      <c r="I498" s="40">
        <v>0</v>
      </c>
      <c r="J498" s="40">
        <v>0</v>
      </c>
      <c r="K498" s="40">
        <v>0</v>
      </c>
      <c r="L498" s="40">
        <v>0</v>
      </c>
      <c r="M498" s="40" cm="1">
        <f t="array" ref="M498:N498">VLOOKUP(B498,'Fumigation  Room'!B:H,{6,7},0)</f>
        <v>0</v>
      </c>
      <c r="N498" s="40">
        <v>0</v>
      </c>
      <c r="O498" s="40">
        <f t="shared" si="15"/>
        <v>0</v>
      </c>
      <c r="P498" s="40">
        <f t="shared" si="16"/>
        <v>0</v>
      </c>
    </row>
    <row r="499" spans="1:16" x14ac:dyDescent="0.35">
      <c r="A499" s="33">
        <v>496</v>
      </c>
      <c r="B499" s="34" t="s">
        <v>813</v>
      </c>
      <c r="C499" s="33" t="s">
        <v>346</v>
      </c>
      <c r="D499" s="33" t="s">
        <v>17</v>
      </c>
      <c r="E499" s="33" t="s">
        <v>666</v>
      </c>
      <c r="F499" s="35">
        <v>0.1</v>
      </c>
      <c r="G499" s="40">
        <v>0</v>
      </c>
      <c r="H499" s="40">
        <v>0</v>
      </c>
      <c r="I499" s="40">
        <v>0</v>
      </c>
      <c r="J499" s="40">
        <v>0</v>
      </c>
      <c r="K499" s="40">
        <v>0</v>
      </c>
      <c r="L499" s="40">
        <v>0</v>
      </c>
      <c r="M499" s="40" cm="1">
        <f t="array" ref="M499:N499">VLOOKUP(B499,'Fumigation  Room'!B:H,{6,7},0)</f>
        <v>0</v>
      </c>
      <c r="N499" s="40">
        <v>0</v>
      </c>
      <c r="O499" s="40">
        <f t="shared" si="15"/>
        <v>0</v>
      </c>
      <c r="P499" s="40">
        <f t="shared" si="16"/>
        <v>0</v>
      </c>
    </row>
    <row r="500" spans="1:16" x14ac:dyDescent="0.35">
      <c r="A500" s="33">
        <v>497</v>
      </c>
      <c r="B500" s="34" t="s">
        <v>814</v>
      </c>
      <c r="C500" s="33" t="s">
        <v>346</v>
      </c>
      <c r="D500" s="33" t="s">
        <v>17</v>
      </c>
      <c r="E500" s="33" t="s">
        <v>666</v>
      </c>
      <c r="F500" s="35">
        <v>0.2</v>
      </c>
      <c r="G500" s="40">
        <v>0</v>
      </c>
      <c r="H500" s="40">
        <v>0</v>
      </c>
      <c r="I500" s="40">
        <v>0</v>
      </c>
      <c r="J500" s="40">
        <v>0</v>
      </c>
      <c r="K500" s="40">
        <v>0</v>
      </c>
      <c r="L500" s="40">
        <v>0</v>
      </c>
      <c r="M500" s="40" cm="1">
        <f t="array" ref="M500:N500">VLOOKUP(B500,'Fumigation  Room'!B:H,{6,7},0)</f>
        <v>0</v>
      </c>
      <c r="N500" s="40">
        <v>0</v>
      </c>
      <c r="O500" s="40">
        <f t="shared" si="15"/>
        <v>0</v>
      </c>
      <c r="P500" s="40">
        <f t="shared" si="16"/>
        <v>0</v>
      </c>
    </row>
    <row r="501" spans="1:16" x14ac:dyDescent="0.35">
      <c r="A501" s="33">
        <v>498</v>
      </c>
      <c r="B501" s="34" t="s">
        <v>815</v>
      </c>
      <c r="C501" s="33" t="s">
        <v>346</v>
      </c>
      <c r="D501" s="33" t="s">
        <v>17</v>
      </c>
      <c r="E501" s="33" t="s">
        <v>666</v>
      </c>
      <c r="F501" s="35">
        <v>1</v>
      </c>
      <c r="G501" s="40">
        <v>0</v>
      </c>
      <c r="H501" s="40">
        <v>0</v>
      </c>
      <c r="I501" s="40">
        <v>0</v>
      </c>
      <c r="J501" s="40">
        <v>0</v>
      </c>
      <c r="K501" s="40">
        <v>0</v>
      </c>
      <c r="L501" s="40">
        <v>0</v>
      </c>
      <c r="M501" s="40" cm="1">
        <f t="array" ref="M501:N501">VLOOKUP(B501,'Fumigation  Room'!B:H,{6,7},0)</f>
        <v>0</v>
      </c>
      <c r="N501" s="40">
        <v>0</v>
      </c>
      <c r="O501" s="40">
        <f t="shared" si="15"/>
        <v>0</v>
      </c>
      <c r="P501" s="40">
        <f t="shared" si="16"/>
        <v>0</v>
      </c>
    </row>
    <row r="502" spans="1:16" x14ac:dyDescent="0.35">
      <c r="A502" s="33">
        <v>499</v>
      </c>
      <c r="B502" s="34" t="s">
        <v>816</v>
      </c>
      <c r="C502" s="33" t="s">
        <v>346</v>
      </c>
      <c r="D502" s="33" t="s">
        <v>17</v>
      </c>
      <c r="E502" s="33" t="s">
        <v>666</v>
      </c>
      <c r="F502" s="35">
        <v>0.15</v>
      </c>
      <c r="G502" s="40">
        <v>0</v>
      </c>
      <c r="H502" s="40">
        <v>0</v>
      </c>
      <c r="I502" s="40">
        <v>0</v>
      </c>
      <c r="J502" s="40">
        <v>0</v>
      </c>
      <c r="K502" s="40">
        <v>0</v>
      </c>
      <c r="L502" s="40">
        <v>0</v>
      </c>
      <c r="M502" s="40" cm="1">
        <f t="array" ref="M502:N502">VLOOKUP(B502,'Fumigation  Room'!B:H,{6,7},0)</f>
        <v>0</v>
      </c>
      <c r="N502" s="40">
        <v>0</v>
      </c>
      <c r="O502" s="40">
        <f t="shared" si="15"/>
        <v>0</v>
      </c>
      <c r="P502" s="40">
        <f t="shared" si="16"/>
        <v>0</v>
      </c>
    </row>
    <row r="503" spans="1:16" x14ac:dyDescent="0.35">
      <c r="A503" s="33">
        <v>500</v>
      </c>
      <c r="B503" s="34" t="s">
        <v>817</v>
      </c>
      <c r="C503" s="33" t="s">
        <v>346</v>
      </c>
      <c r="D503" s="33" t="s">
        <v>17</v>
      </c>
      <c r="E503" s="33" t="s">
        <v>666</v>
      </c>
      <c r="F503" s="35">
        <v>0.15</v>
      </c>
      <c r="G503" s="40">
        <v>0</v>
      </c>
      <c r="H503" s="40">
        <v>0</v>
      </c>
      <c r="I503" s="40">
        <v>0</v>
      </c>
      <c r="J503" s="40">
        <v>0</v>
      </c>
      <c r="K503" s="40">
        <v>0</v>
      </c>
      <c r="L503" s="40">
        <v>0</v>
      </c>
      <c r="M503" s="40" cm="1">
        <f t="array" ref="M503:N503">VLOOKUP(B503,'Fumigation  Room'!B:H,{6,7},0)</f>
        <v>0</v>
      </c>
      <c r="N503" s="40">
        <v>0</v>
      </c>
      <c r="O503" s="40">
        <f t="shared" si="15"/>
        <v>0</v>
      </c>
      <c r="P503" s="40">
        <f t="shared" si="16"/>
        <v>0</v>
      </c>
    </row>
    <row r="504" spans="1:16" x14ac:dyDescent="0.35">
      <c r="A504" s="33">
        <v>501</v>
      </c>
      <c r="B504" s="34" t="s">
        <v>818</v>
      </c>
      <c r="C504" s="33" t="s">
        <v>346</v>
      </c>
      <c r="D504" s="33" t="s">
        <v>17</v>
      </c>
      <c r="E504" s="33" t="s">
        <v>666</v>
      </c>
      <c r="F504" s="35">
        <v>0.15</v>
      </c>
      <c r="G504" s="40">
        <v>0</v>
      </c>
      <c r="H504" s="40">
        <v>0</v>
      </c>
      <c r="I504" s="40">
        <v>0</v>
      </c>
      <c r="J504" s="40">
        <v>0</v>
      </c>
      <c r="K504" s="40">
        <v>0</v>
      </c>
      <c r="L504" s="40">
        <v>0</v>
      </c>
      <c r="M504" s="40" cm="1">
        <f t="array" ref="M504:N504">VLOOKUP(B504,'Fumigation  Room'!B:H,{6,7},0)</f>
        <v>0</v>
      </c>
      <c r="N504" s="40">
        <v>0</v>
      </c>
      <c r="O504" s="40">
        <f t="shared" si="15"/>
        <v>0</v>
      </c>
      <c r="P504" s="40">
        <f t="shared" si="16"/>
        <v>0</v>
      </c>
    </row>
    <row r="505" spans="1:16" x14ac:dyDescent="0.35">
      <c r="A505" s="33">
        <v>502</v>
      </c>
      <c r="B505" s="34" t="s">
        <v>819</v>
      </c>
      <c r="C505" s="33" t="s">
        <v>346</v>
      </c>
      <c r="D505" s="33" t="s">
        <v>17</v>
      </c>
      <c r="E505" s="33" t="s">
        <v>666</v>
      </c>
      <c r="F505" s="35">
        <v>0.15</v>
      </c>
      <c r="G505" s="40">
        <v>0</v>
      </c>
      <c r="H505" s="40">
        <v>0</v>
      </c>
      <c r="I505" s="40">
        <v>0</v>
      </c>
      <c r="J505" s="40">
        <v>0</v>
      </c>
      <c r="K505" s="40">
        <v>0</v>
      </c>
      <c r="L505" s="40">
        <v>0</v>
      </c>
      <c r="M505" s="40" cm="1">
        <f t="array" ref="M505:N505">VLOOKUP(B505,'Fumigation  Room'!B:H,{6,7},0)</f>
        <v>0</v>
      </c>
      <c r="N505" s="40">
        <v>0</v>
      </c>
      <c r="O505" s="40">
        <f t="shared" si="15"/>
        <v>0</v>
      </c>
      <c r="P505" s="40">
        <f t="shared" si="16"/>
        <v>0</v>
      </c>
    </row>
    <row r="506" spans="1:16" x14ac:dyDescent="0.35">
      <c r="A506" s="33">
        <v>503</v>
      </c>
      <c r="B506" s="34" t="s">
        <v>677</v>
      </c>
      <c r="C506" s="33" t="s">
        <v>297</v>
      </c>
      <c r="D506" s="33" t="s">
        <v>17</v>
      </c>
      <c r="E506" s="33" t="s">
        <v>677</v>
      </c>
      <c r="F506" s="35">
        <v>1</v>
      </c>
      <c r="G506" s="40">
        <v>0</v>
      </c>
      <c r="H506" s="40">
        <v>0</v>
      </c>
      <c r="I506" s="40">
        <v>0</v>
      </c>
      <c r="J506" s="40">
        <v>0</v>
      </c>
      <c r="K506" s="40">
        <v>0</v>
      </c>
      <c r="L506" s="40">
        <v>0</v>
      </c>
      <c r="M506" s="40" cm="1">
        <f t="array" ref="M506:N506">VLOOKUP(B506,'Fumigation  Room'!B:H,{6,7},0)</f>
        <v>0</v>
      </c>
      <c r="N506" s="40">
        <v>0</v>
      </c>
      <c r="O506" s="40">
        <f t="shared" si="15"/>
        <v>0</v>
      </c>
      <c r="P506" s="40">
        <f t="shared" si="16"/>
        <v>0</v>
      </c>
    </row>
    <row r="507" spans="1:16" x14ac:dyDescent="0.35">
      <c r="A507" s="33">
        <v>504</v>
      </c>
      <c r="B507" s="34" t="s">
        <v>820</v>
      </c>
      <c r="C507" s="33" t="s">
        <v>297</v>
      </c>
      <c r="D507" s="33" t="s">
        <v>139</v>
      </c>
      <c r="E507" s="33" t="s">
        <v>821</v>
      </c>
      <c r="F507" s="35">
        <v>1</v>
      </c>
      <c r="G507" s="40">
        <v>0</v>
      </c>
      <c r="H507" s="40">
        <v>0</v>
      </c>
      <c r="I507" s="40">
        <v>0</v>
      </c>
      <c r="J507" s="40">
        <v>0</v>
      </c>
      <c r="K507" s="40">
        <v>0</v>
      </c>
      <c r="L507" s="40">
        <v>0</v>
      </c>
      <c r="M507" s="40" cm="1">
        <f t="array" ref="M507:N507">VLOOKUP(B507,'Fumigation  Room'!B:H,{6,7},0)</f>
        <v>0</v>
      </c>
      <c r="N507" s="40">
        <v>0</v>
      </c>
      <c r="O507" s="40">
        <f t="shared" si="15"/>
        <v>0</v>
      </c>
      <c r="P507" s="40">
        <f t="shared" si="16"/>
        <v>0</v>
      </c>
    </row>
    <row r="508" spans="1:16" x14ac:dyDescent="0.35">
      <c r="A508" s="33">
        <v>505</v>
      </c>
      <c r="B508" s="34" t="s">
        <v>822</v>
      </c>
      <c r="C508" s="33" t="s">
        <v>297</v>
      </c>
      <c r="D508" s="33" t="s">
        <v>139</v>
      </c>
      <c r="E508" s="33" t="s">
        <v>821</v>
      </c>
      <c r="F508" s="35">
        <v>1</v>
      </c>
      <c r="G508" s="40">
        <v>0</v>
      </c>
      <c r="H508" s="40">
        <v>0</v>
      </c>
      <c r="I508" s="40">
        <v>0</v>
      </c>
      <c r="J508" s="40">
        <v>0</v>
      </c>
      <c r="K508" s="40">
        <v>0</v>
      </c>
      <c r="L508" s="40">
        <v>0</v>
      </c>
      <c r="M508" s="40" cm="1">
        <f t="array" ref="M508:N508">VLOOKUP(B508,'Fumigation  Room'!B:H,{6,7},0)</f>
        <v>0</v>
      </c>
      <c r="N508" s="40">
        <v>0</v>
      </c>
      <c r="O508" s="40">
        <f t="shared" si="15"/>
        <v>0</v>
      </c>
      <c r="P508" s="40">
        <f t="shared" si="16"/>
        <v>0</v>
      </c>
    </row>
    <row r="509" spans="1:16" x14ac:dyDescent="0.35">
      <c r="A509" s="33">
        <v>506</v>
      </c>
      <c r="B509" s="34" t="s">
        <v>823</v>
      </c>
      <c r="C509" s="33" t="s">
        <v>297</v>
      </c>
      <c r="D509" s="33" t="s">
        <v>139</v>
      </c>
      <c r="E509" s="33" t="s">
        <v>821</v>
      </c>
      <c r="F509" s="35">
        <v>1</v>
      </c>
      <c r="G509" s="40">
        <v>0</v>
      </c>
      <c r="H509" s="40">
        <v>0</v>
      </c>
      <c r="I509" s="40">
        <v>0</v>
      </c>
      <c r="J509" s="40">
        <v>0</v>
      </c>
      <c r="K509" s="40">
        <v>0</v>
      </c>
      <c r="L509" s="40">
        <v>0</v>
      </c>
      <c r="M509" s="40" cm="1">
        <f t="array" ref="M509:N509">VLOOKUP(B509,'Fumigation  Room'!B:H,{6,7},0)</f>
        <v>0</v>
      </c>
      <c r="N509" s="40">
        <v>0</v>
      </c>
      <c r="O509" s="40">
        <f t="shared" si="15"/>
        <v>0</v>
      </c>
      <c r="P509" s="40">
        <f t="shared" si="16"/>
        <v>0</v>
      </c>
    </row>
    <row r="510" spans="1:16" x14ac:dyDescent="0.35">
      <c r="A510" s="33">
        <v>507</v>
      </c>
      <c r="B510" s="34" t="s">
        <v>828</v>
      </c>
      <c r="C510" s="33" t="s">
        <v>346</v>
      </c>
      <c r="D510" s="33" t="s">
        <v>139</v>
      </c>
      <c r="E510" s="33" t="s">
        <v>821</v>
      </c>
      <c r="F510" s="35">
        <v>0.25</v>
      </c>
      <c r="G510" s="40">
        <v>0</v>
      </c>
      <c r="H510" s="40">
        <v>0</v>
      </c>
      <c r="I510" s="40">
        <v>0</v>
      </c>
      <c r="J510" s="40">
        <v>0</v>
      </c>
      <c r="K510" s="40">
        <v>0</v>
      </c>
      <c r="L510" s="40">
        <v>0</v>
      </c>
      <c r="M510" s="40" cm="1">
        <f t="array" ref="M510:N510">VLOOKUP(B510,'Fumigation  Room'!B:H,{6,7},0)</f>
        <v>0</v>
      </c>
      <c r="N510" s="40">
        <v>0</v>
      </c>
      <c r="O510" s="40">
        <f t="shared" si="15"/>
        <v>0</v>
      </c>
      <c r="P510" s="40">
        <f t="shared" si="16"/>
        <v>0</v>
      </c>
    </row>
    <row r="511" spans="1:16" x14ac:dyDescent="0.35">
      <c r="A511" s="33">
        <v>508</v>
      </c>
      <c r="B511" s="34" t="s">
        <v>829</v>
      </c>
      <c r="C511" s="33" t="s">
        <v>346</v>
      </c>
      <c r="D511" s="33" t="s">
        <v>139</v>
      </c>
      <c r="E511" s="33" t="s">
        <v>821</v>
      </c>
      <c r="F511" s="35">
        <v>0.2</v>
      </c>
      <c r="G511" s="40">
        <v>0</v>
      </c>
      <c r="H511" s="40">
        <v>0</v>
      </c>
      <c r="I511" s="40">
        <v>0</v>
      </c>
      <c r="J511" s="40">
        <v>0</v>
      </c>
      <c r="K511" s="40">
        <v>0</v>
      </c>
      <c r="L511" s="40">
        <v>0</v>
      </c>
      <c r="M511" s="40" cm="1">
        <f t="array" ref="M511:N511">VLOOKUP(B511,'Fumigation  Room'!B:H,{6,7},0)</f>
        <v>0</v>
      </c>
      <c r="N511" s="40">
        <v>0</v>
      </c>
      <c r="O511" s="40">
        <f t="shared" si="15"/>
        <v>0</v>
      </c>
      <c r="P511" s="40">
        <f t="shared" si="16"/>
        <v>0</v>
      </c>
    </row>
    <row r="512" spans="1:16" x14ac:dyDescent="0.35">
      <c r="A512" s="33">
        <v>509</v>
      </c>
      <c r="B512" s="34" t="s">
        <v>830</v>
      </c>
      <c r="C512" s="33" t="s">
        <v>346</v>
      </c>
      <c r="D512" s="33" t="s">
        <v>139</v>
      </c>
      <c r="E512" s="33" t="s">
        <v>821</v>
      </c>
      <c r="F512" s="35">
        <v>0.25</v>
      </c>
      <c r="G512" s="40">
        <v>0</v>
      </c>
      <c r="H512" s="40">
        <v>0</v>
      </c>
      <c r="I512" s="40">
        <v>0</v>
      </c>
      <c r="J512" s="40">
        <v>0</v>
      </c>
      <c r="K512" s="40">
        <v>0</v>
      </c>
      <c r="L512" s="40">
        <v>0</v>
      </c>
      <c r="M512" s="40" cm="1">
        <f t="array" ref="M512:N512">VLOOKUP(B512,'Fumigation  Room'!B:H,{6,7},0)</f>
        <v>0</v>
      </c>
      <c r="N512" s="40">
        <v>0</v>
      </c>
      <c r="O512" s="40">
        <f t="shared" si="15"/>
        <v>0</v>
      </c>
      <c r="P512" s="40">
        <f t="shared" si="16"/>
        <v>0</v>
      </c>
    </row>
    <row r="513" spans="1:16" x14ac:dyDescent="0.35">
      <c r="A513" s="33">
        <v>510</v>
      </c>
      <c r="B513" s="34" t="s">
        <v>831</v>
      </c>
      <c r="C513" s="33" t="s">
        <v>346</v>
      </c>
      <c r="D513" s="33" t="s">
        <v>139</v>
      </c>
      <c r="E513" s="33" t="s">
        <v>821</v>
      </c>
      <c r="F513" s="35">
        <v>0.1</v>
      </c>
      <c r="G513" s="40">
        <v>0</v>
      </c>
      <c r="H513" s="40">
        <v>0</v>
      </c>
      <c r="I513" s="40">
        <v>0</v>
      </c>
      <c r="J513" s="40">
        <v>0</v>
      </c>
      <c r="K513" s="40">
        <v>0</v>
      </c>
      <c r="L513" s="40">
        <v>0</v>
      </c>
      <c r="M513" s="40" cm="1">
        <f t="array" ref="M513:N513">VLOOKUP(B513,'Fumigation  Room'!B:H,{6,7},0)</f>
        <v>0</v>
      </c>
      <c r="N513" s="40">
        <v>0</v>
      </c>
      <c r="O513" s="40">
        <f t="shared" si="15"/>
        <v>0</v>
      </c>
      <c r="P513" s="40">
        <f t="shared" si="16"/>
        <v>0</v>
      </c>
    </row>
    <row r="514" spans="1:16" x14ac:dyDescent="0.35">
      <c r="A514" s="33">
        <v>511</v>
      </c>
      <c r="B514" s="34" t="s">
        <v>832</v>
      </c>
      <c r="C514" s="33" t="s">
        <v>346</v>
      </c>
      <c r="D514" s="33" t="s">
        <v>139</v>
      </c>
      <c r="E514" s="33" t="s">
        <v>821</v>
      </c>
      <c r="F514" s="35">
        <v>0.12</v>
      </c>
      <c r="G514" s="40">
        <v>0</v>
      </c>
      <c r="H514" s="40">
        <v>0</v>
      </c>
      <c r="I514" s="40">
        <v>0</v>
      </c>
      <c r="J514" s="40">
        <v>0</v>
      </c>
      <c r="K514" s="40">
        <v>0</v>
      </c>
      <c r="L514" s="40">
        <v>0</v>
      </c>
      <c r="M514" s="40" cm="1">
        <f t="array" ref="M514:N514">VLOOKUP(B514,'Fumigation  Room'!B:H,{6,7},0)</f>
        <v>0</v>
      </c>
      <c r="N514" s="40">
        <v>0</v>
      </c>
      <c r="O514" s="40">
        <f t="shared" si="15"/>
        <v>0</v>
      </c>
      <c r="P514" s="40">
        <f t="shared" si="16"/>
        <v>0</v>
      </c>
    </row>
    <row r="515" spans="1:16" x14ac:dyDescent="0.35">
      <c r="A515" s="33">
        <v>512</v>
      </c>
      <c r="B515" s="34" t="s">
        <v>833</v>
      </c>
      <c r="C515" s="33" t="s">
        <v>346</v>
      </c>
      <c r="D515" s="33" t="s">
        <v>139</v>
      </c>
      <c r="E515" s="33" t="s">
        <v>821</v>
      </c>
      <c r="F515" s="35">
        <v>0.25</v>
      </c>
      <c r="G515" s="40">
        <v>0</v>
      </c>
      <c r="H515" s="40">
        <v>0</v>
      </c>
      <c r="I515" s="40">
        <v>0</v>
      </c>
      <c r="J515" s="40">
        <v>0</v>
      </c>
      <c r="K515" s="40">
        <v>0</v>
      </c>
      <c r="L515" s="40">
        <v>0</v>
      </c>
      <c r="M515" s="40" cm="1">
        <f t="array" ref="M515:N515">VLOOKUP(B515,'Fumigation  Room'!B:H,{6,7},0)</f>
        <v>0</v>
      </c>
      <c r="N515" s="40">
        <v>0</v>
      </c>
      <c r="O515" s="40">
        <f t="shared" si="15"/>
        <v>0</v>
      </c>
      <c r="P515" s="40">
        <f t="shared" si="16"/>
        <v>0</v>
      </c>
    </row>
    <row r="516" spans="1:16" x14ac:dyDescent="0.35">
      <c r="A516" s="33">
        <v>513</v>
      </c>
      <c r="B516" s="34" t="s">
        <v>834</v>
      </c>
      <c r="C516" s="33" t="s">
        <v>346</v>
      </c>
      <c r="D516" s="33" t="s">
        <v>139</v>
      </c>
      <c r="E516" s="33" t="s">
        <v>821</v>
      </c>
      <c r="F516" s="35">
        <v>0.08</v>
      </c>
      <c r="G516" s="40">
        <v>0</v>
      </c>
      <c r="H516" s="40">
        <v>0</v>
      </c>
      <c r="I516" s="40">
        <v>0</v>
      </c>
      <c r="J516" s="40">
        <v>0</v>
      </c>
      <c r="K516" s="40">
        <v>0</v>
      </c>
      <c r="L516" s="40">
        <v>0</v>
      </c>
      <c r="M516" s="40" cm="1">
        <f t="array" ref="M516:N516">VLOOKUP(B516,'Fumigation  Room'!B:H,{6,7},0)</f>
        <v>0</v>
      </c>
      <c r="N516" s="40">
        <v>0</v>
      </c>
      <c r="O516" s="40">
        <f t="shared" si="15"/>
        <v>0</v>
      </c>
      <c r="P516" s="40">
        <f t="shared" si="16"/>
        <v>0</v>
      </c>
    </row>
    <row r="517" spans="1:16" x14ac:dyDescent="0.35">
      <c r="A517" s="33">
        <v>514</v>
      </c>
      <c r="B517" s="34" t="s">
        <v>835</v>
      </c>
      <c r="C517" s="33" t="s">
        <v>346</v>
      </c>
      <c r="D517" s="33" t="s">
        <v>139</v>
      </c>
      <c r="E517" s="33" t="s">
        <v>821</v>
      </c>
      <c r="F517" s="35">
        <v>0.1</v>
      </c>
      <c r="G517" s="40">
        <v>0</v>
      </c>
      <c r="H517" s="40">
        <v>0</v>
      </c>
      <c r="I517" s="40">
        <v>0</v>
      </c>
      <c r="J517" s="40">
        <v>0</v>
      </c>
      <c r="K517" s="40">
        <v>0</v>
      </c>
      <c r="L517" s="40">
        <v>0</v>
      </c>
      <c r="M517" s="40" cm="1">
        <f t="array" ref="M517:N517">VLOOKUP(B517,'Fumigation  Room'!B:H,{6,7},0)</f>
        <v>0</v>
      </c>
      <c r="N517" s="40">
        <v>0</v>
      </c>
      <c r="O517" s="40">
        <f t="shared" ref="O517:O580" si="17">G517+I517+K517+M517</f>
        <v>0</v>
      </c>
      <c r="P517" s="40">
        <f t="shared" ref="P517:P580" si="18">H517+J517+L517+N517</f>
        <v>0</v>
      </c>
    </row>
    <row r="518" spans="1:16" x14ac:dyDescent="0.35">
      <c r="A518" s="33">
        <v>515</v>
      </c>
      <c r="B518" s="34" t="s">
        <v>239</v>
      </c>
      <c r="C518" s="33" t="s">
        <v>346</v>
      </c>
      <c r="D518" s="33" t="s">
        <v>139</v>
      </c>
      <c r="E518" s="33" t="s">
        <v>821</v>
      </c>
      <c r="F518" s="35">
        <v>0.03</v>
      </c>
      <c r="G518" s="40">
        <v>0</v>
      </c>
      <c r="H518" s="40">
        <v>0</v>
      </c>
      <c r="I518" s="40">
        <v>0</v>
      </c>
      <c r="J518" s="40">
        <v>0</v>
      </c>
      <c r="K518" s="40">
        <v>0</v>
      </c>
      <c r="L518" s="40">
        <v>0</v>
      </c>
      <c r="M518" s="40" cm="1">
        <f t="array" ref="M518:N518">VLOOKUP(B518,'Fumigation  Room'!B:H,{6,7},0)</f>
        <v>0</v>
      </c>
      <c r="N518" s="40">
        <v>0</v>
      </c>
      <c r="O518" s="40">
        <f t="shared" si="17"/>
        <v>0</v>
      </c>
      <c r="P518" s="40">
        <f t="shared" si="18"/>
        <v>0</v>
      </c>
    </row>
    <row r="519" spans="1:16" x14ac:dyDescent="0.35">
      <c r="A519" s="33">
        <v>516</v>
      </c>
      <c r="B519" s="34" t="s">
        <v>836</v>
      </c>
      <c r="C519" s="33" t="s">
        <v>346</v>
      </c>
      <c r="D519" s="33" t="s">
        <v>139</v>
      </c>
      <c r="E519" s="33" t="s">
        <v>821</v>
      </c>
      <c r="F519" s="35">
        <v>0.1</v>
      </c>
      <c r="G519" s="40">
        <v>0</v>
      </c>
      <c r="H519" s="40">
        <v>0</v>
      </c>
      <c r="I519" s="40">
        <v>0</v>
      </c>
      <c r="J519" s="40">
        <v>0</v>
      </c>
      <c r="K519" s="40">
        <v>0</v>
      </c>
      <c r="L519" s="40">
        <v>0</v>
      </c>
      <c r="M519" s="40" cm="1">
        <f t="array" ref="M519:N519">VLOOKUP(B519,'Fumigation  Room'!B:H,{6,7},0)</f>
        <v>0</v>
      </c>
      <c r="N519" s="40">
        <v>0</v>
      </c>
      <c r="O519" s="40">
        <f t="shared" si="17"/>
        <v>0</v>
      </c>
      <c r="P519" s="40">
        <f t="shared" si="18"/>
        <v>0</v>
      </c>
    </row>
    <row r="520" spans="1:16" x14ac:dyDescent="0.35">
      <c r="A520" s="33">
        <v>517</v>
      </c>
      <c r="B520" s="34" t="s">
        <v>837</v>
      </c>
      <c r="C520" s="33" t="s">
        <v>346</v>
      </c>
      <c r="D520" s="33" t="s">
        <v>139</v>
      </c>
      <c r="E520" s="33" t="s">
        <v>821</v>
      </c>
      <c r="F520" s="35">
        <v>0.15</v>
      </c>
      <c r="G520" s="40">
        <v>0</v>
      </c>
      <c r="H520" s="40">
        <v>0</v>
      </c>
      <c r="I520" s="40">
        <v>0</v>
      </c>
      <c r="J520" s="40">
        <v>0</v>
      </c>
      <c r="K520" s="40">
        <v>0</v>
      </c>
      <c r="L520" s="40">
        <v>0</v>
      </c>
      <c r="M520" s="40" cm="1">
        <f t="array" ref="M520:N520">VLOOKUP(B520,'Fumigation  Room'!B:H,{6,7},0)</f>
        <v>0</v>
      </c>
      <c r="N520" s="40">
        <v>0</v>
      </c>
      <c r="O520" s="40">
        <f t="shared" si="17"/>
        <v>0</v>
      </c>
      <c r="P520" s="40">
        <f t="shared" si="18"/>
        <v>0</v>
      </c>
    </row>
    <row r="521" spans="1:16" x14ac:dyDescent="0.35">
      <c r="A521" s="33">
        <v>518</v>
      </c>
      <c r="B521" s="34" t="s">
        <v>824</v>
      </c>
      <c r="C521" s="33" t="s">
        <v>297</v>
      </c>
      <c r="D521" s="33" t="s">
        <v>139</v>
      </c>
      <c r="E521" s="33" t="s">
        <v>825</v>
      </c>
      <c r="F521" s="35">
        <v>1</v>
      </c>
      <c r="G521" s="40">
        <v>0</v>
      </c>
      <c r="H521" s="40">
        <v>0</v>
      </c>
      <c r="I521" s="40">
        <v>0</v>
      </c>
      <c r="J521" s="40">
        <v>0</v>
      </c>
      <c r="K521" s="40">
        <v>0</v>
      </c>
      <c r="L521" s="40">
        <v>0</v>
      </c>
      <c r="M521" s="40" cm="1">
        <f t="array" ref="M521:N521">VLOOKUP(B521,'Fumigation  Room'!B:H,{6,7},0)</f>
        <v>0</v>
      </c>
      <c r="N521" s="40">
        <v>0</v>
      </c>
      <c r="O521" s="40">
        <f t="shared" si="17"/>
        <v>0</v>
      </c>
      <c r="P521" s="40">
        <f t="shared" si="18"/>
        <v>0</v>
      </c>
    </row>
    <row r="522" spans="1:16" x14ac:dyDescent="0.35">
      <c r="A522" s="33">
        <v>519</v>
      </c>
      <c r="B522" s="34" t="s">
        <v>826</v>
      </c>
      <c r="C522" s="33" t="s">
        <v>297</v>
      </c>
      <c r="D522" s="33" t="s">
        <v>139</v>
      </c>
      <c r="E522" s="33" t="s">
        <v>825</v>
      </c>
      <c r="F522" s="35">
        <v>1</v>
      </c>
      <c r="G522" s="40">
        <v>0</v>
      </c>
      <c r="H522" s="40">
        <v>0</v>
      </c>
      <c r="I522" s="40">
        <v>0</v>
      </c>
      <c r="J522" s="40">
        <v>0</v>
      </c>
      <c r="K522" s="40">
        <v>0</v>
      </c>
      <c r="L522" s="40">
        <v>0</v>
      </c>
      <c r="M522" s="40" cm="1">
        <f t="array" ref="M522:N522">VLOOKUP(B522,'Fumigation  Room'!B:H,{6,7},0)</f>
        <v>0</v>
      </c>
      <c r="N522" s="40">
        <v>0</v>
      </c>
      <c r="O522" s="40">
        <f t="shared" si="17"/>
        <v>0</v>
      </c>
      <c r="P522" s="40">
        <f t="shared" si="18"/>
        <v>0</v>
      </c>
    </row>
    <row r="523" spans="1:16" x14ac:dyDescent="0.35">
      <c r="A523" s="33">
        <v>520</v>
      </c>
      <c r="B523" s="34" t="s">
        <v>838</v>
      </c>
      <c r="C523" s="33" t="s">
        <v>346</v>
      </c>
      <c r="D523" s="33" t="s">
        <v>139</v>
      </c>
      <c r="E523" s="33" t="s">
        <v>825</v>
      </c>
      <c r="F523" s="35">
        <v>0.1</v>
      </c>
      <c r="G523" s="40">
        <v>0</v>
      </c>
      <c r="H523" s="40">
        <v>0</v>
      </c>
      <c r="I523" s="40">
        <v>0</v>
      </c>
      <c r="J523" s="40">
        <v>0</v>
      </c>
      <c r="K523" s="40">
        <v>0</v>
      </c>
      <c r="L523" s="40">
        <v>0</v>
      </c>
      <c r="M523" s="40" cm="1">
        <f t="array" ref="M523:N523">VLOOKUP(B523,'Fumigation  Room'!B:H,{6,7},0)</f>
        <v>0</v>
      </c>
      <c r="N523" s="40">
        <v>0</v>
      </c>
      <c r="O523" s="40">
        <f t="shared" si="17"/>
        <v>0</v>
      </c>
      <c r="P523" s="40">
        <f t="shared" si="18"/>
        <v>0</v>
      </c>
    </row>
    <row r="524" spans="1:16" x14ac:dyDescent="0.35">
      <c r="A524" s="33">
        <v>521</v>
      </c>
      <c r="B524" s="34" t="s">
        <v>839</v>
      </c>
      <c r="C524" s="33" t="s">
        <v>346</v>
      </c>
      <c r="D524" s="33" t="s">
        <v>139</v>
      </c>
      <c r="E524" s="33" t="s">
        <v>825</v>
      </c>
      <c r="F524" s="35">
        <v>0.25</v>
      </c>
      <c r="G524" s="40">
        <v>0</v>
      </c>
      <c r="H524" s="40">
        <v>0</v>
      </c>
      <c r="I524" s="40">
        <v>0</v>
      </c>
      <c r="J524" s="40">
        <v>0</v>
      </c>
      <c r="K524" s="40">
        <v>0</v>
      </c>
      <c r="L524" s="40">
        <v>0</v>
      </c>
      <c r="M524" s="40" cm="1">
        <f t="array" ref="M524:N524">VLOOKUP(B524,'Fumigation  Room'!B:H,{6,7},0)</f>
        <v>0</v>
      </c>
      <c r="N524" s="40">
        <v>0</v>
      </c>
      <c r="O524" s="40">
        <f t="shared" si="17"/>
        <v>0</v>
      </c>
      <c r="P524" s="40">
        <f t="shared" si="18"/>
        <v>0</v>
      </c>
    </row>
    <row r="525" spans="1:16" x14ac:dyDescent="0.35">
      <c r="A525" s="33">
        <v>522</v>
      </c>
      <c r="B525" s="34" t="s">
        <v>840</v>
      </c>
      <c r="C525" s="33" t="s">
        <v>346</v>
      </c>
      <c r="D525" s="33" t="s">
        <v>139</v>
      </c>
      <c r="E525" s="33" t="s">
        <v>825</v>
      </c>
      <c r="F525" s="35">
        <v>0.23</v>
      </c>
      <c r="G525" s="40">
        <v>0</v>
      </c>
      <c r="H525" s="40">
        <v>0</v>
      </c>
      <c r="I525" s="40">
        <v>0</v>
      </c>
      <c r="J525" s="40">
        <v>0</v>
      </c>
      <c r="K525" s="40">
        <v>0</v>
      </c>
      <c r="L525" s="40">
        <v>0</v>
      </c>
      <c r="M525" s="40" cm="1">
        <f t="array" ref="M525:N525">VLOOKUP(B525,'Fumigation  Room'!B:H,{6,7},0)</f>
        <v>0</v>
      </c>
      <c r="N525" s="40">
        <v>0</v>
      </c>
      <c r="O525" s="40">
        <f t="shared" si="17"/>
        <v>0</v>
      </c>
      <c r="P525" s="40">
        <f t="shared" si="18"/>
        <v>0</v>
      </c>
    </row>
    <row r="526" spans="1:16" x14ac:dyDescent="0.35">
      <c r="A526" s="33">
        <v>523</v>
      </c>
      <c r="B526" s="34" t="s">
        <v>841</v>
      </c>
      <c r="C526" s="33" t="s">
        <v>346</v>
      </c>
      <c r="D526" s="33" t="s">
        <v>139</v>
      </c>
      <c r="E526" s="33" t="s">
        <v>825</v>
      </c>
      <c r="F526" s="35">
        <v>0.25</v>
      </c>
      <c r="G526" s="40">
        <v>0</v>
      </c>
      <c r="H526" s="40">
        <v>0</v>
      </c>
      <c r="I526" s="40">
        <v>0</v>
      </c>
      <c r="J526" s="40">
        <v>0</v>
      </c>
      <c r="K526" s="40">
        <v>0</v>
      </c>
      <c r="L526" s="40">
        <v>0</v>
      </c>
      <c r="M526" s="40" cm="1">
        <f t="array" ref="M526:N526">VLOOKUP(B526,'Fumigation  Room'!B:H,{6,7},0)</f>
        <v>0</v>
      </c>
      <c r="N526" s="40">
        <v>0</v>
      </c>
      <c r="O526" s="40">
        <f t="shared" si="17"/>
        <v>0</v>
      </c>
      <c r="P526" s="40">
        <f t="shared" si="18"/>
        <v>0</v>
      </c>
    </row>
    <row r="527" spans="1:16" x14ac:dyDescent="0.35">
      <c r="A527" s="33">
        <v>524</v>
      </c>
      <c r="B527" s="34" t="s">
        <v>842</v>
      </c>
      <c r="C527" s="33" t="s">
        <v>346</v>
      </c>
      <c r="D527" s="33" t="s">
        <v>139</v>
      </c>
      <c r="E527" s="33" t="s">
        <v>825</v>
      </c>
      <c r="F527" s="35">
        <v>0.1</v>
      </c>
      <c r="G527" s="40">
        <v>0</v>
      </c>
      <c r="H527" s="40">
        <v>0</v>
      </c>
      <c r="I527" s="40">
        <v>0</v>
      </c>
      <c r="J527" s="40">
        <v>0</v>
      </c>
      <c r="K527" s="40">
        <v>0</v>
      </c>
      <c r="L527" s="40">
        <v>0</v>
      </c>
      <c r="M527" s="40" cm="1">
        <f t="array" ref="M527:N527">VLOOKUP(B527,'Fumigation  Room'!B:H,{6,7},0)</f>
        <v>0</v>
      </c>
      <c r="N527" s="40">
        <v>0</v>
      </c>
      <c r="O527" s="40">
        <f t="shared" si="17"/>
        <v>0</v>
      </c>
      <c r="P527" s="40">
        <f t="shared" si="18"/>
        <v>0</v>
      </c>
    </row>
    <row r="528" spans="1:16" x14ac:dyDescent="0.35">
      <c r="A528" s="33">
        <v>525</v>
      </c>
      <c r="B528" s="34" t="s">
        <v>843</v>
      </c>
      <c r="C528" s="33" t="s">
        <v>346</v>
      </c>
      <c r="D528" s="33" t="s">
        <v>139</v>
      </c>
      <c r="E528" s="33" t="s">
        <v>825</v>
      </c>
      <c r="F528" s="35">
        <v>0.25</v>
      </c>
      <c r="G528" s="40">
        <v>0</v>
      </c>
      <c r="H528" s="40">
        <v>0</v>
      </c>
      <c r="I528" s="40">
        <v>0</v>
      </c>
      <c r="J528" s="40">
        <v>0</v>
      </c>
      <c r="K528" s="40">
        <v>0</v>
      </c>
      <c r="L528" s="40">
        <v>0</v>
      </c>
      <c r="M528" s="40" cm="1">
        <f t="array" ref="M528:N528">VLOOKUP(B528,'Fumigation  Room'!B:H,{6,7},0)</f>
        <v>0</v>
      </c>
      <c r="N528" s="40">
        <v>0</v>
      </c>
      <c r="O528" s="40">
        <f t="shared" si="17"/>
        <v>0</v>
      </c>
      <c r="P528" s="40">
        <f t="shared" si="18"/>
        <v>0</v>
      </c>
    </row>
    <row r="529" spans="1:16" x14ac:dyDescent="0.35">
      <c r="A529" s="33">
        <v>526</v>
      </c>
      <c r="B529" s="34" t="s">
        <v>844</v>
      </c>
      <c r="C529" s="33" t="s">
        <v>346</v>
      </c>
      <c r="D529" s="33" t="s">
        <v>139</v>
      </c>
      <c r="E529" s="33" t="s">
        <v>825</v>
      </c>
      <c r="F529" s="35">
        <v>0.25</v>
      </c>
      <c r="G529" s="40">
        <v>0</v>
      </c>
      <c r="H529" s="40">
        <v>0</v>
      </c>
      <c r="I529" s="40">
        <v>0</v>
      </c>
      <c r="J529" s="40">
        <v>0</v>
      </c>
      <c r="K529" s="40">
        <v>0</v>
      </c>
      <c r="L529" s="40">
        <v>0</v>
      </c>
      <c r="M529" s="40" cm="1">
        <f t="array" ref="M529:N529">VLOOKUP(B529,'Fumigation  Room'!B:H,{6,7},0)</f>
        <v>0</v>
      </c>
      <c r="N529" s="40">
        <v>0</v>
      </c>
      <c r="O529" s="40">
        <f t="shared" si="17"/>
        <v>0</v>
      </c>
      <c r="P529" s="40">
        <f t="shared" si="18"/>
        <v>0</v>
      </c>
    </row>
    <row r="530" spans="1:16" x14ac:dyDescent="0.35">
      <c r="A530" s="33">
        <v>527</v>
      </c>
      <c r="B530" s="34" t="s">
        <v>845</v>
      </c>
      <c r="C530" s="33" t="s">
        <v>346</v>
      </c>
      <c r="D530" s="33" t="s">
        <v>139</v>
      </c>
      <c r="E530" s="33" t="s">
        <v>825</v>
      </c>
      <c r="F530" s="35">
        <v>0.2</v>
      </c>
      <c r="G530" s="40">
        <v>0</v>
      </c>
      <c r="H530" s="40">
        <v>0</v>
      </c>
      <c r="I530" s="40">
        <v>0</v>
      </c>
      <c r="J530" s="40">
        <v>0</v>
      </c>
      <c r="K530" s="40">
        <v>0</v>
      </c>
      <c r="L530" s="40">
        <v>0</v>
      </c>
      <c r="M530" s="40" cm="1">
        <f t="array" ref="M530:N530">VLOOKUP(B530,'Fumigation  Room'!B:H,{6,7},0)</f>
        <v>0</v>
      </c>
      <c r="N530" s="40">
        <v>0</v>
      </c>
      <c r="O530" s="40">
        <f t="shared" si="17"/>
        <v>0</v>
      </c>
      <c r="P530" s="40">
        <f t="shared" si="18"/>
        <v>0</v>
      </c>
    </row>
    <row r="531" spans="1:16" x14ac:dyDescent="0.35">
      <c r="A531" s="33">
        <v>528</v>
      </c>
      <c r="B531" s="34" t="s">
        <v>846</v>
      </c>
      <c r="C531" s="33" t="s">
        <v>346</v>
      </c>
      <c r="D531" s="33" t="s">
        <v>139</v>
      </c>
      <c r="E531" s="33" t="s">
        <v>825</v>
      </c>
      <c r="F531" s="35">
        <v>0.1</v>
      </c>
      <c r="G531" s="40">
        <v>0</v>
      </c>
      <c r="H531" s="40">
        <v>0</v>
      </c>
      <c r="I531" s="40">
        <v>0</v>
      </c>
      <c r="J531" s="40">
        <v>0</v>
      </c>
      <c r="K531" s="40">
        <v>0</v>
      </c>
      <c r="L531" s="40">
        <v>0</v>
      </c>
      <c r="M531" s="40" cm="1">
        <f t="array" ref="M531:N531">VLOOKUP(B531,'Fumigation  Room'!B:H,{6,7},0)</f>
        <v>0</v>
      </c>
      <c r="N531" s="40">
        <v>0</v>
      </c>
      <c r="O531" s="40">
        <f t="shared" si="17"/>
        <v>0</v>
      </c>
      <c r="P531" s="40">
        <f t="shared" si="18"/>
        <v>0</v>
      </c>
    </row>
    <row r="532" spans="1:16" x14ac:dyDescent="0.35">
      <c r="A532" s="33">
        <v>529</v>
      </c>
      <c r="B532" s="34" t="s">
        <v>847</v>
      </c>
      <c r="C532" s="33" t="s">
        <v>346</v>
      </c>
      <c r="D532" s="33" t="s">
        <v>139</v>
      </c>
      <c r="E532" s="33" t="s">
        <v>825</v>
      </c>
      <c r="F532" s="35">
        <v>0.25</v>
      </c>
      <c r="G532" s="40">
        <v>0</v>
      </c>
      <c r="H532" s="40">
        <v>0</v>
      </c>
      <c r="I532" s="40">
        <v>0</v>
      </c>
      <c r="J532" s="40">
        <v>0</v>
      </c>
      <c r="K532" s="40">
        <v>0</v>
      </c>
      <c r="L532" s="40">
        <v>0</v>
      </c>
      <c r="M532" s="40" cm="1">
        <f t="array" ref="M532:N532">VLOOKUP(B532,'Fumigation  Room'!B:H,{6,7},0)</f>
        <v>0</v>
      </c>
      <c r="N532" s="40">
        <v>0</v>
      </c>
      <c r="O532" s="40">
        <f t="shared" si="17"/>
        <v>0</v>
      </c>
      <c r="P532" s="40">
        <f t="shared" si="18"/>
        <v>0</v>
      </c>
    </row>
    <row r="533" spans="1:16" x14ac:dyDescent="0.35">
      <c r="A533" s="33">
        <v>530</v>
      </c>
      <c r="B533" s="34" t="s">
        <v>848</v>
      </c>
      <c r="C533" s="33" t="s">
        <v>346</v>
      </c>
      <c r="D533" s="33" t="s">
        <v>139</v>
      </c>
      <c r="E533" s="33" t="s">
        <v>825</v>
      </c>
      <c r="F533" s="35">
        <v>0.1</v>
      </c>
      <c r="G533" s="40">
        <v>0</v>
      </c>
      <c r="H533" s="40">
        <v>0</v>
      </c>
      <c r="I533" s="40">
        <v>0</v>
      </c>
      <c r="J533" s="40">
        <v>0</v>
      </c>
      <c r="K533" s="40">
        <v>0</v>
      </c>
      <c r="L533" s="40">
        <v>0</v>
      </c>
      <c r="M533" s="40" cm="1">
        <f t="array" ref="M533:N533">VLOOKUP(B533,'Fumigation  Room'!B:H,{6,7},0)</f>
        <v>0</v>
      </c>
      <c r="N533" s="40">
        <v>0</v>
      </c>
      <c r="O533" s="40">
        <f t="shared" si="17"/>
        <v>0</v>
      </c>
      <c r="P533" s="40">
        <f t="shared" si="18"/>
        <v>0</v>
      </c>
    </row>
    <row r="534" spans="1:16" x14ac:dyDescent="0.35">
      <c r="A534" s="33">
        <v>531</v>
      </c>
      <c r="B534" s="34" t="s">
        <v>849</v>
      </c>
      <c r="C534" s="33" t="s">
        <v>346</v>
      </c>
      <c r="D534" s="33" t="s">
        <v>139</v>
      </c>
      <c r="E534" s="33" t="s">
        <v>825</v>
      </c>
      <c r="F534" s="35">
        <v>0.25</v>
      </c>
      <c r="G534" s="40">
        <v>0</v>
      </c>
      <c r="H534" s="40">
        <v>0</v>
      </c>
      <c r="I534" s="40">
        <v>0</v>
      </c>
      <c r="J534" s="40">
        <v>0</v>
      </c>
      <c r="K534" s="40">
        <v>0</v>
      </c>
      <c r="L534" s="40">
        <v>0</v>
      </c>
      <c r="M534" s="40" cm="1">
        <f t="array" ref="M534:N534">VLOOKUP(B534,'Fumigation  Room'!B:H,{6,7},0)</f>
        <v>0</v>
      </c>
      <c r="N534" s="40">
        <v>0</v>
      </c>
      <c r="O534" s="40">
        <f t="shared" si="17"/>
        <v>0</v>
      </c>
      <c r="P534" s="40">
        <f t="shared" si="18"/>
        <v>0</v>
      </c>
    </row>
    <row r="535" spans="1:16" x14ac:dyDescent="0.35">
      <c r="A535" s="33">
        <v>532</v>
      </c>
      <c r="B535" s="34" t="s">
        <v>850</v>
      </c>
      <c r="C535" s="33" t="s">
        <v>346</v>
      </c>
      <c r="D535" s="33" t="s">
        <v>139</v>
      </c>
      <c r="E535" s="33" t="s">
        <v>825</v>
      </c>
      <c r="F535" s="35">
        <v>0.125</v>
      </c>
      <c r="G535" s="40">
        <v>0</v>
      </c>
      <c r="H535" s="40">
        <v>0</v>
      </c>
      <c r="I535" s="40">
        <v>0</v>
      </c>
      <c r="J535" s="40">
        <v>0</v>
      </c>
      <c r="K535" s="40">
        <v>0</v>
      </c>
      <c r="L535" s="40">
        <v>0</v>
      </c>
      <c r="M535" s="40" cm="1">
        <f t="array" ref="M535:N535">VLOOKUP(B535,'Fumigation  Room'!B:H,{6,7},0)</f>
        <v>0</v>
      </c>
      <c r="N535" s="40">
        <v>0</v>
      </c>
      <c r="O535" s="40">
        <f t="shared" si="17"/>
        <v>0</v>
      </c>
      <c r="P535" s="40">
        <f t="shared" si="18"/>
        <v>0</v>
      </c>
    </row>
    <row r="536" spans="1:16" x14ac:dyDescent="0.35">
      <c r="A536" s="33">
        <v>533</v>
      </c>
      <c r="B536" s="34" t="s">
        <v>851</v>
      </c>
      <c r="C536" s="33" t="s">
        <v>346</v>
      </c>
      <c r="D536" s="33" t="s">
        <v>139</v>
      </c>
      <c r="E536" s="33" t="s">
        <v>825</v>
      </c>
      <c r="F536" s="35">
        <v>1</v>
      </c>
      <c r="G536" s="40">
        <v>0</v>
      </c>
      <c r="H536" s="40">
        <v>0</v>
      </c>
      <c r="I536" s="40">
        <v>0</v>
      </c>
      <c r="J536" s="40">
        <v>0</v>
      </c>
      <c r="K536" s="40">
        <v>0</v>
      </c>
      <c r="L536" s="40">
        <v>0</v>
      </c>
      <c r="M536" s="40" cm="1">
        <f t="array" ref="M536:N536">VLOOKUP(B536,'Fumigation  Room'!B:H,{6,7},0)</f>
        <v>0</v>
      </c>
      <c r="N536" s="40">
        <v>22.18</v>
      </c>
      <c r="O536" s="40">
        <f t="shared" si="17"/>
        <v>0</v>
      </c>
      <c r="P536" s="40">
        <f t="shared" si="18"/>
        <v>22.18</v>
      </c>
    </row>
    <row r="537" spans="1:16" x14ac:dyDescent="0.35">
      <c r="A537" s="33">
        <v>534</v>
      </c>
      <c r="B537" s="34" t="s">
        <v>852</v>
      </c>
      <c r="C537" s="33" t="s">
        <v>346</v>
      </c>
      <c r="D537" s="33" t="s">
        <v>139</v>
      </c>
      <c r="E537" s="33" t="s">
        <v>825</v>
      </c>
      <c r="F537" s="35">
        <v>7.4999999999999997E-2</v>
      </c>
      <c r="G537" s="40">
        <v>0</v>
      </c>
      <c r="H537" s="40">
        <v>0</v>
      </c>
      <c r="I537" s="40">
        <v>0</v>
      </c>
      <c r="J537" s="40">
        <v>0</v>
      </c>
      <c r="K537" s="40">
        <v>0</v>
      </c>
      <c r="L537" s="40">
        <v>0</v>
      </c>
      <c r="M537" s="40" cm="1">
        <f t="array" ref="M537:N537">VLOOKUP(B537,'Fumigation  Room'!B:H,{6,7},0)</f>
        <v>0</v>
      </c>
      <c r="N537" s="40">
        <v>0</v>
      </c>
      <c r="O537" s="40">
        <f t="shared" si="17"/>
        <v>0</v>
      </c>
      <c r="P537" s="40">
        <f t="shared" si="18"/>
        <v>0</v>
      </c>
    </row>
    <row r="538" spans="1:16" x14ac:dyDescent="0.35">
      <c r="A538" s="33">
        <v>535</v>
      </c>
      <c r="B538" s="34" t="s">
        <v>853</v>
      </c>
      <c r="C538" s="33" t="s">
        <v>346</v>
      </c>
      <c r="D538" s="33" t="s">
        <v>139</v>
      </c>
      <c r="E538" s="33" t="s">
        <v>825</v>
      </c>
      <c r="F538" s="35">
        <v>0.23</v>
      </c>
      <c r="G538" s="40">
        <v>0</v>
      </c>
      <c r="H538" s="40">
        <v>0</v>
      </c>
      <c r="I538" s="40">
        <v>0</v>
      </c>
      <c r="J538" s="40">
        <v>0</v>
      </c>
      <c r="K538" s="40">
        <v>0</v>
      </c>
      <c r="L538" s="40">
        <v>0</v>
      </c>
      <c r="M538" s="40" cm="1">
        <f t="array" ref="M538:N538">VLOOKUP(B538,'Fumigation  Room'!B:H,{6,7},0)</f>
        <v>0</v>
      </c>
      <c r="N538" s="40">
        <v>0</v>
      </c>
      <c r="O538" s="40">
        <f t="shared" si="17"/>
        <v>0</v>
      </c>
      <c r="P538" s="40">
        <f t="shared" si="18"/>
        <v>0</v>
      </c>
    </row>
    <row r="539" spans="1:16" x14ac:dyDescent="0.35">
      <c r="A539" s="33">
        <v>536</v>
      </c>
      <c r="B539" s="34" t="s">
        <v>854</v>
      </c>
      <c r="C539" s="33" t="s">
        <v>346</v>
      </c>
      <c r="D539" s="33" t="s">
        <v>139</v>
      </c>
      <c r="E539" s="33" t="s">
        <v>825</v>
      </c>
      <c r="F539" s="35">
        <v>0.2</v>
      </c>
      <c r="G539" s="40">
        <v>0</v>
      </c>
      <c r="H539" s="40">
        <v>0</v>
      </c>
      <c r="I539" s="40">
        <v>0</v>
      </c>
      <c r="J539" s="40">
        <v>0</v>
      </c>
      <c r="K539" s="40">
        <v>0</v>
      </c>
      <c r="L539" s="40">
        <v>0</v>
      </c>
      <c r="M539" s="40" cm="1">
        <f t="array" ref="M539:N539">VLOOKUP(B539,'Fumigation  Room'!B:H,{6,7},0)</f>
        <v>0</v>
      </c>
      <c r="N539" s="40">
        <v>0</v>
      </c>
      <c r="O539" s="40">
        <f t="shared" si="17"/>
        <v>0</v>
      </c>
      <c r="P539" s="40">
        <f t="shared" si="18"/>
        <v>0</v>
      </c>
    </row>
    <row r="540" spans="1:16" x14ac:dyDescent="0.35">
      <c r="A540" s="33">
        <v>537</v>
      </c>
      <c r="B540" s="34" t="s">
        <v>855</v>
      </c>
      <c r="C540" s="33" t="s">
        <v>346</v>
      </c>
      <c r="D540" s="33" t="s">
        <v>139</v>
      </c>
      <c r="E540" s="33" t="s">
        <v>825</v>
      </c>
      <c r="F540" s="35">
        <v>0.3</v>
      </c>
      <c r="G540" s="40">
        <v>0</v>
      </c>
      <c r="H540" s="40">
        <v>0</v>
      </c>
      <c r="I540" s="40">
        <v>0</v>
      </c>
      <c r="J540" s="40">
        <v>0</v>
      </c>
      <c r="K540" s="40">
        <v>0</v>
      </c>
      <c r="L540" s="40">
        <v>0</v>
      </c>
      <c r="M540" s="40" cm="1">
        <f t="array" ref="M540:N540">VLOOKUP(B540,'Fumigation  Room'!B:H,{6,7},0)</f>
        <v>0</v>
      </c>
      <c r="N540" s="40">
        <v>0</v>
      </c>
      <c r="O540" s="40">
        <f t="shared" si="17"/>
        <v>0</v>
      </c>
      <c r="P540" s="40">
        <f t="shared" si="18"/>
        <v>0</v>
      </c>
    </row>
    <row r="541" spans="1:16" x14ac:dyDescent="0.35">
      <c r="A541" s="33">
        <v>538</v>
      </c>
      <c r="B541" s="34" t="s">
        <v>856</v>
      </c>
      <c r="C541" s="33" t="s">
        <v>346</v>
      </c>
      <c r="D541" s="33" t="s">
        <v>139</v>
      </c>
      <c r="E541" s="33" t="s">
        <v>825</v>
      </c>
      <c r="F541" s="35">
        <v>0.3</v>
      </c>
      <c r="G541" s="40">
        <v>0</v>
      </c>
      <c r="H541" s="40">
        <v>0</v>
      </c>
      <c r="I541" s="40">
        <v>0</v>
      </c>
      <c r="J541" s="40">
        <v>0</v>
      </c>
      <c r="K541" s="40">
        <v>0</v>
      </c>
      <c r="L541" s="40">
        <v>0</v>
      </c>
      <c r="M541" s="40" cm="1">
        <f t="array" ref="M541:N541">VLOOKUP(B541,'Fumigation  Room'!B:H,{6,7},0)</f>
        <v>0</v>
      </c>
      <c r="N541" s="40">
        <v>0</v>
      </c>
      <c r="O541" s="40">
        <f t="shared" si="17"/>
        <v>0</v>
      </c>
      <c r="P541" s="40">
        <f t="shared" si="18"/>
        <v>0</v>
      </c>
    </row>
    <row r="542" spans="1:16" x14ac:dyDescent="0.35">
      <c r="A542" s="33">
        <v>539</v>
      </c>
      <c r="B542" s="34" t="s">
        <v>857</v>
      </c>
      <c r="C542" s="33" t="s">
        <v>346</v>
      </c>
      <c r="D542" s="33" t="s">
        <v>139</v>
      </c>
      <c r="E542" s="33" t="s">
        <v>825</v>
      </c>
      <c r="F542" s="35">
        <v>0.13</v>
      </c>
      <c r="G542" s="40">
        <v>0</v>
      </c>
      <c r="H542" s="40">
        <v>0</v>
      </c>
      <c r="I542" s="40">
        <v>0</v>
      </c>
      <c r="J542" s="40">
        <v>0</v>
      </c>
      <c r="K542" s="40">
        <v>0</v>
      </c>
      <c r="L542" s="40">
        <v>0</v>
      </c>
      <c r="M542" s="40" cm="1">
        <f t="array" ref="M542:N542">VLOOKUP(B542,'Fumigation  Room'!B:H,{6,7},0)</f>
        <v>0</v>
      </c>
      <c r="N542" s="40">
        <v>0</v>
      </c>
      <c r="O542" s="40">
        <f t="shared" si="17"/>
        <v>0</v>
      </c>
      <c r="P542" s="40">
        <f t="shared" si="18"/>
        <v>0</v>
      </c>
    </row>
    <row r="543" spans="1:16" x14ac:dyDescent="0.35">
      <c r="A543" s="33">
        <v>540</v>
      </c>
      <c r="B543" s="34" t="s">
        <v>858</v>
      </c>
      <c r="C543" s="33" t="s">
        <v>346</v>
      </c>
      <c r="D543" s="33" t="s">
        <v>139</v>
      </c>
      <c r="E543" s="33" t="s">
        <v>825</v>
      </c>
      <c r="F543" s="35">
        <v>0.1</v>
      </c>
      <c r="G543" s="40">
        <v>0</v>
      </c>
      <c r="H543" s="40">
        <v>0</v>
      </c>
      <c r="I543" s="40">
        <v>0</v>
      </c>
      <c r="J543" s="40">
        <v>0</v>
      </c>
      <c r="K543" s="40">
        <v>0</v>
      </c>
      <c r="L543" s="40">
        <v>0</v>
      </c>
      <c r="M543" s="40" cm="1">
        <f t="array" ref="M543:N543">VLOOKUP(B543,'Fumigation  Room'!B:H,{6,7},0)</f>
        <v>0</v>
      </c>
      <c r="N543" s="40">
        <v>0</v>
      </c>
      <c r="O543" s="40">
        <f t="shared" si="17"/>
        <v>0</v>
      </c>
      <c r="P543" s="40">
        <f t="shared" si="18"/>
        <v>0</v>
      </c>
    </row>
    <row r="544" spans="1:16" x14ac:dyDescent="0.35">
      <c r="A544" s="33">
        <v>541</v>
      </c>
      <c r="B544" s="34" t="s">
        <v>859</v>
      </c>
      <c r="C544" s="33" t="s">
        <v>346</v>
      </c>
      <c r="D544" s="33" t="s">
        <v>139</v>
      </c>
      <c r="E544" s="33" t="s">
        <v>825</v>
      </c>
      <c r="F544" s="35">
        <v>1</v>
      </c>
      <c r="G544" s="40">
        <v>0</v>
      </c>
      <c r="H544" s="40">
        <v>0</v>
      </c>
      <c r="I544" s="40">
        <v>0</v>
      </c>
      <c r="J544" s="40">
        <v>0</v>
      </c>
      <c r="K544" s="40">
        <v>0</v>
      </c>
      <c r="L544" s="40">
        <v>0</v>
      </c>
      <c r="M544" s="40" cm="1">
        <f t="array" ref="M544:N544">VLOOKUP(B544,'Fumigation  Room'!B:H,{6,7},0)</f>
        <v>0</v>
      </c>
      <c r="N544" s="40">
        <v>0</v>
      </c>
      <c r="O544" s="40">
        <f t="shared" si="17"/>
        <v>0</v>
      </c>
      <c r="P544" s="40">
        <f t="shared" si="18"/>
        <v>0</v>
      </c>
    </row>
    <row r="545" spans="1:16" x14ac:dyDescent="0.35">
      <c r="A545" s="33">
        <v>542</v>
      </c>
      <c r="B545" s="34" t="s">
        <v>860</v>
      </c>
      <c r="C545" s="33" t="s">
        <v>346</v>
      </c>
      <c r="D545" s="33" t="s">
        <v>139</v>
      </c>
      <c r="E545" s="33" t="s">
        <v>825</v>
      </c>
      <c r="F545" s="35">
        <v>1</v>
      </c>
      <c r="G545" s="40">
        <v>0</v>
      </c>
      <c r="H545" s="40">
        <v>0</v>
      </c>
      <c r="I545" s="40">
        <v>0</v>
      </c>
      <c r="J545" s="40">
        <v>0</v>
      </c>
      <c r="K545" s="40">
        <v>0</v>
      </c>
      <c r="L545" s="40">
        <v>0</v>
      </c>
      <c r="M545" s="40" cm="1">
        <f t="array" ref="M545:N545">VLOOKUP(B545,'Fumigation  Room'!B:H,{6,7},0)</f>
        <v>0</v>
      </c>
      <c r="N545" s="40">
        <v>0</v>
      </c>
      <c r="O545" s="40">
        <f t="shared" si="17"/>
        <v>0</v>
      </c>
      <c r="P545" s="40">
        <f t="shared" si="18"/>
        <v>0</v>
      </c>
    </row>
    <row r="546" spans="1:16" x14ac:dyDescent="0.35">
      <c r="A546" s="33">
        <v>543</v>
      </c>
      <c r="B546" s="34" t="s">
        <v>861</v>
      </c>
      <c r="C546" s="33" t="s">
        <v>346</v>
      </c>
      <c r="D546" s="33" t="s">
        <v>139</v>
      </c>
      <c r="E546" s="33" t="s">
        <v>825</v>
      </c>
      <c r="F546" s="35">
        <v>1</v>
      </c>
      <c r="G546" s="40">
        <v>0</v>
      </c>
      <c r="H546" s="40">
        <v>0</v>
      </c>
      <c r="I546" s="40">
        <v>0</v>
      </c>
      <c r="J546" s="40">
        <v>0</v>
      </c>
      <c r="K546" s="40">
        <v>0</v>
      </c>
      <c r="L546" s="40">
        <v>0</v>
      </c>
      <c r="M546" s="40" cm="1">
        <f t="array" ref="M546:N546">VLOOKUP(B546,'Fumigation  Room'!B:H,{6,7},0)</f>
        <v>0</v>
      </c>
      <c r="N546" s="40">
        <v>0</v>
      </c>
      <c r="O546" s="40">
        <f t="shared" si="17"/>
        <v>0</v>
      </c>
      <c r="P546" s="40">
        <f t="shared" si="18"/>
        <v>0</v>
      </c>
    </row>
    <row r="547" spans="1:16" x14ac:dyDescent="0.35">
      <c r="A547" s="33">
        <v>544</v>
      </c>
      <c r="B547" s="34" t="s">
        <v>862</v>
      </c>
      <c r="C547" s="33" t="s">
        <v>346</v>
      </c>
      <c r="D547" s="33" t="s">
        <v>139</v>
      </c>
      <c r="E547" s="33" t="s">
        <v>825</v>
      </c>
      <c r="F547" s="35">
        <v>0.1</v>
      </c>
      <c r="G547" s="40">
        <v>0</v>
      </c>
      <c r="H547" s="40">
        <v>0</v>
      </c>
      <c r="I547" s="40">
        <v>0</v>
      </c>
      <c r="J547" s="40">
        <v>0</v>
      </c>
      <c r="K547" s="40">
        <v>0</v>
      </c>
      <c r="L547" s="40">
        <v>0</v>
      </c>
      <c r="M547" s="40" cm="1">
        <f t="array" ref="M547:N547">VLOOKUP(B547,'Fumigation  Room'!B:H,{6,7},0)</f>
        <v>0</v>
      </c>
      <c r="N547" s="40">
        <v>0</v>
      </c>
      <c r="O547" s="40">
        <f t="shared" si="17"/>
        <v>0</v>
      </c>
      <c r="P547" s="40">
        <f t="shared" si="18"/>
        <v>0</v>
      </c>
    </row>
    <row r="548" spans="1:16" x14ac:dyDescent="0.35">
      <c r="A548" s="33">
        <v>545</v>
      </c>
      <c r="B548" s="34" t="s">
        <v>863</v>
      </c>
      <c r="C548" s="33" t="s">
        <v>346</v>
      </c>
      <c r="D548" s="33" t="s">
        <v>139</v>
      </c>
      <c r="E548" s="33" t="s">
        <v>825</v>
      </c>
      <c r="F548" s="35">
        <v>0.1</v>
      </c>
      <c r="G548" s="40">
        <v>0</v>
      </c>
      <c r="H548" s="40">
        <v>0</v>
      </c>
      <c r="I548" s="40">
        <v>0</v>
      </c>
      <c r="J548" s="40">
        <v>0</v>
      </c>
      <c r="K548" s="40">
        <v>0</v>
      </c>
      <c r="L548" s="40">
        <v>0</v>
      </c>
      <c r="M548" s="40" cm="1">
        <f t="array" ref="M548:N548">VLOOKUP(B548,'Fumigation  Room'!B:H,{6,7},0)</f>
        <v>0</v>
      </c>
      <c r="N548" s="40">
        <v>0</v>
      </c>
      <c r="O548" s="40">
        <f t="shared" si="17"/>
        <v>0</v>
      </c>
      <c r="P548" s="40">
        <f t="shared" si="18"/>
        <v>0</v>
      </c>
    </row>
    <row r="549" spans="1:16" x14ac:dyDescent="0.35">
      <c r="A549" s="33">
        <v>546</v>
      </c>
      <c r="B549" s="34" t="s">
        <v>864</v>
      </c>
      <c r="C549" s="33" t="s">
        <v>346</v>
      </c>
      <c r="D549" s="33" t="s">
        <v>139</v>
      </c>
      <c r="E549" s="33" t="s">
        <v>825</v>
      </c>
      <c r="F549" s="35">
        <v>0.23</v>
      </c>
      <c r="G549" s="40">
        <v>0</v>
      </c>
      <c r="H549" s="40">
        <v>0</v>
      </c>
      <c r="I549" s="40">
        <v>0</v>
      </c>
      <c r="J549" s="40">
        <v>0</v>
      </c>
      <c r="K549" s="40">
        <v>0</v>
      </c>
      <c r="L549" s="40">
        <v>0</v>
      </c>
      <c r="M549" s="40" cm="1">
        <f t="array" ref="M549:N549">VLOOKUP(B549,'Fumigation  Room'!B:H,{6,7},0)</f>
        <v>0</v>
      </c>
      <c r="N549" s="40">
        <v>0</v>
      </c>
      <c r="O549" s="40">
        <f t="shared" si="17"/>
        <v>0</v>
      </c>
      <c r="P549" s="40">
        <f t="shared" si="18"/>
        <v>0</v>
      </c>
    </row>
    <row r="550" spans="1:16" x14ac:dyDescent="0.35">
      <c r="A550" s="33">
        <v>547</v>
      </c>
      <c r="B550" s="34" t="s">
        <v>865</v>
      </c>
      <c r="C550" s="33" t="s">
        <v>346</v>
      </c>
      <c r="D550" s="33" t="s">
        <v>139</v>
      </c>
      <c r="E550" s="33" t="s">
        <v>825</v>
      </c>
      <c r="F550" s="35">
        <v>0.1</v>
      </c>
      <c r="G550" s="40">
        <v>0</v>
      </c>
      <c r="H550" s="40">
        <v>0</v>
      </c>
      <c r="I550" s="40">
        <v>0</v>
      </c>
      <c r="J550" s="40">
        <v>0</v>
      </c>
      <c r="K550" s="40">
        <v>0</v>
      </c>
      <c r="L550" s="40">
        <v>0</v>
      </c>
      <c r="M550" s="40" cm="1">
        <f t="array" ref="M550:N550">VLOOKUP(B550,'Fumigation  Room'!B:H,{6,7},0)</f>
        <v>0</v>
      </c>
      <c r="N550" s="40">
        <v>0</v>
      </c>
      <c r="O550" s="40">
        <f t="shared" si="17"/>
        <v>0</v>
      </c>
      <c r="P550" s="40">
        <f t="shared" si="18"/>
        <v>0</v>
      </c>
    </row>
    <row r="551" spans="1:16" x14ac:dyDescent="0.35">
      <c r="A551" s="33">
        <v>548</v>
      </c>
      <c r="B551" s="34" t="s">
        <v>866</v>
      </c>
      <c r="C551" s="33" t="s">
        <v>346</v>
      </c>
      <c r="D551" s="33" t="s">
        <v>139</v>
      </c>
      <c r="E551" s="33" t="s">
        <v>825</v>
      </c>
      <c r="F551" s="35">
        <v>1</v>
      </c>
      <c r="G551" s="40">
        <v>0</v>
      </c>
      <c r="H551" s="40">
        <v>0</v>
      </c>
      <c r="I551" s="40">
        <v>0</v>
      </c>
      <c r="J551" s="40">
        <v>0</v>
      </c>
      <c r="K551" s="40">
        <v>0</v>
      </c>
      <c r="L551" s="40">
        <v>0</v>
      </c>
      <c r="M551" s="40" cm="1">
        <f t="array" ref="M551:N551">VLOOKUP(B551,'Fumigation  Room'!B:H,{6,7},0)</f>
        <v>0</v>
      </c>
      <c r="N551" s="40">
        <v>0</v>
      </c>
      <c r="O551" s="40">
        <f t="shared" si="17"/>
        <v>0</v>
      </c>
      <c r="P551" s="40">
        <f t="shared" si="18"/>
        <v>0</v>
      </c>
    </row>
    <row r="552" spans="1:16" x14ac:dyDescent="0.35">
      <c r="A552" s="33">
        <v>549</v>
      </c>
      <c r="B552" s="34" t="s">
        <v>867</v>
      </c>
      <c r="C552" s="33" t="s">
        <v>346</v>
      </c>
      <c r="D552" s="33" t="s">
        <v>139</v>
      </c>
      <c r="E552" s="33" t="s">
        <v>825</v>
      </c>
      <c r="F552" s="35">
        <v>0.2</v>
      </c>
      <c r="G552" s="40">
        <v>0</v>
      </c>
      <c r="H552" s="40">
        <v>0</v>
      </c>
      <c r="I552" s="40">
        <v>0</v>
      </c>
      <c r="J552" s="40">
        <v>0</v>
      </c>
      <c r="K552" s="40">
        <v>0</v>
      </c>
      <c r="L552" s="40">
        <v>0</v>
      </c>
      <c r="M552" s="40" cm="1">
        <f t="array" ref="M552:N552">VLOOKUP(B552,'Fumigation  Room'!B:H,{6,7},0)</f>
        <v>0</v>
      </c>
      <c r="N552" s="40">
        <v>0</v>
      </c>
      <c r="O552" s="40">
        <f t="shared" si="17"/>
        <v>0</v>
      </c>
      <c r="P552" s="40">
        <f t="shared" si="18"/>
        <v>0</v>
      </c>
    </row>
    <row r="553" spans="1:16" x14ac:dyDescent="0.35">
      <c r="A553" s="33">
        <v>550</v>
      </c>
      <c r="B553" s="34" t="s">
        <v>868</v>
      </c>
      <c r="C553" s="33" t="s">
        <v>346</v>
      </c>
      <c r="D553" s="33" t="s">
        <v>139</v>
      </c>
      <c r="E553" s="33" t="s">
        <v>825</v>
      </c>
      <c r="F553" s="35">
        <v>0.5</v>
      </c>
      <c r="G553" s="40">
        <v>0</v>
      </c>
      <c r="H553" s="40">
        <v>0</v>
      </c>
      <c r="I553" s="40">
        <v>0</v>
      </c>
      <c r="J553" s="40">
        <v>0</v>
      </c>
      <c r="K553" s="40">
        <v>0</v>
      </c>
      <c r="L553" s="40">
        <v>0</v>
      </c>
      <c r="M553" s="40" cm="1">
        <f t="array" ref="M553:N553">VLOOKUP(B553,'Fumigation  Room'!B:H,{6,7},0)</f>
        <v>0</v>
      </c>
      <c r="N553" s="40">
        <v>0</v>
      </c>
      <c r="O553" s="40">
        <f t="shared" si="17"/>
        <v>0</v>
      </c>
      <c r="P553" s="40">
        <f t="shared" si="18"/>
        <v>0</v>
      </c>
    </row>
    <row r="554" spans="1:16" x14ac:dyDescent="0.35">
      <c r="A554" s="33">
        <v>551</v>
      </c>
      <c r="B554" s="34" t="s">
        <v>827</v>
      </c>
      <c r="C554" s="33" t="s">
        <v>297</v>
      </c>
      <c r="D554" s="33" t="s">
        <v>139</v>
      </c>
      <c r="E554" s="33" t="s">
        <v>827</v>
      </c>
      <c r="F554" s="35">
        <v>1</v>
      </c>
      <c r="G554" s="40">
        <v>0</v>
      </c>
      <c r="H554" s="40">
        <v>0</v>
      </c>
      <c r="I554" s="40">
        <v>0</v>
      </c>
      <c r="J554" s="40">
        <v>0</v>
      </c>
      <c r="K554" s="40">
        <v>0</v>
      </c>
      <c r="L554" s="40">
        <v>0</v>
      </c>
      <c r="M554" s="40" cm="1">
        <f t="array" ref="M554:N554">VLOOKUP(B554,'Fumigation  Room'!B:H,{6,7},0)</f>
        <v>0</v>
      </c>
      <c r="N554" s="40">
        <v>0</v>
      </c>
      <c r="O554" s="40">
        <f t="shared" si="17"/>
        <v>0</v>
      </c>
      <c r="P554" s="40">
        <f t="shared" si="18"/>
        <v>0</v>
      </c>
    </row>
    <row r="555" spans="1:16" x14ac:dyDescent="0.35">
      <c r="A555" s="33">
        <v>552</v>
      </c>
      <c r="B555" s="34" t="s">
        <v>869</v>
      </c>
      <c r="C555" s="33" t="s">
        <v>297</v>
      </c>
      <c r="D555" s="33" t="s">
        <v>50</v>
      </c>
      <c r="E555" s="33" t="s">
        <v>870</v>
      </c>
      <c r="F555" s="35">
        <v>1</v>
      </c>
      <c r="G555" s="40">
        <v>0</v>
      </c>
      <c r="H555" s="40">
        <v>0</v>
      </c>
      <c r="I555" s="40">
        <v>0</v>
      </c>
      <c r="J555" s="40">
        <v>0</v>
      </c>
      <c r="K555" s="40">
        <v>0</v>
      </c>
      <c r="L555" s="40">
        <v>0</v>
      </c>
      <c r="M555" s="40" cm="1">
        <f t="array" ref="M555:N555">VLOOKUP(B555,'Fumigation  Room'!B:H,{6,7},0)</f>
        <v>0</v>
      </c>
      <c r="N555" s="40">
        <v>0</v>
      </c>
      <c r="O555" s="40">
        <f t="shared" si="17"/>
        <v>0</v>
      </c>
      <c r="P555" s="40">
        <f t="shared" si="18"/>
        <v>0</v>
      </c>
    </row>
    <row r="556" spans="1:16" x14ac:dyDescent="0.35">
      <c r="A556" s="33">
        <v>553</v>
      </c>
      <c r="B556" s="34" t="s">
        <v>871</v>
      </c>
      <c r="C556" s="33" t="s">
        <v>297</v>
      </c>
      <c r="D556" s="33" t="s">
        <v>50</v>
      </c>
      <c r="E556" s="33" t="s">
        <v>870</v>
      </c>
      <c r="F556" s="35">
        <v>1</v>
      </c>
      <c r="G556" s="40">
        <v>0</v>
      </c>
      <c r="H556" s="40">
        <v>0</v>
      </c>
      <c r="I556" s="40">
        <v>0</v>
      </c>
      <c r="J556" s="40">
        <v>0</v>
      </c>
      <c r="K556" s="40">
        <v>0</v>
      </c>
      <c r="L556" s="40">
        <v>0</v>
      </c>
      <c r="M556" s="40" cm="1">
        <f t="array" ref="M556:N556">VLOOKUP(B556,'Fumigation  Room'!B:H,{6,7},0)</f>
        <v>0</v>
      </c>
      <c r="N556" s="40">
        <v>0</v>
      </c>
      <c r="O556" s="40">
        <f t="shared" si="17"/>
        <v>0</v>
      </c>
      <c r="P556" s="40">
        <f t="shared" si="18"/>
        <v>0</v>
      </c>
    </row>
    <row r="557" spans="1:16" x14ac:dyDescent="0.35">
      <c r="A557" s="33">
        <v>554</v>
      </c>
      <c r="B557" s="34" t="s">
        <v>872</v>
      </c>
      <c r="C557" s="33" t="s">
        <v>297</v>
      </c>
      <c r="D557" s="33" t="s">
        <v>50</v>
      </c>
      <c r="E557" s="33" t="s">
        <v>870</v>
      </c>
      <c r="F557" s="35">
        <v>1</v>
      </c>
      <c r="G557" s="40">
        <v>0</v>
      </c>
      <c r="H557" s="40">
        <v>0</v>
      </c>
      <c r="I557" s="40">
        <v>0</v>
      </c>
      <c r="J557" s="40">
        <v>0</v>
      </c>
      <c r="K557" s="40">
        <v>0</v>
      </c>
      <c r="L557" s="40">
        <v>0</v>
      </c>
      <c r="M557" s="40" cm="1">
        <f t="array" ref="M557:N557">VLOOKUP(B557,'Fumigation  Room'!B:H,{6,7},0)</f>
        <v>0</v>
      </c>
      <c r="N557" s="40">
        <v>0</v>
      </c>
      <c r="O557" s="40">
        <f t="shared" si="17"/>
        <v>0</v>
      </c>
      <c r="P557" s="40">
        <f t="shared" si="18"/>
        <v>0</v>
      </c>
    </row>
    <row r="558" spans="1:16" x14ac:dyDescent="0.35">
      <c r="A558" s="33">
        <v>555</v>
      </c>
      <c r="B558" s="34" t="s">
        <v>985</v>
      </c>
      <c r="C558" s="33" t="s">
        <v>346</v>
      </c>
      <c r="D558" s="33" t="s">
        <v>50</v>
      </c>
      <c r="E558" s="33" t="s">
        <v>870</v>
      </c>
      <c r="F558" s="35">
        <v>0.4</v>
      </c>
      <c r="G558" s="40">
        <v>0</v>
      </c>
      <c r="H558" s="40">
        <v>0</v>
      </c>
      <c r="I558" s="40">
        <v>0</v>
      </c>
      <c r="J558" s="40">
        <v>0</v>
      </c>
      <c r="K558" s="40">
        <v>0</v>
      </c>
      <c r="L558" s="40">
        <v>0</v>
      </c>
      <c r="M558" s="40" cm="1">
        <f t="array" ref="M558:N558">VLOOKUP(B558,'Fumigation  Room'!B:H,{6,7},0)</f>
        <v>0</v>
      </c>
      <c r="N558" s="40">
        <v>0</v>
      </c>
      <c r="O558" s="40">
        <f t="shared" si="17"/>
        <v>0</v>
      </c>
      <c r="P558" s="40">
        <f t="shared" si="18"/>
        <v>0</v>
      </c>
    </row>
    <row r="559" spans="1:16" x14ac:dyDescent="0.35">
      <c r="A559" s="33">
        <v>556</v>
      </c>
      <c r="B559" s="34" t="s">
        <v>986</v>
      </c>
      <c r="C559" s="33" t="s">
        <v>346</v>
      </c>
      <c r="D559" s="33" t="s">
        <v>50</v>
      </c>
      <c r="E559" s="33" t="s">
        <v>870</v>
      </c>
      <c r="F559" s="35">
        <v>0.5</v>
      </c>
      <c r="G559" s="40">
        <v>0</v>
      </c>
      <c r="H559" s="40">
        <v>0</v>
      </c>
      <c r="I559" s="40">
        <v>0</v>
      </c>
      <c r="J559" s="40">
        <v>0</v>
      </c>
      <c r="K559" s="40">
        <v>0</v>
      </c>
      <c r="L559" s="40">
        <v>0</v>
      </c>
      <c r="M559" s="40" cm="1">
        <f t="array" ref="M559:N559">VLOOKUP(B559,'Fumigation  Room'!B:H,{6,7},0)</f>
        <v>0</v>
      </c>
      <c r="N559" s="40">
        <v>0</v>
      </c>
      <c r="O559" s="40">
        <f t="shared" si="17"/>
        <v>0</v>
      </c>
      <c r="P559" s="40">
        <f t="shared" si="18"/>
        <v>0</v>
      </c>
    </row>
    <row r="560" spans="1:16" x14ac:dyDescent="0.35">
      <c r="A560" s="33">
        <v>557</v>
      </c>
      <c r="B560" s="34" t="s">
        <v>2310</v>
      </c>
      <c r="C560" s="33" t="s">
        <v>346</v>
      </c>
      <c r="D560" s="33" t="s">
        <v>50</v>
      </c>
      <c r="E560" s="33" t="s">
        <v>870</v>
      </c>
      <c r="F560" s="35">
        <v>3.5000000000000003E-2</v>
      </c>
      <c r="G560" s="40">
        <v>0</v>
      </c>
      <c r="H560" s="40">
        <v>0</v>
      </c>
      <c r="I560" s="40">
        <v>0</v>
      </c>
      <c r="J560" s="40">
        <v>0</v>
      </c>
      <c r="K560" s="40">
        <v>0</v>
      </c>
      <c r="L560" s="40">
        <v>0</v>
      </c>
      <c r="M560" s="40">
        <v>0</v>
      </c>
      <c r="N560" s="40">
        <v>0</v>
      </c>
      <c r="O560" s="40">
        <f t="shared" si="17"/>
        <v>0</v>
      </c>
      <c r="P560" s="40">
        <f t="shared" si="18"/>
        <v>0</v>
      </c>
    </row>
    <row r="561" spans="1:16" x14ac:dyDescent="0.35">
      <c r="A561" s="33">
        <v>558</v>
      </c>
      <c r="B561" s="34" t="s">
        <v>987</v>
      </c>
      <c r="C561" s="33" t="s">
        <v>346</v>
      </c>
      <c r="D561" s="33" t="s">
        <v>50</v>
      </c>
      <c r="E561" s="33" t="s">
        <v>870</v>
      </c>
      <c r="F561" s="35">
        <v>0.5</v>
      </c>
      <c r="G561" s="40">
        <v>0</v>
      </c>
      <c r="H561" s="40">
        <v>0</v>
      </c>
      <c r="I561" s="40">
        <v>0</v>
      </c>
      <c r="J561" s="40">
        <v>0</v>
      </c>
      <c r="K561" s="40">
        <v>0</v>
      </c>
      <c r="L561" s="40">
        <v>0</v>
      </c>
      <c r="M561" s="40" cm="1">
        <f t="array" ref="M561:N561">VLOOKUP(B561,'Fumigation  Room'!B:H,{6,7},0)</f>
        <v>0</v>
      </c>
      <c r="N561" s="40">
        <v>0</v>
      </c>
      <c r="O561" s="40">
        <f t="shared" si="17"/>
        <v>0</v>
      </c>
      <c r="P561" s="40">
        <f t="shared" si="18"/>
        <v>0</v>
      </c>
    </row>
    <row r="562" spans="1:16" x14ac:dyDescent="0.35">
      <c r="A562" s="33">
        <v>559</v>
      </c>
      <c r="B562" s="34" t="s">
        <v>988</v>
      </c>
      <c r="C562" s="33" t="s">
        <v>346</v>
      </c>
      <c r="D562" s="33" t="s">
        <v>50</v>
      </c>
      <c r="E562" s="33" t="s">
        <v>870</v>
      </c>
      <c r="F562" s="35">
        <v>0.25</v>
      </c>
      <c r="G562" s="40">
        <v>0</v>
      </c>
      <c r="H562" s="40">
        <v>0</v>
      </c>
      <c r="I562" s="40">
        <v>0</v>
      </c>
      <c r="J562" s="40">
        <v>0</v>
      </c>
      <c r="K562" s="40">
        <v>0</v>
      </c>
      <c r="L562" s="40">
        <v>0</v>
      </c>
      <c r="M562" s="40" cm="1">
        <f t="array" ref="M562:N562">VLOOKUP(B562,'Fumigation  Room'!B:H,{6,7},0)</f>
        <v>0</v>
      </c>
      <c r="N562" s="40">
        <v>0</v>
      </c>
      <c r="O562" s="40">
        <f t="shared" si="17"/>
        <v>0</v>
      </c>
      <c r="P562" s="40">
        <f t="shared" si="18"/>
        <v>0</v>
      </c>
    </row>
    <row r="563" spans="1:16" x14ac:dyDescent="0.35">
      <c r="A563" s="33">
        <v>560</v>
      </c>
      <c r="B563" s="34" t="s">
        <v>989</v>
      </c>
      <c r="C563" s="33" t="s">
        <v>346</v>
      </c>
      <c r="D563" s="33" t="s">
        <v>50</v>
      </c>
      <c r="E563" s="33" t="s">
        <v>870</v>
      </c>
      <c r="F563" s="35">
        <v>0.3</v>
      </c>
      <c r="G563" s="40">
        <v>0</v>
      </c>
      <c r="H563" s="40">
        <v>0</v>
      </c>
      <c r="I563" s="40">
        <v>0</v>
      </c>
      <c r="J563" s="40">
        <v>0</v>
      </c>
      <c r="K563" s="40">
        <v>0</v>
      </c>
      <c r="L563" s="40">
        <v>0</v>
      </c>
      <c r="M563" s="40" cm="1">
        <f t="array" ref="M563:N563">VLOOKUP(B563,'Fumigation  Room'!B:H,{6,7},0)</f>
        <v>0</v>
      </c>
      <c r="N563" s="40">
        <v>0</v>
      </c>
      <c r="O563" s="40">
        <f t="shared" si="17"/>
        <v>0</v>
      </c>
      <c r="P563" s="40">
        <f t="shared" si="18"/>
        <v>0</v>
      </c>
    </row>
    <row r="564" spans="1:16" x14ac:dyDescent="0.35">
      <c r="A564" s="33">
        <v>561</v>
      </c>
      <c r="B564" s="34" t="s">
        <v>990</v>
      </c>
      <c r="C564" s="33" t="s">
        <v>346</v>
      </c>
      <c r="D564" s="33" t="s">
        <v>50</v>
      </c>
      <c r="E564" s="33" t="s">
        <v>870</v>
      </c>
      <c r="F564" s="35">
        <v>0.25</v>
      </c>
      <c r="G564" s="40">
        <v>0</v>
      </c>
      <c r="H564" s="40">
        <v>0</v>
      </c>
      <c r="I564" s="40">
        <v>0</v>
      </c>
      <c r="J564" s="40">
        <v>0</v>
      </c>
      <c r="K564" s="40">
        <v>0</v>
      </c>
      <c r="L564" s="40">
        <v>0</v>
      </c>
      <c r="M564" s="40" cm="1">
        <f t="array" ref="M564:N564">VLOOKUP(B564,'Fumigation  Room'!B:H,{6,7},0)</f>
        <v>0</v>
      </c>
      <c r="N564" s="40">
        <v>0</v>
      </c>
      <c r="O564" s="40">
        <f t="shared" si="17"/>
        <v>0</v>
      </c>
      <c r="P564" s="40">
        <f t="shared" si="18"/>
        <v>0</v>
      </c>
    </row>
    <row r="565" spans="1:16" x14ac:dyDescent="0.35">
      <c r="A565" s="33">
        <v>562</v>
      </c>
      <c r="B565" s="34" t="s">
        <v>991</v>
      </c>
      <c r="C565" s="33" t="s">
        <v>346</v>
      </c>
      <c r="D565" s="33" t="s">
        <v>50</v>
      </c>
      <c r="E565" s="33" t="s">
        <v>870</v>
      </c>
      <c r="F565" s="35">
        <v>0.8</v>
      </c>
      <c r="G565" s="40">
        <v>0</v>
      </c>
      <c r="H565" s="40">
        <v>0</v>
      </c>
      <c r="I565" s="40">
        <v>0</v>
      </c>
      <c r="J565" s="40">
        <v>0</v>
      </c>
      <c r="K565" s="40">
        <v>0</v>
      </c>
      <c r="L565" s="40">
        <v>0</v>
      </c>
      <c r="M565" s="40" cm="1">
        <f t="array" ref="M565:N565">VLOOKUP(B565,'Fumigation  Room'!B:H,{6,7},0)</f>
        <v>0</v>
      </c>
      <c r="N565" s="40">
        <v>0</v>
      </c>
      <c r="O565" s="40">
        <f t="shared" si="17"/>
        <v>0</v>
      </c>
      <c r="P565" s="40">
        <f t="shared" si="18"/>
        <v>0</v>
      </c>
    </row>
    <row r="566" spans="1:16" x14ac:dyDescent="0.35">
      <c r="A566" s="33">
        <v>563</v>
      </c>
      <c r="B566" s="34" t="s">
        <v>992</v>
      </c>
      <c r="C566" s="33" t="s">
        <v>346</v>
      </c>
      <c r="D566" s="33" t="s">
        <v>50</v>
      </c>
      <c r="E566" s="33" t="s">
        <v>870</v>
      </c>
      <c r="F566" s="35">
        <v>0.48</v>
      </c>
      <c r="G566" s="40">
        <v>0</v>
      </c>
      <c r="H566" s="40">
        <v>0</v>
      </c>
      <c r="I566" s="40">
        <v>0</v>
      </c>
      <c r="J566" s="40">
        <v>0</v>
      </c>
      <c r="K566" s="40">
        <v>0</v>
      </c>
      <c r="L566" s="40">
        <v>0</v>
      </c>
      <c r="M566" s="40" cm="1">
        <f t="array" ref="M566:N566">VLOOKUP(B566,'Fumigation  Room'!B:H,{6,7},0)</f>
        <v>0</v>
      </c>
      <c r="N566" s="40">
        <v>0</v>
      </c>
      <c r="O566" s="40">
        <f t="shared" si="17"/>
        <v>0</v>
      </c>
      <c r="P566" s="40">
        <f t="shared" si="18"/>
        <v>0</v>
      </c>
    </row>
    <row r="567" spans="1:16" x14ac:dyDescent="0.35">
      <c r="A567" s="33">
        <v>564</v>
      </c>
      <c r="B567" s="34" t="s">
        <v>873</v>
      </c>
      <c r="C567" s="33" t="s">
        <v>297</v>
      </c>
      <c r="D567" s="33" t="s">
        <v>50</v>
      </c>
      <c r="E567" s="33" t="s">
        <v>874</v>
      </c>
      <c r="F567" s="35">
        <v>1</v>
      </c>
      <c r="G567" s="40">
        <v>0</v>
      </c>
      <c r="H567" s="40">
        <v>0</v>
      </c>
      <c r="I567" s="40">
        <v>0</v>
      </c>
      <c r="J567" s="40">
        <v>0</v>
      </c>
      <c r="K567" s="40">
        <v>0</v>
      </c>
      <c r="L567" s="40">
        <v>0</v>
      </c>
      <c r="M567" s="40" cm="1">
        <f t="array" ref="M567:N567">VLOOKUP(B567,'Fumigation  Room'!B:H,{6,7},0)</f>
        <v>0</v>
      </c>
      <c r="N567" s="40">
        <v>0</v>
      </c>
      <c r="O567" s="40">
        <f t="shared" si="17"/>
        <v>0</v>
      </c>
      <c r="P567" s="40">
        <f t="shared" si="18"/>
        <v>0</v>
      </c>
    </row>
    <row r="568" spans="1:16" x14ac:dyDescent="0.35">
      <c r="A568" s="33">
        <v>565</v>
      </c>
      <c r="B568" s="34" t="s">
        <v>875</v>
      </c>
      <c r="C568" s="33" t="s">
        <v>297</v>
      </c>
      <c r="D568" s="33" t="s">
        <v>50</v>
      </c>
      <c r="E568" s="33" t="s">
        <v>874</v>
      </c>
      <c r="F568" s="35">
        <v>1</v>
      </c>
      <c r="G568" s="40">
        <v>0</v>
      </c>
      <c r="H568" s="40">
        <v>0</v>
      </c>
      <c r="I568" s="40">
        <v>0</v>
      </c>
      <c r="J568" s="40">
        <v>0</v>
      </c>
      <c r="K568" s="40">
        <v>0</v>
      </c>
      <c r="L568" s="40">
        <v>0</v>
      </c>
      <c r="M568" s="40" cm="1">
        <f t="array" ref="M568:N568">VLOOKUP(B568,'Fumigation  Room'!B:H,{6,7},0)</f>
        <v>0</v>
      </c>
      <c r="N568" s="40">
        <v>0</v>
      </c>
      <c r="O568" s="40">
        <f t="shared" si="17"/>
        <v>0</v>
      </c>
      <c r="P568" s="40">
        <f t="shared" si="18"/>
        <v>0</v>
      </c>
    </row>
    <row r="569" spans="1:16" x14ac:dyDescent="0.35">
      <c r="A569" s="33">
        <v>566</v>
      </c>
      <c r="B569" s="34" t="s">
        <v>876</v>
      </c>
      <c r="C569" s="33" t="s">
        <v>297</v>
      </c>
      <c r="D569" s="33" t="s">
        <v>50</v>
      </c>
      <c r="E569" s="33" t="s">
        <v>874</v>
      </c>
      <c r="F569" s="35">
        <v>1</v>
      </c>
      <c r="G569" s="40">
        <v>0</v>
      </c>
      <c r="H569" s="40">
        <v>0</v>
      </c>
      <c r="I569" s="40">
        <v>0</v>
      </c>
      <c r="J569" s="40">
        <v>0</v>
      </c>
      <c r="K569" s="40">
        <v>0</v>
      </c>
      <c r="L569" s="40">
        <v>0</v>
      </c>
      <c r="M569" s="40" cm="1">
        <f t="array" ref="M569:N569">VLOOKUP(B569,'Fumigation  Room'!B:H,{6,7},0)</f>
        <v>0</v>
      </c>
      <c r="N569" s="40">
        <v>0</v>
      </c>
      <c r="O569" s="40">
        <f t="shared" si="17"/>
        <v>0</v>
      </c>
      <c r="P569" s="40">
        <f t="shared" si="18"/>
        <v>0</v>
      </c>
    </row>
    <row r="570" spans="1:16" x14ac:dyDescent="0.35">
      <c r="A570" s="33">
        <v>567</v>
      </c>
      <c r="B570" s="34" t="s">
        <v>993</v>
      </c>
      <c r="C570" s="33" t="s">
        <v>346</v>
      </c>
      <c r="D570" s="33" t="s">
        <v>50</v>
      </c>
      <c r="E570" s="33" t="s">
        <v>874</v>
      </c>
      <c r="F570" s="35">
        <v>0.25</v>
      </c>
      <c r="G570" s="40">
        <v>0</v>
      </c>
      <c r="H570" s="40">
        <v>0</v>
      </c>
      <c r="I570" s="40">
        <v>0</v>
      </c>
      <c r="J570" s="40">
        <v>0</v>
      </c>
      <c r="K570" s="40">
        <v>0</v>
      </c>
      <c r="L570" s="40">
        <v>0</v>
      </c>
      <c r="M570" s="40" cm="1">
        <f t="array" ref="M570:N570">VLOOKUP(B570,'Fumigation  Room'!B:H,{6,7},0)</f>
        <v>0</v>
      </c>
      <c r="N570" s="40">
        <v>0</v>
      </c>
      <c r="O570" s="40">
        <f t="shared" si="17"/>
        <v>0</v>
      </c>
      <c r="P570" s="40">
        <f t="shared" si="18"/>
        <v>0</v>
      </c>
    </row>
    <row r="571" spans="1:16" x14ac:dyDescent="0.35">
      <c r="A571" s="33">
        <v>568</v>
      </c>
      <c r="B571" s="34" t="s">
        <v>994</v>
      </c>
      <c r="C571" s="33" t="s">
        <v>346</v>
      </c>
      <c r="D571" s="33" t="s">
        <v>50</v>
      </c>
      <c r="E571" s="33" t="s">
        <v>995</v>
      </c>
      <c r="F571" s="35">
        <v>0.5</v>
      </c>
      <c r="G571" s="40">
        <v>0</v>
      </c>
      <c r="H571" s="40">
        <v>0</v>
      </c>
      <c r="I571" s="40">
        <v>0</v>
      </c>
      <c r="J571" s="40">
        <v>0</v>
      </c>
      <c r="K571" s="40">
        <v>0</v>
      </c>
      <c r="L571" s="40">
        <v>0</v>
      </c>
      <c r="M571" s="40" cm="1">
        <f t="array" ref="M571:N571">VLOOKUP(B571,'Fumigation  Room'!B:H,{6,7},0)</f>
        <v>0</v>
      </c>
      <c r="N571" s="40">
        <v>0</v>
      </c>
      <c r="O571" s="40">
        <f t="shared" si="17"/>
        <v>0</v>
      </c>
      <c r="P571" s="40">
        <f t="shared" si="18"/>
        <v>0</v>
      </c>
    </row>
    <row r="572" spans="1:16" x14ac:dyDescent="0.35">
      <c r="A572" s="33">
        <v>569</v>
      </c>
      <c r="B572" s="34" t="s">
        <v>877</v>
      </c>
      <c r="C572" s="33" t="s">
        <v>297</v>
      </c>
      <c r="D572" s="33" t="s">
        <v>50</v>
      </c>
      <c r="E572" s="33" t="s">
        <v>878</v>
      </c>
      <c r="F572" s="35">
        <v>1</v>
      </c>
      <c r="G572" s="40">
        <v>0</v>
      </c>
      <c r="H572" s="40">
        <v>0</v>
      </c>
      <c r="I572" s="40">
        <v>0</v>
      </c>
      <c r="J572" s="40">
        <v>0</v>
      </c>
      <c r="K572" s="40">
        <v>0</v>
      </c>
      <c r="L572" s="40">
        <v>0</v>
      </c>
      <c r="M572" s="40" cm="1">
        <f t="array" ref="M572:N572">VLOOKUP(B572,'Fumigation  Room'!B:H,{6,7},0)</f>
        <v>0</v>
      </c>
      <c r="N572" s="40">
        <v>0</v>
      </c>
      <c r="O572" s="40">
        <f t="shared" si="17"/>
        <v>0</v>
      </c>
      <c r="P572" s="40">
        <f t="shared" si="18"/>
        <v>0</v>
      </c>
    </row>
    <row r="573" spans="1:16" x14ac:dyDescent="0.35">
      <c r="A573" s="33">
        <v>570</v>
      </c>
      <c r="B573" s="34" t="s">
        <v>879</v>
      </c>
      <c r="C573" s="33" t="s">
        <v>297</v>
      </c>
      <c r="D573" s="33" t="s">
        <v>50</v>
      </c>
      <c r="E573" s="33" t="s">
        <v>878</v>
      </c>
      <c r="F573" s="35">
        <v>1</v>
      </c>
      <c r="G573" s="40">
        <v>0</v>
      </c>
      <c r="H573" s="40">
        <v>0</v>
      </c>
      <c r="I573" s="40">
        <v>0</v>
      </c>
      <c r="J573" s="40">
        <v>0</v>
      </c>
      <c r="K573" s="40">
        <v>0</v>
      </c>
      <c r="L573" s="40">
        <v>0</v>
      </c>
      <c r="M573" s="40" cm="1">
        <f t="array" ref="M573:N573">VLOOKUP(B573,'Fumigation  Room'!B:H,{6,7},0)</f>
        <v>0</v>
      </c>
      <c r="N573" s="40">
        <v>0</v>
      </c>
      <c r="O573" s="40">
        <f t="shared" si="17"/>
        <v>0</v>
      </c>
      <c r="P573" s="40">
        <f t="shared" si="18"/>
        <v>0</v>
      </c>
    </row>
    <row r="574" spans="1:16" x14ac:dyDescent="0.35">
      <c r="A574" s="33">
        <v>571</v>
      </c>
      <c r="B574" s="34" t="s">
        <v>996</v>
      </c>
      <c r="C574" s="33" t="s">
        <v>346</v>
      </c>
      <c r="D574" s="33" t="s">
        <v>50</v>
      </c>
      <c r="E574" s="33" t="s">
        <v>878</v>
      </c>
      <c r="F574" s="35">
        <v>0.3</v>
      </c>
      <c r="G574" s="40">
        <v>0</v>
      </c>
      <c r="H574" s="40">
        <v>0</v>
      </c>
      <c r="I574" s="40">
        <v>0</v>
      </c>
      <c r="J574" s="40">
        <v>0</v>
      </c>
      <c r="K574" s="40">
        <v>0</v>
      </c>
      <c r="L574" s="40">
        <v>0</v>
      </c>
      <c r="M574" s="40" cm="1">
        <f t="array" ref="M574:N574">VLOOKUP(B574,'Fumigation  Room'!B:H,{6,7},0)</f>
        <v>0</v>
      </c>
      <c r="N574" s="40">
        <v>0</v>
      </c>
      <c r="O574" s="40">
        <f t="shared" si="17"/>
        <v>0</v>
      </c>
      <c r="P574" s="40">
        <f t="shared" si="18"/>
        <v>0</v>
      </c>
    </row>
    <row r="575" spans="1:16" x14ac:dyDescent="0.35">
      <c r="A575" s="33">
        <v>572</v>
      </c>
      <c r="B575" s="34" t="s">
        <v>2311</v>
      </c>
      <c r="C575" s="33" t="s">
        <v>346</v>
      </c>
      <c r="D575" s="33" t="s">
        <v>50</v>
      </c>
      <c r="E575" s="33" t="s">
        <v>878</v>
      </c>
      <c r="F575" s="35">
        <v>0.5</v>
      </c>
      <c r="G575" s="40">
        <v>0</v>
      </c>
      <c r="H575" s="40">
        <v>0</v>
      </c>
      <c r="I575" s="40">
        <v>0</v>
      </c>
      <c r="J575" s="40">
        <v>0</v>
      </c>
      <c r="K575" s="40">
        <v>0</v>
      </c>
      <c r="L575" s="40">
        <v>0</v>
      </c>
      <c r="M575" s="40">
        <v>0</v>
      </c>
      <c r="N575" s="40">
        <v>0</v>
      </c>
      <c r="O575" s="40">
        <f t="shared" si="17"/>
        <v>0</v>
      </c>
      <c r="P575" s="40">
        <f t="shared" si="18"/>
        <v>0</v>
      </c>
    </row>
    <row r="576" spans="1:16" x14ac:dyDescent="0.35">
      <c r="A576" s="33">
        <v>573</v>
      </c>
      <c r="B576" s="34" t="s">
        <v>997</v>
      </c>
      <c r="C576" s="33" t="s">
        <v>346</v>
      </c>
      <c r="D576" s="33" t="s">
        <v>50</v>
      </c>
      <c r="E576" s="33" t="s">
        <v>878</v>
      </c>
      <c r="F576" s="35">
        <v>0.35</v>
      </c>
      <c r="G576" s="40">
        <v>0</v>
      </c>
      <c r="H576" s="40">
        <v>0</v>
      </c>
      <c r="I576" s="40">
        <v>0</v>
      </c>
      <c r="J576" s="40">
        <v>0</v>
      </c>
      <c r="K576" s="40">
        <v>0</v>
      </c>
      <c r="L576" s="40">
        <v>0</v>
      </c>
      <c r="M576" s="40" cm="1">
        <f t="array" ref="M576:N576">VLOOKUP(B576,'Fumigation  Room'!B:H,{6,7},0)</f>
        <v>0</v>
      </c>
      <c r="N576" s="40">
        <v>0</v>
      </c>
      <c r="O576" s="40">
        <f t="shared" si="17"/>
        <v>0</v>
      </c>
      <c r="P576" s="40">
        <f t="shared" si="18"/>
        <v>0</v>
      </c>
    </row>
    <row r="577" spans="1:16" x14ac:dyDescent="0.35">
      <c r="A577" s="33">
        <v>574</v>
      </c>
      <c r="B577" s="34" t="s">
        <v>998</v>
      </c>
      <c r="C577" s="33" t="s">
        <v>346</v>
      </c>
      <c r="D577" s="33" t="s">
        <v>50</v>
      </c>
      <c r="E577" s="33" t="s">
        <v>878</v>
      </c>
      <c r="F577" s="35">
        <v>0.5</v>
      </c>
      <c r="G577" s="40">
        <v>0</v>
      </c>
      <c r="H577" s="40">
        <v>0</v>
      </c>
      <c r="I577" s="40">
        <v>0</v>
      </c>
      <c r="J577" s="40">
        <v>0</v>
      </c>
      <c r="K577" s="40">
        <v>0</v>
      </c>
      <c r="L577" s="40">
        <v>0</v>
      </c>
      <c r="M577" s="40" cm="1">
        <f t="array" ref="M577:N577">VLOOKUP(B577,'Fumigation  Room'!B:H,{6,7},0)</f>
        <v>0</v>
      </c>
      <c r="N577" s="40">
        <v>0</v>
      </c>
      <c r="O577" s="40">
        <f t="shared" si="17"/>
        <v>0</v>
      </c>
      <c r="P577" s="40">
        <f t="shared" si="18"/>
        <v>0</v>
      </c>
    </row>
    <row r="578" spans="1:16" x14ac:dyDescent="0.35">
      <c r="A578" s="33">
        <v>575</v>
      </c>
      <c r="B578" s="34" t="s">
        <v>880</v>
      </c>
      <c r="C578" s="33" t="s">
        <v>297</v>
      </c>
      <c r="D578" s="33" t="s">
        <v>50</v>
      </c>
      <c r="E578" s="33" t="s">
        <v>881</v>
      </c>
      <c r="F578" s="35">
        <v>1</v>
      </c>
      <c r="G578" s="40">
        <v>0</v>
      </c>
      <c r="H578" s="40">
        <v>0</v>
      </c>
      <c r="I578" s="40">
        <v>0</v>
      </c>
      <c r="J578" s="40">
        <v>0</v>
      </c>
      <c r="K578" s="40">
        <v>0</v>
      </c>
      <c r="L578" s="40">
        <v>0</v>
      </c>
      <c r="M578" s="40" cm="1">
        <f t="array" ref="M578:N578">VLOOKUP(B578,'Fumigation  Room'!B:H,{6,7},0)</f>
        <v>0</v>
      </c>
      <c r="N578" s="40">
        <v>0</v>
      </c>
      <c r="O578" s="40">
        <f t="shared" si="17"/>
        <v>0</v>
      </c>
      <c r="P578" s="40">
        <f t="shared" si="18"/>
        <v>0</v>
      </c>
    </row>
    <row r="579" spans="1:16" x14ac:dyDescent="0.35">
      <c r="A579" s="33">
        <v>576</v>
      </c>
      <c r="B579" s="34" t="s">
        <v>882</v>
      </c>
      <c r="C579" s="33" t="s">
        <v>297</v>
      </c>
      <c r="D579" s="33" t="s">
        <v>50</v>
      </c>
      <c r="E579" s="33" t="s">
        <v>881</v>
      </c>
      <c r="F579" s="35">
        <v>1</v>
      </c>
      <c r="G579" s="40">
        <v>0</v>
      </c>
      <c r="H579" s="40">
        <v>0</v>
      </c>
      <c r="I579" s="40">
        <v>0</v>
      </c>
      <c r="J579" s="40">
        <v>0</v>
      </c>
      <c r="K579" s="40">
        <v>0</v>
      </c>
      <c r="L579" s="40">
        <v>0</v>
      </c>
      <c r="M579" s="40" cm="1">
        <f t="array" ref="M579:N579">VLOOKUP(B579,'Fumigation  Room'!B:H,{6,7},0)</f>
        <v>0</v>
      </c>
      <c r="N579" s="40">
        <v>0</v>
      </c>
      <c r="O579" s="40">
        <f t="shared" si="17"/>
        <v>0</v>
      </c>
      <c r="P579" s="40">
        <f t="shared" si="18"/>
        <v>0</v>
      </c>
    </row>
    <row r="580" spans="1:16" x14ac:dyDescent="0.35">
      <c r="A580" s="33">
        <v>577</v>
      </c>
      <c r="B580" s="34" t="s">
        <v>883</v>
      </c>
      <c r="C580" s="33" t="s">
        <v>297</v>
      </c>
      <c r="D580" s="33" t="s">
        <v>50</v>
      </c>
      <c r="E580" s="33" t="s">
        <v>881</v>
      </c>
      <c r="F580" s="35">
        <v>0.90800000000000003</v>
      </c>
      <c r="G580" s="40">
        <v>0</v>
      </c>
      <c r="H580" s="40">
        <v>0</v>
      </c>
      <c r="I580" s="40">
        <v>0</v>
      </c>
      <c r="J580" s="40">
        <v>0</v>
      </c>
      <c r="K580" s="40">
        <v>0</v>
      </c>
      <c r="L580" s="40">
        <v>0</v>
      </c>
      <c r="M580" s="40" cm="1">
        <f t="array" ref="M580:N580">VLOOKUP(B580,'Fumigation  Room'!B:H,{6,7},0)</f>
        <v>0</v>
      </c>
      <c r="N580" s="40">
        <v>0</v>
      </c>
      <c r="O580" s="40">
        <f t="shared" si="17"/>
        <v>0</v>
      </c>
      <c r="P580" s="40">
        <f t="shared" si="18"/>
        <v>0</v>
      </c>
    </row>
    <row r="581" spans="1:16" x14ac:dyDescent="0.35">
      <c r="A581" s="33">
        <v>578</v>
      </c>
      <c r="B581" s="34" t="s">
        <v>884</v>
      </c>
      <c r="C581" s="33" t="s">
        <v>297</v>
      </c>
      <c r="D581" s="33" t="s">
        <v>50</v>
      </c>
      <c r="E581" s="33" t="s">
        <v>885</v>
      </c>
      <c r="F581" s="35">
        <v>1</v>
      </c>
      <c r="G581" s="40">
        <v>0</v>
      </c>
      <c r="H581" s="40">
        <v>0</v>
      </c>
      <c r="I581" s="40">
        <v>0</v>
      </c>
      <c r="J581" s="40">
        <v>0</v>
      </c>
      <c r="K581" s="40">
        <v>0</v>
      </c>
      <c r="L581" s="40">
        <v>0</v>
      </c>
      <c r="M581" s="40" cm="1">
        <f t="array" ref="M581:N581">VLOOKUP(B581,'Fumigation  Room'!B:H,{6,7},0)</f>
        <v>0</v>
      </c>
      <c r="N581" s="40">
        <v>0</v>
      </c>
      <c r="O581" s="40">
        <f t="shared" ref="O581:O644" si="19">G581+I581+K581+M581</f>
        <v>0</v>
      </c>
      <c r="P581" s="40">
        <f t="shared" ref="P581:P644" si="20">H581+J581+L581+N581</f>
        <v>0</v>
      </c>
    </row>
    <row r="582" spans="1:16" x14ac:dyDescent="0.35">
      <c r="A582" s="33">
        <v>579</v>
      </c>
      <c r="B582" s="34" t="s">
        <v>886</v>
      </c>
      <c r="C582" s="33" t="s">
        <v>297</v>
      </c>
      <c r="D582" s="33" t="s">
        <v>50</v>
      </c>
      <c r="E582" s="33" t="s">
        <v>885</v>
      </c>
      <c r="F582" s="35">
        <v>1</v>
      </c>
      <c r="G582" s="40">
        <v>0</v>
      </c>
      <c r="H582" s="40">
        <v>0</v>
      </c>
      <c r="I582" s="40">
        <v>0</v>
      </c>
      <c r="J582" s="40">
        <v>0</v>
      </c>
      <c r="K582" s="40">
        <v>0</v>
      </c>
      <c r="L582" s="40">
        <v>0</v>
      </c>
      <c r="M582" s="40" cm="1">
        <f t="array" ref="M582:N582">VLOOKUP(B582,'Fumigation  Room'!B:H,{6,7},0)</f>
        <v>0</v>
      </c>
      <c r="N582" s="40">
        <v>0</v>
      </c>
      <c r="O582" s="40">
        <f t="shared" si="19"/>
        <v>0</v>
      </c>
      <c r="P582" s="40">
        <f t="shared" si="20"/>
        <v>0</v>
      </c>
    </row>
    <row r="583" spans="1:16" x14ac:dyDescent="0.35">
      <c r="A583" s="33">
        <v>580</v>
      </c>
      <c r="B583" s="34" t="s">
        <v>887</v>
      </c>
      <c r="C583" s="33" t="s">
        <v>297</v>
      </c>
      <c r="D583" s="33" t="s">
        <v>50</v>
      </c>
      <c r="E583" s="33" t="s">
        <v>885</v>
      </c>
      <c r="F583" s="35">
        <v>1</v>
      </c>
      <c r="G583" s="40">
        <v>0</v>
      </c>
      <c r="H583" s="40">
        <v>0</v>
      </c>
      <c r="I583" s="40">
        <v>0</v>
      </c>
      <c r="J583" s="40">
        <v>0</v>
      </c>
      <c r="K583" s="40">
        <v>0</v>
      </c>
      <c r="L583" s="40">
        <v>0</v>
      </c>
      <c r="M583" s="40" cm="1">
        <f t="array" ref="M583:N583">VLOOKUP(B583,'Fumigation  Room'!B:H,{6,7},0)</f>
        <v>0</v>
      </c>
      <c r="N583" s="40">
        <v>0</v>
      </c>
      <c r="O583" s="40">
        <f t="shared" si="19"/>
        <v>0</v>
      </c>
      <c r="P583" s="40">
        <f t="shared" si="20"/>
        <v>0</v>
      </c>
    </row>
    <row r="584" spans="1:16" x14ac:dyDescent="0.35">
      <c r="A584" s="33">
        <v>581</v>
      </c>
      <c r="B584" s="34" t="s">
        <v>888</v>
      </c>
      <c r="C584" s="33" t="s">
        <v>297</v>
      </c>
      <c r="D584" s="33" t="s">
        <v>50</v>
      </c>
      <c r="E584" s="33" t="s">
        <v>885</v>
      </c>
      <c r="F584" s="35">
        <v>1</v>
      </c>
      <c r="G584" s="40">
        <v>0</v>
      </c>
      <c r="H584" s="40">
        <v>0</v>
      </c>
      <c r="I584" s="40">
        <v>0</v>
      </c>
      <c r="J584" s="40">
        <v>0</v>
      </c>
      <c r="K584" s="40">
        <v>0</v>
      </c>
      <c r="L584" s="40">
        <v>0</v>
      </c>
      <c r="M584" s="40" cm="1">
        <f t="array" ref="M584:N584">VLOOKUP(B584,'Fumigation  Room'!B:H,{6,7},0)</f>
        <v>0</v>
      </c>
      <c r="N584" s="40">
        <v>0</v>
      </c>
      <c r="O584" s="40">
        <f t="shared" si="19"/>
        <v>0</v>
      </c>
      <c r="P584" s="40">
        <f t="shared" si="20"/>
        <v>0</v>
      </c>
    </row>
    <row r="585" spans="1:16" x14ac:dyDescent="0.35">
      <c r="A585" s="33">
        <v>582</v>
      </c>
      <c r="B585" s="34" t="s">
        <v>999</v>
      </c>
      <c r="C585" s="33" t="s">
        <v>346</v>
      </c>
      <c r="D585" s="33" t="s">
        <v>50</v>
      </c>
      <c r="E585" s="33" t="s">
        <v>885</v>
      </c>
      <c r="F585" s="35">
        <v>0.5</v>
      </c>
      <c r="G585" s="40">
        <v>0</v>
      </c>
      <c r="H585" s="40">
        <v>0</v>
      </c>
      <c r="I585" s="40">
        <v>0</v>
      </c>
      <c r="J585" s="40">
        <v>0</v>
      </c>
      <c r="K585" s="40">
        <v>0</v>
      </c>
      <c r="L585" s="40">
        <v>0</v>
      </c>
      <c r="M585" s="40" cm="1">
        <f t="array" ref="M585:N585">VLOOKUP(B585,'Fumigation  Room'!B:H,{6,7},0)</f>
        <v>0</v>
      </c>
      <c r="N585" s="40">
        <v>0</v>
      </c>
      <c r="O585" s="40">
        <f t="shared" si="19"/>
        <v>0</v>
      </c>
      <c r="P585" s="40">
        <f t="shared" si="20"/>
        <v>0</v>
      </c>
    </row>
    <row r="586" spans="1:16" x14ac:dyDescent="0.35">
      <c r="A586" s="33">
        <v>583</v>
      </c>
      <c r="B586" s="34" t="s">
        <v>1000</v>
      </c>
      <c r="C586" s="33" t="s">
        <v>346</v>
      </c>
      <c r="D586" s="33" t="s">
        <v>50</v>
      </c>
      <c r="E586" s="33" t="s">
        <v>885</v>
      </c>
      <c r="F586" s="35">
        <v>0.5</v>
      </c>
      <c r="G586" s="40">
        <v>0</v>
      </c>
      <c r="H586" s="40">
        <v>0</v>
      </c>
      <c r="I586" s="40">
        <v>0</v>
      </c>
      <c r="J586" s="40">
        <v>0</v>
      </c>
      <c r="K586" s="40">
        <v>0</v>
      </c>
      <c r="L586" s="40">
        <v>0</v>
      </c>
      <c r="M586" s="40" cm="1">
        <f t="array" ref="M586:N586">VLOOKUP(B586,'Fumigation  Room'!B:H,{6,7},0)</f>
        <v>0</v>
      </c>
      <c r="N586" s="40">
        <v>0</v>
      </c>
      <c r="O586" s="40">
        <f t="shared" si="19"/>
        <v>0</v>
      </c>
      <c r="P586" s="40">
        <f t="shared" si="20"/>
        <v>0</v>
      </c>
    </row>
    <row r="587" spans="1:16" x14ac:dyDescent="0.35">
      <c r="A587" s="33">
        <v>584</v>
      </c>
      <c r="B587" s="34" t="s">
        <v>1001</v>
      </c>
      <c r="C587" s="33" t="s">
        <v>346</v>
      </c>
      <c r="D587" s="33" t="s">
        <v>50</v>
      </c>
      <c r="E587" s="33" t="s">
        <v>885</v>
      </c>
      <c r="F587" s="35">
        <v>0.25</v>
      </c>
      <c r="G587" s="40">
        <v>0</v>
      </c>
      <c r="H587" s="40">
        <v>0</v>
      </c>
      <c r="I587" s="40">
        <v>0</v>
      </c>
      <c r="J587" s="40">
        <v>0</v>
      </c>
      <c r="K587" s="40">
        <v>0</v>
      </c>
      <c r="L587" s="40">
        <v>0</v>
      </c>
      <c r="M587" s="40" cm="1">
        <f t="array" ref="M587:N587">VLOOKUP(B587,'Fumigation  Room'!B:H,{6,7},0)</f>
        <v>0</v>
      </c>
      <c r="N587" s="40">
        <v>0</v>
      </c>
      <c r="O587" s="40">
        <f t="shared" si="19"/>
        <v>0</v>
      </c>
      <c r="P587" s="40">
        <f t="shared" si="20"/>
        <v>0</v>
      </c>
    </row>
    <row r="588" spans="1:16" x14ac:dyDescent="0.35">
      <c r="A588" s="33">
        <v>585</v>
      </c>
      <c r="B588" s="34" t="s">
        <v>1002</v>
      </c>
      <c r="C588" s="33" t="s">
        <v>346</v>
      </c>
      <c r="D588" s="33" t="s">
        <v>50</v>
      </c>
      <c r="E588" s="33" t="s">
        <v>885</v>
      </c>
      <c r="F588" s="35">
        <v>0.25</v>
      </c>
      <c r="G588" s="40">
        <v>0</v>
      </c>
      <c r="H588" s="40">
        <v>0</v>
      </c>
      <c r="I588" s="40">
        <v>0</v>
      </c>
      <c r="J588" s="40">
        <v>0</v>
      </c>
      <c r="K588" s="40">
        <v>0</v>
      </c>
      <c r="L588" s="40">
        <v>0</v>
      </c>
      <c r="M588" s="40" cm="1">
        <f t="array" ref="M588:N588">VLOOKUP(B588,'Fumigation  Room'!B:H,{6,7},0)</f>
        <v>0</v>
      </c>
      <c r="N588" s="40">
        <v>0</v>
      </c>
      <c r="O588" s="40">
        <f t="shared" si="19"/>
        <v>0</v>
      </c>
      <c r="P588" s="40">
        <f t="shared" si="20"/>
        <v>0</v>
      </c>
    </row>
    <row r="589" spans="1:16" x14ac:dyDescent="0.35">
      <c r="A589" s="33">
        <v>586</v>
      </c>
      <c r="B589" s="34" t="s">
        <v>1003</v>
      </c>
      <c r="C589" s="33" t="s">
        <v>346</v>
      </c>
      <c r="D589" s="33" t="s">
        <v>50</v>
      </c>
      <c r="E589" s="33" t="s">
        <v>885</v>
      </c>
      <c r="F589" s="35">
        <v>0.5</v>
      </c>
      <c r="G589" s="40">
        <v>0</v>
      </c>
      <c r="H589" s="40">
        <v>0</v>
      </c>
      <c r="I589" s="40">
        <v>0</v>
      </c>
      <c r="J589" s="40">
        <v>0</v>
      </c>
      <c r="K589" s="40">
        <v>0</v>
      </c>
      <c r="L589" s="40">
        <v>0</v>
      </c>
      <c r="M589" s="40" cm="1">
        <f t="array" ref="M589:N589">VLOOKUP(B589,'Fumigation  Room'!B:H,{6,7},0)</f>
        <v>0</v>
      </c>
      <c r="N589" s="40">
        <v>0</v>
      </c>
      <c r="O589" s="40">
        <f t="shared" si="19"/>
        <v>0</v>
      </c>
      <c r="P589" s="40">
        <f t="shared" si="20"/>
        <v>0</v>
      </c>
    </row>
    <row r="590" spans="1:16" x14ac:dyDescent="0.35">
      <c r="A590" s="33">
        <v>587</v>
      </c>
      <c r="B590" s="34" t="s">
        <v>1004</v>
      </c>
      <c r="C590" s="33" t="s">
        <v>346</v>
      </c>
      <c r="D590" s="33" t="s">
        <v>50</v>
      </c>
      <c r="E590" s="33" t="s">
        <v>885</v>
      </c>
      <c r="F590" s="35">
        <v>0.3</v>
      </c>
      <c r="G590" s="40">
        <v>0</v>
      </c>
      <c r="H590" s="40">
        <v>0</v>
      </c>
      <c r="I590" s="40">
        <v>0</v>
      </c>
      <c r="J590" s="40">
        <v>0</v>
      </c>
      <c r="K590" s="40">
        <v>0</v>
      </c>
      <c r="L590" s="40">
        <v>0</v>
      </c>
      <c r="M590" s="40" cm="1">
        <f t="array" ref="M590:N590">VLOOKUP(B590,'Fumigation  Room'!B:H,{6,7},0)</f>
        <v>0</v>
      </c>
      <c r="N590" s="40">
        <v>0</v>
      </c>
      <c r="O590" s="40">
        <f t="shared" si="19"/>
        <v>0</v>
      </c>
      <c r="P590" s="40">
        <f t="shared" si="20"/>
        <v>0</v>
      </c>
    </row>
    <row r="591" spans="1:16" x14ac:dyDescent="0.35">
      <c r="A591" s="33">
        <v>588</v>
      </c>
      <c r="B591" s="34" t="s">
        <v>889</v>
      </c>
      <c r="C591" s="33" t="s">
        <v>297</v>
      </c>
      <c r="D591" s="33" t="s">
        <v>50</v>
      </c>
      <c r="E591" s="33" t="s">
        <v>890</v>
      </c>
      <c r="F591" s="35">
        <v>1</v>
      </c>
      <c r="G591" s="40">
        <v>0</v>
      </c>
      <c r="H591" s="40">
        <v>0</v>
      </c>
      <c r="I591" s="40">
        <v>0</v>
      </c>
      <c r="J591" s="40">
        <v>0</v>
      </c>
      <c r="K591" s="40">
        <v>0</v>
      </c>
      <c r="L591" s="40">
        <v>0</v>
      </c>
      <c r="M591" s="40" cm="1">
        <f t="array" ref="M591:N591">VLOOKUP(B591,'Fumigation  Room'!B:H,{6,7},0)</f>
        <v>0</v>
      </c>
      <c r="N591" s="40">
        <v>0</v>
      </c>
      <c r="O591" s="40">
        <f t="shared" si="19"/>
        <v>0</v>
      </c>
      <c r="P591" s="40">
        <f t="shared" si="20"/>
        <v>0</v>
      </c>
    </row>
    <row r="592" spans="1:16" x14ac:dyDescent="0.35">
      <c r="A592" s="33">
        <v>589</v>
      </c>
      <c r="B592" s="34" t="s">
        <v>891</v>
      </c>
      <c r="C592" s="33" t="s">
        <v>297</v>
      </c>
      <c r="D592" s="33" t="s">
        <v>50</v>
      </c>
      <c r="E592" s="33" t="s">
        <v>890</v>
      </c>
      <c r="F592" s="35">
        <v>1</v>
      </c>
      <c r="G592" s="40">
        <v>0</v>
      </c>
      <c r="H592" s="40">
        <v>0</v>
      </c>
      <c r="I592" s="40">
        <v>0</v>
      </c>
      <c r="J592" s="40">
        <v>0</v>
      </c>
      <c r="K592" s="40">
        <v>0</v>
      </c>
      <c r="L592" s="40">
        <v>0</v>
      </c>
      <c r="M592" s="40" cm="1">
        <f t="array" ref="M592:N592">VLOOKUP(B592,'Fumigation  Room'!B:H,{6,7},0)</f>
        <v>0</v>
      </c>
      <c r="N592" s="40">
        <v>0</v>
      </c>
      <c r="O592" s="40">
        <f t="shared" si="19"/>
        <v>0</v>
      </c>
      <c r="P592" s="40">
        <f t="shared" si="20"/>
        <v>0</v>
      </c>
    </row>
    <row r="593" spans="1:16" x14ac:dyDescent="0.35">
      <c r="A593" s="33">
        <v>590</v>
      </c>
      <c r="B593" s="34" t="s">
        <v>177</v>
      </c>
      <c r="C593" s="33" t="s">
        <v>297</v>
      </c>
      <c r="D593" s="33" t="s">
        <v>50</v>
      </c>
      <c r="E593" s="33" t="s">
        <v>890</v>
      </c>
      <c r="F593" s="35">
        <v>1</v>
      </c>
      <c r="G593" s="40">
        <v>0</v>
      </c>
      <c r="H593" s="40">
        <v>0</v>
      </c>
      <c r="I593" s="40">
        <v>0</v>
      </c>
      <c r="J593" s="40">
        <v>0</v>
      </c>
      <c r="K593" s="40">
        <v>0</v>
      </c>
      <c r="L593" s="40">
        <v>0</v>
      </c>
      <c r="M593" s="40" cm="1">
        <f t="array" ref="M593:N593">VLOOKUP(B593,'Fumigation  Room'!B:H,{6,7},0)</f>
        <v>0</v>
      </c>
      <c r="N593" s="40">
        <v>0</v>
      </c>
      <c r="O593" s="40">
        <f t="shared" si="19"/>
        <v>0</v>
      </c>
      <c r="P593" s="40">
        <f t="shared" si="20"/>
        <v>0</v>
      </c>
    </row>
    <row r="594" spans="1:16" x14ac:dyDescent="0.35">
      <c r="A594" s="33">
        <v>591</v>
      </c>
      <c r="B594" s="34" t="s">
        <v>892</v>
      </c>
      <c r="C594" s="33" t="s">
        <v>297</v>
      </c>
      <c r="D594" s="33" t="s">
        <v>50</v>
      </c>
      <c r="E594" s="33" t="s">
        <v>890</v>
      </c>
      <c r="F594" s="35">
        <v>1</v>
      </c>
      <c r="G594" s="40">
        <v>0</v>
      </c>
      <c r="H594" s="40">
        <v>0</v>
      </c>
      <c r="I594" s="40">
        <v>0</v>
      </c>
      <c r="J594" s="40">
        <v>0</v>
      </c>
      <c r="K594" s="40">
        <v>0</v>
      </c>
      <c r="L594" s="40">
        <v>0</v>
      </c>
      <c r="M594" s="40" cm="1">
        <f t="array" ref="M594:N594">VLOOKUP(B594,'Fumigation  Room'!B:H,{6,7},0)</f>
        <v>0</v>
      </c>
      <c r="N594" s="40">
        <v>0</v>
      </c>
      <c r="O594" s="40">
        <f t="shared" si="19"/>
        <v>0</v>
      </c>
      <c r="P594" s="40">
        <f t="shared" si="20"/>
        <v>0</v>
      </c>
    </row>
    <row r="595" spans="1:16" x14ac:dyDescent="0.35">
      <c r="A595" s="33">
        <v>592</v>
      </c>
      <c r="B595" s="34" t="s">
        <v>893</v>
      </c>
      <c r="C595" s="33" t="s">
        <v>297</v>
      </c>
      <c r="D595" s="33" t="s">
        <v>50</v>
      </c>
      <c r="E595" s="33" t="s">
        <v>890</v>
      </c>
      <c r="F595" s="35">
        <v>1</v>
      </c>
      <c r="G595" s="40">
        <v>0</v>
      </c>
      <c r="H595" s="40">
        <v>0</v>
      </c>
      <c r="I595" s="40">
        <v>0</v>
      </c>
      <c r="J595" s="40">
        <v>0</v>
      </c>
      <c r="K595" s="40">
        <v>0</v>
      </c>
      <c r="L595" s="40">
        <v>0</v>
      </c>
      <c r="M595" s="40" cm="1">
        <f t="array" ref="M595:N595">VLOOKUP(B595,'Fumigation  Room'!B:H,{6,7},0)</f>
        <v>0</v>
      </c>
      <c r="N595" s="40">
        <v>1.25</v>
      </c>
      <c r="O595" s="40">
        <f t="shared" si="19"/>
        <v>0</v>
      </c>
      <c r="P595" s="40">
        <f t="shared" si="20"/>
        <v>1.25</v>
      </c>
    </row>
    <row r="596" spans="1:16" x14ac:dyDescent="0.35">
      <c r="A596" s="33">
        <v>593</v>
      </c>
      <c r="B596" s="34" t="s">
        <v>894</v>
      </c>
      <c r="C596" s="33" t="s">
        <v>297</v>
      </c>
      <c r="D596" s="33" t="s">
        <v>50</v>
      </c>
      <c r="E596" s="33" t="s">
        <v>890</v>
      </c>
      <c r="F596" s="35">
        <v>1</v>
      </c>
      <c r="G596" s="40">
        <v>0</v>
      </c>
      <c r="H596" s="40">
        <v>0</v>
      </c>
      <c r="I596" s="40">
        <v>0</v>
      </c>
      <c r="J596" s="40">
        <v>0</v>
      </c>
      <c r="K596" s="40">
        <v>0</v>
      </c>
      <c r="L596" s="40">
        <v>0</v>
      </c>
      <c r="M596" s="40" cm="1">
        <f t="array" ref="M596:N596">VLOOKUP(B596,'Fumigation  Room'!B:H,{6,7},0)</f>
        <v>0</v>
      </c>
      <c r="N596" s="40">
        <v>0</v>
      </c>
      <c r="O596" s="40">
        <f t="shared" si="19"/>
        <v>0</v>
      </c>
      <c r="P596" s="40">
        <f t="shared" si="20"/>
        <v>0</v>
      </c>
    </row>
    <row r="597" spans="1:16" x14ac:dyDescent="0.35">
      <c r="A597" s="33">
        <v>594</v>
      </c>
      <c r="B597" s="34" t="s">
        <v>1005</v>
      </c>
      <c r="C597" s="33" t="s">
        <v>346</v>
      </c>
      <c r="D597" s="33" t="s">
        <v>50</v>
      </c>
      <c r="E597" s="33" t="s">
        <v>1006</v>
      </c>
      <c r="F597" s="35">
        <v>0.5</v>
      </c>
      <c r="G597" s="40">
        <v>0</v>
      </c>
      <c r="H597" s="40">
        <v>0</v>
      </c>
      <c r="I597" s="40">
        <v>0</v>
      </c>
      <c r="J597" s="40">
        <v>0</v>
      </c>
      <c r="K597" s="40">
        <v>0</v>
      </c>
      <c r="L597" s="40">
        <v>0</v>
      </c>
      <c r="M597" s="40" cm="1">
        <f t="array" ref="M597:N597">VLOOKUP(B597,'Fumigation  Room'!B:H,{6,7},0)</f>
        <v>0</v>
      </c>
      <c r="N597" s="40">
        <v>0</v>
      </c>
      <c r="O597" s="40">
        <f t="shared" si="19"/>
        <v>0</v>
      </c>
      <c r="P597" s="40">
        <f t="shared" si="20"/>
        <v>0</v>
      </c>
    </row>
    <row r="598" spans="1:16" x14ac:dyDescent="0.35">
      <c r="A598" s="33">
        <v>595</v>
      </c>
      <c r="B598" s="34" t="s">
        <v>1007</v>
      </c>
      <c r="C598" s="33" t="s">
        <v>346</v>
      </c>
      <c r="D598" s="33" t="s">
        <v>50</v>
      </c>
      <c r="E598" s="33" t="s">
        <v>1006</v>
      </c>
      <c r="F598" s="35">
        <v>0.5</v>
      </c>
      <c r="G598" s="40">
        <v>0</v>
      </c>
      <c r="H598" s="40">
        <v>0</v>
      </c>
      <c r="I598" s="40">
        <v>0</v>
      </c>
      <c r="J598" s="40">
        <v>0</v>
      </c>
      <c r="K598" s="40">
        <v>0</v>
      </c>
      <c r="L598" s="40">
        <v>0</v>
      </c>
      <c r="M598" s="40" cm="1">
        <f t="array" ref="M598:N598">VLOOKUP(B598,'Fumigation  Room'!B:H,{6,7},0)</f>
        <v>0</v>
      </c>
      <c r="N598" s="40">
        <v>0</v>
      </c>
      <c r="O598" s="40">
        <f t="shared" si="19"/>
        <v>0</v>
      </c>
      <c r="P598" s="40">
        <f t="shared" si="20"/>
        <v>0</v>
      </c>
    </row>
    <row r="599" spans="1:16" x14ac:dyDescent="0.35">
      <c r="A599" s="33">
        <v>596</v>
      </c>
      <c r="B599" s="34" t="s">
        <v>1008</v>
      </c>
      <c r="C599" s="33" t="s">
        <v>346</v>
      </c>
      <c r="D599" s="33" t="s">
        <v>50</v>
      </c>
      <c r="E599" s="33" t="s">
        <v>1006</v>
      </c>
      <c r="F599" s="35">
        <v>8</v>
      </c>
      <c r="G599" s="40">
        <v>0</v>
      </c>
      <c r="H599" s="40">
        <v>0</v>
      </c>
      <c r="I599" s="40">
        <v>0</v>
      </c>
      <c r="J599" s="40">
        <v>0</v>
      </c>
      <c r="K599" s="40">
        <v>0</v>
      </c>
      <c r="L599" s="40">
        <v>0</v>
      </c>
      <c r="M599" s="40" cm="1">
        <f t="array" ref="M599:N599">VLOOKUP(B599,'Fumigation  Room'!B:H,{6,7},0)</f>
        <v>0</v>
      </c>
      <c r="N599" s="40">
        <v>0</v>
      </c>
      <c r="O599" s="40">
        <f t="shared" si="19"/>
        <v>0</v>
      </c>
      <c r="P599" s="40">
        <f t="shared" si="20"/>
        <v>0</v>
      </c>
    </row>
    <row r="600" spans="1:16" x14ac:dyDescent="0.35">
      <c r="A600" s="33">
        <v>597</v>
      </c>
      <c r="B600" s="34" t="s">
        <v>1009</v>
      </c>
      <c r="C600" s="33" t="s">
        <v>346</v>
      </c>
      <c r="D600" s="33" t="s">
        <v>50</v>
      </c>
      <c r="E600" s="33" t="s">
        <v>1006</v>
      </c>
      <c r="F600" s="35">
        <v>0.5</v>
      </c>
      <c r="G600" s="40">
        <v>0</v>
      </c>
      <c r="H600" s="40">
        <v>0</v>
      </c>
      <c r="I600" s="40">
        <v>0</v>
      </c>
      <c r="J600" s="40">
        <v>0</v>
      </c>
      <c r="K600" s="40">
        <v>0</v>
      </c>
      <c r="L600" s="40">
        <v>0</v>
      </c>
      <c r="M600" s="40" cm="1">
        <f t="array" ref="M600:N600">VLOOKUP(B600,'Fumigation  Room'!B:H,{6,7},0)</f>
        <v>0</v>
      </c>
      <c r="N600" s="40">
        <v>0</v>
      </c>
      <c r="O600" s="40">
        <f t="shared" si="19"/>
        <v>0</v>
      </c>
      <c r="P600" s="40">
        <f t="shared" si="20"/>
        <v>0</v>
      </c>
    </row>
    <row r="601" spans="1:16" x14ac:dyDescent="0.35">
      <c r="A601" s="33">
        <v>598</v>
      </c>
      <c r="B601" s="34" t="s">
        <v>1010</v>
      </c>
      <c r="C601" s="33" t="s">
        <v>346</v>
      </c>
      <c r="D601" s="33" t="s">
        <v>50</v>
      </c>
      <c r="E601" s="33" t="s">
        <v>1006</v>
      </c>
      <c r="F601" s="35">
        <v>8</v>
      </c>
      <c r="G601" s="40">
        <v>0</v>
      </c>
      <c r="H601" s="40">
        <v>0</v>
      </c>
      <c r="I601" s="40">
        <v>0</v>
      </c>
      <c r="J601" s="40">
        <v>0</v>
      </c>
      <c r="K601" s="40">
        <v>0</v>
      </c>
      <c r="L601" s="40">
        <v>0</v>
      </c>
      <c r="M601" s="40" cm="1">
        <f t="array" ref="M601:N601">VLOOKUP(B601,'Fumigation  Room'!B:H,{6,7},0)</f>
        <v>0</v>
      </c>
      <c r="N601" s="40">
        <v>0</v>
      </c>
      <c r="O601" s="40">
        <f t="shared" si="19"/>
        <v>0</v>
      </c>
      <c r="P601" s="40">
        <f t="shared" si="20"/>
        <v>0</v>
      </c>
    </row>
    <row r="602" spans="1:16" x14ac:dyDescent="0.35">
      <c r="A602" s="33">
        <v>599</v>
      </c>
      <c r="B602" s="34" t="s">
        <v>1011</v>
      </c>
      <c r="C602" s="33" t="s">
        <v>346</v>
      </c>
      <c r="D602" s="33" t="s">
        <v>50</v>
      </c>
      <c r="E602" s="33" t="s">
        <v>1006</v>
      </c>
      <c r="F602" s="35">
        <v>0.5</v>
      </c>
      <c r="G602" s="40">
        <v>0</v>
      </c>
      <c r="H602" s="40">
        <v>0</v>
      </c>
      <c r="I602" s="40">
        <v>0</v>
      </c>
      <c r="J602" s="40">
        <v>0</v>
      </c>
      <c r="K602" s="40">
        <v>0</v>
      </c>
      <c r="L602" s="40">
        <v>0</v>
      </c>
      <c r="M602" s="40" cm="1">
        <f t="array" ref="M602:N602">VLOOKUP(B602,'Fumigation  Room'!B:H,{6,7},0)</f>
        <v>12</v>
      </c>
      <c r="N602" s="40">
        <v>6</v>
      </c>
      <c r="O602" s="40">
        <f t="shared" si="19"/>
        <v>12</v>
      </c>
      <c r="P602" s="40">
        <f t="shared" si="20"/>
        <v>6</v>
      </c>
    </row>
    <row r="603" spans="1:16" x14ac:dyDescent="0.35">
      <c r="A603" s="33">
        <v>600</v>
      </c>
      <c r="B603" s="34" t="s">
        <v>895</v>
      </c>
      <c r="C603" s="33" t="s">
        <v>297</v>
      </c>
      <c r="D603" s="33" t="s">
        <v>50</v>
      </c>
      <c r="E603" s="33" t="s">
        <v>896</v>
      </c>
      <c r="F603" s="35">
        <v>1</v>
      </c>
      <c r="G603" s="40">
        <v>0</v>
      </c>
      <c r="H603" s="40">
        <v>0</v>
      </c>
      <c r="I603" s="40">
        <v>0</v>
      </c>
      <c r="J603" s="40">
        <v>0</v>
      </c>
      <c r="K603" s="40">
        <v>0</v>
      </c>
      <c r="L603" s="40">
        <v>0</v>
      </c>
      <c r="M603" s="40" cm="1">
        <f t="array" ref="M603:N603">VLOOKUP(B603,'Fumigation  Room'!B:H,{6,7},0)</f>
        <v>0</v>
      </c>
      <c r="N603" s="40">
        <v>0</v>
      </c>
      <c r="O603" s="40">
        <f t="shared" si="19"/>
        <v>0</v>
      </c>
      <c r="P603" s="40">
        <f t="shared" si="20"/>
        <v>0</v>
      </c>
    </row>
    <row r="604" spans="1:16" x14ac:dyDescent="0.35">
      <c r="A604" s="33">
        <v>601</v>
      </c>
      <c r="B604" s="34" t="s">
        <v>897</v>
      </c>
      <c r="C604" s="33" t="s">
        <v>297</v>
      </c>
      <c r="D604" s="33" t="s">
        <v>50</v>
      </c>
      <c r="E604" s="33" t="s">
        <v>896</v>
      </c>
      <c r="F604" s="35">
        <v>1</v>
      </c>
      <c r="G604" s="40">
        <v>0</v>
      </c>
      <c r="H604" s="40">
        <v>0</v>
      </c>
      <c r="I604" s="40">
        <v>0</v>
      </c>
      <c r="J604" s="40">
        <v>0</v>
      </c>
      <c r="K604" s="40">
        <v>0</v>
      </c>
      <c r="L604" s="40">
        <v>0</v>
      </c>
      <c r="M604" s="40" cm="1">
        <f t="array" ref="M604:N604">VLOOKUP(B604,'Fumigation  Room'!B:H,{6,7},0)</f>
        <v>0</v>
      </c>
      <c r="N604" s="40">
        <v>0</v>
      </c>
      <c r="O604" s="40">
        <f t="shared" si="19"/>
        <v>0</v>
      </c>
      <c r="P604" s="40">
        <f t="shared" si="20"/>
        <v>0</v>
      </c>
    </row>
    <row r="605" spans="1:16" x14ac:dyDescent="0.35">
      <c r="A605" s="33">
        <v>602</v>
      </c>
      <c r="B605" s="34" t="s">
        <v>898</v>
      </c>
      <c r="C605" s="33" t="s">
        <v>297</v>
      </c>
      <c r="D605" s="33" t="s">
        <v>50</v>
      </c>
      <c r="E605" s="33" t="s">
        <v>896</v>
      </c>
      <c r="F605" s="35">
        <v>1</v>
      </c>
      <c r="G605" s="40">
        <v>0</v>
      </c>
      <c r="H605" s="40">
        <v>0</v>
      </c>
      <c r="I605" s="40">
        <v>0</v>
      </c>
      <c r="J605" s="40">
        <v>0</v>
      </c>
      <c r="K605" s="40">
        <v>0</v>
      </c>
      <c r="L605" s="40">
        <v>0</v>
      </c>
      <c r="M605" s="40" cm="1">
        <f t="array" ref="M605:N605">VLOOKUP(B605,'Fumigation  Room'!B:H,{6,7},0)</f>
        <v>0</v>
      </c>
      <c r="N605" s="40">
        <v>0</v>
      </c>
      <c r="O605" s="40">
        <f t="shared" si="19"/>
        <v>0</v>
      </c>
      <c r="P605" s="40">
        <f t="shared" si="20"/>
        <v>0</v>
      </c>
    </row>
    <row r="606" spans="1:16" x14ac:dyDescent="0.35">
      <c r="A606" s="33">
        <v>603</v>
      </c>
      <c r="B606" s="34" t="s">
        <v>899</v>
      </c>
      <c r="C606" s="33" t="s">
        <v>297</v>
      </c>
      <c r="D606" s="33" t="s">
        <v>50</v>
      </c>
      <c r="E606" s="33" t="s">
        <v>896</v>
      </c>
      <c r="F606" s="35">
        <v>1</v>
      </c>
      <c r="G606" s="40">
        <v>0</v>
      </c>
      <c r="H606" s="40">
        <v>0</v>
      </c>
      <c r="I606" s="40">
        <v>0</v>
      </c>
      <c r="J606" s="40">
        <v>0</v>
      </c>
      <c r="K606" s="40">
        <v>0</v>
      </c>
      <c r="L606" s="40">
        <v>0</v>
      </c>
      <c r="M606" s="40" cm="1">
        <f t="array" ref="M606:N606">VLOOKUP(B606,'Fumigation  Room'!B:H,{6,7},0)</f>
        <v>0</v>
      </c>
      <c r="N606" s="40">
        <v>0</v>
      </c>
      <c r="O606" s="40">
        <f t="shared" si="19"/>
        <v>0</v>
      </c>
      <c r="P606" s="40">
        <f t="shared" si="20"/>
        <v>0</v>
      </c>
    </row>
    <row r="607" spans="1:16" x14ac:dyDescent="0.35">
      <c r="A607" s="33">
        <v>604</v>
      </c>
      <c r="B607" s="34" t="s">
        <v>900</v>
      </c>
      <c r="C607" s="33" t="s">
        <v>297</v>
      </c>
      <c r="D607" s="33" t="s">
        <v>50</v>
      </c>
      <c r="E607" s="33" t="s">
        <v>896</v>
      </c>
      <c r="F607" s="35">
        <v>1</v>
      </c>
      <c r="G607" s="40">
        <v>0</v>
      </c>
      <c r="H607" s="40">
        <v>0</v>
      </c>
      <c r="I607" s="40">
        <v>0</v>
      </c>
      <c r="J607" s="40">
        <v>0</v>
      </c>
      <c r="K607" s="40">
        <v>0</v>
      </c>
      <c r="L607" s="40">
        <v>0</v>
      </c>
      <c r="M607" s="40" cm="1">
        <f t="array" ref="M607:N607">VLOOKUP(B607,'Fumigation  Room'!B:H,{6,7},0)</f>
        <v>0</v>
      </c>
      <c r="N607" s="40">
        <v>0</v>
      </c>
      <c r="O607" s="40">
        <f t="shared" si="19"/>
        <v>0</v>
      </c>
      <c r="P607" s="40">
        <f t="shared" si="20"/>
        <v>0</v>
      </c>
    </row>
    <row r="608" spans="1:16" x14ac:dyDescent="0.35">
      <c r="A608" s="33">
        <v>605</v>
      </c>
      <c r="B608" s="34" t="s">
        <v>1012</v>
      </c>
      <c r="C608" s="33" t="s">
        <v>346</v>
      </c>
      <c r="D608" s="33" t="s">
        <v>50</v>
      </c>
      <c r="E608" s="33" t="s">
        <v>896</v>
      </c>
      <c r="F608" s="35">
        <v>0.4</v>
      </c>
      <c r="G608" s="40">
        <v>0</v>
      </c>
      <c r="H608" s="40">
        <v>0</v>
      </c>
      <c r="I608" s="40">
        <v>0</v>
      </c>
      <c r="J608" s="40">
        <v>0</v>
      </c>
      <c r="K608" s="40">
        <v>0</v>
      </c>
      <c r="L608" s="40">
        <v>0</v>
      </c>
      <c r="M608" s="40" cm="1">
        <f t="array" ref="M608:N608">VLOOKUP(B608,'Fumigation  Room'!B:H,{6,7},0)</f>
        <v>0</v>
      </c>
      <c r="N608" s="40">
        <v>0</v>
      </c>
      <c r="O608" s="40">
        <f t="shared" si="19"/>
        <v>0</v>
      </c>
      <c r="P608" s="40">
        <f t="shared" si="20"/>
        <v>0</v>
      </c>
    </row>
    <row r="609" spans="1:16" x14ac:dyDescent="0.35">
      <c r="A609" s="33">
        <v>606</v>
      </c>
      <c r="B609" s="34" t="s">
        <v>1013</v>
      </c>
      <c r="C609" s="33" t="s">
        <v>346</v>
      </c>
      <c r="D609" s="33" t="s">
        <v>50</v>
      </c>
      <c r="E609" s="33" t="s">
        <v>896</v>
      </c>
      <c r="F609" s="35">
        <v>0.5</v>
      </c>
      <c r="G609" s="40">
        <v>0</v>
      </c>
      <c r="H609" s="40">
        <v>0</v>
      </c>
      <c r="I609" s="40">
        <v>0</v>
      </c>
      <c r="J609" s="40">
        <v>0</v>
      </c>
      <c r="K609" s="40">
        <v>0</v>
      </c>
      <c r="L609" s="40">
        <v>0</v>
      </c>
      <c r="M609" s="40" cm="1">
        <f t="array" ref="M609:N609">VLOOKUP(B609,'Fumigation  Room'!B:H,{6,7},0)</f>
        <v>0</v>
      </c>
      <c r="N609" s="40">
        <v>0</v>
      </c>
      <c r="O609" s="40">
        <f t="shared" si="19"/>
        <v>0</v>
      </c>
      <c r="P609" s="40">
        <f t="shared" si="20"/>
        <v>0</v>
      </c>
    </row>
    <row r="610" spans="1:16" x14ac:dyDescent="0.35">
      <c r="A610" s="33">
        <v>607</v>
      </c>
      <c r="B610" s="34" t="s">
        <v>1014</v>
      </c>
      <c r="C610" s="33" t="s">
        <v>346</v>
      </c>
      <c r="D610" s="33" t="s">
        <v>50</v>
      </c>
      <c r="E610" s="33" t="s">
        <v>896</v>
      </c>
      <c r="F610" s="35">
        <v>1</v>
      </c>
      <c r="G610" s="40">
        <v>0</v>
      </c>
      <c r="H610" s="40">
        <v>0</v>
      </c>
      <c r="I610" s="40">
        <v>0</v>
      </c>
      <c r="J610" s="40">
        <v>0</v>
      </c>
      <c r="K610" s="40">
        <v>0</v>
      </c>
      <c r="L610" s="40">
        <v>0</v>
      </c>
      <c r="M610" s="40" cm="1">
        <f t="array" ref="M610:N610">VLOOKUP(B610,'Fumigation  Room'!B:H,{6,7},0)</f>
        <v>0</v>
      </c>
      <c r="N610" s="40">
        <v>0</v>
      </c>
      <c r="O610" s="40">
        <f t="shared" si="19"/>
        <v>0</v>
      </c>
      <c r="P610" s="40">
        <f t="shared" si="20"/>
        <v>0</v>
      </c>
    </row>
    <row r="611" spans="1:16" x14ac:dyDescent="0.35">
      <c r="A611" s="33">
        <v>608</v>
      </c>
      <c r="B611" s="34" t="s">
        <v>1015</v>
      </c>
      <c r="C611" s="33" t="s">
        <v>346</v>
      </c>
      <c r="D611" s="33" t="s">
        <v>50</v>
      </c>
      <c r="E611" s="33" t="s">
        <v>896</v>
      </c>
      <c r="F611" s="35">
        <v>0.25</v>
      </c>
      <c r="G611" s="40">
        <v>0</v>
      </c>
      <c r="H611" s="40">
        <v>0</v>
      </c>
      <c r="I611" s="40">
        <v>0</v>
      </c>
      <c r="J611" s="40">
        <v>0</v>
      </c>
      <c r="K611" s="40">
        <v>0</v>
      </c>
      <c r="L611" s="40">
        <v>0</v>
      </c>
      <c r="M611" s="40" cm="1">
        <f t="array" ref="M611:N611">VLOOKUP(B611,'Fumigation  Room'!B:H,{6,7},0)</f>
        <v>0</v>
      </c>
      <c r="N611" s="40">
        <v>0</v>
      </c>
      <c r="O611" s="40">
        <f t="shared" si="19"/>
        <v>0</v>
      </c>
      <c r="P611" s="40">
        <f t="shared" si="20"/>
        <v>0</v>
      </c>
    </row>
    <row r="612" spans="1:16" x14ac:dyDescent="0.35">
      <c r="A612" s="33">
        <v>609</v>
      </c>
      <c r="B612" s="34" t="s">
        <v>1016</v>
      </c>
      <c r="C612" s="33" t="s">
        <v>346</v>
      </c>
      <c r="D612" s="33" t="s">
        <v>50</v>
      </c>
      <c r="E612" s="33" t="s">
        <v>1017</v>
      </c>
      <c r="F612" s="35">
        <v>1</v>
      </c>
      <c r="G612" s="40">
        <v>0</v>
      </c>
      <c r="H612" s="40">
        <v>0</v>
      </c>
      <c r="I612" s="40">
        <v>0</v>
      </c>
      <c r="J612" s="40">
        <v>0</v>
      </c>
      <c r="K612" s="40">
        <v>0</v>
      </c>
      <c r="L612" s="40">
        <v>0</v>
      </c>
      <c r="M612" s="40" cm="1">
        <f t="array" ref="M612:N612">VLOOKUP(B612,'Fumigation  Room'!B:H,{6,7},0)</f>
        <v>0</v>
      </c>
      <c r="N612" s="40">
        <v>0</v>
      </c>
      <c r="O612" s="40">
        <f t="shared" si="19"/>
        <v>0</v>
      </c>
      <c r="P612" s="40">
        <f t="shared" si="20"/>
        <v>0</v>
      </c>
    </row>
    <row r="613" spans="1:16" x14ac:dyDescent="0.35">
      <c r="A613" s="33">
        <v>610</v>
      </c>
      <c r="B613" s="34" t="s">
        <v>1018</v>
      </c>
      <c r="C613" s="33" t="s">
        <v>346</v>
      </c>
      <c r="D613" s="33" t="s">
        <v>50</v>
      </c>
      <c r="E613" s="33" t="s">
        <v>896</v>
      </c>
      <c r="F613" s="35">
        <v>0.2</v>
      </c>
      <c r="G613" s="40">
        <v>0</v>
      </c>
      <c r="H613" s="40">
        <v>0</v>
      </c>
      <c r="I613" s="40">
        <v>0</v>
      </c>
      <c r="J613" s="40">
        <v>0</v>
      </c>
      <c r="K613" s="40">
        <v>0</v>
      </c>
      <c r="L613" s="40">
        <v>0</v>
      </c>
      <c r="M613" s="40" cm="1">
        <f t="array" ref="M613:N613">VLOOKUP(B613,'Fumigation  Room'!B:H,{6,7},0)</f>
        <v>0</v>
      </c>
      <c r="N613" s="40">
        <v>0</v>
      </c>
      <c r="O613" s="40">
        <f t="shared" si="19"/>
        <v>0</v>
      </c>
      <c r="P613" s="40">
        <f t="shared" si="20"/>
        <v>0</v>
      </c>
    </row>
    <row r="614" spans="1:16" x14ac:dyDescent="0.35">
      <c r="A614" s="33">
        <v>611</v>
      </c>
      <c r="B614" s="34" t="s">
        <v>1019</v>
      </c>
      <c r="C614" s="33" t="s">
        <v>346</v>
      </c>
      <c r="D614" s="33" t="s">
        <v>50</v>
      </c>
      <c r="E614" s="33" t="s">
        <v>896</v>
      </c>
      <c r="F614" s="35">
        <v>7.2</v>
      </c>
      <c r="G614" s="40">
        <v>0</v>
      </c>
      <c r="H614" s="40">
        <v>0</v>
      </c>
      <c r="I614" s="40">
        <v>0</v>
      </c>
      <c r="J614" s="40">
        <v>0</v>
      </c>
      <c r="K614" s="40">
        <v>0</v>
      </c>
      <c r="L614" s="40">
        <v>0</v>
      </c>
      <c r="M614" s="40" cm="1">
        <f t="array" ref="M614:N614">VLOOKUP(B614,'Fumigation  Room'!B:H,{6,7},0)</f>
        <v>0</v>
      </c>
      <c r="N614" s="40">
        <v>0</v>
      </c>
      <c r="O614" s="40">
        <f t="shared" si="19"/>
        <v>0</v>
      </c>
      <c r="P614" s="40">
        <f t="shared" si="20"/>
        <v>0</v>
      </c>
    </row>
    <row r="615" spans="1:16" x14ac:dyDescent="0.35">
      <c r="A615" s="33">
        <v>612</v>
      </c>
      <c r="B615" s="34" t="s">
        <v>1020</v>
      </c>
      <c r="C615" s="33" t="s">
        <v>346</v>
      </c>
      <c r="D615" s="33" t="s">
        <v>50</v>
      </c>
      <c r="E615" s="33" t="s">
        <v>896</v>
      </c>
      <c r="F615" s="35">
        <v>7.2</v>
      </c>
      <c r="G615" s="40">
        <v>0</v>
      </c>
      <c r="H615" s="40">
        <v>0</v>
      </c>
      <c r="I615" s="40">
        <v>0</v>
      </c>
      <c r="J615" s="40">
        <v>0</v>
      </c>
      <c r="K615" s="40">
        <v>0</v>
      </c>
      <c r="L615" s="40">
        <v>0</v>
      </c>
      <c r="M615" s="40" cm="1">
        <f t="array" ref="M615:N615">VLOOKUP(B615,'Fumigation  Room'!B:H,{6,7},0)</f>
        <v>0</v>
      </c>
      <c r="N615" s="40">
        <v>0</v>
      </c>
      <c r="O615" s="40">
        <f t="shared" si="19"/>
        <v>0</v>
      </c>
      <c r="P615" s="40">
        <f t="shared" si="20"/>
        <v>0</v>
      </c>
    </row>
    <row r="616" spans="1:16" x14ac:dyDescent="0.35">
      <c r="A616" s="33">
        <v>613</v>
      </c>
      <c r="B616" s="34" t="s">
        <v>1021</v>
      </c>
      <c r="C616" s="33" t="s">
        <v>346</v>
      </c>
      <c r="D616" s="33" t="s">
        <v>50</v>
      </c>
      <c r="E616" s="33" t="s">
        <v>896</v>
      </c>
      <c r="F616" s="35">
        <v>0.5</v>
      </c>
      <c r="G616" s="40">
        <v>0</v>
      </c>
      <c r="H616" s="40">
        <v>0</v>
      </c>
      <c r="I616" s="40">
        <v>0</v>
      </c>
      <c r="J616" s="40">
        <v>0</v>
      </c>
      <c r="K616" s="40">
        <v>0</v>
      </c>
      <c r="L616" s="40">
        <v>0</v>
      </c>
      <c r="M616" s="40" cm="1">
        <f t="array" ref="M616:N616">VLOOKUP(B616,'Fumigation  Room'!B:H,{6,7},0)</f>
        <v>0</v>
      </c>
      <c r="N616" s="40">
        <v>0</v>
      </c>
      <c r="O616" s="40">
        <f t="shared" si="19"/>
        <v>0</v>
      </c>
      <c r="P616" s="40">
        <f t="shared" si="20"/>
        <v>0</v>
      </c>
    </row>
    <row r="617" spans="1:16" x14ac:dyDescent="0.35">
      <c r="A617" s="33">
        <v>614</v>
      </c>
      <c r="B617" s="34" t="s">
        <v>1022</v>
      </c>
      <c r="C617" s="33" t="s">
        <v>346</v>
      </c>
      <c r="D617" s="33" t="s">
        <v>50</v>
      </c>
      <c r="E617" s="33" t="s">
        <v>896</v>
      </c>
      <c r="F617" s="35">
        <v>12</v>
      </c>
      <c r="G617" s="40">
        <v>0</v>
      </c>
      <c r="H617" s="40">
        <v>0</v>
      </c>
      <c r="I617" s="40">
        <v>0</v>
      </c>
      <c r="J617" s="40">
        <v>0</v>
      </c>
      <c r="K617" s="40">
        <v>0</v>
      </c>
      <c r="L617" s="40">
        <v>0</v>
      </c>
      <c r="M617" s="40" cm="1">
        <f t="array" ref="M617:N617">VLOOKUP(B617,'Fumigation  Room'!B:H,{6,7},0)</f>
        <v>0</v>
      </c>
      <c r="N617" s="40">
        <v>0</v>
      </c>
      <c r="O617" s="40">
        <f t="shared" si="19"/>
        <v>0</v>
      </c>
      <c r="P617" s="40">
        <f t="shared" si="20"/>
        <v>0</v>
      </c>
    </row>
    <row r="618" spans="1:16" x14ac:dyDescent="0.35">
      <c r="A618" s="33">
        <v>615</v>
      </c>
      <c r="B618" s="34" t="s">
        <v>1023</v>
      </c>
      <c r="C618" s="33" t="s">
        <v>346</v>
      </c>
      <c r="D618" s="33" t="s">
        <v>50</v>
      </c>
      <c r="E618" s="33" t="s">
        <v>896</v>
      </c>
      <c r="F618" s="35">
        <v>12</v>
      </c>
      <c r="G618" s="40">
        <v>0</v>
      </c>
      <c r="H618" s="40">
        <v>0</v>
      </c>
      <c r="I618" s="40">
        <v>0</v>
      </c>
      <c r="J618" s="40">
        <v>0</v>
      </c>
      <c r="K618" s="40">
        <v>0</v>
      </c>
      <c r="L618" s="40">
        <v>0</v>
      </c>
      <c r="M618" s="40" cm="1">
        <f t="array" ref="M618:N618">VLOOKUP(B618,'Fumigation  Room'!B:H,{6,7},0)</f>
        <v>0</v>
      </c>
      <c r="N618" s="40">
        <v>0</v>
      </c>
      <c r="O618" s="40">
        <f t="shared" si="19"/>
        <v>0</v>
      </c>
      <c r="P618" s="40">
        <f t="shared" si="20"/>
        <v>0</v>
      </c>
    </row>
    <row r="619" spans="1:16" x14ac:dyDescent="0.35">
      <c r="A619" s="33">
        <v>616</v>
      </c>
      <c r="B619" s="34" t="s">
        <v>1024</v>
      </c>
      <c r="C619" s="33" t="s">
        <v>346</v>
      </c>
      <c r="D619" s="33" t="s">
        <v>50</v>
      </c>
      <c r="E619" s="33" t="s">
        <v>896</v>
      </c>
      <c r="F619" s="35">
        <v>0.5</v>
      </c>
      <c r="G619" s="40">
        <v>0</v>
      </c>
      <c r="H619" s="40">
        <v>0</v>
      </c>
      <c r="I619" s="40">
        <v>0</v>
      </c>
      <c r="J619" s="40">
        <v>0</v>
      </c>
      <c r="K619" s="40">
        <v>0</v>
      </c>
      <c r="L619" s="40">
        <v>0</v>
      </c>
      <c r="M619" s="40" cm="1">
        <f t="array" ref="M619:N619">VLOOKUP(B619,'Fumigation  Room'!B:H,{6,7},0)</f>
        <v>0</v>
      </c>
      <c r="N619" s="40">
        <v>0</v>
      </c>
      <c r="O619" s="40">
        <f t="shared" si="19"/>
        <v>0</v>
      </c>
      <c r="P619" s="40">
        <f t="shared" si="20"/>
        <v>0</v>
      </c>
    </row>
    <row r="620" spans="1:16" x14ac:dyDescent="0.35">
      <c r="A620" s="33">
        <v>617</v>
      </c>
      <c r="B620" s="34" t="s">
        <v>1025</v>
      </c>
      <c r="C620" s="33" t="s">
        <v>346</v>
      </c>
      <c r="D620" s="33" t="s">
        <v>50</v>
      </c>
      <c r="E620" s="33" t="s">
        <v>896</v>
      </c>
      <c r="F620" s="35">
        <v>0.4</v>
      </c>
      <c r="G620" s="40">
        <v>0</v>
      </c>
      <c r="H620" s="40">
        <v>0</v>
      </c>
      <c r="I620" s="40">
        <v>0</v>
      </c>
      <c r="J620" s="40">
        <v>0</v>
      </c>
      <c r="K620" s="40">
        <v>0</v>
      </c>
      <c r="L620" s="40">
        <v>0</v>
      </c>
      <c r="M620" s="40" cm="1">
        <f t="array" ref="M620:N620">VLOOKUP(B620,'Fumigation  Room'!B:H,{6,7},0)</f>
        <v>0</v>
      </c>
      <c r="N620" s="40">
        <v>0</v>
      </c>
      <c r="O620" s="40">
        <f t="shared" si="19"/>
        <v>0</v>
      </c>
      <c r="P620" s="40">
        <f t="shared" si="20"/>
        <v>0</v>
      </c>
    </row>
    <row r="621" spans="1:16" x14ac:dyDescent="0.35">
      <c r="A621" s="33">
        <v>618</v>
      </c>
      <c r="B621" s="34" t="s">
        <v>1026</v>
      </c>
      <c r="C621" s="33" t="s">
        <v>346</v>
      </c>
      <c r="D621" s="33" t="s">
        <v>50</v>
      </c>
      <c r="E621" s="33" t="s">
        <v>896</v>
      </c>
      <c r="F621" s="35">
        <v>0.25</v>
      </c>
      <c r="G621" s="40">
        <v>0</v>
      </c>
      <c r="H621" s="40">
        <v>0</v>
      </c>
      <c r="I621" s="40">
        <v>0</v>
      </c>
      <c r="J621" s="40">
        <v>0</v>
      </c>
      <c r="K621" s="40">
        <v>0</v>
      </c>
      <c r="L621" s="40">
        <v>0</v>
      </c>
      <c r="M621" s="40" cm="1">
        <f t="array" ref="M621:N621">VLOOKUP(B621,'Fumigation  Room'!B:H,{6,7},0)</f>
        <v>0</v>
      </c>
      <c r="N621" s="40">
        <v>0</v>
      </c>
      <c r="O621" s="40">
        <f t="shared" si="19"/>
        <v>0</v>
      </c>
      <c r="P621" s="40">
        <f t="shared" si="20"/>
        <v>0</v>
      </c>
    </row>
    <row r="622" spans="1:16" x14ac:dyDescent="0.35">
      <c r="A622" s="33">
        <v>619</v>
      </c>
      <c r="B622" s="34" t="s">
        <v>1027</v>
      </c>
      <c r="C622" s="33" t="s">
        <v>346</v>
      </c>
      <c r="D622" s="33" t="s">
        <v>50</v>
      </c>
      <c r="E622" s="33" t="s">
        <v>896</v>
      </c>
      <c r="F622" s="35">
        <v>0.48</v>
      </c>
      <c r="G622" s="40">
        <v>0</v>
      </c>
      <c r="H622" s="40">
        <v>0</v>
      </c>
      <c r="I622" s="40">
        <v>0</v>
      </c>
      <c r="J622" s="40">
        <v>0</v>
      </c>
      <c r="K622" s="40">
        <v>0</v>
      </c>
      <c r="L622" s="40">
        <v>0</v>
      </c>
      <c r="M622" s="40" cm="1">
        <f t="array" ref="M622:N622">VLOOKUP(B622,'Fumigation  Room'!B:H,{6,7},0)</f>
        <v>0</v>
      </c>
      <c r="N622" s="40">
        <v>0</v>
      </c>
      <c r="O622" s="40">
        <f t="shared" si="19"/>
        <v>0</v>
      </c>
      <c r="P622" s="40">
        <f t="shared" si="20"/>
        <v>0</v>
      </c>
    </row>
    <row r="623" spans="1:16" x14ac:dyDescent="0.35">
      <c r="A623" s="33">
        <v>620</v>
      </c>
      <c r="B623" s="34" t="s">
        <v>1028</v>
      </c>
      <c r="C623" s="33" t="s">
        <v>346</v>
      </c>
      <c r="D623" s="33" t="s">
        <v>50</v>
      </c>
      <c r="E623" s="33" t="s">
        <v>896</v>
      </c>
      <c r="F623" s="35">
        <v>0.5</v>
      </c>
      <c r="G623" s="40">
        <v>0</v>
      </c>
      <c r="H623" s="40">
        <v>0</v>
      </c>
      <c r="I623" s="40">
        <v>0</v>
      </c>
      <c r="J623" s="40">
        <v>0</v>
      </c>
      <c r="K623" s="40">
        <v>0</v>
      </c>
      <c r="L623" s="40">
        <v>0</v>
      </c>
      <c r="M623" s="40" cm="1">
        <f t="array" ref="M623:N623">VLOOKUP(B623,'Fumigation  Room'!B:H,{6,7},0)</f>
        <v>0</v>
      </c>
      <c r="N623" s="40">
        <v>0</v>
      </c>
      <c r="O623" s="40">
        <f t="shared" si="19"/>
        <v>0</v>
      </c>
      <c r="P623" s="40">
        <f t="shared" si="20"/>
        <v>0</v>
      </c>
    </row>
    <row r="624" spans="1:16" x14ac:dyDescent="0.35">
      <c r="A624" s="33">
        <v>621</v>
      </c>
      <c r="B624" s="34" t="s">
        <v>1029</v>
      </c>
      <c r="C624" s="33" t="s">
        <v>346</v>
      </c>
      <c r="D624" s="33" t="s">
        <v>50</v>
      </c>
      <c r="E624" s="33" t="s">
        <v>896</v>
      </c>
      <c r="F624" s="35">
        <v>1</v>
      </c>
      <c r="G624" s="40">
        <v>0</v>
      </c>
      <c r="H624" s="40">
        <v>0</v>
      </c>
      <c r="I624" s="40">
        <v>0</v>
      </c>
      <c r="J624" s="40">
        <v>0</v>
      </c>
      <c r="K624" s="40">
        <v>0</v>
      </c>
      <c r="L624" s="40">
        <v>0</v>
      </c>
      <c r="M624" s="40" cm="1">
        <f t="array" ref="M624:N624">VLOOKUP(B624,'Fumigation  Room'!B:H,{6,7},0)</f>
        <v>0</v>
      </c>
      <c r="N624" s="40">
        <v>0</v>
      </c>
      <c r="O624" s="40">
        <f t="shared" si="19"/>
        <v>0</v>
      </c>
      <c r="P624" s="40">
        <f t="shared" si="20"/>
        <v>0</v>
      </c>
    </row>
    <row r="625" spans="1:16" x14ac:dyDescent="0.35">
      <c r="A625" s="33">
        <v>622</v>
      </c>
      <c r="B625" s="34" t="s">
        <v>1030</v>
      </c>
      <c r="C625" s="33" t="s">
        <v>346</v>
      </c>
      <c r="D625" s="33" t="s">
        <v>50</v>
      </c>
      <c r="E625" s="33" t="s">
        <v>1031</v>
      </c>
      <c r="F625" s="35">
        <v>0.3</v>
      </c>
      <c r="G625" s="40">
        <v>0</v>
      </c>
      <c r="H625" s="40">
        <v>0</v>
      </c>
      <c r="I625" s="40">
        <v>0</v>
      </c>
      <c r="J625" s="40">
        <v>0</v>
      </c>
      <c r="K625" s="40">
        <v>0</v>
      </c>
      <c r="L625" s="40">
        <v>0</v>
      </c>
      <c r="M625" s="40" cm="1">
        <f t="array" ref="M625:N625">VLOOKUP(B625,'Fumigation  Room'!B:H,{6,7},0)</f>
        <v>0</v>
      </c>
      <c r="N625" s="40">
        <v>0</v>
      </c>
      <c r="O625" s="40">
        <f t="shared" si="19"/>
        <v>0</v>
      </c>
      <c r="P625" s="40">
        <f t="shared" si="20"/>
        <v>0</v>
      </c>
    </row>
    <row r="626" spans="1:16" x14ac:dyDescent="0.35">
      <c r="A626" s="33">
        <v>623</v>
      </c>
      <c r="B626" s="34" t="s">
        <v>1032</v>
      </c>
      <c r="C626" s="33" t="s">
        <v>346</v>
      </c>
      <c r="D626" s="33" t="s">
        <v>50</v>
      </c>
      <c r="E626" s="33" t="s">
        <v>1031</v>
      </c>
      <c r="F626" s="35">
        <v>0.25</v>
      </c>
      <c r="G626" s="40">
        <v>0</v>
      </c>
      <c r="H626" s="40">
        <v>0</v>
      </c>
      <c r="I626" s="40">
        <v>0</v>
      </c>
      <c r="J626" s="40">
        <v>0</v>
      </c>
      <c r="K626" s="40">
        <v>0</v>
      </c>
      <c r="L626" s="40">
        <v>0</v>
      </c>
      <c r="M626" s="40" cm="1">
        <f t="array" ref="M626:N626">VLOOKUP(B626,'Fumigation  Room'!B:H,{6,7},0)</f>
        <v>0</v>
      </c>
      <c r="N626" s="40">
        <v>0</v>
      </c>
      <c r="O626" s="40">
        <f t="shared" si="19"/>
        <v>0</v>
      </c>
      <c r="P626" s="40">
        <f t="shared" si="20"/>
        <v>0</v>
      </c>
    </row>
    <row r="627" spans="1:16" x14ac:dyDescent="0.35">
      <c r="A627" s="33">
        <v>624</v>
      </c>
      <c r="B627" s="34" t="s">
        <v>901</v>
      </c>
      <c r="C627" s="33" t="s">
        <v>297</v>
      </c>
      <c r="D627" s="33" t="s">
        <v>50</v>
      </c>
      <c r="E627" s="33" t="s">
        <v>902</v>
      </c>
      <c r="F627" s="35">
        <v>1</v>
      </c>
      <c r="G627" s="40">
        <v>0</v>
      </c>
      <c r="H627" s="40">
        <v>0</v>
      </c>
      <c r="I627" s="40">
        <v>0</v>
      </c>
      <c r="J627" s="40">
        <v>0</v>
      </c>
      <c r="K627" s="40">
        <v>0</v>
      </c>
      <c r="L627" s="40">
        <v>0</v>
      </c>
      <c r="M627" s="40" cm="1">
        <f t="array" ref="M627:N627">VLOOKUP(B627,'Fumigation  Room'!B:H,{6,7},0)</f>
        <v>0</v>
      </c>
      <c r="N627" s="40">
        <v>0</v>
      </c>
      <c r="O627" s="40">
        <f t="shared" si="19"/>
        <v>0</v>
      </c>
      <c r="P627" s="40">
        <f t="shared" si="20"/>
        <v>0</v>
      </c>
    </row>
    <row r="628" spans="1:16" x14ac:dyDescent="0.35">
      <c r="A628" s="33">
        <v>625</v>
      </c>
      <c r="B628" s="34" t="s">
        <v>903</v>
      </c>
      <c r="C628" s="33" t="s">
        <v>297</v>
      </c>
      <c r="D628" s="33" t="s">
        <v>50</v>
      </c>
      <c r="E628" s="33" t="s">
        <v>902</v>
      </c>
      <c r="F628" s="35">
        <v>1</v>
      </c>
      <c r="G628" s="40">
        <v>0</v>
      </c>
      <c r="H628" s="40">
        <v>0</v>
      </c>
      <c r="I628" s="40">
        <v>0</v>
      </c>
      <c r="J628" s="40">
        <v>0</v>
      </c>
      <c r="K628" s="40">
        <v>0</v>
      </c>
      <c r="L628" s="40">
        <v>0</v>
      </c>
      <c r="M628" s="40" cm="1">
        <f t="array" ref="M628:N628">VLOOKUP(B628,'Fumigation  Room'!B:H,{6,7},0)</f>
        <v>0</v>
      </c>
      <c r="N628" s="40">
        <v>0</v>
      </c>
      <c r="O628" s="40">
        <f t="shared" si="19"/>
        <v>0</v>
      </c>
      <c r="P628" s="40">
        <f t="shared" si="20"/>
        <v>0</v>
      </c>
    </row>
    <row r="629" spans="1:16" x14ac:dyDescent="0.35">
      <c r="A629" s="33">
        <v>626</v>
      </c>
      <c r="B629" s="34" t="s">
        <v>904</v>
      </c>
      <c r="C629" s="33" t="s">
        <v>297</v>
      </c>
      <c r="D629" s="33" t="s">
        <v>50</v>
      </c>
      <c r="E629" s="33" t="s">
        <v>902</v>
      </c>
      <c r="F629" s="35">
        <v>1</v>
      </c>
      <c r="G629" s="40">
        <v>0</v>
      </c>
      <c r="H629" s="40">
        <v>0</v>
      </c>
      <c r="I629" s="40">
        <v>0</v>
      </c>
      <c r="J629" s="40">
        <v>0</v>
      </c>
      <c r="K629" s="40">
        <v>0</v>
      </c>
      <c r="L629" s="40">
        <v>0</v>
      </c>
      <c r="M629" s="40" cm="1">
        <f t="array" ref="M629:N629">VLOOKUP(B629,'Fumigation  Room'!B:H,{6,7},0)</f>
        <v>0</v>
      </c>
      <c r="N629" s="40">
        <v>0</v>
      </c>
      <c r="O629" s="40">
        <f t="shared" si="19"/>
        <v>0</v>
      </c>
      <c r="P629" s="40">
        <f t="shared" si="20"/>
        <v>0</v>
      </c>
    </row>
    <row r="630" spans="1:16" x14ac:dyDescent="0.35">
      <c r="A630" s="33">
        <v>627</v>
      </c>
      <c r="B630" s="34" t="s">
        <v>1033</v>
      </c>
      <c r="C630" s="33" t="s">
        <v>346</v>
      </c>
      <c r="D630" s="33" t="s">
        <v>50</v>
      </c>
      <c r="E630" s="33" t="s">
        <v>902</v>
      </c>
      <c r="F630" s="35">
        <v>0.3</v>
      </c>
      <c r="G630" s="40">
        <v>0</v>
      </c>
      <c r="H630" s="40">
        <v>0</v>
      </c>
      <c r="I630" s="40">
        <v>0</v>
      </c>
      <c r="J630" s="40">
        <v>0</v>
      </c>
      <c r="K630" s="40">
        <v>0</v>
      </c>
      <c r="L630" s="40">
        <v>0</v>
      </c>
      <c r="M630" s="40" cm="1">
        <f t="array" ref="M630:N630">VLOOKUP(B630,'Fumigation  Room'!B:H,{6,7},0)</f>
        <v>0</v>
      </c>
      <c r="N630" s="40">
        <v>0</v>
      </c>
      <c r="O630" s="40">
        <f t="shared" si="19"/>
        <v>0</v>
      </c>
      <c r="P630" s="40">
        <f t="shared" si="20"/>
        <v>0</v>
      </c>
    </row>
    <row r="631" spans="1:16" x14ac:dyDescent="0.35">
      <c r="A631" s="33">
        <v>628</v>
      </c>
      <c r="B631" s="34" t="s">
        <v>1034</v>
      </c>
      <c r="C631" s="33" t="s">
        <v>346</v>
      </c>
      <c r="D631" s="33" t="s">
        <v>50</v>
      </c>
      <c r="E631" s="33" t="s">
        <v>902</v>
      </c>
      <c r="F631" s="35">
        <v>0.6</v>
      </c>
      <c r="G631" s="40">
        <v>0</v>
      </c>
      <c r="H631" s="40">
        <v>0</v>
      </c>
      <c r="I631" s="40">
        <v>0</v>
      </c>
      <c r="J631" s="40">
        <v>0</v>
      </c>
      <c r="K631" s="40">
        <v>0</v>
      </c>
      <c r="L631" s="40">
        <v>0</v>
      </c>
      <c r="M631" s="40" cm="1">
        <f t="array" ref="M631:N631">VLOOKUP(B631,'Fumigation  Room'!B:H,{6,7},0)</f>
        <v>0</v>
      </c>
      <c r="N631" s="40">
        <v>0</v>
      </c>
      <c r="O631" s="40">
        <f t="shared" si="19"/>
        <v>0</v>
      </c>
      <c r="P631" s="40">
        <f t="shared" si="20"/>
        <v>0</v>
      </c>
    </row>
    <row r="632" spans="1:16" x14ac:dyDescent="0.35">
      <c r="A632" s="33">
        <v>629</v>
      </c>
      <c r="B632" s="34" t="s">
        <v>1035</v>
      </c>
      <c r="C632" s="33" t="s">
        <v>346</v>
      </c>
      <c r="D632" s="33" t="s">
        <v>50</v>
      </c>
      <c r="E632" s="33" t="s">
        <v>902</v>
      </c>
      <c r="F632" s="35">
        <v>0.4</v>
      </c>
      <c r="G632" s="40">
        <v>0</v>
      </c>
      <c r="H632" s="40">
        <v>0</v>
      </c>
      <c r="I632" s="40">
        <v>0</v>
      </c>
      <c r="J632" s="40">
        <v>0</v>
      </c>
      <c r="K632" s="40">
        <v>0</v>
      </c>
      <c r="L632" s="40">
        <v>0</v>
      </c>
      <c r="M632" s="40" cm="1">
        <f t="array" ref="M632:N632">VLOOKUP(B632,'Fumigation  Room'!B:H,{6,7},0)</f>
        <v>0</v>
      </c>
      <c r="N632" s="40">
        <v>0</v>
      </c>
      <c r="O632" s="40">
        <f t="shared" si="19"/>
        <v>0</v>
      </c>
      <c r="P632" s="40">
        <f t="shared" si="20"/>
        <v>0</v>
      </c>
    </row>
    <row r="633" spans="1:16" x14ac:dyDescent="0.35">
      <c r="A633" s="33">
        <v>630</v>
      </c>
      <c r="B633" s="34" t="s">
        <v>1036</v>
      </c>
      <c r="C633" s="33" t="s">
        <v>346</v>
      </c>
      <c r="D633" s="33" t="s">
        <v>50</v>
      </c>
      <c r="E633" s="33" t="s">
        <v>902</v>
      </c>
      <c r="F633" s="35">
        <v>0.5</v>
      </c>
      <c r="G633" s="40">
        <v>0</v>
      </c>
      <c r="H633" s="40">
        <v>0</v>
      </c>
      <c r="I633" s="40">
        <v>0</v>
      </c>
      <c r="J633" s="40">
        <v>0</v>
      </c>
      <c r="K633" s="40">
        <v>0</v>
      </c>
      <c r="L633" s="40">
        <v>0</v>
      </c>
      <c r="M633" s="40" cm="1">
        <f t="array" ref="M633:N633">VLOOKUP(B633,'Fumigation  Room'!B:H,{6,7},0)</f>
        <v>0</v>
      </c>
      <c r="N633" s="40">
        <v>0</v>
      </c>
      <c r="O633" s="40">
        <f t="shared" si="19"/>
        <v>0</v>
      </c>
      <c r="P633" s="40">
        <f t="shared" si="20"/>
        <v>0</v>
      </c>
    </row>
    <row r="634" spans="1:16" x14ac:dyDescent="0.35">
      <c r="A634" s="33">
        <v>631</v>
      </c>
      <c r="B634" s="34" t="s">
        <v>1037</v>
      </c>
      <c r="C634" s="33" t="s">
        <v>346</v>
      </c>
      <c r="D634" s="33" t="s">
        <v>50</v>
      </c>
      <c r="E634" s="33" t="s">
        <v>902</v>
      </c>
      <c r="F634" s="35">
        <v>0.5</v>
      </c>
      <c r="G634" s="40">
        <v>0</v>
      </c>
      <c r="H634" s="40">
        <v>0</v>
      </c>
      <c r="I634" s="40">
        <v>0</v>
      </c>
      <c r="J634" s="40">
        <v>0</v>
      </c>
      <c r="K634" s="40">
        <v>0</v>
      </c>
      <c r="L634" s="40">
        <v>0</v>
      </c>
      <c r="M634" s="40" cm="1">
        <f t="array" ref="M634:N634">VLOOKUP(B634,'Fumigation  Room'!B:H,{6,7},0)</f>
        <v>0</v>
      </c>
      <c r="N634" s="40">
        <v>0</v>
      </c>
      <c r="O634" s="40">
        <f t="shared" si="19"/>
        <v>0</v>
      </c>
      <c r="P634" s="40">
        <f t="shared" si="20"/>
        <v>0</v>
      </c>
    </row>
    <row r="635" spans="1:16" x14ac:dyDescent="0.35">
      <c r="A635" s="33">
        <v>632</v>
      </c>
      <c r="B635" s="34" t="s">
        <v>2312</v>
      </c>
      <c r="C635" s="33" t="s">
        <v>346</v>
      </c>
      <c r="D635" s="33" t="s">
        <v>50</v>
      </c>
      <c r="E635" s="33" t="s">
        <v>902</v>
      </c>
      <c r="F635" s="35">
        <v>3.5000000000000003E-2</v>
      </c>
      <c r="G635" s="40">
        <v>0</v>
      </c>
      <c r="H635" s="40">
        <v>0</v>
      </c>
      <c r="I635" s="40">
        <v>0</v>
      </c>
      <c r="J635" s="40">
        <v>0</v>
      </c>
      <c r="K635" s="40">
        <v>0</v>
      </c>
      <c r="L635" s="40">
        <v>0</v>
      </c>
      <c r="M635" s="40">
        <v>0</v>
      </c>
      <c r="N635" s="40">
        <v>0</v>
      </c>
      <c r="O635" s="40">
        <f t="shared" si="19"/>
        <v>0</v>
      </c>
      <c r="P635" s="40">
        <f t="shared" si="20"/>
        <v>0</v>
      </c>
    </row>
    <row r="636" spans="1:16" x14ac:dyDescent="0.35">
      <c r="A636" s="33">
        <v>633</v>
      </c>
      <c r="B636" s="34" t="s">
        <v>1038</v>
      </c>
      <c r="C636" s="33" t="s">
        <v>346</v>
      </c>
      <c r="D636" s="33" t="s">
        <v>50</v>
      </c>
      <c r="E636" s="33" t="s">
        <v>902</v>
      </c>
      <c r="F636" s="35">
        <v>1</v>
      </c>
      <c r="G636" s="40">
        <v>0</v>
      </c>
      <c r="H636" s="40">
        <v>0</v>
      </c>
      <c r="I636" s="40">
        <v>0</v>
      </c>
      <c r="J636" s="40">
        <v>0</v>
      </c>
      <c r="K636" s="40">
        <v>0</v>
      </c>
      <c r="L636" s="40">
        <v>0</v>
      </c>
      <c r="M636" s="40" cm="1">
        <f t="array" ref="M636:N636">VLOOKUP(B636,'Fumigation  Room'!B:H,{6,7},0)</f>
        <v>0</v>
      </c>
      <c r="N636" s="40">
        <v>0</v>
      </c>
      <c r="O636" s="40">
        <f t="shared" si="19"/>
        <v>0</v>
      </c>
      <c r="P636" s="40">
        <f t="shared" si="20"/>
        <v>0</v>
      </c>
    </row>
    <row r="637" spans="1:16" x14ac:dyDescent="0.35">
      <c r="A637" s="33">
        <v>634</v>
      </c>
      <c r="B637" s="34" t="s">
        <v>1039</v>
      </c>
      <c r="C637" s="33" t="s">
        <v>346</v>
      </c>
      <c r="D637" s="33" t="s">
        <v>50</v>
      </c>
      <c r="E637" s="33" t="s">
        <v>902</v>
      </c>
      <c r="F637" s="35">
        <v>0.4</v>
      </c>
      <c r="G637" s="40">
        <v>0</v>
      </c>
      <c r="H637" s="40">
        <v>0</v>
      </c>
      <c r="I637" s="40">
        <v>0</v>
      </c>
      <c r="J637" s="40">
        <v>0</v>
      </c>
      <c r="K637" s="40">
        <v>0</v>
      </c>
      <c r="L637" s="40">
        <v>0</v>
      </c>
      <c r="M637" s="40" cm="1">
        <f t="array" ref="M637:N637">VLOOKUP(B637,'Fumigation  Room'!B:H,{6,7},0)</f>
        <v>0</v>
      </c>
      <c r="N637" s="40">
        <v>0</v>
      </c>
      <c r="O637" s="40">
        <f t="shared" si="19"/>
        <v>0</v>
      </c>
      <c r="P637" s="40">
        <f t="shared" si="20"/>
        <v>0</v>
      </c>
    </row>
    <row r="638" spans="1:16" x14ac:dyDescent="0.35">
      <c r="A638" s="33">
        <v>635</v>
      </c>
      <c r="B638" s="34" t="s">
        <v>1040</v>
      </c>
      <c r="C638" s="33" t="s">
        <v>346</v>
      </c>
      <c r="D638" s="33" t="s">
        <v>50</v>
      </c>
      <c r="E638" s="33" t="s">
        <v>902</v>
      </c>
      <c r="F638" s="35">
        <v>0.5</v>
      </c>
      <c r="G638" s="40">
        <v>0</v>
      </c>
      <c r="H638" s="40">
        <v>0</v>
      </c>
      <c r="I638" s="40">
        <v>0</v>
      </c>
      <c r="J638" s="40">
        <v>0</v>
      </c>
      <c r="K638" s="40">
        <v>0</v>
      </c>
      <c r="L638" s="40">
        <v>0</v>
      </c>
      <c r="M638" s="40" cm="1">
        <f t="array" ref="M638:N638">VLOOKUP(B638,'Fumigation  Room'!B:H,{6,7},0)</f>
        <v>0</v>
      </c>
      <c r="N638" s="40">
        <v>0</v>
      </c>
      <c r="O638" s="40">
        <f t="shared" si="19"/>
        <v>0</v>
      </c>
      <c r="P638" s="40">
        <f t="shared" si="20"/>
        <v>0</v>
      </c>
    </row>
    <row r="639" spans="1:16" x14ac:dyDescent="0.35">
      <c r="A639" s="33">
        <v>636</v>
      </c>
      <c r="B639" s="34" t="s">
        <v>1041</v>
      </c>
      <c r="C639" s="33" t="s">
        <v>346</v>
      </c>
      <c r="D639" s="33" t="s">
        <v>50</v>
      </c>
      <c r="E639" s="33" t="s">
        <v>902</v>
      </c>
      <c r="F639" s="35">
        <v>0.5</v>
      </c>
      <c r="G639" s="40">
        <v>0</v>
      </c>
      <c r="H639" s="40">
        <v>0</v>
      </c>
      <c r="I639" s="40">
        <v>0</v>
      </c>
      <c r="J639" s="40">
        <v>0</v>
      </c>
      <c r="K639" s="40">
        <v>0</v>
      </c>
      <c r="L639" s="40">
        <v>0</v>
      </c>
      <c r="M639" s="40" cm="1">
        <f t="array" ref="M639:N639">VLOOKUP(B639,'Fumigation  Room'!B:H,{6,7},0)</f>
        <v>0</v>
      </c>
      <c r="N639" s="40">
        <v>0</v>
      </c>
      <c r="O639" s="40">
        <f t="shared" si="19"/>
        <v>0</v>
      </c>
      <c r="P639" s="40">
        <f t="shared" si="20"/>
        <v>0</v>
      </c>
    </row>
    <row r="640" spans="1:16" x14ac:dyDescent="0.35">
      <c r="A640" s="33">
        <v>637</v>
      </c>
      <c r="B640" s="34" t="s">
        <v>1042</v>
      </c>
      <c r="C640" s="33" t="s">
        <v>346</v>
      </c>
      <c r="D640" s="33" t="s">
        <v>50</v>
      </c>
      <c r="E640" s="33" t="s">
        <v>902</v>
      </c>
      <c r="F640" s="35">
        <v>0.2</v>
      </c>
      <c r="G640" s="40">
        <v>0</v>
      </c>
      <c r="H640" s="40">
        <v>0</v>
      </c>
      <c r="I640" s="40">
        <v>0</v>
      </c>
      <c r="J640" s="40">
        <v>0</v>
      </c>
      <c r="K640" s="40">
        <v>0</v>
      </c>
      <c r="L640" s="40">
        <v>0</v>
      </c>
      <c r="M640" s="40" cm="1">
        <f t="array" ref="M640:N640">VLOOKUP(B640,'Fumigation  Room'!B:H,{6,7},0)</f>
        <v>0</v>
      </c>
      <c r="N640" s="40">
        <v>0</v>
      </c>
      <c r="O640" s="40">
        <f t="shared" si="19"/>
        <v>0</v>
      </c>
      <c r="P640" s="40">
        <f t="shared" si="20"/>
        <v>0</v>
      </c>
    </row>
    <row r="641" spans="1:16" x14ac:dyDescent="0.35">
      <c r="A641" s="33">
        <v>638</v>
      </c>
      <c r="B641" s="34" t="s">
        <v>1043</v>
      </c>
      <c r="C641" s="33" t="s">
        <v>346</v>
      </c>
      <c r="D641" s="33" t="s">
        <v>50</v>
      </c>
      <c r="E641" s="33" t="s">
        <v>902</v>
      </c>
      <c r="F641" s="35">
        <v>7.2</v>
      </c>
      <c r="G641" s="40">
        <v>0</v>
      </c>
      <c r="H641" s="40">
        <v>0</v>
      </c>
      <c r="I641" s="40">
        <v>0</v>
      </c>
      <c r="J641" s="40">
        <v>0</v>
      </c>
      <c r="K641" s="40">
        <v>0</v>
      </c>
      <c r="L641" s="40">
        <v>0</v>
      </c>
      <c r="M641" s="40" cm="1">
        <f t="array" ref="M641:N641">VLOOKUP(B641,'Fumigation  Room'!B:H,{6,7},0)</f>
        <v>0</v>
      </c>
      <c r="N641" s="40">
        <v>0</v>
      </c>
      <c r="O641" s="40">
        <f t="shared" si="19"/>
        <v>0</v>
      </c>
      <c r="P641" s="40">
        <f t="shared" si="20"/>
        <v>0</v>
      </c>
    </row>
    <row r="642" spans="1:16" x14ac:dyDescent="0.35">
      <c r="A642" s="33">
        <v>639</v>
      </c>
      <c r="B642" s="34" t="s">
        <v>1044</v>
      </c>
      <c r="C642" s="33" t="s">
        <v>346</v>
      </c>
      <c r="D642" s="33" t="s">
        <v>50</v>
      </c>
      <c r="E642" s="33" t="s">
        <v>902</v>
      </c>
      <c r="F642" s="35">
        <v>7.2</v>
      </c>
      <c r="G642" s="40">
        <v>0</v>
      </c>
      <c r="H642" s="40">
        <v>0</v>
      </c>
      <c r="I642" s="40">
        <v>0</v>
      </c>
      <c r="J642" s="40">
        <v>0</v>
      </c>
      <c r="K642" s="40">
        <v>0</v>
      </c>
      <c r="L642" s="40">
        <v>0</v>
      </c>
      <c r="M642" s="40" cm="1">
        <f t="array" ref="M642:N642">VLOOKUP(B642,'Fumigation  Room'!B:H,{6,7},0)</f>
        <v>0</v>
      </c>
      <c r="N642" s="40">
        <v>0</v>
      </c>
      <c r="O642" s="40">
        <f t="shared" si="19"/>
        <v>0</v>
      </c>
      <c r="P642" s="40">
        <f t="shared" si="20"/>
        <v>0</v>
      </c>
    </row>
    <row r="643" spans="1:16" x14ac:dyDescent="0.35">
      <c r="A643" s="33">
        <v>640</v>
      </c>
      <c r="B643" s="34" t="s">
        <v>1045</v>
      </c>
      <c r="C643" s="33" t="s">
        <v>346</v>
      </c>
      <c r="D643" s="33" t="s">
        <v>50</v>
      </c>
      <c r="E643" s="33" t="s">
        <v>902</v>
      </c>
      <c r="F643" s="35">
        <v>0.5</v>
      </c>
      <c r="G643" s="40">
        <v>0</v>
      </c>
      <c r="H643" s="40">
        <v>0</v>
      </c>
      <c r="I643" s="40">
        <v>0</v>
      </c>
      <c r="J643" s="40">
        <v>0</v>
      </c>
      <c r="K643" s="40">
        <v>0</v>
      </c>
      <c r="L643" s="40">
        <v>0</v>
      </c>
      <c r="M643" s="40" cm="1">
        <f t="array" ref="M643:N643">VLOOKUP(B643,'Fumigation  Room'!B:H,{6,7},0)</f>
        <v>0</v>
      </c>
      <c r="N643" s="40">
        <v>0</v>
      </c>
      <c r="O643" s="40">
        <f t="shared" si="19"/>
        <v>0</v>
      </c>
      <c r="P643" s="40">
        <f t="shared" si="20"/>
        <v>0</v>
      </c>
    </row>
    <row r="644" spans="1:16" x14ac:dyDescent="0.35">
      <c r="A644" s="33">
        <v>641</v>
      </c>
      <c r="B644" s="34" t="s">
        <v>1046</v>
      </c>
      <c r="C644" s="33" t="s">
        <v>346</v>
      </c>
      <c r="D644" s="33" t="s">
        <v>50</v>
      </c>
      <c r="E644" s="33" t="s">
        <v>902</v>
      </c>
      <c r="F644" s="35">
        <v>12</v>
      </c>
      <c r="G644" s="40">
        <v>0</v>
      </c>
      <c r="H644" s="40">
        <v>0</v>
      </c>
      <c r="I644" s="40">
        <v>0</v>
      </c>
      <c r="J644" s="40">
        <v>0</v>
      </c>
      <c r="K644" s="40">
        <v>0</v>
      </c>
      <c r="L644" s="40">
        <v>0</v>
      </c>
      <c r="M644" s="40" cm="1">
        <f t="array" ref="M644:N644">VLOOKUP(B644,'Fumigation  Room'!B:H,{6,7},0)</f>
        <v>0</v>
      </c>
      <c r="N644" s="40">
        <v>0</v>
      </c>
      <c r="O644" s="40">
        <f t="shared" si="19"/>
        <v>0</v>
      </c>
      <c r="P644" s="40">
        <f t="shared" si="20"/>
        <v>0</v>
      </c>
    </row>
    <row r="645" spans="1:16" x14ac:dyDescent="0.35">
      <c r="A645" s="33">
        <v>642</v>
      </c>
      <c r="B645" s="34" t="s">
        <v>1047</v>
      </c>
      <c r="C645" s="33" t="s">
        <v>346</v>
      </c>
      <c r="D645" s="33" t="s">
        <v>50</v>
      </c>
      <c r="E645" s="33" t="s">
        <v>902</v>
      </c>
      <c r="F645" s="35">
        <v>12</v>
      </c>
      <c r="G645" s="40">
        <v>0</v>
      </c>
      <c r="H645" s="40">
        <v>0</v>
      </c>
      <c r="I645" s="40">
        <v>0</v>
      </c>
      <c r="J645" s="40">
        <v>0</v>
      </c>
      <c r="K645" s="40">
        <v>0</v>
      </c>
      <c r="L645" s="40">
        <v>0</v>
      </c>
      <c r="M645" s="40" cm="1">
        <f t="array" ref="M645:N645">VLOOKUP(B645,'Fumigation  Room'!B:H,{6,7},0)</f>
        <v>0</v>
      </c>
      <c r="N645" s="40">
        <v>0</v>
      </c>
      <c r="O645" s="40">
        <f t="shared" ref="O645:O708" si="21">G645+I645+K645+M645</f>
        <v>0</v>
      </c>
      <c r="P645" s="40">
        <f t="shared" ref="P645:P708" si="22">H645+J645+L645+N645</f>
        <v>0</v>
      </c>
    </row>
    <row r="646" spans="1:16" x14ac:dyDescent="0.35">
      <c r="A646" s="33">
        <v>643</v>
      </c>
      <c r="B646" s="34" t="s">
        <v>1048</v>
      </c>
      <c r="C646" s="33" t="s">
        <v>346</v>
      </c>
      <c r="D646" s="33" t="s">
        <v>50</v>
      </c>
      <c r="E646" s="33" t="s">
        <v>902</v>
      </c>
      <c r="F646" s="35">
        <v>0.2</v>
      </c>
      <c r="G646" s="40">
        <v>0</v>
      </c>
      <c r="H646" s="40">
        <v>0</v>
      </c>
      <c r="I646" s="40">
        <v>0</v>
      </c>
      <c r="J646" s="40">
        <v>0</v>
      </c>
      <c r="K646" s="40">
        <v>0</v>
      </c>
      <c r="L646" s="40">
        <v>0</v>
      </c>
      <c r="M646" s="40" cm="1">
        <f t="array" ref="M646:N646">VLOOKUP(B646,'Fumigation  Room'!B:H,{6,7},0)</f>
        <v>0</v>
      </c>
      <c r="N646" s="40">
        <v>0</v>
      </c>
      <c r="O646" s="40">
        <f t="shared" si="21"/>
        <v>0</v>
      </c>
      <c r="P646" s="40">
        <f t="shared" si="22"/>
        <v>0</v>
      </c>
    </row>
    <row r="647" spans="1:16" x14ac:dyDescent="0.35">
      <c r="A647" s="33">
        <v>644</v>
      </c>
      <c r="B647" s="34" t="s">
        <v>1049</v>
      </c>
      <c r="C647" s="33" t="s">
        <v>346</v>
      </c>
      <c r="D647" s="33" t="s">
        <v>50</v>
      </c>
      <c r="E647" s="33" t="s">
        <v>902</v>
      </c>
      <c r="F647" s="35">
        <v>0.25</v>
      </c>
      <c r="G647" s="40">
        <v>0</v>
      </c>
      <c r="H647" s="40">
        <v>0</v>
      </c>
      <c r="I647" s="40">
        <v>0</v>
      </c>
      <c r="J647" s="40">
        <v>0</v>
      </c>
      <c r="K647" s="40">
        <v>0</v>
      </c>
      <c r="L647" s="40">
        <v>0</v>
      </c>
      <c r="M647" s="40" cm="1">
        <f t="array" ref="M647:N647">VLOOKUP(B647,'Fumigation  Room'!B:H,{6,7},0)</f>
        <v>0</v>
      </c>
      <c r="N647" s="40">
        <v>0</v>
      </c>
      <c r="O647" s="40">
        <f t="shared" si="21"/>
        <v>0</v>
      </c>
      <c r="P647" s="40">
        <f t="shared" si="22"/>
        <v>0</v>
      </c>
    </row>
    <row r="648" spans="1:16" x14ac:dyDescent="0.35">
      <c r="A648" s="33">
        <v>645</v>
      </c>
      <c r="B648" s="34" t="s">
        <v>1050</v>
      </c>
      <c r="C648" s="33" t="s">
        <v>346</v>
      </c>
      <c r="D648" s="33" t="s">
        <v>50</v>
      </c>
      <c r="E648" s="33" t="s">
        <v>902</v>
      </c>
      <c r="F648" s="35">
        <v>0.3</v>
      </c>
      <c r="G648" s="40">
        <v>0</v>
      </c>
      <c r="H648" s="40">
        <v>0</v>
      </c>
      <c r="I648" s="40">
        <v>0</v>
      </c>
      <c r="J648" s="40">
        <v>0</v>
      </c>
      <c r="K648" s="40">
        <v>0</v>
      </c>
      <c r="L648" s="40">
        <v>0</v>
      </c>
      <c r="M648" s="40" cm="1">
        <f t="array" ref="M648:N648">VLOOKUP(B648,'Fumigation  Room'!B:H,{6,7},0)</f>
        <v>0</v>
      </c>
      <c r="N648" s="40">
        <v>0</v>
      </c>
      <c r="O648" s="40">
        <f t="shared" si="21"/>
        <v>0</v>
      </c>
      <c r="P648" s="40">
        <f t="shared" si="22"/>
        <v>0</v>
      </c>
    </row>
    <row r="649" spans="1:16" x14ac:dyDescent="0.35">
      <c r="A649" s="33">
        <v>646</v>
      </c>
      <c r="B649" s="34" t="s">
        <v>1051</v>
      </c>
      <c r="C649" s="33" t="s">
        <v>346</v>
      </c>
      <c r="D649" s="33" t="s">
        <v>50</v>
      </c>
      <c r="E649" s="33" t="s">
        <v>902</v>
      </c>
      <c r="F649" s="35">
        <v>0.5</v>
      </c>
      <c r="G649" s="40">
        <v>0</v>
      </c>
      <c r="H649" s="40">
        <v>0</v>
      </c>
      <c r="I649" s="40">
        <v>0</v>
      </c>
      <c r="J649" s="40">
        <v>0</v>
      </c>
      <c r="K649" s="40">
        <v>0</v>
      </c>
      <c r="L649" s="40">
        <v>0</v>
      </c>
      <c r="M649" s="40" cm="1">
        <f t="array" ref="M649:N649">VLOOKUP(B649,'Fumigation  Room'!B:H,{6,7},0)</f>
        <v>0</v>
      </c>
      <c r="N649" s="40">
        <v>0</v>
      </c>
      <c r="O649" s="40">
        <f t="shared" si="21"/>
        <v>0</v>
      </c>
      <c r="P649" s="40">
        <f t="shared" si="22"/>
        <v>0</v>
      </c>
    </row>
    <row r="650" spans="1:16" x14ac:dyDescent="0.35">
      <c r="A650" s="33">
        <v>647</v>
      </c>
      <c r="B650" s="34" t="s">
        <v>1052</v>
      </c>
      <c r="C650" s="33" t="s">
        <v>346</v>
      </c>
      <c r="D650" s="33" t="s">
        <v>50</v>
      </c>
      <c r="E650" s="33" t="s">
        <v>902</v>
      </c>
      <c r="F650" s="35">
        <v>0.48</v>
      </c>
      <c r="G650" s="40">
        <v>0</v>
      </c>
      <c r="H650" s="40">
        <v>0</v>
      </c>
      <c r="I650" s="40">
        <v>0</v>
      </c>
      <c r="J650" s="40">
        <v>0</v>
      </c>
      <c r="K650" s="40">
        <v>0</v>
      </c>
      <c r="L650" s="40">
        <v>0</v>
      </c>
      <c r="M650" s="40" cm="1">
        <f t="array" ref="M650:N650">VLOOKUP(B650,'Fumigation  Room'!B:H,{6,7},0)</f>
        <v>0</v>
      </c>
      <c r="N650" s="40">
        <v>0</v>
      </c>
      <c r="O650" s="40">
        <f t="shared" si="21"/>
        <v>0</v>
      </c>
      <c r="P650" s="40">
        <f t="shared" si="22"/>
        <v>0</v>
      </c>
    </row>
    <row r="651" spans="1:16" x14ac:dyDescent="0.35">
      <c r="A651" s="33">
        <v>648</v>
      </c>
      <c r="B651" s="34" t="s">
        <v>1053</v>
      </c>
      <c r="C651" s="33" t="s">
        <v>346</v>
      </c>
      <c r="D651" s="33" t="s">
        <v>50</v>
      </c>
      <c r="E651" s="33" t="s">
        <v>902</v>
      </c>
      <c r="F651" s="35">
        <v>1</v>
      </c>
      <c r="G651" s="40">
        <v>0</v>
      </c>
      <c r="H651" s="40">
        <v>0</v>
      </c>
      <c r="I651" s="40">
        <v>0</v>
      </c>
      <c r="J651" s="40">
        <v>0</v>
      </c>
      <c r="K651" s="40">
        <v>0</v>
      </c>
      <c r="L651" s="40">
        <v>0</v>
      </c>
      <c r="M651" s="40" cm="1">
        <f t="array" ref="M651:N651">VLOOKUP(B651,'Fumigation  Room'!B:H,{6,7},0)</f>
        <v>0</v>
      </c>
      <c r="N651" s="40">
        <v>0</v>
      </c>
      <c r="O651" s="40">
        <f t="shared" si="21"/>
        <v>0</v>
      </c>
      <c r="P651" s="40">
        <f t="shared" si="22"/>
        <v>0</v>
      </c>
    </row>
    <row r="652" spans="1:16" x14ac:dyDescent="0.35">
      <c r="A652" s="33">
        <v>649</v>
      </c>
      <c r="B652" s="34" t="s">
        <v>905</v>
      </c>
      <c r="C652" s="33" t="s">
        <v>297</v>
      </c>
      <c r="D652" s="33" t="s">
        <v>50</v>
      </c>
      <c r="E652" s="33" t="s">
        <v>906</v>
      </c>
      <c r="F652" s="35">
        <v>1</v>
      </c>
      <c r="G652" s="40">
        <v>0</v>
      </c>
      <c r="H652" s="40">
        <v>0</v>
      </c>
      <c r="I652" s="40">
        <v>0</v>
      </c>
      <c r="J652" s="40">
        <v>0</v>
      </c>
      <c r="K652" s="40">
        <v>0</v>
      </c>
      <c r="L652" s="40">
        <v>0</v>
      </c>
      <c r="M652" s="40" cm="1">
        <f t="array" ref="M652:N652">VLOOKUP(B652,'Fumigation  Room'!B:H,{6,7},0)</f>
        <v>0</v>
      </c>
      <c r="N652" s="40">
        <v>0</v>
      </c>
      <c r="O652" s="40">
        <f t="shared" si="21"/>
        <v>0</v>
      </c>
      <c r="P652" s="40">
        <f t="shared" si="22"/>
        <v>0</v>
      </c>
    </row>
    <row r="653" spans="1:16" x14ac:dyDescent="0.35">
      <c r="A653" s="33">
        <v>650</v>
      </c>
      <c r="B653" s="34" t="s">
        <v>907</v>
      </c>
      <c r="C653" s="33" t="s">
        <v>297</v>
      </c>
      <c r="D653" s="33" t="s">
        <v>50</v>
      </c>
      <c r="E653" s="33" t="s">
        <v>906</v>
      </c>
      <c r="F653" s="35">
        <v>1</v>
      </c>
      <c r="G653" s="40">
        <v>0</v>
      </c>
      <c r="H653" s="40">
        <v>0</v>
      </c>
      <c r="I653" s="40">
        <v>0</v>
      </c>
      <c r="J653" s="40">
        <v>0</v>
      </c>
      <c r="K653" s="40">
        <v>0</v>
      </c>
      <c r="L653" s="40">
        <v>0</v>
      </c>
      <c r="M653" s="40" cm="1">
        <f t="array" ref="M653:N653">VLOOKUP(B653,'Fumigation  Room'!B:H,{6,7},0)</f>
        <v>0</v>
      </c>
      <c r="N653" s="40">
        <v>0</v>
      </c>
      <c r="O653" s="40">
        <f t="shared" si="21"/>
        <v>0</v>
      </c>
      <c r="P653" s="40">
        <f t="shared" si="22"/>
        <v>0</v>
      </c>
    </row>
    <row r="654" spans="1:16" x14ac:dyDescent="0.35">
      <c r="A654" s="33">
        <v>651</v>
      </c>
      <c r="B654" s="34" t="s">
        <v>2313</v>
      </c>
      <c r="C654" s="33" t="s">
        <v>346</v>
      </c>
      <c r="D654" s="33" t="s">
        <v>50</v>
      </c>
      <c r="E654" s="33" t="s">
        <v>906</v>
      </c>
      <c r="F654" s="35">
        <v>3.5000000000000003E-2</v>
      </c>
      <c r="G654" s="40">
        <v>0</v>
      </c>
      <c r="H654" s="40">
        <v>0</v>
      </c>
      <c r="I654" s="40">
        <v>0</v>
      </c>
      <c r="J654" s="40">
        <v>0</v>
      </c>
      <c r="K654" s="40">
        <v>0</v>
      </c>
      <c r="L654" s="40">
        <v>0</v>
      </c>
      <c r="M654" s="40">
        <v>0</v>
      </c>
      <c r="N654" s="40">
        <v>0</v>
      </c>
      <c r="O654" s="40">
        <f t="shared" si="21"/>
        <v>0</v>
      </c>
      <c r="P654" s="40">
        <f t="shared" si="22"/>
        <v>0</v>
      </c>
    </row>
    <row r="655" spans="1:16" x14ac:dyDescent="0.35">
      <c r="A655" s="33">
        <v>652</v>
      </c>
      <c r="B655" s="34" t="s">
        <v>1054</v>
      </c>
      <c r="C655" s="33" t="s">
        <v>346</v>
      </c>
      <c r="D655" s="33" t="s">
        <v>50</v>
      </c>
      <c r="E655" s="33" t="s">
        <v>906</v>
      </c>
      <c r="F655" s="35">
        <v>0.5</v>
      </c>
      <c r="G655" s="40">
        <v>0</v>
      </c>
      <c r="H655" s="40">
        <v>0</v>
      </c>
      <c r="I655" s="40">
        <v>0</v>
      </c>
      <c r="J655" s="40">
        <v>0</v>
      </c>
      <c r="K655" s="40">
        <v>0</v>
      </c>
      <c r="L655" s="40">
        <v>0</v>
      </c>
      <c r="M655" s="40" cm="1">
        <f t="array" ref="M655:N655">VLOOKUP(B655,'Fumigation  Room'!B:H,{6,7},0)</f>
        <v>0</v>
      </c>
      <c r="N655" s="40">
        <v>0</v>
      </c>
      <c r="O655" s="40">
        <f t="shared" si="21"/>
        <v>0</v>
      </c>
      <c r="P655" s="40">
        <f t="shared" si="22"/>
        <v>0</v>
      </c>
    </row>
    <row r="656" spans="1:16" x14ac:dyDescent="0.35">
      <c r="A656" s="33">
        <v>653</v>
      </c>
      <c r="B656" s="34" t="s">
        <v>1055</v>
      </c>
      <c r="C656" s="33" t="s">
        <v>346</v>
      </c>
      <c r="D656" s="33" t="s">
        <v>50</v>
      </c>
      <c r="E656" s="33" t="s">
        <v>906</v>
      </c>
      <c r="F656" s="35">
        <v>0.4</v>
      </c>
      <c r="G656" s="40">
        <v>0</v>
      </c>
      <c r="H656" s="40">
        <v>0</v>
      </c>
      <c r="I656" s="40">
        <v>0</v>
      </c>
      <c r="J656" s="40">
        <v>0</v>
      </c>
      <c r="K656" s="40">
        <v>0</v>
      </c>
      <c r="L656" s="40">
        <v>0</v>
      </c>
      <c r="M656" s="40" cm="1">
        <f t="array" ref="M656:N656">VLOOKUP(B656,'Fumigation  Room'!B:H,{6,7},0)</f>
        <v>0</v>
      </c>
      <c r="N656" s="40">
        <v>0</v>
      </c>
      <c r="O656" s="40">
        <f t="shared" si="21"/>
        <v>0</v>
      </c>
      <c r="P656" s="40">
        <f t="shared" si="22"/>
        <v>0</v>
      </c>
    </row>
    <row r="657" spans="1:16" x14ac:dyDescent="0.35">
      <c r="A657" s="33">
        <v>654</v>
      </c>
      <c r="B657" s="34" t="s">
        <v>1056</v>
      </c>
      <c r="C657" s="33" t="s">
        <v>346</v>
      </c>
      <c r="D657" s="33" t="s">
        <v>50</v>
      </c>
      <c r="E657" s="33" t="s">
        <v>906</v>
      </c>
      <c r="F657" s="35">
        <v>0.5</v>
      </c>
      <c r="G657" s="40">
        <v>0</v>
      </c>
      <c r="H657" s="40">
        <v>0</v>
      </c>
      <c r="I657" s="40">
        <v>0</v>
      </c>
      <c r="J657" s="40">
        <v>0</v>
      </c>
      <c r="K657" s="40">
        <v>0</v>
      </c>
      <c r="L657" s="40">
        <v>0</v>
      </c>
      <c r="M657" s="40" cm="1">
        <f t="array" ref="M657:N657">VLOOKUP(B657,'Fumigation  Room'!B:H,{6,7},0)</f>
        <v>0</v>
      </c>
      <c r="N657" s="40">
        <v>0</v>
      </c>
      <c r="O657" s="40">
        <f t="shared" si="21"/>
        <v>0</v>
      </c>
      <c r="P657" s="40">
        <f t="shared" si="22"/>
        <v>0</v>
      </c>
    </row>
    <row r="658" spans="1:16" x14ac:dyDescent="0.35">
      <c r="A658" s="33">
        <v>655</v>
      </c>
      <c r="B658" s="34" t="s">
        <v>908</v>
      </c>
      <c r="C658" s="33" t="s">
        <v>297</v>
      </c>
      <c r="D658" s="33" t="s">
        <v>50</v>
      </c>
      <c r="E658" s="33" t="s">
        <v>909</v>
      </c>
      <c r="F658" s="35">
        <v>1</v>
      </c>
      <c r="G658" s="40">
        <v>0</v>
      </c>
      <c r="H658" s="40">
        <v>0</v>
      </c>
      <c r="I658" s="40">
        <v>0</v>
      </c>
      <c r="J658" s="40">
        <v>0</v>
      </c>
      <c r="K658" s="40">
        <v>0</v>
      </c>
      <c r="L658" s="40">
        <v>0</v>
      </c>
      <c r="M658" s="40" cm="1">
        <f t="array" ref="M658:N658">VLOOKUP(B658,'Fumigation  Room'!B:H,{6,7},0)</f>
        <v>0</v>
      </c>
      <c r="N658" s="40">
        <v>0</v>
      </c>
      <c r="O658" s="40">
        <f t="shared" si="21"/>
        <v>0</v>
      </c>
      <c r="P658" s="40">
        <f t="shared" si="22"/>
        <v>0</v>
      </c>
    </row>
    <row r="659" spans="1:16" x14ac:dyDescent="0.35">
      <c r="A659" s="33">
        <v>656</v>
      </c>
      <c r="B659" s="34" t="s">
        <v>910</v>
      </c>
      <c r="C659" s="33" t="s">
        <v>297</v>
      </c>
      <c r="D659" s="33" t="s">
        <v>50</v>
      </c>
      <c r="E659" s="33" t="s">
        <v>909</v>
      </c>
      <c r="F659" s="35">
        <v>1</v>
      </c>
      <c r="G659" s="40">
        <v>0</v>
      </c>
      <c r="H659" s="40">
        <v>0</v>
      </c>
      <c r="I659" s="40">
        <v>0</v>
      </c>
      <c r="J659" s="40">
        <v>0</v>
      </c>
      <c r="K659" s="40">
        <v>0</v>
      </c>
      <c r="L659" s="40">
        <v>0</v>
      </c>
      <c r="M659" s="40" cm="1">
        <f t="array" ref="M659:N659">VLOOKUP(B659,'Fumigation  Room'!B:H,{6,7},0)</f>
        <v>0</v>
      </c>
      <c r="N659" s="40">
        <v>0</v>
      </c>
      <c r="O659" s="40">
        <f t="shared" si="21"/>
        <v>0</v>
      </c>
      <c r="P659" s="40">
        <f t="shared" si="22"/>
        <v>0</v>
      </c>
    </row>
    <row r="660" spans="1:16" x14ac:dyDescent="0.35">
      <c r="A660" s="33">
        <v>657</v>
      </c>
      <c r="B660" s="34" t="s">
        <v>911</v>
      </c>
      <c r="C660" s="33" t="s">
        <v>297</v>
      </c>
      <c r="D660" s="33" t="s">
        <v>50</v>
      </c>
      <c r="E660" s="33" t="s">
        <v>909</v>
      </c>
      <c r="F660" s="35">
        <v>1</v>
      </c>
      <c r="G660" s="40">
        <v>0</v>
      </c>
      <c r="H660" s="40">
        <v>0</v>
      </c>
      <c r="I660" s="40">
        <v>0</v>
      </c>
      <c r="J660" s="40">
        <v>0</v>
      </c>
      <c r="K660" s="40">
        <v>0</v>
      </c>
      <c r="L660" s="40">
        <v>0</v>
      </c>
      <c r="M660" s="40" cm="1">
        <f t="array" ref="M660:N660">VLOOKUP(B660,'Fumigation  Room'!B:H,{6,7},0)</f>
        <v>0</v>
      </c>
      <c r="N660" s="40">
        <v>0</v>
      </c>
      <c r="O660" s="40">
        <f t="shared" si="21"/>
        <v>0</v>
      </c>
      <c r="P660" s="40">
        <f t="shared" si="22"/>
        <v>0</v>
      </c>
    </row>
    <row r="661" spans="1:16" x14ac:dyDescent="0.35">
      <c r="A661" s="33">
        <v>658</v>
      </c>
      <c r="B661" s="34" t="s">
        <v>912</v>
      </c>
      <c r="C661" s="33" t="s">
        <v>297</v>
      </c>
      <c r="D661" s="33" t="s">
        <v>50</v>
      </c>
      <c r="E661" s="33" t="s">
        <v>913</v>
      </c>
      <c r="F661" s="35">
        <v>1</v>
      </c>
      <c r="G661" s="40">
        <v>0</v>
      </c>
      <c r="H661" s="40">
        <v>0</v>
      </c>
      <c r="I661" s="40">
        <v>0</v>
      </c>
      <c r="J661" s="40">
        <v>0</v>
      </c>
      <c r="K661" s="40">
        <v>0</v>
      </c>
      <c r="L661" s="40">
        <v>0</v>
      </c>
      <c r="M661" s="40" cm="1">
        <f t="array" ref="M661:N661">VLOOKUP(B661,'Fumigation  Room'!B:H,{6,7},0)</f>
        <v>0</v>
      </c>
      <c r="N661" s="40">
        <v>0</v>
      </c>
      <c r="O661" s="40">
        <f t="shared" si="21"/>
        <v>0</v>
      </c>
      <c r="P661" s="40">
        <f t="shared" si="22"/>
        <v>0</v>
      </c>
    </row>
    <row r="662" spans="1:16" x14ac:dyDescent="0.35">
      <c r="A662" s="33">
        <v>659</v>
      </c>
      <c r="B662" s="34" t="s">
        <v>914</v>
      </c>
      <c r="C662" s="33" t="s">
        <v>297</v>
      </c>
      <c r="D662" s="33" t="s">
        <v>50</v>
      </c>
      <c r="E662" s="33" t="s">
        <v>913</v>
      </c>
      <c r="F662" s="35">
        <v>1</v>
      </c>
      <c r="G662" s="40">
        <v>0</v>
      </c>
      <c r="H662" s="40">
        <v>0</v>
      </c>
      <c r="I662" s="40">
        <v>0</v>
      </c>
      <c r="J662" s="40">
        <v>0</v>
      </c>
      <c r="K662" s="40">
        <v>0</v>
      </c>
      <c r="L662" s="40">
        <v>0</v>
      </c>
      <c r="M662" s="40" cm="1">
        <f t="array" ref="M662:N662">VLOOKUP(B662,'Fumigation  Room'!B:H,{6,7},0)</f>
        <v>0</v>
      </c>
      <c r="N662" s="40">
        <v>0</v>
      </c>
      <c r="O662" s="40">
        <f t="shared" si="21"/>
        <v>0</v>
      </c>
      <c r="P662" s="40">
        <f t="shared" si="22"/>
        <v>0</v>
      </c>
    </row>
    <row r="663" spans="1:16" x14ac:dyDescent="0.35">
      <c r="A663" s="33">
        <v>660</v>
      </c>
      <c r="B663" s="34" t="s">
        <v>915</v>
      </c>
      <c r="C663" s="33" t="s">
        <v>297</v>
      </c>
      <c r="D663" s="33" t="s">
        <v>50</v>
      </c>
      <c r="E663" s="33" t="s">
        <v>913</v>
      </c>
      <c r="F663" s="35">
        <v>1</v>
      </c>
      <c r="G663" s="40">
        <v>0</v>
      </c>
      <c r="H663" s="40">
        <v>0</v>
      </c>
      <c r="I663" s="40">
        <v>0</v>
      </c>
      <c r="J663" s="40">
        <v>0</v>
      </c>
      <c r="K663" s="40">
        <v>0</v>
      </c>
      <c r="L663" s="40">
        <v>0</v>
      </c>
      <c r="M663" s="40" cm="1">
        <f t="array" ref="M663:N663">VLOOKUP(B663,'Fumigation  Room'!B:H,{6,7},0)</f>
        <v>0</v>
      </c>
      <c r="N663" s="40">
        <v>0</v>
      </c>
      <c r="O663" s="40">
        <f t="shared" si="21"/>
        <v>0</v>
      </c>
      <c r="P663" s="40">
        <f t="shared" si="22"/>
        <v>0</v>
      </c>
    </row>
    <row r="664" spans="1:16" x14ac:dyDescent="0.35">
      <c r="A664" s="33">
        <v>661</v>
      </c>
      <c r="B664" s="34" t="s">
        <v>916</v>
      </c>
      <c r="C664" s="33" t="s">
        <v>297</v>
      </c>
      <c r="D664" s="33" t="s">
        <v>50</v>
      </c>
      <c r="E664" s="33" t="s">
        <v>913</v>
      </c>
      <c r="F664" s="35">
        <v>1</v>
      </c>
      <c r="G664" s="40">
        <v>0</v>
      </c>
      <c r="H664" s="40">
        <v>0</v>
      </c>
      <c r="I664" s="40">
        <v>0</v>
      </c>
      <c r="J664" s="40">
        <v>0</v>
      </c>
      <c r="K664" s="40">
        <v>0</v>
      </c>
      <c r="L664" s="40">
        <v>0</v>
      </c>
      <c r="M664" s="40" cm="1">
        <f t="array" ref="M664:N664">VLOOKUP(B664,'Fumigation  Room'!B:H,{6,7},0)</f>
        <v>0</v>
      </c>
      <c r="N664" s="40">
        <v>0</v>
      </c>
      <c r="O664" s="40">
        <f t="shared" si="21"/>
        <v>0</v>
      </c>
      <c r="P664" s="40">
        <f t="shared" si="22"/>
        <v>0</v>
      </c>
    </row>
    <row r="665" spans="1:16" x14ac:dyDescent="0.35">
      <c r="A665" s="33">
        <v>662</v>
      </c>
      <c r="B665" s="34" t="s">
        <v>1057</v>
      </c>
      <c r="C665" s="33" t="s">
        <v>346</v>
      </c>
      <c r="D665" s="33" t="s">
        <v>50</v>
      </c>
      <c r="E665" s="33" t="s">
        <v>913</v>
      </c>
      <c r="F665" s="35">
        <v>0.5</v>
      </c>
      <c r="G665" s="40">
        <v>0</v>
      </c>
      <c r="H665" s="40">
        <v>0</v>
      </c>
      <c r="I665" s="40">
        <v>0</v>
      </c>
      <c r="J665" s="40">
        <v>0</v>
      </c>
      <c r="K665" s="40">
        <v>0</v>
      </c>
      <c r="L665" s="40">
        <v>0</v>
      </c>
      <c r="M665" s="40" cm="1">
        <f t="array" ref="M665:N665">VLOOKUP(B665,'Fumigation  Room'!B:H,{6,7},0)</f>
        <v>0</v>
      </c>
      <c r="N665" s="40">
        <v>0</v>
      </c>
      <c r="O665" s="40">
        <f t="shared" si="21"/>
        <v>0</v>
      </c>
      <c r="P665" s="40">
        <f t="shared" si="22"/>
        <v>0</v>
      </c>
    </row>
    <row r="666" spans="1:16" x14ac:dyDescent="0.35">
      <c r="A666" s="33">
        <v>663</v>
      </c>
      <c r="B666" s="34" t="s">
        <v>1058</v>
      </c>
      <c r="C666" s="33" t="s">
        <v>346</v>
      </c>
      <c r="D666" s="33" t="s">
        <v>50</v>
      </c>
      <c r="E666" s="33" t="s">
        <v>913</v>
      </c>
      <c r="F666" s="35">
        <v>0.25</v>
      </c>
      <c r="G666" s="40">
        <v>0</v>
      </c>
      <c r="H666" s="40">
        <v>0</v>
      </c>
      <c r="I666" s="40">
        <v>0</v>
      </c>
      <c r="J666" s="40">
        <v>0</v>
      </c>
      <c r="K666" s="40">
        <v>0</v>
      </c>
      <c r="L666" s="40">
        <v>0</v>
      </c>
      <c r="M666" s="40" cm="1">
        <f t="array" ref="M666:N666">VLOOKUP(B666,'Fumigation  Room'!B:H,{6,7},0)</f>
        <v>0</v>
      </c>
      <c r="N666" s="40">
        <v>0</v>
      </c>
      <c r="O666" s="40">
        <f t="shared" si="21"/>
        <v>0</v>
      </c>
      <c r="P666" s="40">
        <f t="shared" si="22"/>
        <v>0</v>
      </c>
    </row>
    <row r="667" spans="1:16" x14ac:dyDescent="0.35">
      <c r="A667" s="33">
        <v>664</v>
      </c>
      <c r="B667" s="34" t="s">
        <v>1059</v>
      </c>
      <c r="C667" s="33" t="s">
        <v>346</v>
      </c>
      <c r="D667" s="33" t="s">
        <v>50</v>
      </c>
      <c r="E667" s="33" t="s">
        <v>913</v>
      </c>
      <c r="F667" s="35">
        <v>0.5</v>
      </c>
      <c r="G667" s="40">
        <v>0</v>
      </c>
      <c r="H667" s="40">
        <v>0</v>
      </c>
      <c r="I667" s="40">
        <v>0</v>
      </c>
      <c r="J667" s="40">
        <v>0</v>
      </c>
      <c r="K667" s="40">
        <v>0</v>
      </c>
      <c r="L667" s="40">
        <v>0</v>
      </c>
      <c r="M667" s="40" cm="1">
        <f t="array" ref="M667:N667">VLOOKUP(B667,'Fumigation  Room'!B:H,{6,7},0)</f>
        <v>0</v>
      </c>
      <c r="N667" s="40">
        <v>0</v>
      </c>
      <c r="O667" s="40">
        <f t="shared" si="21"/>
        <v>0</v>
      </c>
      <c r="P667" s="40">
        <f t="shared" si="22"/>
        <v>0</v>
      </c>
    </row>
    <row r="668" spans="1:16" x14ac:dyDescent="0.35">
      <c r="A668" s="33">
        <v>665</v>
      </c>
      <c r="B668" s="34" t="s">
        <v>1060</v>
      </c>
      <c r="C668" s="33" t="s">
        <v>346</v>
      </c>
      <c r="D668" s="33" t="s">
        <v>50</v>
      </c>
      <c r="E668" s="33" t="s">
        <v>913</v>
      </c>
      <c r="F668" s="35">
        <v>0.5</v>
      </c>
      <c r="G668" s="40">
        <v>0</v>
      </c>
      <c r="H668" s="40">
        <v>0</v>
      </c>
      <c r="I668" s="40">
        <v>0</v>
      </c>
      <c r="J668" s="40">
        <v>0</v>
      </c>
      <c r="K668" s="40">
        <v>0</v>
      </c>
      <c r="L668" s="40">
        <v>0</v>
      </c>
      <c r="M668" s="40" cm="1">
        <f t="array" ref="M668:N668">VLOOKUP(B668,'Fumigation  Room'!B:H,{6,7},0)</f>
        <v>0</v>
      </c>
      <c r="N668" s="40">
        <v>0</v>
      </c>
      <c r="O668" s="40">
        <f t="shared" si="21"/>
        <v>0</v>
      </c>
      <c r="P668" s="40">
        <f t="shared" si="22"/>
        <v>0</v>
      </c>
    </row>
    <row r="669" spans="1:16" x14ac:dyDescent="0.35">
      <c r="A669" s="33">
        <v>666</v>
      </c>
      <c r="B669" s="34" t="s">
        <v>2314</v>
      </c>
      <c r="C669" s="33" t="s">
        <v>346</v>
      </c>
      <c r="D669" s="33" t="s">
        <v>50</v>
      </c>
      <c r="E669" s="33" t="s">
        <v>913</v>
      </c>
      <c r="F669" s="35">
        <v>0.5</v>
      </c>
      <c r="G669" s="40">
        <v>0</v>
      </c>
      <c r="H669" s="40">
        <v>0</v>
      </c>
      <c r="I669" s="40">
        <v>0</v>
      </c>
      <c r="J669" s="40">
        <v>0</v>
      </c>
      <c r="K669" s="40">
        <v>0</v>
      </c>
      <c r="L669" s="40">
        <v>0</v>
      </c>
      <c r="M669" s="40">
        <v>0</v>
      </c>
      <c r="N669" s="40">
        <v>0</v>
      </c>
      <c r="O669" s="40">
        <f t="shared" si="21"/>
        <v>0</v>
      </c>
      <c r="P669" s="40">
        <f t="shared" si="22"/>
        <v>0</v>
      </c>
    </row>
    <row r="670" spans="1:16" x14ac:dyDescent="0.35">
      <c r="A670" s="33">
        <v>667</v>
      </c>
      <c r="B670" s="34" t="s">
        <v>1061</v>
      </c>
      <c r="C670" s="33" t="s">
        <v>346</v>
      </c>
      <c r="D670" s="33" t="s">
        <v>50</v>
      </c>
      <c r="E670" s="33" t="s">
        <v>913</v>
      </c>
      <c r="F670" s="35">
        <v>1</v>
      </c>
      <c r="G670" s="40">
        <v>0</v>
      </c>
      <c r="H670" s="40">
        <v>0</v>
      </c>
      <c r="I670" s="40">
        <v>0</v>
      </c>
      <c r="J670" s="40">
        <v>0</v>
      </c>
      <c r="K670" s="40">
        <v>0</v>
      </c>
      <c r="L670" s="40">
        <v>0</v>
      </c>
      <c r="M670" s="40" cm="1">
        <f t="array" ref="M670:N670">VLOOKUP(B670,'Fumigation  Room'!B:H,{6,7},0)</f>
        <v>0</v>
      </c>
      <c r="N670" s="40">
        <v>0</v>
      </c>
      <c r="O670" s="40">
        <f t="shared" si="21"/>
        <v>0</v>
      </c>
      <c r="P670" s="40">
        <f t="shared" si="22"/>
        <v>0</v>
      </c>
    </row>
    <row r="671" spans="1:16" x14ac:dyDescent="0.35">
      <c r="A671" s="33">
        <v>668</v>
      </c>
      <c r="B671" s="34" t="s">
        <v>1062</v>
      </c>
      <c r="C671" s="33" t="s">
        <v>346</v>
      </c>
      <c r="D671" s="33" t="s">
        <v>50</v>
      </c>
      <c r="E671" s="33" t="s">
        <v>913</v>
      </c>
      <c r="F671" s="35">
        <v>0.35</v>
      </c>
      <c r="G671" s="40">
        <v>0</v>
      </c>
      <c r="H671" s="40">
        <v>0</v>
      </c>
      <c r="I671" s="40">
        <v>0</v>
      </c>
      <c r="J671" s="40">
        <v>0</v>
      </c>
      <c r="K671" s="40">
        <v>0</v>
      </c>
      <c r="L671" s="40">
        <v>0</v>
      </c>
      <c r="M671" s="40" cm="1">
        <f t="array" ref="M671:N671">VLOOKUP(B671,'Fumigation  Room'!B:H,{6,7},0)</f>
        <v>0</v>
      </c>
      <c r="N671" s="40">
        <v>0</v>
      </c>
      <c r="O671" s="40">
        <f t="shared" si="21"/>
        <v>0</v>
      </c>
      <c r="P671" s="40">
        <f t="shared" si="22"/>
        <v>0</v>
      </c>
    </row>
    <row r="672" spans="1:16" x14ac:dyDescent="0.35">
      <c r="A672" s="33">
        <v>669</v>
      </c>
      <c r="B672" s="34" t="s">
        <v>917</v>
      </c>
      <c r="C672" s="33" t="s">
        <v>297</v>
      </c>
      <c r="D672" s="33" t="s">
        <v>50</v>
      </c>
      <c r="E672" s="33" t="s">
        <v>918</v>
      </c>
      <c r="F672" s="35">
        <v>1</v>
      </c>
      <c r="G672" s="40">
        <v>0</v>
      </c>
      <c r="H672" s="40">
        <v>0</v>
      </c>
      <c r="I672" s="40">
        <v>0</v>
      </c>
      <c r="J672" s="40">
        <v>0</v>
      </c>
      <c r="K672" s="40">
        <v>0</v>
      </c>
      <c r="L672" s="40">
        <v>0</v>
      </c>
      <c r="M672" s="40" cm="1">
        <f t="array" ref="M672:N672">VLOOKUP(B672,'Fumigation  Room'!B:H,{6,7},0)</f>
        <v>0</v>
      </c>
      <c r="N672" s="40">
        <v>0</v>
      </c>
      <c r="O672" s="40">
        <f t="shared" si="21"/>
        <v>0</v>
      </c>
      <c r="P672" s="40">
        <f t="shared" si="22"/>
        <v>0</v>
      </c>
    </row>
    <row r="673" spans="1:16" x14ac:dyDescent="0.35">
      <c r="A673" s="33">
        <v>670</v>
      </c>
      <c r="B673" s="34" t="s">
        <v>1063</v>
      </c>
      <c r="C673" s="33" t="s">
        <v>346</v>
      </c>
      <c r="D673" s="33" t="s">
        <v>50</v>
      </c>
      <c r="E673" s="33" t="s">
        <v>918</v>
      </c>
      <c r="F673" s="35">
        <v>0.5</v>
      </c>
      <c r="G673" s="40">
        <v>0</v>
      </c>
      <c r="H673" s="40">
        <v>0</v>
      </c>
      <c r="I673" s="40">
        <v>0</v>
      </c>
      <c r="J673" s="40">
        <v>0</v>
      </c>
      <c r="K673" s="40">
        <v>0</v>
      </c>
      <c r="L673" s="40">
        <v>0</v>
      </c>
      <c r="M673" s="40" cm="1">
        <f t="array" ref="M673:N673">VLOOKUP(B673,'Fumigation  Room'!B:H,{6,7},0)</f>
        <v>0</v>
      </c>
      <c r="N673" s="40">
        <v>0</v>
      </c>
      <c r="O673" s="40">
        <f t="shared" si="21"/>
        <v>0</v>
      </c>
      <c r="P673" s="40">
        <f t="shared" si="22"/>
        <v>0</v>
      </c>
    </row>
    <row r="674" spans="1:16" x14ac:dyDescent="0.35">
      <c r="A674" s="33">
        <v>671</v>
      </c>
      <c r="B674" s="34" t="s">
        <v>919</v>
      </c>
      <c r="C674" s="33" t="s">
        <v>297</v>
      </c>
      <c r="D674" s="33" t="s">
        <v>50</v>
      </c>
      <c r="E674" s="33" t="s">
        <v>920</v>
      </c>
      <c r="F674" s="35">
        <v>1</v>
      </c>
      <c r="G674" s="40">
        <v>0</v>
      </c>
      <c r="H674" s="40">
        <v>0</v>
      </c>
      <c r="I674" s="40">
        <v>0</v>
      </c>
      <c r="J674" s="40">
        <v>0</v>
      </c>
      <c r="K674" s="40">
        <v>0</v>
      </c>
      <c r="L674" s="40">
        <v>0</v>
      </c>
      <c r="M674" s="40" cm="1">
        <f t="array" ref="M674:N674">VLOOKUP(B674,'Fumigation  Room'!B:H,{6,7},0)</f>
        <v>0</v>
      </c>
      <c r="N674" s="40">
        <v>0</v>
      </c>
      <c r="O674" s="40">
        <f t="shared" si="21"/>
        <v>0</v>
      </c>
      <c r="P674" s="40">
        <f t="shared" si="22"/>
        <v>0</v>
      </c>
    </row>
    <row r="675" spans="1:16" x14ac:dyDescent="0.35">
      <c r="A675" s="33">
        <v>672</v>
      </c>
      <c r="B675" s="34" t="s">
        <v>1064</v>
      </c>
      <c r="C675" s="33" t="s">
        <v>346</v>
      </c>
      <c r="D675" s="33" t="s">
        <v>50</v>
      </c>
      <c r="E675" s="33" t="s">
        <v>920</v>
      </c>
      <c r="F675" s="35">
        <v>0.3</v>
      </c>
      <c r="G675" s="40">
        <v>0</v>
      </c>
      <c r="H675" s="40">
        <v>0</v>
      </c>
      <c r="I675" s="40">
        <v>0</v>
      </c>
      <c r="J675" s="40">
        <v>0</v>
      </c>
      <c r="K675" s="40">
        <v>0</v>
      </c>
      <c r="L675" s="40">
        <v>0</v>
      </c>
      <c r="M675" s="40" cm="1">
        <f t="array" ref="M675:N675">VLOOKUP(B675,'Fumigation  Room'!B:H,{6,7},0)</f>
        <v>0</v>
      </c>
      <c r="N675" s="40">
        <v>0</v>
      </c>
      <c r="O675" s="40">
        <f t="shared" si="21"/>
        <v>0</v>
      </c>
      <c r="P675" s="40">
        <f t="shared" si="22"/>
        <v>0</v>
      </c>
    </row>
    <row r="676" spans="1:16" x14ac:dyDescent="0.35">
      <c r="A676" s="33">
        <v>673</v>
      </c>
      <c r="B676" s="34" t="s">
        <v>1065</v>
      </c>
      <c r="C676" s="33" t="s">
        <v>346</v>
      </c>
      <c r="D676" s="33" t="s">
        <v>50</v>
      </c>
      <c r="E676" s="33" t="s">
        <v>920</v>
      </c>
      <c r="F676" s="35">
        <v>0.25</v>
      </c>
      <c r="G676" s="40">
        <v>0</v>
      </c>
      <c r="H676" s="40">
        <v>0</v>
      </c>
      <c r="I676" s="40">
        <v>0</v>
      </c>
      <c r="J676" s="40">
        <v>0</v>
      </c>
      <c r="K676" s="40">
        <v>0</v>
      </c>
      <c r="L676" s="40">
        <v>0</v>
      </c>
      <c r="M676" s="40" cm="1">
        <f t="array" ref="M676:N676">VLOOKUP(B676,'Fumigation  Room'!B:H,{6,7},0)</f>
        <v>0</v>
      </c>
      <c r="N676" s="40">
        <v>0</v>
      </c>
      <c r="O676" s="40">
        <f t="shared" si="21"/>
        <v>0</v>
      </c>
      <c r="P676" s="40">
        <f t="shared" si="22"/>
        <v>0</v>
      </c>
    </row>
    <row r="677" spans="1:16" x14ac:dyDescent="0.35">
      <c r="A677" s="33">
        <v>674</v>
      </c>
      <c r="B677" s="34" t="s">
        <v>921</v>
      </c>
      <c r="C677" s="33" t="s">
        <v>297</v>
      </c>
      <c r="D677" s="33" t="s">
        <v>50</v>
      </c>
      <c r="E677" s="33" t="s">
        <v>922</v>
      </c>
      <c r="F677" s="35">
        <v>1</v>
      </c>
      <c r="G677" s="40">
        <v>0</v>
      </c>
      <c r="H677" s="40">
        <v>0</v>
      </c>
      <c r="I677" s="40">
        <v>0</v>
      </c>
      <c r="J677" s="40">
        <v>0</v>
      </c>
      <c r="K677" s="40">
        <v>0</v>
      </c>
      <c r="L677" s="40">
        <v>0</v>
      </c>
      <c r="M677" s="40" cm="1">
        <f t="array" ref="M677:N677">VLOOKUP(B677,'Fumigation  Room'!B:H,{6,7},0)</f>
        <v>0</v>
      </c>
      <c r="N677" s="40">
        <v>0</v>
      </c>
      <c r="O677" s="40">
        <f t="shared" si="21"/>
        <v>0</v>
      </c>
      <c r="P677" s="40">
        <f t="shared" si="22"/>
        <v>0</v>
      </c>
    </row>
    <row r="678" spans="1:16" x14ac:dyDescent="0.35">
      <c r="A678" s="33">
        <v>675</v>
      </c>
      <c r="B678" s="34" t="s">
        <v>1066</v>
      </c>
      <c r="C678" s="33" t="s">
        <v>346</v>
      </c>
      <c r="D678" s="33" t="s">
        <v>50</v>
      </c>
      <c r="E678" s="33" t="s">
        <v>922</v>
      </c>
      <c r="F678" s="35">
        <v>0.3</v>
      </c>
      <c r="G678" s="40">
        <v>0</v>
      </c>
      <c r="H678" s="40">
        <v>0</v>
      </c>
      <c r="I678" s="40">
        <v>0</v>
      </c>
      <c r="J678" s="40">
        <v>0</v>
      </c>
      <c r="K678" s="40">
        <v>0</v>
      </c>
      <c r="L678" s="40">
        <v>0</v>
      </c>
      <c r="M678" s="40" cm="1">
        <f t="array" ref="M678:N678">VLOOKUP(B678,'Fumigation  Room'!B:H,{6,7},0)</f>
        <v>0</v>
      </c>
      <c r="N678" s="40">
        <v>0</v>
      </c>
      <c r="O678" s="40">
        <f t="shared" si="21"/>
        <v>0</v>
      </c>
      <c r="P678" s="40">
        <f t="shared" si="22"/>
        <v>0</v>
      </c>
    </row>
    <row r="679" spans="1:16" x14ac:dyDescent="0.35">
      <c r="A679" s="33">
        <v>676</v>
      </c>
      <c r="B679" s="34" t="s">
        <v>923</v>
      </c>
      <c r="C679" s="33" t="s">
        <v>297</v>
      </c>
      <c r="D679" s="33" t="s">
        <v>50</v>
      </c>
      <c r="E679" s="33" t="s">
        <v>924</v>
      </c>
      <c r="F679" s="35">
        <v>1</v>
      </c>
      <c r="G679" s="40">
        <v>0</v>
      </c>
      <c r="H679" s="40">
        <v>0</v>
      </c>
      <c r="I679" s="40">
        <v>0</v>
      </c>
      <c r="J679" s="40">
        <v>0</v>
      </c>
      <c r="K679" s="40">
        <v>0</v>
      </c>
      <c r="L679" s="40">
        <v>0</v>
      </c>
      <c r="M679" s="40" cm="1">
        <f t="array" ref="M679:N679">VLOOKUP(B679,'Fumigation  Room'!B:H,{6,7},0)</f>
        <v>0</v>
      </c>
      <c r="N679" s="40">
        <v>0</v>
      </c>
      <c r="O679" s="40">
        <f t="shared" si="21"/>
        <v>0</v>
      </c>
      <c r="P679" s="40">
        <f t="shared" si="22"/>
        <v>0</v>
      </c>
    </row>
    <row r="680" spans="1:16" x14ac:dyDescent="0.35">
      <c r="A680" s="33">
        <v>677</v>
      </c>
      <c r="B680" s="34" t="s">
        <v>925</v>
      </c>
      <c r="C680" s="33" t="s">
        <v>297</v>
      </c>
      <c r="D680" s="33" t="s">
        <v>50</v>
      </c>
      <c r="E680" s="33" t="s">
        <v>926</v>
      </c>
      <c r="F680" s="35">
        <v>1</v>
      </c>
      <c r="G680" s="40">
        <v>0</v>
      </c>
      <c r="H680" s="40">
        <v>0</v>
      </c>
      <c r="I680" s="40">
        <v>0</v>
      </c>
      <c r="J680" s="40">
        <v>0</v>
      </c>
      <c r="K680" s="40">
        <v>0</v>
      </c>
      <c r="L680" s="40">
        <v>0</v>
      </c>
      <c r="M680" s="40" cm="1">
        <f t="array" ref="M680:N680">VLOOKUP(B680,'Fumigation  Room'!B:H,{6,7},0)</f>
        <v>0</v>
      </c>
      <c r="N680" s="40">
        <v>0</v>
      </c>
      <c r="O680" s="40">
        <f t="shared" si="21"/>
        <v>0</v>
      </c>
      <c r="P680" s="40">
        <f t="shared" si="22"/>
        <v>0</v>
      </c>
    </row>
    <row r="681" spans="1:16" x14ac:dyDescent="0.35">
      <c r="A681" s="33">
        <v>678</v>
      </c>
      <c r="B681" s="34" t="s">
        <v>927</v>
      </c>
      <c r="C681" s="33" t="s">
        <v>297</v>
      </c>
      <c r="D681" s="33" t="s">
        <v>50</v>
      </c>
      <c r="E681" s="33" t="s">
        <v>926</v>
      </c>
      <c r="F681" s="35">
        <v>1</v>
      </c>
      <c r="G681" s="40">
        <v>0</v>
      </c>
      <c r="H681" s="40">
        <v>0</v>
      </c>
      <c r="I681" s="40">
        <v>0</v>
      </c>
      <c r="J681" s="40">
        <v>0</v>
      </c>
      <c r="K681" s="40">
        <v>0</v>
      </c>
      <c r="L681" s="40">
        <v>0</v>
      </c>
      <c r="M681" s="40" cm="1">
        <f t="array" ref="M681:N681">VLOOKUP(B681,'Fumigation  Room'!B:H,{6,7},0)</f>
        <v>0</v>
      </c>
      <c r="N681" s="40">
        <v>0</v>
      </c>
      <c r="O681" s="40">
        <f t="shared" si="21"/>
        <v>0</v>
      </c>
      <c r="P681" s="40">
        <f t="shared" si="22"/>
        <v>0</v>
      </c>
    </row>
    <row r="682" spans="1:16" x14ac:dyDescent="0.35">
      <c r="A682" s="33">
        <v>679</v>
      </c>
      <c r="B682" s="34" t="s">
        <v>1067</v>
      </c>
      <c r="C682" s="33" t="s">
        <v>346</v>
      </c>
      <c r="D682" s="33" t="s">
        <v>50</v>
      </c>
      <c r="E682" s="33" t="s">
        <v>926</v>
      </c>
      <c r="F682" s="35">
        <v>0.5</v>
      </c>
      <c r="G682" s="40">
        <v>0</v>
      </c>
      <c r="H682" s="40">
        <v>0</v>
      </c>
      <c r="I682" s="40">
        <v>0</v>
      </c>
      <c r="J682" s="40">
        <v>0</v>
      </c>
      <c r="K682" s="40">
        <v>0</v>
      </c>
      <c r="L682" s="40">
        <v>0</v>
      </c>
      <c r="M682" s="40" cm="1">
        <f t="array" ref="M682:N682">VLOOKUP(B682,'Fumigation  Room'!B:H,{6,7},0)</f>
        <v>0</v>
      </c>
      <c r="N682" s="40">
        <v>0</v>
      </c>
      <c r="O682" s="40">
        <f t="shared" si="21"/>
        <v>0</v>
      </c>
      <c r="P682" s="40">
        <f t="shared" si="22"/>
        <v>0</v>
      </c>
    </row>
    <row r="683" spans="1:16" x14ac:dyDescent="0.35">
      <c r="A683" s="33">
        <v>680</v>
      </c>
      <c r="B683" s="34" t="s">
        <v>1068</v>
      </c>
      <c r="C683" s="33" t="s">
        <v>346</v>
      </c>
      <c r="D683" s="33" t="s">
        <v>50</v>
      </c>
      <c r="E683" s="33" t="s">
        <v>926</v>
      </c>
      <c r="F683" s="35">
        <v>0.8</v>
      </c>
      <c r="G683" s="40">
        <v>0</v>
      </c>
      <c r="H683" s="40">
        <v>0</v>
      </c>
      <c r="I683" s="40">
        <v>0</v>
      </c>
      <c r="J683" s="40">
        <v>0</v>
      </c>
      <c r="K683" s="40">
        <v>0</v>
      </c>
      <c r="L683" s="40">
        <v>0</v>
      </c>
      <c r="M683" s="40" cm="1">
        <f t="array" ref="M683:N683">VLOOKUP(B683,'Fumigation  Room'!B:H,{6,7},0)</f>
        <v>0</v>
      </c>
      <c r="N683" s="40">
        <v>0</v>
      </c>
      <c r="O683" s="40">
        <f t="shared" si="21"/>
        <v>0</v>
      </c>
      <c r="P683" s="40">
        <f t="shared" si="22"/>
        <v>0</v>
      </c>
    </row>
    <row r="684" spans="1:16" x14ac:dyDescent="0.35">
      <c r="A684" s="33">
        <v>681</v>
      </c>
      <c r="B684" s="34" t="s">
        <v>1069</v>
      </c>
      <c r="C684" s="33" t="s">
        <v>346</v>
      </c>
      <c r="D684" s="33" t="s">
        <v>50</v>
      </c>
      <c r="E684" s="33" t="s">
        <v>926</v>
      </c>
      <c r="F684" s="35">
        <v>0.25</v>
      </c>
      <c r="G684" s="40">
        <v>0</v>
      </c>
      <c r="H684" s="40">
        <v>0</v>
      </c>
      <c r="I684" s="40">
        <v>0</v>
      </c>
      <c r="J684" s="40">
        <v>0</v>
      </c>
      <c r="K684" s="40">
        <v>0</v>
      </c>
      <c r="L684" s="40">
        <v>0</v>
      </c>
      <c r="M684" s="40" cm="1">
        <f t="array" ref="M684:N684">VLOOKUP(B684,'Fumigation  Room'!B:H,{6,7},0)</f>
        <v>0</v>
      </c>
      <c r="N684" s="40">
        <v>0</v>
      </c>
      <c r="O684" s="40">
        <f t="shared" si="21"/>
        <v>0</v>
      </c>
      <c r="P684" s="40">
        <f t="shared" si="22"/>
        <v>0</v>
      </c>
    </row>
    <row r="685" spans="1:16" x14ac:dyDescent="0.35">
      <c r="A685" s="33">
        <v>682</v>
      </c>
      <c r="B685" s="34" t="s">
        <v>1070</v>
      </c>
      <c r="C685" s="33" t="s">
        <v>346</v>
      </c>
      <c r="D685" s="33" t="s">
        <v>50</v>
      </c>
      <c r="E685" s="33" t="s">
        <v>926</v>
      </c>
      <c r="F685" s="35">
        <v>0.5</v>
      </c>
      <c r="G685" s="40">
        <v>0</v>
      </c>
      <c r="H685" s="40">
        <v>0</v>
      </c>
      <c r="I685" s="40">
        <v>0</v>
      </c>
      <c r="J685" s="40">
        <v>0</v>
      </c>
      <c r="K685" s="40">
        <v>0</v>
      </c>
      <c r="L685" s="40">
        <v>0</v>
      </c>
      <c r="M685" s="40" cm="1">
        <f t="array" ref="M685:N685">VLOOKUP(B685,'Fumigation  Room'!B:H,{6,7},0)</f>
        <v>0</v>
      </c>
      <c r="N685" s="40">
        <v>0</v>
      </c>
      <c r="O685" s="40">
        <f t="shared" si="21"/>
        <v>0</v>
      </c>
      <c r="P685" s="40">
        <f t="shared" si="22"/>
        <v>0</v>
      </c>
    </row>
    <row r="686" spans="1:16" x14ac:dyDescent="0.35">
      <c r="A686" s="33">
        <v>683</v>
      </c>
      <c r="B686" s="34" t="s">
        <v>1071</v>
      </c>
      <c r="C686" s="33" t="s">
        <v>346</v>
      </c>
      <c r="D686" s="33" t="s">
        <v>50</v>
      </c>
      <c r="E686" s="33" t="s">
        <v>926</v>
      </c>
      <c r="F686" s="35">
        <v>0.3</v>
      </c>
      <c r="G686" s="40">
        <v>0</v>
      </c>
      <c r="H686" s="40">
        <v>0</v>
      </c>
      <c r="I686" s="40">
        <v>0</v>
      </c>
      <c r="J686" s="40">
        <v>0</v>
      </c>
      <c r="K686" s="40">
        <v>0</v>
      </c>
      <c r="L686" s="40">
        <v>0</v>
      </c>
      <c r="M686" s="40" cm="1">
        <f t="array" ref="M686:N686">VLOOKUP(B686,'Fumigation  Room'!B:H,{6,7},0)</f>
        <v>0</v>
      </c>
      <c r="N686" s="40">
        <v>0</v>
      </c>
      <c r="O686" s="40">
        <f t="shared" si="21"/>
        <v>0</v>
      </c>
      <c r="P686" s="40">
        <f t="shared" si="22"/>
        <v>0</v>
      </c>
    </row>
    <row r="687" spans="1:16" x14ac:dyDescent="0.35">
      <c r="A687" s="33">
        <v>684</v>
      </c>
      <c r="B687" s="34" t="s">
        <v>1072</v>
      </c>
      <c r="C687" s="33" t="s">
        <v>346</v>
      </c>
      <c r="D687" s="33" t="s">
        <v>50</v>
      </c>
      <c r="E687" s="33" t="s">
        <v>926</v>
      </c>
      <c r="F687" s="35">
        <v>0.25</v>
      </c>
      <c r="G687" s="40">
        <v>0</v>
      </c>
      <c r="H687" s="40">
        <v>0</v>
      </c>
      <c r="I687" s="40">
        <v>0</v>
      </c>
      <c r="J687" s="40">
        <v>0</v>
      </c>
      <c r="K687" s="40">
        <v>0</v>
      </c>
      <c r="L687" s="40">
        <v>0</v>
      </c>
      <c r="M687" s="40" cm="1">
        <f t="array" ref="M687:N687">VLOOKUP(B687,'Fumigation  Room'!B:H,{6,7},0)</f>
        <v>0</v>
      </c>
      <c r="N687" s="40">
        <v>0</v>
      </c>
      <c r="O687" s="40">
        <f t="shared" si="21"/>
        <v>0</v>
      </c>
      <c r="P687" s="40">
        <f t="shared" si="22"/>
        <v>0</v>
      </c>
    </row>
    <row r="688" spans="1:16" x14ac:dyDescent="0.35">
      <c r="A688" s="33">
        <v>685</v>
      </c>
      <c r="B688" s="34" t="s">
        <v>2315</v>
      </c>
      <c r="C688" s="33" t="s">
        <v>346</v>
      </c>
      <c r="D688" s="33" t="s">
        <v>50</v>
      </c>
      <c r="E688" s="33" t="s">
        <v>926</v>
      </c>
      <c r="F688" s="35">
        <v>0.06</v>
      </c>
      <c r="G688" s="40">
        <v>0</v>
      </c>
      <c r="H688" s="40">
        <v>0</v>
      </c>
      <c r="I688" s="40">
        <v>0</v>
      </c>
      <c r="J688" s="40">
        <v>0</v>
      </c>
      <c r="K688" s="40">
        <v>0</v>
      </c>
      <c r="L688" s="40">
        <v>0</v>
      </c>
      <c r="M688" s="40">
        <v>0</v>
      </c>
      <c r="N688" s="40">
        <v>0</v>
      </c>
      <c r="O688" s="40">
        <f t="shared" si="21"/>
        <v>0</v>
      </c>
      <c r="P688" s="40">
        <f t="shared" si="22"/>
        <v>0</v>
      </c>
    </row>
    <row r="689" spans="1:16" x14ac:dyDescent="0.35">
      <c r="A689" s="33">
        <v>686</v>
      </c>
      <c r="B689" s="34" t="s">
        <v>1073</v>
      </c>
      <c r="C689" s="33" t="s">
        <v>346</v>
      </c>
      <c r="D689" s="33" t="s">
        <v>50</v>
      </c>
      <c r="E689" s="33" t="s">
        <v>926</v>
      </c>
      <c r="F689" s="35">
        <v>0.5</v>
      </c>
      <c r="G689" s="40">
        <v>0</v>
      </c>
      <c r="H689" s="40">
        <v>0</v>
      </c>
      <c r="I689" s="40">
        <v>0</v>
      </c>
      <c r="J689" s="40">
        <v>0</v>
      </c>
      <c r="K689" s="40">
        <v>0</v>
      </c>
      <c r="L689" s="40">
        <v>0</v>
      </c>
      <c r="M689" s="40" cm="1">
        <f t="array" ref="M689:N689">VLOOKUP(B689,'Fumigation  Room'!B:H,{6,7},0)</f>
        <v>0</v>
      </c>
      <c r="N689" s="40">
        <v>0</v>
      </c>
      <c r="O689" s="40">
        <f t="shared" si="21"/>
        <v>0</v>
      </c>
      <c r="P689" s="40">
        <f t="shared" si="22"/>
        <v>0</v>
      </c>
    </row>
    <row r="690" spans="1:16" x14ac:dyDescent="0.35">
      <c r="A690" s="33">
        <v>687</v>
      </c>
      <c r="B690" s="34" t="s">
        <v>1074</v>
      </c>
      <c r="C690" s="33" t="s">
        <v>346</v>
      </c>
      <c r="D690" s="33" t="s">
        <v>50</v>
      </c>
      <c r="E690" s="33" t="s">
        <v>926</v>
      </c>
      <c r="F690" s="35">
        <v>0.8</v>
      </c>
      <c r="G690" s="40">
        <v>0</v>
      </c>
      <c r="H690" s="40">
        <v>0</v>
      </c>
      <c r="I690" s="40">
        <v>0</v>
      </c>
      <c r="J690" s="40">
        <v>0</v>
      </c>
      <c r="K690" s="40">
        <v>0</v>
      </c>
      <c r="L690" s="40">
        <v>0</v>
      </c>
      <c r="M690" s="40" cm="1">
        <f t="array" ref="M690:N690">VLOOKUP(B690,'Fumigation  Room'!B:H,{6,7},0)</f>
        <v>0</v>
      </c>
      <c r="N690" s="40">
        <v>0</v>
      </c>
      <c r="O690" s="40">
        <f t="shared" si="21"/>
        <v>0</v>
      </c>
      <c r="P690" s="40">
        <f t="shared" si="22"/>
        <v>0</v>
      </c>
    </row>
    <row r="691" spans="1:16" x14ac:dyDescent="0.35">
      <c r="A691" s="33">
        <v>688</v>
      </c>
      <c r="B691" s="34" t="s">
        <v>1075</v>
      </c>
      <c r="C691" s="33" t="s">
        <v>346</v>
      </c>
      <c r="D691" s="33" t="s">
        <v>50</v>
      </c>
      <c r="E691" s="33" t="s">
        <v>926</v>
      </c>
      <c r="F691" s="35">
        <v>0.25</v>
      </c>
      <c r="G691" s="40">
        <v>0</v>
      </c>
      <c r="H691" s="40">
        <v>0</v>
      </c>
      <c r="I691" s="40">
        <v>0</v>
      </c>
      <c r="J691" s="40">
        <v>0</v>
      </c>
      <c r="K691" s="40">
        <v>0</v>
      </c>
      <c r="L691" s="40">
        <v>0</v>
      </c>
      <c r="M691" s="40" cm="1">
        <f t="array" ref="M691:N691">VLOOKUP(B691,'Fumigation  Room'!B:H,{6,7},0)</f>
        <v>0</v>
      </c>
      <c r="N691" s="40">
        <v>0</v>
      </c>
      <c r="O691" s="40">
        <f t="shared" si="21"/>
        <v>0</v>
      </c>
      <c r="P691" s="40">
        <f t="shared" si="22"/>
        <v>0</v>
      </c>
    </row>
    <row r="692" spans="1:16" x14ac:dyDescent="0.35">
      <c r="A692" s="33">
        <v>689</v>
      </c>
      <c r="B692" s="34" t="s">
        <v>1076</v>
      </c>
      <c r="C692" s="33" t="s">
        <v>346</v>
      </c>
      <c r="D692" s="33" t="s">
        <v>50</v>
      </c>
      <c r="E692" s="33" t="s">
        <v>926</v>
      </c>
      <c r="F692" s="35">
        <v>0.4</v>
      </c>
      <c r="G692" s="40">
        <v>0</v>
      </c>
      <c r="H692" s="40">
        <v>0</v>
      </c>
      <c r="I692" s="40">
        <v>0</v>
      </c>
      <c r="J692" s="40">
        <v>0</v>
      </c>
      <c r="K692" s="40">
        <v>0</v>
      </c>
      <c r="L692" s="40">
        <v>0</v>
      </c>
      <c r="M692" s="40" cm="1">
        <f t="array" ref="M692:N692">VLOOKUP(B692,'Fumigation  Room'!B:H,{6,7},0)</f>
        <v>0</v>
      </c>
      <c r="N692" s="40">
        <v>0</v>
      </c>
      <c r="O692" s="40">
        <f t="shared" si="21"/>
        <v>0</v>
      </c>
      <c r="P692" s="40">
        <f t="shared" si="22"/>
        <v>0</v>
      </c>
    </row>
    <row r="693" spans="1:16" x14ac:dyDescent="0.35">
      <c r="A693" s="33">
        <v>690</v>
      </c>
      <c r="B693" s="34" t="s">
        <v>1077</v>
      </c>
      <c r="C693" s="33" t="s">
        <v>346</v>
      </c>
      <c r="D693" s="33" t="s">
        <v>50</v>
      </c>
      <c r="E693" s="33" t="s">
        <v>926</v>
      </c>
      <c r="F693" s="35">
        <v>0.42</v>
      </c>
      <c r="G693" s="40">
        <v>0</v>
      </c>
      <c r="H693" s="40">
        <v>0</v>
      </c>
      <c r="I693" s="40">
        <v>0</v>
      </c>
      <c r="J693" s="40">
        <v>0</v>
      </c>
      <c r="K693" s="40">
        <v>0</v>
      </c>
      <c r="L693" s="40">
        <v>0</v>
      </c>
      <c r="M693" s="40" cm="1">
        <f t="array" ref="M693:N693">VLOOKUP(B693,'Fumigation  Room'!B:H,{6,7},0)</f>
        <v>0</v>
      </c>
      <c r="N693" s="40">
        <v>0</v>
      </c>
      <c r="O693" s="40">
        <f t="shared" si="21"/>
        <v>0</v>
      </c>
      <c r="P693" s="40">
        <f t="shared" si="22"/>
        <v>0</v>
      </c>
    </row>
    <row r="694" spans="1:16" x14ac:dyDescent="0.35">
      <c r="A694" s="33">
        <v>691</v>
      </c>
      <c r="B694" s="34" t="s">
        <v>1078</v>
      </c>
      <c r="C694" s="33" t="s">
        <v>346</v>
      </c>
      <c r="D694" s="33" t="s">
        <v>50</v>
      </c>
      <c r="E694" s="33" t="s">
        <v>926</v>
      </c>
      <c r="F694" s="35">
        <v>0.33</v>
      </c>
      <c r="G694" s="40">
        <v>0</v>
      </c>
      <c r="H694" s="40">
        <v>0</v>
      </c>
      <c r="I694" s="40">
        <v>0</v>
      </c>
      <c r="J694" s="40">
        <v>0</v>
      </c>
      <c r="K694" s="40">
        <v>0</v>
      </c>
      <c r="L694" s="40">
        <v>0</v>
      </c>
      <c r="M694" s="40" cm="1">
        <f t="array" ref="M694:N694">VLOOKUP(B694,'Fumigation  Room'!B:H,{6,7},0)</f>
        <v>0</v>
      </c>
      <c r="N694" s="40">
        <v>0</v>
      </c>
      <c r="O694" s="40">
        <f t="shared" si="21"/>
        <v>0</v>
      </c>
      <c r="P694" s="40">
        <f t="shared" si="22"/>
        <v>0</v>
      </c>
    </row>
    <row r="695" spans="1:16" x14ac:dyDescent="0.35">
      <c r="A695" s="33">
        <v>692</v>
      </c>
      <c r="B695" s="34" t="s">
        <v>928</v>
      </c>
      <c r="C695" s="33" t="s">
        <v>297</v>
      </c>
      <c r="D695" s="33" t="s">
        <v>50</v>
      </c>
      <c r="E695" s="33" t="s">
        <v>929</v>
      </c>
      <c r="F695" s="35">
        <v>1</v>
      </c>
      <c r="G695" s="40">
        <v>0</v>
      </c>
      <c r="H695" s="40">
        <v>0</v>
      </c>
      <c r="I695" s="40">
        <v>0</v>
      </c>
      <c r="J695" s="40">
        <v>0</v>
      </c>
      <c r="K695" s="40">
        <v>0</v>
      </c>
      <c r="L695" s="40">
        <v>0</v>
      </c>
      <c r="M695" s="40" cm="1">
        <f t="array" ref="M695:N695">VLOOKUP(B695,'Fumigation  Room'!B:H,{6,7},0)</f>
        <v>0</v>
      </c>
      <c r="N695" s="40">
        <v>0</v>
      </c>
      <c r="O695" s="40">
        <f t="shared" si="21"/>
        <v>0</v>
      </c>
      <c r="P695" s="40">
        <f t="shared" si="22"/>
        <v>0</v>
      </c>
    </row>
    <row r="696" spans="1:16" x14ac:dyDescent="0.35">
      <c r="A696" s="33">
        <v>693</v>
      </c>
      <c r="B696" s="34" t="s">
        <v>930</v>
      </c>
      <c r="C696" s="33" t="s">
        <v>297</v>
      </c>
      <c r="D696" s="33" t="s">
        <v>50</v>
      </c>
      <c r="E696" s="33" t="s">
        <v>929</v>
      </c>
      <c r="F696" s="35">
        <v>1</v>
      </c>
      <c r="G696" s="40">
        <v>0</v>
      </c>
      <c r="H696" s="40">
        <v>0</v>
      </c>
      <c r="I696" s="40">
        <v>0</v>
      </c>
      <c r="J696" s="40">
        <v>0</v>
      </c>
      <c r="K696" s="40">
        <v>0</v>
      </c>
      <c r="L696" s="40">
        <v>0</v>
      </c>
      <c r="M696" s="40" cm="1">
        <f t="array" ref="M696:N696">VLOOKUP(B696,'Fumigation  Room'!B:H,{6,7},0)</f>
        <v>0</v>
      </c>
      <c r="N696" s="40">
        <v>0</v>
      </c>
      <c r="O696" s="40">
        <f t="shared" si="21"/>
        <v>0</v>
      </c>
      <c r="P696" s="40">
        <f t="shared" si="22"/>
        <v>0</v>
      </c>
    </row>
    <row r="697" spans="1:16" x14ac:dyDescent="0.35">
      <c r="A697" s="33">
        <v>694</v>
      </c>
      <c r="B697" s="34" t="s">
        <v>931</v>
      </c>
      <c r="C697" s="33" t="s">
        <v>297</v>
      </c>
      <c r="D697" s="33" t="s">
        <v>50</v>
      </c>
      <c r="E697" s="33" t="s">
        <v>929</v>
      </c>
      <c r="F697" s="35">
        <v>1</v>
      </c>
      <c r="G697" s="40">
        <v>0</v>
      </c>
      <c r="H697" s="40">
        <v>0</v>
      </c>
      <c r="I697" s="40">
        <v>0</v>
      </c>
      <c r="J697" s="40">
        <v>0</v>
      </c>
      <c r="K697" s="40">
        <v>0</v>
      </c>
      <c r="L697" s="40">
        <v>0</v>
      </c>
      <c r="M697" s="40" cm="1">
        <f t="array" ref="M697:N697">VLOOKUP(B697,'Fumigation  Room'!B:H,{6,7},0)</f>
        <v>0</v>
      </c>
      <c r="N697" s="40">
        <v>0</v>
      </c>
      <c r="O697" s="40">
        <f t="shared" si="21"/>
        <v>0</v>
      </c>
      <c r="P697" s="40">
        <f t="shared" si="22"/>
        <v>0</v>
      </c>
    </row>
    <row r="698" spans="1:16" x14ac:dyDescent="0.35">
      <c r="A698" s="33">
        <v>695</v>
      </c>
      <c r="B698" s="34" t="s">
        <v>1079</v>
      </c>
      <c r="C698" s="33" t="s">
        <v>346</v>
      </c>
      <c r="D698" s="33" t="s">
        <v>50</v>
      </c>
      <c r="E698" s="33" t="s">
        <v>929</v>
      </c>
      <c r="F698" s="35">
        <v>1</v>
      </c>
      <c r="G698" s="40">
        <v>0</v>
      </c>
      <c r="H698" s="40">
        <v>0</v>
      </c>
      <c r="I698" s="40">
        <v>0</v>
      </c>
      <c r="J698" s="40">
        <v>0</v>
      </c>
      <c r="K698" s="40">
        <v>0</v>
      </c>
      <c r="L698" s="40">
        <v>0</v>
      </c>
      <c r="M698" s="40" cm="1">
        <f t="array" ref="M698:N698">VLOOKUP(B698,'Fumigation  Room'!B:H,{6,7},0)</f>
        <v>0</v>
      </c>
      <c r="N698" s="40">
        <v>0</v>
      </c>
      <c r="O698" s="40">
        <f t="shared" si="21"/>
        <v>0</v>
      </c>
      <c r="P698" s="40">
        <f t="shared" si="22"/>
        <v>0</v>
      </c>
    </row>
    <row r="699" spans="1:16" x14ac:dyDescent="0.35">
      <c r="A699" s="33">
        <v>696</v>
      </c>
      <c r="B699" s="34" t="s">
        <v>1080</v>
      </c>
      <c r="C699" s="33" t="s">
        <v>346</v>
      </c>
      <c r="D699" s="33" t="s">
        <v>50</v>
      </c>
      <c r="E699" s="33" t="s">
        <v>929</v>
      </c>
      <c r="F699" s="35">
        <v>0.5</v>
      </c>
      <c r="G699" s="40">
        <v>0</v>
      </c>
      <c r="H699" s="40">
        <v>0</v>
      </c>
      <c r="I699" s="40">
        <v>0</v>
      </c>
      <c r="J699" s="40">
        <v>0</v>
      </c>
      <c r="K699" s="40">
        <v>0</v>
      </c>
      <c r="L699" s="40">
        <v>0</v>
      </c>
      <c r="M699" s="40" cm="1">
        <f t="array" ref="M699:N699">VLOOKUP(B699,'Fumigation  Room'!B:H,{6,7},0)</f>
        <v>0</v>
      </c>
      <c r="N699" s="40">
        <v>0</v>
      </c>
      <c r="O699" s="40">
        <f t="shared" si="21"/>
        <v>0</v>
      </c>
      <c r="P699" s="40">
        <f t="shared" si="22"/>
        <v>0</v>
      </c>
    </row>
    <row r="700" spans="1:16" x14ac:dyDescent="0.35">
      <c r="A700" s="33">
        <v>697</v>
      </c>
      <c r="B700" s="34" t="s">
        <v>932</v>
      </c>
      <c r="C700" s="33" t="s">
        <v>297</v>
      </c>
      <c r="D700" s="33" t="s">
        <v>50</v>
      </c>
      <c r="E700" s="33" t="s">
        <v>933</v>
      </c>
      <c r="F700" s="35">
        <v>1</v>
      </c>
      <c r="G700" s="40">
        <v>0</v>
      </c>
      <c r="H700" s="40">
        <v>0</v>
      </c>
      <c r="I700" s="40">
        <v>0</v>
      </c>
      <c r="J700" s="40">
        <v>0</v>
      </c>
      <c r="K700" s="40">
        <v>0</v>
      </c>
      <c r="L700" s="40">
        <v>0</v>
      </c>
      <c r="M700" s="40" cm="1">
        <f t="array" ref="M700:N700">VLOOKUP(B700,'Fumigation  Room'!B:H,{6,7},0)</f>
        <v>0</v>
      </c>
      <c r="N700" s="40">
        <v>0</v>
      </c>
      <c r="O700" s="40">
        <f t="shared" si="21"/>
        <v>0</v>
      </c>
      <c r="P700" s="40">
        <f t="shared" si="22"/>
        <v>0</v>
      </c>
    </row>
    <row r="701" spans="1:16" x14ac:dyDescent="0.35">
      <c r="A701" s="33">
        <v>698</v>
      </c>
      <c r="B701" s="34" t="s">
        <v>934</v>
      </c>
      <c r="C701" s="33" t="s">
        <v>297</v>
      </c>
      <c r="D701" s="33" t="s">
        <v>50</v>
      </c>
      <c r="E701" s="33" t="s">
        <v>933</v>
      </c>
      <c r="F701" s="35">
        <v>1</v>
      </c>
      <c r="G701" s="40">
        <v>0</v>
      </c>
      <c r="H701" s="40">
        <v>0</v>
      </c>
      <c r="I701" s="40">
        <v>0</v>
      </c>
      <c r="J701" s="40">
        <v>0</v>
      </c>
      <c r="K701" s="40">
        <v>0</v>
      </c>
      <c r="L701" s="40">
        <v>0</v>
      </c>
      <c r="M701" s="40" cm="1">
        <f t="array" ref="M701:N701">VLOOKUP(B701,'Fumigation  Room'!B:H,{6,7},0)</f>
        <v>0</v>
      </c>
      <c r="N701" s="40">
        <v>0</v>
      </c>
      <c r="O701" s="40">
        <f t="shared" si="21"/>
        <v>0</v>
      </c>
      <c r="P701" s="40">
        <f t="shared" si="22"/>
        <v>0</v>
      </c>
    </row>
    <row r="702" spans="1:16" x14ac:dyDescent="0.35">
      <c r="A702" s="33">
        <v>699</v>
      </c>
      <c r="B702" s="34" t="s">
        <v>1081</v>
      </c>
      <c r="C702" s="33" t="s">
        <v>346</v>
      </c>
      <c r="D702" s="33" t="s">
        <v>50</v>
      </c>
      <c r="E702" s="33" t="s">
        <v>933</v>
      </c>
      <c r="F702" s="35">
        <v>1</v>
      </c>
      <c r="G702" s="40">
        <v>0</v>
      </c>
      <c r="H702" s="40">
        <v>0</v>
      </c>
      <c r="I702" s="40">
        <v>0</v>
      </c>
      <c r="J702" s="40">
        <v>0</v>
      </c>
      <c r="K702" s="40">
        <v>0</v>
      </c>
      <c r="L702" s="40">
        <v>0</v>
      </c>
      <c r="M702" s="40" cm="1">
        <f t="array" ref="M702:N702">VLOOKUP(B702,'Fumigation  Room'!B:H,{6,7},0)</f>
        <v>0</v>
      </c>
      <c r="N702" s="40">
        <v>0</v>
      </c>
      <c r="O702" s="40">
        <f t="shared" si="21"/>
        <v>0</v>
      </c>
      <c r="P702" s="40">
        <f t="shared" si="22"/>
        <v>0</v>
      </c>
    </row>
    <row r="703" spans="1:16" x14ac:dyDescent="0.35">
      <c r="A703" s="33">
        <v>700</v>
      </c>
      <c r="B703" s="34" t="s">
        <v>1082</v>
      </c>
      <c r="C703" s="33" t="s">
        <v>346</v>
      </c>
      <c r="D703" s="33" t="s">
        <v>50</v>
      </c>
      <c r="E703" s="33" t="s">
        <v>933</v>
      </c>
      <c r="F703" s="35">
        <v>1</v>
      </c>
      <c r="G703" s="40">
        <v>0</v>
      </c>
      <c r="H703" s="40">
        <v>0</v>
      </c>
      <c r="I703" s="40">
        <v>0</v>
      </c>
      <c r="J703" s="40">
        <v>0</v>
      </c>
      <c r="K703" s="40">
        <v>0</v>
      </c>
      <c r="L703" s="40">
        <v>0</v>
      </c>
      <c r="M703" s="40" cm="1">
        <f t="array" ref="M703:N703">VLOOKUP(B703,'Fumigation  Room'!B:H,{6,7},0)</f>
        <v>0</v>
      </c>
      <c r="N703" s="40">
        <v>0</v>
      </c>
      <c r="O703" s="40">
        <f t="shared" si="21"/>
        <v>0</v>
      </c>
      <c r="P703" s="40">
        <f t="shared" si="22"/>
        <v>0</v>
      </c>
    </row>
    <row r="704" spans="1:16" x14ac:dyDescent="0.35">
      <c r="A704" s="33">
        <v>701</v>
      </c>
      <c r="B704" s="34" t="s">
        <v>1083</v>
      </c>
      <c r="C704" s="33" t="s">
        <v>346</v>
      </c>
      <c r="D704" s="33" t="s">
        <v>50</v>
      </c>
      <c r="E704" s="33" t="s">
        <v>933</v>
      </c>
      <c r="F704" s="35">
        <v>0.5</v>
      </c>
      <c r="G704" s="40">
        <v>0</v>
      </c>
      <c r="H704" s="40">
        <v>0</v>
      </c>
      <c r="I704" s="40">
        <v>0</v>
      </c>
      <c r="J704" s="40">
        <v>0</v>
      </c>
      <c r="K704" s="40">
        <v>0</v>
      </c>
      <c r="L704" s="40">
        <v>0</v>
      </c>
      <c r="M704" s="40" cm="1">
        <f t="array" ref="M704:N704">VLOOKUP(B704,'Fumigation  Room'!B:H,{6,7},0)</f>
        <v>0</v>
      </c>
      <c r="N704" s="40">
        <v>0</v>
      </c>
      <c r="O704" s="40">
        <f t="shared" si="21"/>
        <v>0</v>
      </c>
      <c r="P704" s="40">
        <f t="shared" si="22"/>
        <v>0</v>
      </c>
    </row>
    <row r="705" spans="1:16" x14ac:dyDescent="0.35">
      <c r="A705" s="33">
        <v>702</v>
      </c>
      <c r="B705" s="34" t="s">
        <v>1084</v>
      </c>
      <c r="C705" s="33" t="s">
        <v>346</v>
      </c>
      <c r="D705" s="33" t="s">
        <v>50</v>
      </c>
      <c r="E705" s="33" t="s">
        <v>933</v>
      </c>
      <c r="F705" s="35">
        <v>0.5</v>
      </c>
      <c r="G705" s="40">
        <v>0</v>
      </c>
      <c r="H705" s="40">
        <v>0</v>
      </c>
      <c r="I705" s="40">
        <v>0</v>
      </c>
      <c r="J705" s="40">
        <v>0</v>
      </c>
      <c r="K705" s="40">
        <v>0</v>
      </c>
      <c r="L705" s="40">
        <v>0</v>
      </c>
      <c r="M705" s="40" cm="1">
        <f t="array" ref="M705:N705">VLOOKUP(B705,'Fumigation  Room'!B:H,{6,7},0)</f>
        <v>0</v>
      </c>
      <c r="N705" s="40">
        <v>0</v>
      </c>
      <c r="O705" s="40">
        <f t="shared" si="21"/>
        <v>0</v>
      </c>
      <c r="P705" s="40">
        <f t="shared" si="22"/>
        <v>0</v>
      </c>
    </row>
    <row r="706" spans="1:16" x14ac:dyDescent="0.35">
      <c r="A706" s="33">
        <v>703</v>
      </c>
      <c r="B706" s="34" t="s">
        <v>935</v>
      </c>
      <c r="C706" s="33" t="s">
        <v>297</v>
      </c>
      <c r="D706" s="33" t="s">
        <v>50</v>
      </c>
      <c r="E706" s="33" t="s">
        <v>936</v>
      </c>
      <c r="F706" s="35">
        <v>1</v>
      </c>
      <c r="G706" s="40">
        <v>0</v>
      </c>
      <c r="H706" s="40">
        <v>0</v>
      </c>
      <c r="I706" s="40">
        <v>0</v>
      </c>
      <c r="J706" s="40">
        <v>0</v>
      </c>
      <c r="K706" s="40">
        <v>0</v>
      </c>
      <c r="L706" s="40">
        <v>0</v>
      </c>
      <c r="M706" s="40" cm="1">
        <f t="array" ref="M706:N706">VLOOKUP(B706,'Fumigation  Room'!B:H,{6,7},0)</f>
        <v>0</v>
      </c>
      <c r="N706" s="40">
        <v>0</v>
      </c>
      <c r="O706" s="40">
        <f t="shared" si="21"/>
        <v>0</v>
      </c>
      <c r="P706" s="40">
        <f t="shared" si="22"/>
        <v>0</v>
      </c>
    </row>
    <row r="707" spans="1:16" x14ac:dyDescent="0.35">
      <c r="A707" s="33">
        <v>704</v>
      </c>
      <c r="B707" s="34" t="s">
        <v>937</v>
      </c>
      <c r="C707" s="33" t="s">
        <v>297</v>
      </c>
      <c r="D707" s="33" t="s">
        <v>50</v>
      </c>
      <c r="E707" s="33" t="s">
        <v>936</v>
      </c>
      <c r="F707" s="35">
        <v>1</v>
      </c>
      <c r="G707" s="40">
        <v>0</v>
      </c>
      <c r="H707" s="40">
        <v>0</v>
      </c>
      <c r="I707" s="40">
        <v>0</v>
      </c>
      <c r="J707" s="40">
        <v>0</v>
      </c>
      <c r="K707" s="40">
        <v>0</v>
      </c>
      <c r="L707" s="40">
        <v>0</v>
      </c>
      <c r="M707" s="40" cm="1">
        <f t="array" ref="M707:N707">VLOOKUP(B707,'Fumigation  Room'!B:H,{6,7},0)</f>
        <v>0</v>
      </c>
      <c r="N707" s="40">
        <v>0</v>
      </c>
      <c r="O707" s="40">
        <f t="shared" si="21"/>
        <v>0</v>
      </c>
      <c r="P707" s="40">
        <f t="shared" si="22"/>
        <v>0</v>
      </c>
    </row>
    <row r="708" spans="1:16" x14ac:dyDescent="0.35">
      <c r="A708" s="33">
        <v>705</v>
      </c>
      <c r="B708" s="34" t="s">
        <v>938</v>
      </c>
      <c r="C708" s="33" t="s">
        <v>297</v>
      </c>
      <c r="D708" s="33" t="s">
        <v>50</v>
      </c>
      <c r="E708" s="33" t="s">
        <v>936</v>
      </c>
      <c r="F708" s="35">
        <v>1</v>
      </c>
      <c r="G708" s="40">
        <v>0</v>
      </c>
      <c r="H708" s="40">
        <v>0</v>
      </c>
      <c r="I708" s="40">
        <v>0</v>
      </c>
      <c r="J708" s="40">
        <v>0</v>
      </c>
      <c r="K708" s="40">
        <v>0</v>
      </c>
      <c r="L708" s="40">
        <v>0</v>
      </c>
      <c r="M708" s="40" cm="1">
        <f t="array" ref="M708:N708">VLOOKUP(B708,'Fumigation  Room'!B:H,{6,7},0)</f>
        <v>0</v>
      </c>
      <c r="N708" s="40">
        <v>0</v>
      </c>
      <c r="O708" s="40">
        <f t="shared" si="21"/>
        <v>0</v>
      </c>
      <c r="P708" s="40">
        <f t="shared" si="22"/>
        <v>0</v>
      </c>
    </row>
    <row r="709" spans="1:16" x14ac:dyDescent="0.35">
      <c r="A709" s="33">
        <v>706</v>
      </c>
      <c r="B709" s="34" t="s">
        <v>2316</v>
      </c>
      <c r="C709" s="33" t="s">
        <v>297</v>
      </c>
      <c r="D709" s="33" t="s">
        <v>50</v>
      </c>
      <c r="E709" s="33" t="s">
        <v>936</v>
      </c>
      <c r="F709" s="35">
        <v>1</v>
      </c>
      <c r="G709" s="40">
        <v>0</v>
      </c>
      <c r="H709" s="40">
        <v>0</v>
      </c>
      <c r="I709" s="40">
        <v>0</v>
      </c>
      <c r="J709" s="40">
        <v>0</v>
      </c>
      <c r="K709" s="40">
        <v>0</v>
      </c>
      <c r="L709" s="40">
        <v>0</v>
      </c>
      <c r="M709" s="40">
        <v>0</v>
      </c>
      <c r="N709" s="40">
        <v>0</v>
      </c>
      <c r="O709" s="40">
        <f t="shared" ref="O709:O772" si="23">G709+I709+K709+M709</f>
        <v>0</v>
      </c>
      <c r="P709" s="40">
        <f t="shared" ref="P709:P772" si="24">H709+J709+L709+N709</f>
        <v>0</v>
      </c>
    </row>
    <row r="710" spans="1:16" x14ac:dyDescent="0.35">
      <c r="A710" s="33">
        <v>707</v>
      </c>
      <c r="B710" s="34" t="s">
        <v>1085</v>
      </c>
      <c r="C710" s="33" t="s">
        <v>346</v>
      </c>
      <c r="D710" s="33" t="s">
        <v>50</v>
      </c>
      <c r="E710" s="33" t="s">
        <v>936</v>
      </c>
      <c r="F710" s="35">
        <v>1.08</v>
      </c>
      <c r="G710" s="40">
        <v>0</v>
      </c>
      <c r="H710" s="40">
        <v>0</v>
      </c>
      <c r="I710" s="40">
        <v>0</v>
      </c>
      <c r="J710" s="40">
        <v>0</v>
      </c>
      <c r="K710" s="40">
        <v>0</v>
      </c>
      <c r="L710" s="40">
        <v>0</v>
      </c>
      <c r="M710" s="40" cm="1">
        <f t="array" ref="M710:N710">VLOOKUP(B710,'Fumigation  Room'!B:H,{6,7},0)</f>
        <v>0</v>
      </c>
      <c r="N710" s="40">
        <v>0</v>
      </c>
      <c r="O710" s="40">
        <f t="shared" si="23"/>
        <v>0</v>
      </c>
      <c r="P710" s="40">
        <f t="shared" si="24"/>
        <v>0</v>
      </c>
    </row>
    <row r="711" spans="1:16" x14ac:dyDescent="0.35">
      <c r="A711" s="33">
        <v>708</v>
      </c>
      <c r="B711" s="34" t="s">
        <v>1086</v>
      </c>
      <c r="C711" s="33" t="s">
        <v>346</v>
      </c>
      <c r="D711" s="33" t="s">
        <v>50</v>
      </c>
      <c r="E711" s="33" t="s">
        <v>936</v>
      </c>
      <c r="F711" s="35">
        <v>1</v>
      </c>
      <c r="G711" s="40">
        <v>0</v>
      </c>
      <c r="H711" s="40">
        <v>0</v>
      </c>
      <c r="I711" s="40">
        <v>0</v>
      </c>
      <c r="J711" s="40">
        <v>0</v>
      </c>
      <c r="K711" s="40">
        <v>0</v>
      </c>
      <c r="L711" s="40">
        <v>0</v>
      </c>
      <c r="M711" s="40" cm="1">
        <f t="array" ref="M711:N711">VLOOKUP(B711,'Fumigation  Room'!B:H,{6,7},0)</f>
        <v>0</v>
      </c>
      <c r="N711" s="40">
        <v>0</v>
      </c>
      <c r="O711" s="40">
        <f t="shared" si="23"/>
        <v>0</v>
      </c>
      <c r="P711" s="40">
        <f t="shared" si="24"/>
        <v>0</v>
      </c>
    </row>
    <row r="712" spans="1:16" x14ac:dyDescent="0.35">
      <c r="A712" s="33">
        <v>709</v>
      </c>
      <c r="B712" s="34" t="s">
        <v>1087</v>
      </c>
      <c r="C712" s="33" t="s">
        <v>346</v>
      </c>
      <c r="D712" s="33" t="s">
        <v>50</v>
      </c>
      <c r="E712" s="33" t="s">
        <v>936</v>
      </c>
      <c r="F712" s="35">
        <v>1</v>
      </c>
      <c r="G712" s="40">
        <v>0</v>
      </c>
      <c r="H712" s="40">
        <v>0</v>
      </c>
      <c r="I712" s="40">
        <v>0</v>
      </c>
      <c r="J712" s="40">
        <v>0</v>
      </c>
      <c r="K712" s="40">
        <v>0</v>
      </c>
      <c r="L712" s="40">
        <v>0</v>
      </c>
      <c r="M712" s="40" cm="1">
        <f t="array" ref="M712:N712">VLOOKUP(B712,'Fumigation  Room'!B:H,{6,7},0)</f>
        <v>0</v>
      </c>
      <c r="N712" s="40">
        <v>0</v>
      </c>
      <c r="O712" s="40">
        <f t="shared" si="23"/>
        <v>0</v>
      </c>
      <c r="P712" s="40">
        <f t="shared" si="24"/>
        <v>0</v>
      </c>
    </row>
    <row r="713" spans="1:16" x14ac:dyDescent="0.35">
      <c r="A713" s="33">
        <v>710</v>
      </c>
      <c r="B713" s="34" t="s">
        <v>1088</v>
      </c>
      <c r="C713" s="33" t="s">
        <v>346</v>
      </c>
      <c r="D713" s="33" t="s">
        <v>50</v>
      </c>
      <c r="E713" s="33" t="s">
        <v>936</v>
      </c>
      <c r="F713" s="35">
        <v>1</v>
      </c>
      <c r="G713" s="40">
        <v>0</v>
      </c>
      <c r="H713" s="40">
        <v>0</v>
      </c>
      <c r="I713" s="40">
        <v>0</v>
      </c>
      <c r="J713" s="40">
        <v>0</v>
      </c>
      <c r="K713" s="40">
        <v>0</v>
      </c>
      <c r="L713" s="40">
        <v>0</v>
      </c>
      <c r="M713" s="40" cm="1">
        <f t="array" ref="M713:N713">VLOOKUP(B713,'Fumigation  Room'!B:H,{6,7},0)</f>
        <v>0</v>
      </c>
      <c r="N713" s="40">
        <v>0</v>
      </c>
      <c r="O713" s="40">
        <f t="shared" si="23"/>
        <v>0</v>
      </c>
      <c r="P713" s="40">
        <f t="shared" si="24"/>
        <v>0</v>
      </c>
    </row>
    <row r="714" spans="1:16" x14ac:dyDescent="0.35">
      <c r="A714" s="33">
        <v>711</v>
      </c>
      <c r="B714" s="34" t="s">
        <v>1089</v>
      </c>
      <c r="C714" s="33" t="s">
        <v>346</v>
      </c>
      <c r="D714" s="33" t="s">
        <v>50</v>
      </c>
      <c r="E714" s="33" t="s">
        <v>936</v>
      </c>
      <c r="F714" s="35">
        <v>1</v>
      </c>
      <c r="G714" s="40">
        <v>0</v>
      </c>
      <c r="H714" s="40">
        <v>0</v>
      </c>
      <c r="I714" s="40">
        <v>0</v>
      </c>
      <c r="J714" s="40">
        <v>0</v>
      </c>
      <c r="K714" s="40">
        <v>0</v>
      </c>
      <c r="L714" s="40">
        <v>0</v>
      </c>
      <c r="M714" s="40" cm="1">
        <f t="array" ref="M714:N714">VLOOKUP(B714,'Fumigation  Room'!B:H,{6,7},0)</f>
        <v>0</v>
      </c>
      <c r="N714" s="40">
        <v>0</v>
      </c>
      <c r="O714" s="40">
        <f t="shared" si="23"/>
        <v>0</v>
      </c>
      <c r="P714" s="40">
        <f t="shared" si="24"/>
        <v>0</v>
      </c>
    </row>
    <row r="715" spans="1:16" x14ac:dyDescent="0.35">
      <c r="A715" s="33">
        <v>712</v>
      </c>
      <c r="B715" s="34" t="s">
        <v>1090</v>
      </c>
      <c r="C715" s="33" t="s">
        <v>346</v>
      </c>
      <c r="D715" s="33" t="s">
        <v>50</v>
      </c>
      <c r="E715" s="33" t="s">
        <v>936</v>
      </c>
      <c r="F715" s="35">
        <v>3.3000000000000002E-2</v>
      </c>
      <c r="G715" s="40">
        <v>0</v>
      </c>
      <c r="H715" s="40">
        <v>0</v>
      </c>
      <c r="I715" s="40">
        <v>0</v>
      </c>
      <c r="J715" s="40">
        <v>0</v>
      </c>
      <c r="K715" s="40">
        <v>0</v>
      </c>
      <c r="L715" s="40">
        <v>0</v>
      </c>
      <c r="M715" s="40" cm="1">
        <f t="array" ref="M715:N715">VLOOKUP(B715,'Fumigation  Room'!B:H,{6,7},0)</f>
        <v>0</v>
      </c>
      <c r="N715" s="40">
        <v>0</v>
      </c>
      <c r="O715" s="40">
        <f t="shared" si="23"/>
        <v>0</v>
      </c>
      <c r="P715" s="40">
        <f t="shared" si="24"/>
        <v>0</v>
      </c>
    </row>
    <row r="716" spans="1:16" x14ac:dyDescent="0.35">
      <c r="A716" s="33">
        <v>713</v>
      </c>
      <c r="B716" s="34" t="s">
        <v>1091</v>
      </c>
      <c r="C716" s="33" t="s">
        <v>346</v>
      </c>
      <c r="D716" s="33" t="s">
        <v>50</v>
      </c>
      <c r="E716" s="33" t="s">
        <v>936</v>
      </c>
      <c r="F716" s="35">
        <v>3.3000000000000002E-2</v>
      </c>
      <c r="G716" s="40">
        <v>0</v>
      </c>
      <c r="H716" s="40">
        <v>0</v>
      </c>
      <c r="I716" s="40">
        <v>0</v>
      </c>
      <c r="J716" s="40">
        <v>0</v>
      </c>
      <c r="K716" s="40">
        <v>0</v>
      </c>
      <c r="L716" s="40">
        <v>0</v>
      </c>
      <c r="M716" s="40" cm="1">
        <f t="array" ref="M716:N716">VLOOKUP(B716,'Fumigation  Room'!B:H,{6,7},0)</f>
        <v>0</v>
      </c>
      <c r="N716" s="40">
        <v>0</v>
      </c>
      <c r="O716" s="40">
        <f t="shared" si="23"/>
        <v>0</v>
      </c>
      <c r="P716" s="40">
        <f t="shared" si="24"/>
        <v>0</v>
      </c>
    </row>
    <row r="717" spans="1:16" x14ac:dyDescent="0.35">
      <c r="A717" s="33">
        <v>714</v>
      </c>
      <c r="B717" s="34" t="s">
        <v>1092</v>
      </c>
      <c r="C717" s="33" t="s">
        <v>346</v>
      </c>
      <c r="D717" s="33" t="s">
        <v>50</v>
      </c>
      <c r="E717" s="33" t="s">
        <v>936</v>
      </c>
      <c r="F717" s="35">
        <v>3.3000000000000002E-2</v>
      </c>
      <c r="G717" s="40">
        <v>0</v>
      </c>
      <c r="H717" s="40">
        <v>0</v>
      </c>
      <c r="I717" s="40">
        <v>0</v>
      </c>
      <c r="J717" s="40">
        <v>0</v>
      </c>
      <c r="K717" s="40">
        <v>0</v>
      </c>
      <c r="L717" s="40">
        <v>0</v>
      </c>
      <c r="M717" s="40" cm="1">
        <f t="array" ref="M717:N717">VLOOKUP(B717,'Fumigation  Room'!B:H,{6,7},0)</f>
        <v>0</v>
      </c>
      <c r="N717" s="40">
        <v>0</v>
      </c>
      <c r="O717" s="40">
        <f t="shared" si="23"/>
        <v>0</v>
      </c>
      <c r="P717" s="40">
        <f t="shared" si="24"/>
        <v>0</v>
      </c>
    </row>
    <row r="718" spans="1:16" x14ac:dyDescent="0.35">
      <c r="A718" s="33">
        <v>715</v>
      </c>
      <c r="B718" s="34" t="s">
        <v>1093</v>
      </c>
      <c r="C718" s="33" t="s">
        <v>346</v>
      </c>
      <c r="D718" s="33" t="s">
        <v>50</v>
      </c>
      <c r="E718" s="33" t="s">
        <v>936</v>
      </c>
      <c r="F718" s="35">
        <v>3.3000000000000002E-2</v>
      </c>
      <c r="G718" s="40">
        <v>0</v>
      </c>
      <c r="H718" s="40">
        <v>0</v>
      </c>
      <c r="I718" s="40">
        <v>0</v>
      </c>
      <c r="J718" s="40">
        <v>0</v>
      </c>
      <c r="K718" s="40">
        <v>0</v>
      </c>
      <c r="L718" s="40">
        <v>0</v>
      </c>
      <c r="M718" s="40" cm="1">
        <f t="array" ref="M718:N718">VLOOKUP(B718,'Fumigation  Room'!B:H,{6,7},0)</f>
        <v>0</v>
      </c>
      <c r="N718" s="40">
        <v>0</v>
      </c>
      <c r="O718" s="40">
        <f t="shared" si="23"/>
        <v>0</v>
      </c>
      <c r="P718" s="40">
        <f t="shared" si="24"/>
        <v>0</v>
      </c>
    </row>
    <row r="719" spans="1:16" x14ac:dyDescent="0.35">
      <c r="A719" s="33">
        <v>716</v>
      </c>
      <c r="B719" s="34" t="s">
        <v>1094</v>
      </c>
      <c r="C719" s="33" t="s">
        <v>346</v>
      </c>
      <c r="D719" s="33" t="s">
        <v>50</v>
      </c>
      <c r="E719" s="33" t="s">
        <v>936</v>
      </c>
      <c r="F719" s="35">
        <v>3.3000000000000002E-2</v>
      </c>
      <c r="G719" s="40">
        <v>0</v>
      </c>
      <c r="H719" s="40">
        <v>0</v>
      </c>
      <c r="I719" s="40">
        <v>0</v>
      </c>
      <c r="J719" s="40">
        <v>0</v>
      </c>
      <c r="K719" s="40">
        <v>0</v>
      </c>
      <c r="L719" s="40">
        <v>0</v>
      </c>
      <c r="M719" s="40" cm="1">
        <f t="array" ref="M719:N719">VLOOKUP(B719,'Fumigation  Room'!B:H,{6,7},0)</f>
        <v>0</v>
      </c>
      <c r="N719" s="40">
        <v>0</v>
      </c>
      <c r="O719" s="40">
        <f t="shared" si="23"/>
        <v>0</v>
      </c>
      <c r="P719" s="40">
        <f t="shared" si="24"/>
        <v>0</v>
      </c>
    </row>
    <row r="720" spans="1:16" x14ac:dyDescent="0.35">
      <c r="A720" s="33">
        <v>717</v>
      </c>
      <c r="B720" s="34" t="s">
        <v>1095</v>
      </c>
      <c r="C720" s="33" t="s">
        <v>346</v>
      </c>
      <c r="D720" s="33" t="s">
        <v>50</v>
      </c>
      <c r="E720" s="33" t="s">
        <v>936</v>
      </c>
      <c r="F720" s="35">
        <v>3.3000000000000002E-2</v>
      </c>
      <c r="G720" s="40">
        <v>0</v>
      </c>
      <c r="H720" s="40">
        <v>0</v>
      </c>
      <c r="I720" s="40">
        <v>0</v>
      </c>
      <c r="J720" s="40">
        <v>0</v>
      </c>
      <c r="K720" s="40">
        <v>0</v>
      </c>
      <c r="L720" s="40">
        <v>0</v>
      </c>
      <c r="M720" s="40" cm="1">
        <f t="array" ref="M720:N720">VLOOKUP(B720,'Fumigation  Room'!B:H,{6,7},0)</f>
        <v>0</v>
      </c>
      <c r="N720" s="40">
        <v>0</v>
      </c>
      <c r="O720" s="40">
        <f t="shared" si="23"/>
        <v>0</v>
      </c>
      <c r="P720" s="40">
        <f t="shared" si="24"/>
        <v>0</v>
      </c>
    </row>
    <row r="721" spans="1:16" x14ac:dyDescent="0.35">
      <c r="A721" s="33">
        <v>718</v>
      </c>
      <c r="B721" s="34" t="s">
        <v>1096</v>
      </c>
      <c r="C721" s="33" t="s">
        <v>346</v>
      </c>
      <c r="D721" s="33" t="s">
        <v>50</v>
      </c>
      <c r="E721" s="33" t="s">
        <v>936</v>
      </c>
      <c r="F721" s="35">
        <v>3.3000000000000002E-2</v>
      </c>
      <c r="G721" s="40">
        <v>0</v>
      </c>
      <c r="H721" s="40">
        <v>0</v>
      </c>
      <c r="I721" s="40">
        <v>0</v>
      </c>
      <c r="J721" s="40">
        <v>0</v>
      </c>
      <c r="K721" s="40">
        <v>0</v>
      </c>
      <c r="L721" s="40">
        <v>0</v>
      </c>
      <c r="M721" s="40" cm="1">
        <f t="array" ref="M721:N721">VLOOKUP(B721,'Fumigation  Room'!B:H,{6,7},0)</f>
        <v>0</v>
      </c>
      <c r="N721" s="40">
        <v>0</v>
      </c>
      <c r="O721" s="40">
        <f t="shared" si="23"/>
        <v>0</v>
      </c>
      <c r="P721" s="40">
        <f t="shared" si="24"/>
        <v>0</v>
      </c>
    </row>
    <row r="722" spans="1:16" x14ac:dyDescent="0.35">
      <c r="A722" s="33">
        <v>719</v>
      </c>
      <c r="B722" s="34" t="s">
        <v>1097</v>
      </c>
      <c r="C722" s="33" t="s">
        <v>346</v>
      </c>
      <c r="D722" s="33" t="s">
        <v>50</v>
      </c>
      <c r="E722" s="33" t="s">
        <v>936</v>
      </c>
      <c r="F722" s="35">
        <v>3.3000000000000002E-2</v>
      </c>
      <c r="G722" s="40">
        <v>0</v>
      </c>
      <c r="H722" s="40">
        <v>0</v>
      </c>
      <c r="I722" s="40">
        <v>0</v>
      </c>
      <c r="J722" s="40">
        <v>0</v>
      </c>
      <c r="K722" s="40">
        <v>0</v>
      </c>
      <c r="L722" s="40">
        <v>0</v>
      </c>
      <c r="M722" s="40" cm="1">
        <f t="array" ref="M722:N722">VLOOKUP(B722,'Fumigation  Room'!B:H,{6,7},0)</f>
        <v>0</v>
      </c>
      <c r="N722" s="40">
        <v>0</v>
      </c>
      <c r="O722" s="40">
        <f t="shared" si="23"/>
        <v>0</v>
      </c>
      <c r="P722" s="40">
        <f t="shared" si="24"/>
        <v>0</v>
      </c>
    </row>
    <row r="723" spans="1:16" x14ac:dyDescent="0.35">
      <c r="A723" s="33">
        <v>720</v>
      </c>
      <c r="B723" s="34" t="s">
        <v>939</v>
      </c>
      <c r="C723" s="33" t="s">
        <v>297</v>
      </c>
      <c r="D723" s="33" t="s">
        <v>50</v>
      </c>
      <c r="E723" s="33" t="s">
        <v>940</v>
      </c>
      <c r="F723" s="35">
        <v>1</v>
      </c>
      <c r="G723" s="40">
        <v>0</v>
      </c>
      <c r="H723" s="40">
        <v>0</v>
      </c>
      <c r="I723" s="40">
        <v>0</v>
      </c>
      <c r="J723" s="40">
        <v>0</v>
      </c>
      <c r="K723" s="40">
        <v>0</v>
      </c>
      <c r="L723" s="40">
        <v>0</v>
      </c>
      <c r="M723" s="40" cm="1">
        <f t="array" ref="M723:N723">VLOOKUP(B723,'Fumigation  Room'!B:H,{6,7},0)</f>
        <v>0</v>
      </c>
      <c r="N723" s="40">
        <v>0</v>
      </c>
      <c r="O723" s="40">
        <f t="shared" si="23"/>
        <v>0</v>
      </c>
      <c r="P723" s="40">
        <f t="shared" si="24"/>
        <v>0</v>
      </c>
    </row>
    <row r="724" spans="1:16" x14ac:dyDescent="0.35">
      <c r="A724" s="33">
        <v>721</v>
      </c>
      <c r="B724" s="34" t="s">
        <v>1098</v>
      </c>
      <c r="C724" s="33" t="s">
        <v>346</v>
      </c>
      <c r="D724" s="33" t="s">
        <v>50</v>
      </c>
      <c r="E724" s="33" t="s">
        <v>940</v>
      </c>
      <c r="F724" s="35">
        <v>0.2</v>
      </c>
      <c r="G724" s="40">
        <v>0</v>
      </c>
      <c r="H724" s="40">
        <v>0</v>
      </c>
      <c r="I724" s="40">
        <v>0</v>
      </c>
      <c r="J724" s="40">
        <v>0</v>
      </c>
      <c r="K724" s="40">
        <v>0</v>
      </c>
      <c r="L724" s="40">
        <v>0</v>
      </c>
      <c r="M724" s="40" cm="1">
        <f t="array" ref="M724:N724">VLOOKUP(B724,'Fumigation  Room'!B:H,{6,7},0)</f>
        <v>0</v>
      </c>
      <c r="N724" s="40">
        <v>0</v>
      </c>
      <c r="O724" s="40">
        <f t="shared" si="23"/>
        <v>0</v>
      </c>
      <c r="P724" s="40">
        <f t="shared" si="24"/>
        <v>0</v>
      </c>
    </row>
    <row r="725" spans="1:16" x14ac:dyDescent="0.35">
      <c r="A725" s="33">
        <v>722</v>
      </c>
      <c r="B725" s="34" t="s">
        <v>1099</v>
      </c>
      <c r="C725" s="33" t="s">
        <v>346</v>
      </c>
      <c r="D725" s="33" t="s">
        <v>50</v>
      </c>
      <c r="E725" s="33" t="s">
        <v>940</v>
      </c>
      <c r="F725" s="35">
        <v>0.2</v>
      </c>
      <c r="G725" s="40">
        <v>0</v>
      </c>
      <c r="H725" s="40">
        <v>0</v>
      </c>
      <c r="I725" s="40">
        <v>0</v>
      </c>
      <c r="J725" s="40">
        <v>0</v>
      </c>
      <c r="K725" s="40">
        <v>0</v>
      </c>
      <c r="L725" s="40">
        <v>0</v>
      </c>
      <c r="M725" s="40" cm="1">
        <f t="array" ref="M725:N725">VLOOKUP(B725,'Fumigation  Room'!B:H,{6,7},0)</f>
        <v>0</v>
      </c>
      <c r="N725" s="40">
        <v>0</v>
      </c>
      <c r="O725" s="40">
        <f t="shared" si="23"/>
        <v>0</v>
      </c>
      <c r="P725" s="40">
        <f t="shared" si="24"/>
        <v>0</v>
      </c>
    </row>
    <row r="726" spans="1:16" x14ac:dyDescent="0.35">
      <c r="A726" s="33">
        <v>723</v>
      </c>
      <c r="B726" s="34" t="s">
        <v>1100</v>
      </c>
      <c r="C726" s="33" t="s">
        <v>346</v>
      </c>
      <c r="D726" s="33" t="s">
        <v>50</v>
      </c>
      <c r="E726" s="33" t="s">
        <v>940</v>
      </c>
      <c r="F726" s="35">
        <v>1</v>
      </c>
      <c r="G726" s="40">
        <v>0</v>
      </c>
      <c r="H726" s="40">
        <v>0</v>
      </c>
      <c r="I726" s="40">
        <v>0</v>
      </c>
      <c r="J726" s="40">
        <v>0</v>
      </c>
      <c r="K726" s="40">
        <v>0</v>
      </c>
      <c r="L726" s="40">
        <v>0</v>
      </c>
      <c r="M726" s="40" cm="1">
        <f t="array" ref="M726:N726">VLOOKUP(B726,'Fumigation  Room'!B:H,{6,7},0)</f>
        <v>0</v>
      </c>
      <c r="N726" s="40">
        <v>0</v>
      </c>
      <c r="O726" s="40">
        <f t="shared" si="23"/>
        <v>0</v>
      </c>
      <c r="P726" s="40">
        <f t="shared" si="24"/>
        <v>0</v>
      </c>
    </row>
    <row r="727" spans="1:16" x14ac:dyDescent="0.35">
      <c r="A727" s="33">
        <v>724</v>
      </c>
      <c r="B727" s="34" t="s">
        <v>1101</v>
      </c>
      <c r="C727" s="33" t="s">
        <v>346</v>
      </c>
      <c r="D727" s="33" t="s">
        <v>50</v>
      </c>
      <c r="E727" s="33" t="s">
        <v>940</v>
      </c>
      <c r="F727" s="35">
        <v>0.5</v>
      </c>
      <c r="G727" s="40">
        <v>0</v>
      </c>
      <c r="H727" s="40">
        <v>0</v>
      </c>
      <c r="I727" s="40">
        <v>0</v>
      </c>
      <c r="J727" s="40">
        <v>0</v>
      </c>
      <c r="K727" s="40">
        <v>0</v>
      </c>
      <c r="L727" s="40">
        <v>0</v>
      </c>
      <c r="M727" s="40" cm="1">
        <f t="array" ref="M727:N727">VLOOKUP(B727,'Fumigation  Room'!B:H,{6,7},0)</f>
        <v>0</v>
      </c>
      <c r="N727" s="40">
        <v>0</v>
      </c>
      <c r="O727" s="40">
        <f t="shared" si="23"/>
        <v>0</v>
      </c>
      <c r="P727" s="40">
        <f t="shared" si="24"/>
        <v>0</v>
      </c>
    </row>
    <row r="728" spans="1:16" x14ac:dyDescent="0.35">
      <c r="A728" s="33">
        <v>725</v>
      </c>
      <c r="B728" s="34" t="s">
        <v>1102</v>
      </c>
      <c r="C728" s="33" t="s">
        <v>346</v>
      </c>
      <c r="D728" s="33" t="s">
        <v>50</v>
      </c>
      <c r="E728" s="33" t="s">
        <v>940</v>
      </c>
      <c r="F728" s="35">
        <v>0.25</v>
      </c>
      <c r="G728" s="40">
        <v>0</v>
      </c>
      <c r="H728" s="40">
        <v>0</v>
      </c>
      <c r="I728" s="40">
        <v>0</v>
      </c>
      <c r="J728" s="40">
        <v>0</v>
      </c>
      <c r="K728" s="40">
        <v>0</v>
      </c>
      <c r="L728" s="40">
        <v>0</v>
      </c>
      <c r="M728" s="40" cm="1">
        <f t="array" ref="M728:N728">VLOOKUP(B728,'Fumigation  Room'!B:H,{6,7},0)</f>
        <v>0</v>
      </c>
      <c r="N728" s="40">
        <v>0</v>
      </c>
      <c r="O728" s="40">
        <f t="shared" si="23"/>
        <v>0</v>
      </c>
      <c r="P728" s="40">
        <f t="shared" si="24"/>
        <v>0</v>
      </c>
    </row>
    <row r="729" spans="1:16" x14ac:dyDescent="0.35">
      <c r="A729" s="33">
        <v>726</v>
      </c>
      <c r="B729" s="34" t="s">
        <v>941</v>
      </c>
      <c r="C729" s="33" t="s">
        <v>297</v>
      </c>
      <c r="D729" s="33" t="s">
        <v>50</v>
      </c>
      <c r="E729" s="33" t="s">
        <v>942</v>
      </c>
      <c r="F729" s="35">
        <v>1</v>
      </c>
      <c r="G729" s="40">
        <v>0</v>
      </c>
      <c r="H729" s="40">
        <v>0</v>
      </c>
      <c r="I729" s="40">
        <v>0</v>
      </c>
      <c r="J729" s="40">
        <v>0</v>
      </c>
      <c r="K729" s="40">
        <v>0</v>
      </c>
      <c r="L729" s="40">
        <v>0</v>
      </c>
      <c r="M729" s="40" cm="1">
        <f t="array" ref="M729:N729">VLOOKUP(B729,'Fumigation  Room'!B:H,{6,7},0)</f>
        <v>0</v>
      </c>
      <c r="N729" s="40">
        <v>0</v>
      </c>
      <c r="O729" s="40">
        <f t="shared" si="23"/>
        <v>0</v>
      </c>
      <c r="P729" s="40">
        <f t="shared" si="24"/>
        <v>0</v>
      </c>
    </row>
    <row r="730" spans="1:16" x14ac:dyDescent="0.35">
      <c r="A730" s="33">
        <v>727</v>
      </c>
      <c r="B730" s="34" t="s">
        <v>943</v>
      </c>
      <c r="C730" s="33" t="s">
        <v>297</v>
      </c>
      <c r="D730" s="33" t="s">
        <v>50</v>
      </c>
      <c r="E730" s="33" t="s">
        <v>942</v>
      </c>
      <c r="F730" s="35">
        <v>1</v>
      </c>
      <c r="G730" s="40">
        <v>0</v>
      </c>
      <c r="H730" s="40">
        <v>0</v>
      </c>
      <c r="I730" s="40">
        <v>0</v>
      </c>
      <c r="J730" s="40">
        <v>0</v>
      </c>
      <c r="K730" s="40">
        <v>0</v>
      </c>
      <c r="L730" s="40">
        <v>0</v>
      </c>
      <c r="M730" s="40" cm="1">
        <f t="array" ref="M730:N730">VLOOKUP(B730,'Fumigation  Room'!B:H,{6,7},0)</f>
        <v>0</v>
      </c>
      <c r="N730" s="40">
        <v>0</v>
      </c>
      <c r="O730" s="40">
        <f t="shared" si="23"/>
        <v>0</v>
      </c>
      <c r="P730" s="40">
        <f t="shared" si="24"/>
        <v>0</v>
      </c>
    </row>
    <row r="731" spans="1:16" x14ac:dyDescent="0.35">
      <c r="A731" s="33">
        <v>728</v>
      </c>
      <c r="B731" s="34" t="s">
        <v>1103</v>
      </c>
      <c r="C731" s="33" t="s">
        <v>346</v>
      </c>
      <c r="D731" s="33" t="s">
        <v>50</v>
      </c>
      <c r="E731" s="33" t="s">
        <v>942</v>
      </c>
      <c r="F731" s="35">
        <v>1</v>
      </c>
      <c r="G731" s="40">
        <v>0</v>
      </c>
      <c r="H731" s="40">
        <v>0</v>
      </c>
      <c r="I731" s="40">
        <v>0</v>
      </c>
      <c r="J731" s="40">
        <v>0</v>
      </c>
      <c r="K731" s="40">
        <v>0</v>
      </c>
      <c r="L731" s="40">
        <v>0</v>
      </c>
      <c r="M731" s="40" cm="1">
        <f t="array" ref="M731:N731">VLOOKUP(B731,'Fumigation  Room'!B:H,{6,7},0)</f>
        <v>0</v>
      </c>
      <c r="N731" s="40">
        <v>0</v>
      </c>
      <c r="O731" s="40">
        <f t="shared" si="23"/>
        <v>0</v>
      </c>
      <c r="P731" s="40">
        <f t="shared" si="24"/>
        <v>0</v>
      </c>
    </row>
    <row r="732" spans="1:16" x14ac:dyDescent="0.35">
      <c r="A732" s="33">
        <v>729</v>
      </c>
      <c r="B732" s="34" t="s">
        <v>1104</v>
      </c>
      <c r="C732" s="33" t="s">
        <v>346</v>
      </c>
      <c r="D732" s="33" t="s">
        <v>50</v>
      </c>
      <c r="E732" s="33" t="s">
        <v>942</v>
      </c>
      <c r="F732" s="35">
        <v>0.5</v>
      </c>
      <c r="G732" s="40">
        <v>0</v>
      </c>
      <c r="H732" s="40">
        <v>0</v>
      </c>
      <c r="I732" s="40">
        <v>0</v>
      </c>
      <c r="J732" s="40">
        <v>0</v>
      </c>
      <c r="K732" s="40">
        <v>0</v>
      </c>
      <c r="L732" s="40">
        <v>0</v>
      </c>
      <c r="M732" s="40" cm="1">
        <f t="array" ref="M732:N732">VLOOKUP(B732,'Fumigation  Room'!B:H,{6,7},0)</f>
        <v>0</v>
      </c>
      <c r="N732" s="40">
        <v>0</v>
      </c>
      <c r="O732" s="40">
        <f t="shared" si="23"/>
        <v>0</v>
      </c>
      <c r="P732" s="40">
        <f t="shared" si="24"/>
        <v>0</v>
      </c>
    </row>
    <row r="733" spans="1:16" x14ac:dyDescent="0.35">
      <c r="A733" s="33">
        <v>730</v>
      </c>
      <c r="B733" s="34" t="s">
        <v>944</v>
      </c>
      <c r="C733" s="33" t="s">
        <v>297</v>
      </c>
      <c r="D733" s="33" t="s">
        <v>50</v>
      </c>
      <c r="E733" s="33" t="s">
        <v>944</v>
      </c>
      <c r="F733" s="35">
        <v>1</v>
      </c>
      <c r="G733" s="40">
        <v>0</v>
      </c>
      <c r="H733" s="40">
        <v>0</v>
      </c>
      <c r="I733" s="40">
        <v>0</v>
      </c>
      <c r="J733" s="40">
        <v>0</v>
      </c>
      <c r="K733" s="40">
        <v>0</v>
      </c>
      <c r="L733" s="40">
        <v>0</v>
      </c>
      <c r="M733" s="40" cm="1">
        <f t="array" ref="M733:N733">VLOOKUP(B733,'Fumigation  Room'!B:H,{6,7},0)</f>
        <v>0</v>
      </c>
      <c r="N733" s="40">
        <v>0</v>
      </c>
      <c r="O733" s="40">
        <f t="shared" si="23"/>
        <v>0</v>
      </c>
      <c r="P733" s="40">
        <f t="shared" si="24"/>
        <v>0</v>
      </c>
    </row>
    <row r="734" spans="1:16" x14ac:dyDescent="0.35">
      <c r="A734" s="33">
        <v>731</v>
      </c>
      <c r="B734" s="34" t="s">
        <v>1105</v>
      </c>
      <c r="C734" s="33" t="s">
        <v>346</v>
      </c>
      <c r="D734" s="33" t="s">
        <v>50</v>
      </c>
      <c r="E734" s="33" t="s">
        <v>1106</v>
      </c>
      <c r="F734" s="35">
        <v>0.6</v>
      </c>
      <c r="G734" s="40">
        <v>0</v>
      </c>
      <c r="H734" s="40">
        <v>0</v>
      </c>
      <c r="I734" s="40">
        <v>0</v>
      </c>
      <c r="J734" s="40">
        <v>0</v>
      </c>
      <c r="K734" s="40">
        <v>0</v>
      </c>
      <c r="L734" s="40">
        <v>0</v>
      </c>
      <c r="M734" s="40" cm="1">
        <f t="array" ref="M734:N734">VLOOKUP(B734,'Fumigation  Room'!B:H,{6,7},0)</f>
        <v>0</v>
      </c>
      <c r="N734" s="40">
        <v>0</v>
      </c>
      <c r="O734" s="40">
        <f t="shared" si="23"/>
        <v>0</v>
      </c>
      <c r="P734" s="40">
        <f t="shared" si="24"/>
        <v>0</v>
      </c>
    </row>
    <row r="735" spans="1:16" x14ac:dyDescent="0.35">
      <c r="A735" s="33">
        <v>732</v>
      </c>
      <c r="B735" s="34" t="s">
        <v>1107</v>
      </c>
      <c r="C735" s="33" t="s">
        <v>346</v>
      </c>
      <c r="D735" s="33" t="s">
        <v>50</v>
      </c>
      <c r="E735" s="33" t="s">
        <v>1106</v>
      </c>
      <c r="F735" s="35">
        <v>0.4</v>
      </c>
      <c r="G735" s="40">
        <v>0</v>
      </c>
      <c r="H735" s="40">
        <v>0</v>
      </c>
      <c r="I735" s="40">
        <v>0</v>
      </c>
      <c r="J735" s="40">
        <v>0</v>
      </c>
      <c r="K735" s="40">
        <v>0</v>
      </c>
      <c r="L735" s="40">
        <v>0</v>
      </c>
      <c r="M735" s="40" cm="1">
        <f t="array" ref="M735:N735">VLOOKUP(B735,'Fumigation  Room'!B:H,{6,7},0)</f>
        <v>0</v>
      </c>
      <c r="N735" s="40">
        <v>0</v>
      </c>
      <c r="O735" s="40">
        <f t="shared" si="23"/>
        <v>0</v>
      </c>
      <c r="P735" s="40">
        <f t="shared" si="24"/>
        <v>0</v>
      </c>
    </row>
    <row r="736" spans="1:16" x14ac:dyDescent="0.35">
      <c r="A736" s="33">
        <v>733</v>
      </c>
      <c r="B736" s="34" t="s">
        <v>1108</v>
      </c>
      <c r="C736" s="33" t="s">
        <v>346</v>
      </c>
      <c r="D736" s="33" t="s">
        <v>50</v>
      </c>
      <c r="E736" s="33" t="s">
        <v>1106</v>
      </c>
      <c r="F736" s="35">
        <v>0.5</v>
      </c>
      <c r="G736" s="40">
        <v>0</v>
      </c>
      <c r="H736" s="40">
        <v>0</v>
      </c>
      <c r="I736" s="40">
        <v>0</v>
      </c>
      <c r="J736" s="40">
        <v>0</v>
      </c>
      <c r="K736" s="40">
        <v>0</v>
      </c>
      <c r="L736" s="40">
        <v>0</v>
      </c>
      <c r="M736" s="40" cm="1">
        <f t="array" ref="M736:N736">VLOOKUP(B736,'Fumigation  Room'!B:H,{6,7},0)</f>
        <v>0</v>
      </c>
      <c r="N736" s="40">
        <v>0</v>
      </c>
      <c r="O736" s="40">
        <f t="shared" si="23"/>
        <v>0</v>
      </c>
      <c r="P736" s="40">
        <f t="shared" si="24"/>
        <v>0</v>
      </c>
    </row>
    <row r="737" spans="1:16" x14ac:dyDescent="0.35">
      <c r="A737" s="33">
        <v>734</v>
      </c>
      <c r="B737" s="34" t="s">
        <v>1109</v>
      </c>
      <c r="C737" s="33" t="s">
        <v>346</v>
      </c>
      <c r="D737" s="33" t="s">
        <v>50</v>
      </c>
      <c r="E737" s="33" t="s">
        <v>1106</v>
      </c>
      <c r="F737" s="35">
        <v>0.5</v>
      </c>
      <c r="G737" s="40">
        <v>0</v>
      </c>
      <c r="H737" s="40">
        <v>0</v>
      </c>
      <c r="I737" s="40">
        <v>0</v>
      </c>
      <c r="J737" s="40">
        <v>0</v>
      </c>
      <c r="K737" s="40">
        <v>0</v>
      </c>
      <c r="L737" s="40">
        <v>0</v>
      </c>
      <c r="M737" s="40" cm="1">
        <f t="array" ref="M737:N737">VLOOKUP(B737,'Fumigation  Room'!B:H,{6,7},0)</f>
        <v>0</v>
      </c>
      <c r="N737" s="40">
        <v>0</v>
      </c>
      <c r="O737" s="40">
        <f t="shared" si="23"/>
        <v>0</v>
      </c>
      <c r="P737" s="40">
        <f t="shared" si="24"/>
        <v>0</v>
      </c>
    </row>
    <row r="738" spans="1:16" x14ac:dyDescent="0.35">
      <c r="A738" s="33">
        <v>735</v>
      </c>
      <c r="B738" s="34" t="s">
        <v>1110</v>
      </c>
      <c r="C738" s="33" t="s">
        <v>346</v>
      </c>
      <c r="D738" s="33" t="s">
        <v>50</v>
      </c>
      <c r="E738" s="33" t="s">
        <v>1106</v>
      </c>
      <c r="F738" s="35">
        <v>0.25</v>
      </c>
      <c r="G738" s="40">
        <v>0</v>
      </c>
      <c r="H738" s="40">
        <v>0</v>
      </c>
      <c r="I738" s="40">
        <v>0</v>
      </c>
      <c r="J738" s="40">
        <v>0</v>
      </c>
      <c r="K738" s="40">
        <v>0</v>
      </c>
      <c r="L738" s="40">
        <v>0</v>
      </c>
      <c r="M738" s="40" cm="1">
        <f t="array" ref="M738:N738">VLOOKUP(B738,'Fumigation  Room'!B:H,{6,7},0)</f>
        <v>0</v>
      </c>
      <c r="N738" s="40">
        <v>0</v>
      </c>
      <c r="O738" s="40">
        <f t="shared" si="23"/>
        <v>0</v>
      </c>
      <c r="P738" s="40">
        <f t="shared" si="24"/>
        <v>0</v>
      </c>
    </row>
    <row r="739" spans="1:16" x14ac:dyDescent="0.35">
      <c r="A739" s="33">
        <v>736</v>
      </c>
      <c r="B739" s="34" t="s">
        <v>1111</v>
      </c>
      <c r="C739" s="33" t="s">
        <v>346</v>
      </c>
      <c r="D739" s="33" t="s">
        <v>50</v>
      </c>
      <c r="E739" s="33" t="s">
        <v>1106</v>
      </c>
      <c r="F739" s="35">
        <v>0.25</v>
      </c>
      <c r="G739" s="40">
        <v>0</v>
      </c>
      <c r="H739" s="40">
        <v>0</v>
      </c>
      <c r="I739" s="40">
        <v>0</v>
      </c>
      <c r="J739" s="40">
        <v>0</v>
      </c>
      <c r="K739" s="40">
        <v>0</v>
      </c>
      <c r="L739" s="40">
        <v>0</v>
      </c>
      <c r="M739" s="40" cm="1">
        <f t="array" ref="M739:N739">VLOOKUP(B739,'Fumigation  Room'!B:H,{6,7},0)</f>
        <v>0</v>
      </c>
      <c r="N739" s="40">
        <v>0</v>
      </c>
      <c r="O739" s="40">
        <f t="shared" si="23"/>
        <v>0</v>
      </c>
      <c r="P739" s="40">
        <f t="shared" si="24"/>
        <v>0</v>
      </c>
    </row>
    <row r="740" spans="1:16" x14ac:dyDescent="0.35">
      <c r="A740" s="33">
        <v>737</v>
      </c>
      <c r="B740" s="34" t="s">
        <v>1112</v>
      </c>
      <c r="C740" s="33" t="s">
        <v>346</v>
      </c>
      <c r="D740" s="33" t="s">
        <v>50</v>
      </c>
      <c r="E740" s="33" t="s">
        <v>1106</v>
      </c>
      <c r="F740" s="35">
        <v>1</v>
      </c>
      <c r="G740" s="40">
        <v>0</v>
      </c>
      <c r="H740" s="40">
        <v>0</v>
      </c>
      <c r="I740" s="40">
        <v>0</v>
      </c>
      <c r="J740" s="40">
        <v>0</v>
      </c>
      <c r="K740" s="40">
        <v>0</v>
      </c>
      <c r="L740" s="40">
        <v>0</v>
      </c>
      <c r="M740" s="40" cm="1">
        <f t="array" ref="M740:N740">VLOOKUP(B740,'Fumigation  Room'!B:H,{6,7},0)</f>
        <v>0</v>
      </c>
      <c r="N740" s="40">
        <v>0</v>
      </c>
      <c r="O740" s="40">
        <f t="shared" si="23"/>
        <v>0</v>
      </c>
      <c r="P740" s="40">
        <f t="shared" si="24"/>
        <v>0</v>
      </c>
    </row>
    <row r="741" spans="1:16" x14ac:dyDescent="0.35">
      <c r="A741" s="33">
        <v>738</v>
      </c>
      <c r="B741" s="34" t="s">
        <v>945</v>
      </c>
      <c r="C741" s="33" t="s">
        <v>297</v>
      </c>
      <c r="D741" s="33" t="s">
        <v>50</v>
      </c>
      <c r="E741" s="33" t="s">
        <v>946</v>
      </c>
      <c r="F741" s="35">
        <v>1</v>
      </c>
      <c r="G741" s="40">
        <v>0</v>
      </c>
      <c r="H741" s="40">
        <v>0</v>
      </c>
      <c r="I741" s="40">
        <v>0</v>
      </c>
      <c r="J741" s="40">
        <v>0</v>
      </c>
      <c r="K741" s="40">
        <v>0</v>
      </c>
      <c r="L741" s="40">
        <v>0</v>
      </c>
      <c r="M741" s="40" cm="1">
        <f t="array" ref="M741:N741">VLOOKUP(B741,'Fumigation  Room'!B:H,{6,7},0)</f>
        <v>0</v>
      </c>
      <c r="N741" s="40">
        <v>0</v>
      </c>
      <c r="O741" s="40">
        <f t="shared" si="23"/>
        <v>0</v>
      </c>
      <c r="P741" s="40">
        <f t="shared" si="24"/>
        <v>0</v>
      </c>
    </row>
    <row r="742" spans="1:16" x14ac:dyDescent="0.35">
      <c r="A742" s="33">
        <v>739</v>
      </c>
      <c r="B742" s="34" t="s">
        <v>947</v>
      </c>
      <c r="C742" s="33" t="s">
        <v>297</v>
      </c>
      <c r="D742" s="33" t="s">
        <v>50</v>
      </c>
      <c r="E742" s="33" t="s">
        <v>946</v>
      </c>
      <c r="F742" s="35">
        <v>1</v>
      </c>
      <c r="G742" s="40">
        <v>0</v>
      </c>
      <c r="H742" s="40">
        <v>0</v>
      </c>
      <c r="I742" s="40">
        <v>0</v>
      </c>
      <c r="J742" s="40">
        <v>0</v>
      </c>
      <c r="K742" s="40">
        <v>0</v>
      </c>
      <c r="L742" s="40">
        <v>0</v>
      </c>
      <c r="M742" s="40" cm="1">
        <f t="array" ref="M742:N742">VLOOKUP(B742,'Fumigation  Room'!B:H,{6,7},0)</f>
        <v>0</v>
      </c>
      <c r="N742" s="40">
        <v>0</v>
      </c>
      <c r="O742" s="40">
        <f t="shared" si="23"/>
        <v>0</v>
      </c>
      <c r="P742" s="40">
        <f t="shared" si="24"/>
        <v>0</v>
      </c>
    </row>
    <row r="743" spans="1:16" x14ac:dyDescent="0.35">
      <c r="A743" s="33">
        <v>740</v>
      </c>
      <c r="B743" s="34" t="s">
        <v>948</v>
      </c>
      <c r="C743" s="33" t="s">
        <v>297</v>
      </c>
      <c r="D743" s="33" t="s">
        <v>50</v>
      </c>
      <c r="E743" s="33" t="s">
        <v>949</v>
      </c>
      <c r="F743" s="35">
        <v>1</v>
      </c>
      <c r="G743" s="40">
        <v>0</v>
      </c>
      <c r="H743" s="40">
        <v>0</v>
      </c>
      <c r="I743" s="40">
        <v>0</v>
      </c>
      <c r="J743" s="40">
        <v>0</v>
      </c>
      <c r="K743" s="40">
        <v>0</v>
      </c>
      <c r="L743" s="40">
        <v>0</v>
      </c>
      <c r="M743" s="40" cm="1">
        <f t="array" ref="M743:N743">VLOOKUP(B743,'Fumigation  Room'!B:H,{6,7},0)</f>
        <v>0</v>
      </c>
      <c r="N743" s="40">
        <v>0</v>
      </c>
      <c r="O743" s="40">
        <f t="shared" si="23"/>
        <v>0</v>
      </c>
      <c r="P743" s="40">
        <f t="shared" si="24"/>
        <v>0</v>
      </c>
    </row>
    <row r="744" spans="1:16" x14ac:dyDescent="0.35">
      <c r="A744" s="33">
        <v>741</v>
      </c>
      <c r="B744" s="34" t="s">
        <v>1113</v>
      </c>
      <c r="C744" s="33" t="s">
        <v>346</v>
      </c>
      <c r="D744" s="33" t="s">
        <v>50</v>
      </c>
      <c r="E744" s="33" t="s">
        <v>949</v>
      </c>
      <c r="F744" s="35">
        <v>0.25</v>
      </c>
      <c r="G744" s="40">
        <v>0</v>
      </c>
      <c r="H744" s="40">
        <v>0</v>
      </c>
      <c r="I744" s="40">
        <v>0</v>
      </c>
      <c r="J744" s="40">
        <v>0</v>
      </c>
      <c r="K744" s="40">
        <v>0</v>
      </c>
      <c r="L744" s="40">
        <v>0</v>
      </c>
      <c r="M744" s="40" cm="1">
        <f t="array" ref="M744:N744">VLOOKUP(B744,'Fumigation  Room'!B:H,{6,7},0)</f>
        <v>0</v>
      </c>
      <c r="N744" s="40">
        <v>0</v>
      </c>
      <c r="O744" s="40">
        <f t="shared" si="23"/>
        <v>0</v>
      </c>
      <c r="P744" s="40">
        <f t="shared" si="24"/>
        <v>0</v>
      </c>
    </row>
    <row r="745" spans="1:16" x14ac:dyDescent="0.35">
      <c r="A745" s="33">
        <v>742</v>
      </c>
      <c r="B745" s="34" t="s">
        <v>1114</v>
      </c>
      <c r="C745" s="33" t="s">
        <v>346</v>
      </c>
      <c r="D745" s="33" t="s">
        <v>50</v>
      </c>
      <c r="E745" s="33" t="s">
        <v>949</v>
      </c>
      <c r="F745" s="35">
        <v>0.2</v>
      </c>
      <c r="G745" s="40">
        <v>0</v>
      </c>
      <c r="H745" s="40">
        <v>0</v>
      </c>
      <c r="I745" s="40">
        <v>0</v>
      </c>
      <c r="J745" s="40">
        <v>0</v>
      </c>
      <c r="K745" s="40">
        <v>0</v>
      </c>
      <c r="L745" s="40">
        <v>0</v>
      </c>
      <c r="M745" s="40" cm="1">
        <f t="array" ref="M745:N745">VLOOKUP(B745,'Fumigation  Room'!B:H,{6,7},0)</f>
        <v>0</v>
      </c>
      <c r="N745" s="40">
        <v>0</v>
      </c>
      <c r="O745" s="40">
        <f t="shared" si="23"/>
        <v>0</v>
      </c>
      <c r="P745" s="40">
        <f t="shared" si="24"/>
        <v>0</v>
      </c>
    </row>
    <row r="746" spans="1:16" x14ac:dyDescent="0.35">
      <c r="A746" s="33">
        <v>743</v>
      </c>
      <c r="B746" s="34" t="s">
        <v>1115</v>
      </c>
      <c r="C746" s="33" t="s">
        <v>346</v>
      </c>
      <c r="D746" s="33" t="s">
        <v>50</v>
      </c>
      <c r="E746" s="33" t="s">
        <v>949</v>
      </c>
      <c r="F746" s="35">
        <v>0.25</v>
      </c>
      <c r="G746" s="40">
        <v>0</v>
      </c>
      <c r="H746" s="40">
        <v>0</v>
      </c>
      <c r="I746" s="40">
        <v>0</v>
      </c>
      <c r="J746" s="40">
        <v>0</v>
      </c>
      <c r="K746" s="40">
        <v>0</v>
      </c>
      <c r="L746" s="40">
        <v>0</v>
      </c>
      <c r="M746" s="40" cm="1">
        <f t="array" ref="M746:N746">VLOOKUP(B746,'Fumigation  Room'!B:H,{6,7},0)</f>
        <v>0</v>
      </c>
      <c r="N746" s="40">
        <v>0</v>
      </c>
      <c r="O746" s="40">
        <f t="shared" si="23"/>
        <v>0</v>
      </c>
      <c r="P746" s="40">
        <f t="shared" si="24"/>
        <v>0</v>
      </c>
    </row>
    <row r="747" spans="1:16" x14ac:dyDescent="0.35">
      <c r="A747" s="33">
        <v>744</v>
      </c>
      <c r="B747" s="34" t="s">
        <v>1116</v>
      </c>
      <c r="C747" s="33" t="s">
        <v>346</v>
      </c>
      <c r="D747" s="33" t="s">
        <v>50</v>
      </c>
      <c r="E747" s="33" t="s">
        <v>949</v>
      </c>
      <c r="F747" s="35">
        <v>0.5</v>
      </c>
      <c r="G747" s="40">
        <v>0</v>
      </c>
      <c r="H747" s="40">
        <v>0</v>
      </c>
      <c r="I747" s="40">
        <v>0</v>
      </c>
      <c r="J747" s="40">
        <v>0</v>
      </c>
      <c r="K747" s="40">
        <v>0</v>
      </c>
      <c r="L747" s="40">
        <v>0</v>
      </c>
      <c r="M747" s="40" cm="1">
        <f t="array" ref="M747:N747">VLOOKUP(B747,'Fumigation  Room'!B:H,{6,7},0)</f>
        <v>0</v>
      </c>
      <c r="N747" s="40">
        <v>0</v>
      </c>
      <c r="O747" s="40">
        <f t="shared" si="23"/>
        <v>0</v>
      </c>
      <c r="P747" s="40">
        <f t="shared" si="24"/>
        <v>0</v>
      </c>
    </row>
    <row r="748" spans="1:16" x14ac:dyDescent="0.35">
      <c r="A748" s="33">
        <v>745</v>
      </c>
      <c r="B748" s="34" t="s">
        <v>950</v>
      </c>
      <c r="C748" s="33" t="s">
        <v>297</v>
      </c>
      <c r="D748" s="33" t="s">
        <v>50</v>
      </c>
      <c r="E748" s="33" t="s">
        <v>951</v>
      </c>
      <c r="F748" s="35">
        <v>1</v>
      </c>
      <c r="G748" s="40">
        <v>0</v>
      </c>
      <c r="H748" s="40">
        <v>0</v>
      </c>
      <c r="I748" s="40">
        <v>0</v>
      </c>
      <c r="J748" s="40">
        <v>0</v>
      </c>
      <c r="K748" s="40">
        <v>0</v>
      </c>
      <c r="L748" s="40">
        <v>0</v>
      </c>
      <c r="M748" s="40" cm="1">
        <f t="array" ref="M748:N748">VLOOKUP(B748,'Fumigation  Room'!B:H,{6,7},0)</f>
        <v>0</v>
      </c>
      <c r="N748" s="40">
        <v>0</v>
      </c>
      <c r="O748" s="40">
        <f t="shared" si="23"/>
        <v>0</v>
      </c>
      <c r="P748" s="40">
        <f t="shared" si="24"/>
        <v>0</v>
      </c>
    </row>
    <row r="749" spans="1:16" x14ac:dyDescent="0.35">
      <c r="A749" s="33">
        <v>746</v>
      </c>
      <c r="B749" s="34" t="s">
        <v>952</v>
      </c>
      <c r="C749" s="33" t="s">
        <v>297</v>
      </c>
      <c r="D749" s="33" t="s">
        <v>50</v>
      </c>
      <c r="E749" s="33" t="s">
        <v>953</v>
      </c>
      <c r="F749" s="35">
        <v>1</v>
      </c>
      <c r="G749" s="40">
        <v>0</v>
      </c>
      <c r="H749" s="40">
        <v>0</v>
      </c>
      <c r="I749" s="40">
        <v>0</v>
      </c>
      <c r="J749" s="40">
        <v>0</v>
      </c>
      <c r="K749" s="40">
        <v>0</v>
      </c>
      <c r="L749" s="40">
        <v>0</v>
      </c>
      <c r="M749" s="40" cm="1">
        <f t="array" ref="M749:N749">VLOOKUP(B749,'Fumigation  Room'!B:H,{6,7},0)</f>
        <v>0</v>
      </c>
      <c r="N749" s="40">
        <v>0</v>
      </c>
      <c r="O749" s="40">
        <f t="shared" si="23"/>
        <v>0</v>
      </c>
      <c r="P749" s="40">
        <f t="shared" si="24"/>
        <v>0</v>
      </c>
    </row>
    <row r="750" spans="1:16" x14ac:dyDescent="0.35">
      <c r="A750" s="33">
        <v>747</v>
      </c>
      <c r="B750" s="34" t="s">
        <v>954</v>
      </c>
      <c r="C750" s="33" t="s">
        <v>297</v>
      </c>
      <c r="D750" s="33" t="s">
        <v>50</v>
      </c>
      <c r="E750" s="33" t="s">
        <v>953</v>
      </c>
      <c r="F750" s="35">
        <v>1</v>
      </c>
      <c r="G750" s="40">
        <v>0</v>
      </c>
      <c r="H750" s="40">
        <v>0</v>
      </c>
      <c r="I750" s="40">
        <v>0</v>
      </c>
      <c r="J750" s="40">
        <v>0</v>
      </c>
      <c r="K750" s="40">
        <v>0</v>
      </c>
      <c r="L750" s="40">
        <v>0</v>
      </c>
      <c r="M750" s="40" cm="1">
        <f t="array" ref="M750:N750">VLOOKUP(B750,'Fumigation  Room'!B:H,{6,7},0)</f>
        <v>0</v>
      </c>
      <c r="N750" s="40">
        <v>0</v>
      </c>
      <c r="O750" s="40">
        <f t="shared" si="23"/>
        <v>0</v>
      </c>
      <c r="P750" s="40">
        <f t="shared" si="24"/>
        <v>0</v>
      </c>
    </row>
    <row r="751" spans="1:16" x14ac:dyDescent="0.35">
      <c r="A751" s="33">
        <v>748</v>
      </c>
      <c r="B751" s="34" t="s">
        <v>955</v>
      </c>
      <c r="C751" s="33" t="s">
        <v>297</v>
      </c>
      <c r="D751" s="33" t="s">
        <v>50</v>
      </c>
      <c r="E751" s="33" t="s">
        <v>953</v>
      </c>
      <c r="F751" s="35">
        <v>1</v>
      </c>
      <c r="G751" s="40">
        <v>0</v>
      </c>
      <c r="H751" s="40">
        <v>0</v>
      </c>
      <c r="I751" s="40">
        <v>0</v>
      </c>
      <c r="J751" s="40">
        <v>0</v>
      </c>
      <c r="K751" s="40">
        <v>0</v>
      </c>
      <c r="L751" s="40">
        <v>0</v>
      </c>
      <c r="M751" s="40" cm="1">
        <f t="array" ref="M751:N751">VLOOKUP(B751,'Fumigation  Room'!B:H,{6,7},0)</f>
        <v>0</v>
      </c>
      <c r="N751" s="40">
        <v>0</v>
      </c>
      <c r="O751" s="40">
        <f t="shared" si="23"/>
        <v>0</v>
      </c>
      <c r="P751" s="40">
        <f t="shared" si="24"/>
        <v>0</v>
      </c>
    </row>
    <row r="752" spans="1:16" x14ac:dyDescent="0.35">
      <c r="A752" s="33">
        <v>749</v>
      </c>
      <c r="B752" s="34" t="s">
        <v>956</v>
      </c>
      <c r="C752" s="33" t="s">
        <v>297</v>
      </c>
      <c r="D752" s="33" t="s">
        <v>50</v>
      </c>
      <c r="E752" s="33" t="s">
        <v>953</v>
      </c>
      <c r="F752" s="35">
        <v>1</v>
      </c>
      <c r="G752" s="40">
        <v>0</v>
      </c>
      <c r="H752" s="40">
        <v>0</v>
      </c>
      <c r="I752" s="40">
        <v>0</v>
      </c>
      <c r="J752" s="40">
        <v>0</v>
      </c>
      <c r="K752" s="40">
        <v>0</v>
      </c>
      <c r="L752" s="40">
        <v>0</v>
      </c>
      <c r="M752" s="40" cm="1">
        <f t="array" ref="M752:N752">VLOOKUP(B752,'Fumigation  Room'!B:H,{6,7},0)</f>
        <v>0</v>
      </c>
      <c r="N752" s="40">
        <v>0</v>
      </c>
      <c r="O752" s="40">
        <f t="shared" si="23"/>
        <v>0</v>
      </c>
      <c r="P752" s="40">
        <f t="shared" si="24"/>
        <v>0</v>
      </c>
    </row>
    <row r="753" spans="1:16" x14ac:dyDescent="0.35">
      <c r="A753" s="33">
        <v>750</v>
      </c>
      <c r="B753" s="34" t="s">
        <v>2317</v>
      </c>
      <c r="C753" s="33" t="s">
        <v>346</v>
      </c>
      <c r="D753" s="33" t="s">
        <v>50</v>
      </c>
      <c r="E753" s="33" t="s">
        <v>953</v>
      </c>
      <c r="F753" s="35">
        <v>3.5000000000000003E-2</v>
      </c>
      <c r="G753" s="40">
        <v>0</v>
      </c>
      <c r="H753" s="40">
        <v>0</v>
      </c>
      <c r="I753" s="40">
        <v>0</v>
      </c>
      <c r="J753" s="40">
        <v>0</v>
      </c>
      <c r="K753" s="40">
        <v>0</v>
      </c>
      <c r="L753" s="40">
        <v>0</v>
      </c>
      <c r="M753" s="40">
        <v>0</v>
      </c>
      <c r="N753" s="40">
        <v>0</v>
      </c>
      <c r="O753" s="40">
        <f t="shared" si="23"/>
        <v>0</v>
      </c>
      <c r="P753" s="40">
        <f t="shared" si="24"/>
        <v>0</v>
      </c>
    </row>
    <row r="754" spans="1:16" x14ac:dyDescent="0.35">
      <c r="A754" s="33">
        <v>751</v>
      </c>
      <c r="B754" s="34" t="s">
        <v>1117</v>
      </c>
      <c r="C754" s="33" t="s">
        <v>346</v>
      </c>
      <c r="D754" s="33" t="s">
        <v>50</v>
      </c>
      <c r="E754" s="33" t="s">
        <v>953</v>
      </c>
      <c r="F754" s="35">
        <v>0.4</v>
      </c>
      <c r="G754" s="40">
        <v>0</v>
      </c>
      <c r="H754" s="40">
        <v>0</v>
      </c>
      <c r="I754" s="40">
        <v>0</v>
      </c>
      <c r="J754" s="40">
        <v>0</v>
      </c>
      <c r="K754" s="40">
        <v>0</v>
      </c>
      <c r="L754" s="40">
        <v>0</v>
      </c>
      <c r="M754" s="40" cm="1">
        <f t="array" ref="M754:N754">VLOOKUP(B754,'Fumigation  Room'!B:H,{6,7},0)</f>
        <v>0</v>
      </c>
      <c r="N754" s="40">
        <v>0</v>
      </c>
      <c r="O754" s="40">
        <f t="shared" si="23"/>
        <v>0</v>
      </c>
      <c r="P754" s="40">
        <f t="shared" si="24"/>
        <v>0</v>
      </c>
    </row>
    <row r="755" spans="1:16" x14ac:dyDescent="0.35">
      <c r="A755" s="33">
        <v>752</v>
      </c>
      <c r="B755" s="34" t="s">
        <v>1118</v>
      </c>
      <c r="C755" s="33" t="s">
        <v>346</v>
      </c>
      <c r="D755" s="33" t="s">
        <v>50</v>
      </c>
      <c r="E755" s="33" t="s">
        <v>953</v>
      </c>
      <c r="F755" s="35">
        <v>0.4</v>
      </c>
      <c r="G755" s="40">
        <v>0</v>
      </c>
      <c r="H755" s="40">
        <v>0</v>
      </c>
      <c r="I755" s="40">
        <v>0</v>
      </c>
      <c r="J755" s="40">
        <v>0</v>
      </c>
      <c r="K755" s="40">
        <v>0</v>
      </c>
      <c r="L755" s="40">
        <v>0</v>
      </c>
      <c r="M755" s="40" cm="1">
        <f t="array" ref="M755:N755">VLOOKUP(B755,'Fumigation  Room'!B:H,{6,7},0)</f>
        <v>0</v>
      </c>
      <c r="N755" s="40">
        <v>0</v>
      </c>
      <c r="O755" s="40">
        <f t="shared" si="23"/>
        <v>0</v>
      </c>
      <c r="P755" s="40">
        <f t="shared" si="24"/>
        <v>0</v>
      </c>
    </row>
    <row r="756" spans="1:16" x14ac:dyDescent="0.35">
      <c r="A756" s="33">
        <v>753</v>
      </c>
      <c r="B756" s="34" t="s">
        <v>1119</v>
      </c>
      <c r="C756" s="33" t="s">
        <v>346</v>
      </c>
      <c r="D756" s="33" t="s">
        <v>50</v>
      </c>
      <c r="E756" s="33" t="s">
        <v>953</v>
      </c>
      <c r="F756" s="35">
        <v>0.5</v>
      </c>
      <c r="G756" s="40">
        <v>0</v>
      </c>
      <c r="H756" s="40">
        <v>0</v>
      </c>
      <c r="I756" s="40">
        <v>0</v>
      </c>
      <c r="J756" s="40">
        <v>0</v>
      </c>
      <c r="K756" s="40">
        <v>0</v>
      </c>
      <c r="L756" s="40">
        <v>0</v>
      </c>
      <c r="M756" s="40" cm="1">
        <f t="array" ref="M756:N756">VLOOKUP(B756,'Fumigation  Room'!B:H,{6,7},0)</f>
        <v>0</v>
      </c>
      <c r="N756" s="40">
        <v>0</v>
      </c>
      <c r="O756" s="40">
        <f t="shared" si="23"/>
        <v>0</v>
      </c>
      <c r="P756" s="40">
        <f t="shared" si="24"/>
        <v>0</v>
      </c>
    </row>
    <row r="757" spans="1:16" x14ac:dyDescent="0.35">
      <c r="A757" s="33">
        <v>754</v>
      </c>
      <c r="B757" s="34" t="s">
        <v>1120</v>
      </c>
      <c r="C757" s="33" t="s">
        <v>346</v>
      </c>
      <c r="D757" s="33" t="s">
        <v>50</v>
      </c>
      <c r="E757" s="33" t="s">
        <v>953</v>
      </c>
      <c r="F757" s="35">
        <v>0.5</v>
      </c>
      <c r="G757" s="40">
        <v>0</v>
      </c>
      <c r="H757" s="40">
        <v>0</v>
      </c>
      <c r="I757" s="40">
        <v>0</v>
      </c>
      <c r="J757" s="40">
        <v>0</v>
      </c>
      <c r="K757" s="40">
        <v>0</v>
      </c>
      <c r="L757" s="40">
        <v>0</v>
      </c>
      <c r="M757" s="40" cm="1">
        <f t="array" ref="M757:N757">VLOOKUP(B757,'Fumigation  Room'!B:H,{6,7},0)</f>
        <v>0</v>
      </c>
      <c r="N757" s="40">
        <v>0</v>
      </c>
      <c r="O757" s="40">
        <f t="shared" si="23"/>
        <v>0</v>
      </c>
      <c r="P757" s="40">
        <f t="shared" si="24"/>
        <v>0</v>
      </c>
    </row>
    <row r="758" spans="1:16" x14ac:dyDescent="0.35">
      <c r="A758" s="33">
        <v>755</v>
      </c>
      <c r="B758" s="34" t="s">
        <v>1121</v>
      </c>
      <c r="C758" s="33" t="s">
        <v>346</v>
      </c>
      <c r="D758" s="33" t="s">
        <v>50</v>
      </c>
      <c r="E758" s="33" t="s">
        <v>953</v>
      </c>
      <c r="F758" s="35">
        <v>0.25</v>
      </c>
      <c r="G758" s="40">
        <v>0</v>
      </c>
      <c r="H758" s="40">
        <v>0</v>
      </c>
      <c r="I758" s="40">
        <v>0</v>
      </c>
      <c r="J758" s="40">
        <v>0</v>
      </c>
      <c r="K758" s="40">
        <v>0</v>
      </c>
      <c r="L758" s="40">
        <v>0</v>
      </c>
      <c r="M758" s="40" cm="1">
        <f t="array" ref="M758:N758">VLOOKUP(B758,'Fumigation  Room'!B:H,{6,7},0)</f>
        <v>0</v>
      </c>
      <c r="N758" s="40">
        <v>0</v>
      </c>
      <c r="O758" s="40">
        <f t="shared" si="23"/>
        <v>0</v>
      </c>
      <c r="P758" s="40">
        <f t="shared" si="24"/>
        <v>0</v>
      </c>
    </row>
    <row r="759" spans="1:16" x14ac:dyDescent="0.35">
      <c r="A759" s="33">
        <v>756</v>
      </c>
      <c r="B759" s="34" t="s">
        <v>1122</v>
      </c>
      <c r="C759" s="33" t="s">
        <v>346</v>
      </c>
      <c r="D759" s="33" t="s">
        <v>50</v>
      </c>
      <c r="E759" s="33" t="s">
        <v>953</v>
      </c>
      <c r="F759" s="35">
        <v>0.5</v>
      </c>
      <c r="G759" s="40">
        <v>0</v>
      </c>
      <c r="H759" s="40">
        <v>0</v>
      </c>
      <c r="I759" s="40">
        <v>0</v>
      </c>
      <c r="J759" s="40">
        <v>0</v>
      </c>
      <c r="K759" s="40">
        <v>0</v>
      </c>
      <c r="L759" s="40">
        <v>0</v>
      </c>
      <c r="M759" s="40" cm="1">
        <f t="array" ref="M759:N759">VLOOKUP(B759,'Fumigation  Room'!B:H,{6,7},0)</f>
        <v>0</v>
      </c>
      <c r="N759" s="40">
        <v>0</v>
      </c>
      <c r="O759" s="40">
        <f t="shared" si="23"/>
        <v>0</v>
      </c>
      <c r="P759" s="40">
        <f t="shared" si="24"/>
        <v>0</v>
      </c>
    </row>
    <row r="760" spans="1:16" x14ac:dyDescent="0.35">
      <c r="A760" s="33">
        <v>757</v>
      </c>
      <c r="B760" s="34" t="s">
        <v>1123</v>
      </c>
      <c r="C760" s="33" t="s">
        <v>346</v>
      </c>
      <c r="D760" s="33" t="s">
        <v>50</v>
      </c>
      <c r="E760" s="33" t="s">
        <v>953</v>
      </c>
      <c r="F760" s="35">
        <v>0.3</v>
      </c>
      <c r="G760" s="40">
        <v>0</v>
      </c>
      <c r="H760" s="40">
        <v>0</v>
      </c>
      <c r="I760" s="40">
        <v>0</v>
      </c>
      <c r="J760" s="40">
        <v>0</v>
      </c>
      <c r="K760" s="40">
        <v>0</v>
      </c>
      <c r="L760" s="40">
        <v>0</v>
      </c>
      <c r="M760" s="40" cm="1">
        <f t="array" ref="M760:N760">VLOOKUP(B760,'Fumigation  Room'!B:H,{6,7},0)</f>
        <v>0</v>
      </c>
      <c r="N760" s="40">
        <v>0</v>
      </c>
      <c r="O760" s="40">
        <f t="shared" si="23"/>
        <v>0</v>
      </c>
      <c r="P760" s="40">
        <f t="shared" si="24"/>
        <v>0</v>
      </c>
    </row>
    <row r="761" spans="1:16" x14ac:dyDescent="0.35">
      <c r="A761" s="33">
        <v>758</v>
      </c>
      <c r="B761" s="34" t="s">
        <v>1124</v>
      </c>
      <c r="C761" s="33" t="s">
        <v>346</v>
      </c>
      <c r="D761" s="33" t="s">
        <v>50</v>
      </c>
      <c r="E761" s="33" t="s">
        <v>953</v>
      </c>
      <c r="F761" s="35">
        <v>0.5</v>
      </c>
      <c r="G761" s="40">
        <v>0</v>
      </c>
      <c r="H761" s="40">
        <v>0</v>
      </c>
      <c r="I761" s="40">
        <v>0</v>
      </c>
      <c r="J761" s="40">
        <v>0</v>
      </c>
      <c r="K761" s="40">
        <v>0</v>
      </c>
      <c r="L761" s="40">
        <v>0</v>
      </c>
      <c r="M761" s="40" cm="1">
        <f t="array" ref="M761:N761">VLOOKUP(B761,'Fumigation  Room'!B:H,{6,7},0)</f>
        <v>0</v>
      </c>
      <c r="N761" s="40">
        <v>0</v>
      </c>
      <c r="O761" s="40">
        <f t="shared" si="23"/>
        <v>0</v>
      </c>
      <c r="P761" s="40">
        <f t="shared" si="24"/>
        <v>0</v>
      </c>
    </row>
    <row r="762" spans="1:16" x14ac:dyDescent="0.35">
      <c r="A762" s="33">
        <v>759</v>
      </c>
      <c r="B762" s="34" t="s">
        <v>1125</v>
      </c>
      <c r="C762" s="33" t="s">
        <v>346</v>
      </c>
      <c r="D762" s="33" t="s">
        <v>50</v>
      </c>
      <c r="E762" s="33" t="s">
        <v>953</v>
      </c>
      <c r="F762" s="35">
        <v>0.25</v>
      </c>
      <c r="G762" s="40">
        <v>0</v>
      </c>
      <c r="H762" s="40">
        <v>0</v>
      </c>
      <c r="I762" s="40">
        <v>0</v>
      </c>
      <c r="J762" s="40">
        <v>0</v>
      </c>
      <c r="K762" s="40">
        <v>0</v>
      </c>
      <c r="L762" s="40">
        <v>0</v>
      </c>
      <c r="M762" s="40" cm="1">
        <f t="array" ref="M762:N762">VLOOKUP(B762,'Fumigation  Room'!B:H,{6,7},0)</f>
        <v>0</v>
      </c>
      <c r="N762" s="40">
        <v>0</v>
      </c>
      <c r="O762" s="40">
        <f t="shared" si="23"/>
        <v>0</v>
      </c>
      <c r="P762" s="40">
        <f t="shared" si="24"/>
        <v>0</v>
      </c>
    </row>
    <row r="763" spans="1:16" x14ac:dyDescent="0.35">
      <c r="A763" s="33">
        <v>760</v>
      </c>
      <c r="B763" s="34" t="s">
        <v>1126</v>
      </c>
      <c r="C763" s="33" t="s">
        <v>346</v>
      </c>
      <c r="D763" s="33" t="s">
        <v>50</v>
      </c>
      <c r="E763" s="33" t="s">
        <v>953</v>
      </c>
      <c r="F763" s="35">
        <v>5</v>
      </c>
      <c r="G763" s="40">
        <v>0</v>
      </c>
      <c r="H763" s="40">
        <v>0</v>
      </c>
      <c r="I763" s="40">
        <v>0</v>
      </c>
      <c r="J763" s="40">
        <v>0</v>
      </c>
      <c r="K763" s="40">
        <v>0</v>
      </c>
      <c r="L763" s="40">
        <v>0</v>
      </c>
      <c r="M763" s="40" cm="1">
        <f t="array" ref="M763:N763">VLOOKUP(B763,'Fumigation  Room'!B:H,{6,7},0)</f>
        <v>0</v>
      </c>
      <c r="N763" s="40">
        <v>0</v>
      </c>
      <c r="O763" s="40">
        <f t="shared" si="23"/>
        <v>0</v>
      </c>
      <c r="P763" s="40">
        <f t="shared" si="24"/>
        <v>0</v>
      </c>
    </row>
    <row r="764" spans="1:16" x14ac:dyDescent="0.35">
      <c r="A764" s="33">
        <v>761</v>
      </c>
      <c r="B764" s="34" t="s">
        <v>1127</v>
      </c>
      <c r="C764" s="33" t="s">
        <v>346</v>
      </c>
      <c r="D764" s="33" t="s">
        <v>50</v>
      </c>
      <c r="E764" s="33" t="s">
        <v>953</v>
      </c>
      <c r="F764" s="35">
        <v>1.4999999999999999E-2</v>
      </c>
      <c r="G764" s="40">
        <v>0</v>
      </c>
      <c r="H764" s="40">
        <v>0</v>
      </c>
      <c r="I764" s="40">
        <v>0</v>
      </c>
      <c r="J764" s="40">
        <v>0</v>
      </c>
      <c r="K764" s="40">
        <v>0</v>
      </c>
      <c r="L764" s="40">
        <v>0</v>
      </c>
      <c r="M764" s="40" cm="1">
        <f t="array" ref="M764:N764">VLOOKUP(B764,'Fumigation  Room'!B:H,{6,7},0)</f>
        <v>0</v>
      </c>
      <c r="N764" s="40">
        <v>0</v>
      </c>
      <c r="O764" s="40">
        <f t="shared" si="23"/>
        <v>0</v>
      </c>
      <c r="P764" s="40">
        <f t="shared" si="24"/>
        <v>0</v>
      </c>
    </row>
    <row r="765" spans="1:16" x14ac:dyDescent="0.35">
      <c r="A765" s="33">
        <v>762</v>
      </c>
      <c r="B765" s="34" t="s">
        <v>1128</v>
      </c>
      <c r="C765" s="33" t="s">
        <v>346</v>
      </c>
      <c r="D765" s="33" t="s">
        <v>50</v>
      </c>
      <c r="E765" s="33" t="s">
        <v>953</v>
      </c>
      <c r="F765" s="35">
        <v>0.25</v>
      </c>
      <c r="G765" s="40">
        <v>0</v>
      </c>
      <c r="H765" s="40">
        <v>0</v>
      </c>
      <c r="I765" s="40">
        <v>0</v>
      </c>
      <c r="J765" s="40">
        <v>0</v>
      </c>
      <c r="K765" s="40">
        <v>0</v>
      </c>
      <c r="L765" s="40">
        <v>0</v>
      </c>
      <c r="M765" s="40" cm="1">
        <f t="array" ref="M765:N765">VLOOKUP(B765,'Fumigation  Room'!B:H,{6,7},0)</f>
        <v>0</v>
      </c>
      <c r="N765" s="40">
        <v>0</v>
      </c>
      <c r="O765" s="40">
        <f t="shared" si="23"/>
        <v>0</v>
      </c>
      <c r="P765" s="40">
        <f t="shared" si="24"/>
        <v>0</v>
      </c>
    </row>
    <row r="766" spans="1:16" x14ac:dyDescent="0.35">
      <c r="A766" s="33">
        <v>763</v>
      </c>
      <c r="B766" s="34" t="s">
        <v>1129</v>
      </c>
      <c r="C766" s="33" t="s">
        <v>346</v>
      </c>
      <c r="D766" s="33" t="s">
        <v>50</v>
      </c>
      <c r="E766" s="33" t="s">
        <v>953</v>
      </c>
      <c r="F766" s="35">
        <v>0.48</v>
      </c>
      <c r="G766" s="40">
        <v>0</v>
      </c>
      <c r="H766" s="40">
        <v>0</v>
      </c>
      <c r="I766" s="40">
        <v>0</v>
      </c>
      <c r="J766" s="40">
        <v>0</v>
      </c>
      <c r="K766" s="40">
        <v>0</v>
      </c>
      <c r="L766" s="40">
        <v>0</v>
      </c>
      <c r="M766" s="40" cm="1">
        <f t="array" ref="M766:N766">VLOOKUP(B766,'Fumigation  Room'!B:H,{6,7},0)</f>
        <v>0</v>
      </c>
      <c r="N766" s="40">
        <v>0</v>
      </c>
      <c r="O766" s="40">
        <f t="shared" si="23"/>
        <v>0</v>
      </c>
      <c r="P766" s="40">
        <f t="shared" si="24"/>
        <v>0</v>
      </c>
    </row>
    <row r="767" spans="1:16" x14ac:dyDescent="0.35">
      <c r="A767" s="33">
        <v>764</v>
      </c>
      <c r="B767" s="34" t="s">
        <v>957</v>
      </c>
      <c r="C767" s="33" t="s">
        <v>297</v>
      </c>
      <c r="D767" s="33" t="s">
        <v>50</v>
      </c>
      <c r="E767" s="33" t="s">
        <v>958</v>
      </c>
      <c r="F767" s="35">
        <v>1</v>
      </c>
      <c r="G767" s="40">
        <v>0</v>
      </c>
      <c r="H767" s="40">
        <v>0</v>
      </c>
      <c r="I767" s="40">
        <v>0</v>
      </c>
      <c r="J767" s="40">
        <v>0</v>
      </c>
      <c r="K767" s="40">
        <v>0</v>
      </c>
      <c r="L767" s="40">
        <v>0</v>
      </c>
      <c r="M767" s="40" cm="1">
        <f t="array" ref="M767:N767">VLOOKUP(B767,'Fumigation  Room'!B:H,{6,7},0)</f>
        <v>0</v>
      </c>
      <c r="N767" s="40">
        <v>0</v>
      </c>
      <c r="O767" s="40">
        <f t="shared" si="23"/>
        <v>0</v>
      </c>
      <c r="P767" s="40">
        <f t="shared" si="24"/>
        <v>0</v>
      </c>
    </row>
    <row r="768" spans="1:16" x14ac:dyDescent="0.35">
      <c r="A768" s="33">
        <v>765</v>
      </c>
      <c r="B768" s="34" t="s">
        <v>959</v>
      </c>
      <c r="C768" s="33" t="s">
        <v>297</v>
      </c>
      <c r="D768" s="33" t="s">
        <v>50</v>
      </c>
      <c r="E768" s="33" t="s">
        <v>958</v>
      </c>
      <c r="F768" s="35">
        <v>1</v>
      </c>
      <c r="G768" s="40">
        <v>0</v>
      </c>
      <c r="H768" s="40">
        <v>0</v>
      </c>
      <c r="I768" s="40">
        <v>0</v>
      </c>
      <c r="J768" s="40">
        <v>0</v>
      </c>
      <c r="K768" s="40">
        <v>0</v>
      </c>
      <c r="L768" s="40">
        <v>0</v>
      </c>
      <c r="M768" s="40" cm="1">
        <f t="array" ref="M768:N768">VLOOKUP(B768,'Fumigation  Room'!B:H,{6,7},0)</f>
        <v>0</v>
      </c>
      <c r="N768" s="40">
        <v>0</v>
      </c>
      <c r="O768" s="40">
        <f t="shared" si="23"/>
        <v>0</v>
      </c>
      <c r="P768" s="40">
        <f t="shared" si="24"/>
        <v>0</v>
      </c>
    </row>
    <row r="769" spans="1:16" x14ac:dyDescent="0.35">
      <c r="A769" s="33">
        <v>766</v>
      </c>
      <c r="B769" s="34" t="s">
        <v>960</v>
      </c>
      <c r="C769" s="33" t="s">
        <v>297</v>
      </c>
      <c r="D769" s="33" t="s">
        <v>50</v>
      </c>
      <c r="E769" s="33" t="s">
        <v>958</v>
      </c>
      <c r="F769" s="35">
        <v>1</v>
      </c>
      <c r="G769" s="40">
        <v>0</v>
      </c>
      <c r="H769" s="40">
        <v>0</v>
      </c>
      <c r="I769" s="40">
        <v>0</v>
      </c>
      <c r="J769" s="40">
        <v>0</v>
      </c>
      <c r="K769" s="40">
        <v>0</v>
      </c>
      <c r="L769" s="40">
        <v>0</v>
      </c>
      <c r="M769" s="40" cm="1">
        <f t="array" ref="M769:N769">VLOOKUP(B769,'Fumigation  Room'!B:H,{6,7},0)</f>
        <v>0</v>
      </c>
      <c r="N769" s="40">
        <v>0</v>
      </c>
      <c r="O769" s="40">
        <f t="shared" si="23"/>
        <v>0</v>
      </c>
      <c r="P769" s="40">
        <f t="shared" si="24"/>
        <v>0</v>
      </c>
    </row>
    <row r="770" spans="1:16" x14ac:dyDescent="0.35">
      <c r="A770" s="33">
        <v>767</v>
      </c>
      <c r="B770" s="34" t="s">
        <v>1130</v>
      </c>
      <c r="C770" s="33" t="s">
        <v>346</v>
      </c>
      <c r="D770" s="33" t="s">
        <v>50</v>
      </c>
      <c r="E770" s="33" t="s">
        <v>958</v>
      </c>
      <c r="F770" s="35">
        <v>1</v>
      </c>
      <c r="G770" s="40">
        <v>0</v>
      </c>
      <c r="H770" s="40">
        <v>0</v>
      </c>
      <c r="I770" s="40">
        <v>0</v>
      </c>
      <c r="J770" s="40">
        <v>0</v>
      </c>
      <c r="K770" s="40">
        <v>0</v>
      </c>
      <c r="L770" s="40">
        <v>0</v>
      </c>
      <c r="M770" s="40" cm="1">
        <f t="array" ref="M770:N770">VLOOKUP(B770,'Fumigation  Room'!B:H,{6,7},0)</f>
        <v>0</v>
      </c>
      <c r="N770" s="40">
        <v>0</v>
      </c>
      <c r="O770" s="40">
        <f t="shared" si="23"/>
        <v>0</v>
      </c>
      <c r="P770" s="40">
        <f t="shared" si="24"/>
        <v>0</v>
      </c>
    </row>
    <row r="771" spans="1:16" x14ac:dyDescent="0.35">
      <c r="A771" s="33">
        <v>768</v>
      </c>
      <c r="B771" s="34" t="s">
        <v>1131</v>
      </c>
      <c r="C771" s="33" t="s">
        <v>346</v>
      </c>
      <c r="D771" s="33" t="s">
        <v>50</v>
      </c>
      <c r="E771" s="33" t="s">
        <v>958</v>
      </c>
      <c r="F771" s="35">
        <v>0.5</v>
      </c>
      <c r="G771" s="40">
        <v>0</v>
      </c>
      <c r="H771" s="40">
        <v>0</v>
      </c>
      <c r="I771" s="40">
        <v>0</v>
      </c>
      <c r="J771" s="40">
        <v>0</v>
      </c>
      <c r="K771" s="40">
        <v>0</v>
      </c>
      <c r="L771" s="40">
        <v>0</v>
      </c>
      <c r="M771" s="40" cm="1">
        <f t="array" ref="M771:N771">VLOOKUP(B771,'Fumigation  Room'!B:H,{6,7},0)</f>
        <v>0</v>
      </c>
      <c r="N771" s="40">
        <v>0</v>
      </c>
      <c r="O771" s="40">
        <f t="shared" si="23"/>
        <v>0</v>
      </c>
      <c r="P771" s="40">
        <f t="shared" si="24"/>
        <v>0</v>
      </c>
    </row>
    <row r="772" spans="1:16" x14ac:dyDescent="0.35">
      <c r="A772" s="33">
        <v>769</v>
      </c>
      <c r="B772" s="34" t="s">
        <v>1132</v>
      </c>
      <c r="C772" s="33" t="s">
        <v>346</v>
      </c>
      <c r="D772" s="33" t="s">
        <v>50</v>
      </c>
      <c r="E772" s="33" t="s">
        <v>958</v>
      </c>
      <c r="F772" s="35">
        <v>1</v>
      </c>
      <c r="G772" s="40">
        <v>0</v>
      </c>
      <c r="H772" s="40">
        <v>0</v>
      </c>
      <c r="I772" s="40">
        <v>0</v>
      </c>
      <c r="J772" s="40">
        <v>0</v>
      </c>
      <c r="K772" s="40">
        <v>0</v>
      </c>
      <c r="L772" s="40">
        <v>0</v>
      </c>
      <c r="M772" s="40" cm="1">
        <f t="array" ref="M772:N772">VLOOKUP(B772,'Fumigation  Room'!B:H,{6,7},0)</f>
        <v>0</v>
      </c>
      <c r="N772" s="40">
        <v>0</v>
      </c>
      <c r="O772" s="40">
        <f t="shared" si="23"/>
        <v>0</v>
      </c>
      <c r="P772" s="40">
        <f t="shared" si="24"/>
        <v>0</v>
      </c>
    </row>
    <row r="773" spans="1:16" x14ac:dyDescent="0.35">
      <c r="A773" s="33">
        <v>770</v>
      </c>
      <c r="B773" s="34" t="s">
        <v>73</v>
      </c>
      <c r="C773" s="33" t="s">
        <v>346</v>
      </c>
      <c r="D773" s="33" t="s">
        <v>50</v>
      </c>
      <c r="E773" s="33" t="s">
        <v>958</v>
      </c>
      <c r="F773" s="35">
        <v>0.5</v>
      </c>
      <c r="G773" s="40">
        <v>0</v>
      </c>
      <c r="H773" s="40">
        <v>0</v>
      </c>
      <c r="I773" s="40">
        <v>0</v>
      </c>
      <c r="J773" s="40">
        <v>0</v>
      </c>
      <c r="K773" s="40">
        <v>0</v>
      </c>
      <c r="L773" s="40">
        <v>0</v>
      </c>
      <c r="M773" s="40" cm="1">
        <f t="array" ref="M773:N773">VLOOKUP(B773,'Fumigation  Room'!B:H,{6,7},0)</f>
        <v>0</v>
      </c>
      <c r="N773" s="40">
        <v>0</v>
      </c>
      <c r="O773" s="40">
        <f t="shared" ref="O773:O836" si="25">G773+I773+K773+M773</f>
        <v>0</v>
      </c>
      <c r="P773" s="40">
        <f t="shared" ref="P773:P836" si="26">H773+J773+L773+N773</f>
        <v>0</v>
      </c>
    </row>
    <row r="774" spans="1:16" x14ac:dyDescent="0.35">
      <c r="A774" s="33">
        <v>771</v>
      </c>
      <c r="B774" s="34" t="s">
        <v>961</v>
      </c>
      <c r="C774" s="33" t="s">
        <v>297</v>
      </c>
      <c r="D774" s="33" t="s">
        <v>50</v>
      </c>
      <c r="E774" s="33" t="s">
        <v>962</v>
      </c>
      <c r="F774" s="35">
        <v>1</v>
      </c>
      <c r="G774" s="40">
        <v>0</v>
      </c>
      <c r="H774" s="40">
        <v>0</v>
      </c>
      <c r="I774" s="40">
        <v>0</v>
      </c>
      <c r="J774" s="40">
        <v>0</v>
      </c>
      <c r="K774" s="40">
        <v>0</v>
      </c>
      <c r="L774" s="40">
        <v>0</v>
      </c>
      <c r="M774" s="40" cm="1">
        <f t="array" ref="M774:N774">VLOOKUP(B774,'Fumigation  Room'!B:H,{6,7},0)</f>
        <v>0</v>
      </c>
      <c r="N774" s="40">
        <v>0</v>
      </c>
      <c r="O774" s="40">
        <f t="shared" si="25"/>
        <v>0</v>
      </c>
      <c r="P774" s="40">
        <f t="shared" si="26"/>
        <v>0</v>
      </c>
    </row>
    <row r="775" spans="1:16" x14ac:dyDescent="0.35">
      <c r="A775" s="33">
        <v>772</v>
      </c>
      <c r="B775" s="34" t="s">
        <v>963</v>
      </c>
      <c r="C775" s="33" t="s">
        <v>297</v>
      </c>
      <c r="D775" s="33" t="s">
        <v>50</v>
      </c>
      <c r="E775" s="33" t="s">
        <v>962</v>
      </c>
      <c r="F775" s="35">
        <v>1</v>
      </c>
      <c r="G775" s="40">
        <v>0</v>
      </c>
      <c r="H775" s="40">
        <v>0</v>
      </c>
      <c r="I775" s="40">
        <v>0</v>
      </c>
      <c r="J775" s="40">
        <v>0</v>
      </c>
      <c r="K775" s="40">
        <v>0</v>
      </c>
      <c r="L775" s="40">
        <v>0</v>
      </c>
      <c r="M775" s="40" cm="1">
        <f t="array" ref="M775:N775">VLOOKUP(B775,'Fumigation  Room'!B:H,{6,7},0)</f>
        <v>0</v>
      </c>
      <c r="N775" s="40">
        <v>0</v>
      </c>
      <c r="O775" s="40">
        <f t="shared" si="25"/>
        <v>0</v>
      </c>
      <c r="P775" s="40">
        <f t="shared" si="26"/>
        <v>0</v>
      </c>
    </row>
    <row r="776" spans="1:16" x14ac:dyDescent="0.35">
      <c r="A776" s="33">
        <v>773</v>
      </c>
      <c r="B776" s="34" t="s">
        <v>964</v>
      </c>
      <c r="C776" s="33" t="s">
        <v>297</v>
      </c>
      <c r="D776" s="33" t="s">
        <v>50</v>
      </c>
      <c r="E776" s="33" t="s">
        <v>962</v>
      </c>
      <c r="F776" s="35">
        <v>1</v>
      </c>
      <c r="G776" s="40">
        <v>0</v>
      </c>
      <c r="H776" s="40">
        <v>0</v>
      </c>
      <c r="I776" s="40">
        <v>0</v>
      </c>
      <c r="J776" s="40">
        <v>0</v>
      </c>
      <c r="K776" s="40">
        <v>0</v>
      </c>
      <c r="L776" s="40">
        <v>0</v>
      </c>
      <c r="M776" s="40" cm="1">
        <f t="array" ref="M776:N776">VLOOKUP(B776,'Fumigation  Room'!B:H,{6,7},0)</f>
        <v>0</v>
      </c>
      <c r="N776" s="40">
        <v>0</v>
      </c>
      <c r="O776" s="40">
        <f t="shared" si="25"/>
        <v>0</v>
      </c>
      <c r="P776" s="40">
        <f t="shared" si="26"/>
        <v>0</v>
      </c>
    </row>
    <row r="777" spans="1:16" x14ac:dyDescent="0.35">
      <c r="A777" s="33">
        <v>774</v>
      </c>
      <c r="B777" s="34" t="s">
        <v>1133</v>
      </c>
      <c r="C777" s="33" t="s">
        <v>346</v>
      </c>
      <c r="D777" s="33" t="s">
        <v>50</v>
      </c>
      <c r="E777" s="33" t="s">
        <v>962</v>
      </c>
      <c r="F777" s="35">
        <v>1</v>
      </c>
      <c r="G777" s="40">
        <v>0</v>
      </c>
      <c r="H777" s="40">
        <v>0</v>
      </c>
      <c r="I777" s="40">
        <v>0</v>
      </c>
      <c r="J777" s="40">
        <v>0</v>
      </c>
      <c r="K777" s="40">
        <v>0</v>
      </c>
      <c r="L777" s="40">
        <v>0</v>
      </c>
      <c r="M777" s="40" cm="1">
        <f t="array" ref="M777:N777">VLOOKUP(B777,'Fumigation  Room'!B:H,{6,7},0)</f>
        <v>0</v>
      </c>
      <c r="N777" s="40">
        <v>0</v>
      </c>
      <c r="O777" s="40">
        <f t="shared" si="25"/>
        <v>0</v>
      </c>
      <c r="P777" s="40">
        <f t="shared" si="26"/>
        <v>0</v>
      </c>
    </row>
    <row r="778" spans="1:16" x14ac:dyDescent="0.35">
      <c r="A778" s="33">
        <v>775</v>
      </c>
      <c r="B778" s="34" t="s">
        <v>1134</v>
      </c>
      <c r="C778" s="33" t="s">
        <v>346</v>
      </c>
      <c r="D778" s="33" t="s">
        <v>50</v>
      </c>
      <c r="E778" s="33" t="s">
        <v>962</v>
      </c>
      <c r="F778" s="35">
        <v>0.35</v>
      </c>
      <c r="G778" s="40">
        <v>0</v>
      </c>
      <c r="H778" s="40">
        <v>0</v>
      </c>
      <c r="I778" s="40">
        <v>0</v>
      </c>
      <c r="J778" s="40">
        <v>0</v>
      </c>
      <c r="K778" s="40">
        <v>0</v>
      </c>
      <c r="L778" s="40">
        <v>0</v>
      </c>
      <c r="M778" s="40" cm="1">
        <f t="array" ref="M778:N778">VLOOKUP(B778,'Fumigation  Room'!B:H,{6,7},0)</f>
        <v>0</v>
      </c>
      <c r="N778" s="40">
        <v>0</v>
      </c>
      <c r="O778" s="40">
        <f t="shared" si="25"/>
        <v>0</v>
      </c>
      <c r="P778" s="40">
        <f t="shared" si="26"/>
        <v>0</v>
      </c>
    </row>
    <row r="779" spans="1:16" x14ac:dyDescent="0.35">
      <c r="A779" s="33">
        <v>776</v>
      </c>
      <c r="B779" s="34" t="s">
        <v>52</v>
      </c>
      <c r="C779" s="33" t="s">
        <v>346</v>
      </c>
      <c r="D779" s="33" t="s">
        <v>50</v>
      </c>
      <c r="E779" s="33" t="s">
        <v>962</v>
      </c>
      <c r="F779" s="35">
        <v>0.5</v>
      </c>
      <c r="G779" s="40">
        <v>0</v>
      </c>
      <c r="H779" s="40">
        <v>0</v>
      </c>
      <c r="I779" s="40">
        <v>0</v>
      </c>
      <c r="J779" s="40">
        <v>0</v>
      </c>
      <c r="K779" s="40">
        <v>0</v>
      </c>
      <c r="L779" s="40">
        <v>0</v>
      </c>
      <c r="M779" s="40" cm="1">
        <f t="array" ref="M779:N779">VLOOKUP(B779,'Fumigation  Room'!B:H,{6,7},0)</f>
        <v>32</v>
      </c>
      <c r="N779" s="40">
        <v>16</v>
      </c>
      <c r="O779" s="40">
        <f t="shared" si="25"/>
        <v>32</v>
      </c>
      <c r="P779" s="40">
        <f t="shared" si="26"/>
        <v>16</v>
      </c>
    </row>
    <row r="780" spans="1:16" x14ac:dyDescent="0.35">
      <c r="A780" s="33">
        <v>777</v>
      </c>
      <c r="B780" s="34" t="s">
        <v>1135</v>
      </c>
      <c r="C780" s="33" t="s">
        <v>346</v>
      </c>
      <c r="D780" s="33" t="s">
        <v>50</v>
      </c>
      <c r="E780" s="33" t="s">
        <v>962</v>
      </c>
      <c r="F780" s="35">
        <v>0.25</v>
      </c>
      <c r="G780" s="40">
        <v>0</v>
      </c>
      <c r="H780" s="40">
        <v>0</v>
      </c>
      <c r="I780" s="40">
        <v>0</v>
      </c>
      <c r="J780" s="40">
        <v>0</v>
      </c>
      <c r="K780" s="40">
        <v>0</v>
      </c>
      <c r="L780" s="40">
        <v>0</v>
      </c>
      <c r="M780" s="40" cm="1">
        <f t="array" ref="M780:N780">VLOOKUP(B780,'Fumigation  Room'!B:H,{6,7},0)</f>
        <v>0</v>
      </c>
      <c r="N780" s="40">
        <v>0</v>
      </c>
      <c r="O780" s="40">
        <f t="shared" si="25"/>
        <v>0</v>
      </c>
      <c r="P780" s="40">
        <f t="shared" si="26"/>
        <v>0</v>
      </c>
    </row>
    <row r="781" spans="1:16" x14ac:dyDescent="0.35">
      <c r="A781" s="33">
        <v>778</v>
      </c>
      <c r="B781" s="34" t="s">
        <v>1136</v>
      </c>
      <c r="C781" s="33" t="s">
        <v>346</v>
      </c>
      <c r="D781" s="33" t="s">
        <v>50</v>
      </c>
      <c r="E781" s="33" t="s">
        <v>962</v>
      </c>
      <c r="F781" s="35">
        <v>0.35</v>
      </c>
      <c r="G781" s="40">
        <v>0</v>
      </c>
      <c r="H781" s="40">
        <v>0</v>
      </c>
      <c r="I781" s="40">
        <v>0</v>
      </c>
      <c r="J781" s="40">
        <v>0</v>
      </c>
      <c r="K781" s="40">
        <v>0</v>
      </c>
      <c r="L781" s="40">
        <v>0</v>
      </c>
      <c r="M781" s="40" cm="1">
        <f t="array" ref="M781:N781">VLOOKUP(B781,'Fumigation  Room'!B:H,{6,7},0)</f>
        <v>0</v>
      </c>
      <c r="N781" s="40">
        <v>0</v>
      </c>
      <c r="O781" s="40">
        <f t="shared" si="25"/>
        <v>0</v>
      </c>
      <c r="P781" s="40">
        <f t="shared" si="26"/>
        <v>0</v>
      </c>
    </row>
    <row r="782" spans="1:16" x14ac:dyDescent="0.35">
      <c r="A782" s="33">
        <v>779</v>
      </c>
      <c r="B782" s="34" t="s">
        <v>1137</v>
      </c>
      <c r="C782" s="33" t="s">
        <v>346</v>
      </c>
      <c r="D782" s="33" t="s">
        <v>50</v>
      </c>
      <c r="E782" s="33" t="s">
        <v>962</v>
      </c>
      <c r="F782" s="35">
        <v>0.25</v>
      </c>
      <c r="G782" s="40">
        <v>0</v>
      </c>
      <c r="H782" s="40">
        <v>0</v>
      </c>
      <c r="I782" s="40">
        <v>0</v>
      </c>
      <c r="J782" s="40">
        <v>0</v>
      </c>
      <c r="K782" s="40">
        <v>0</v>
      </c>
      <c r="L782" s="40">
        <v>0</v>
      </c>
      <c r="M782" s="40" cm="1">
        <f t="array" ref="M782:N782">VLOOKUP(B782,'Fumigation  Room'!B:H,{6,7},0)</f>
        <v>0</v>
      </c>
      <c r="N782" s="40">
        <v>0</v>
      </c>
      <c r="O782" s="40">
        <f t="shared" si="25"/>
        <v>0</v>
      </c>
      <c r="P782" s="40">
        <f t="shared" si="26"/>
        <v>0</v>
      </c>
    </row>
    <row r="783" spans="1:16" x14ac:dyDescent="0.35">
      <c r="A783" s="33">
        <v>780</v>
      </c>
      <c r="B783" s="34" t="s">
        <v>1138</v>
      </c>
      <c r="C783" s="33" t="s">
        <v>346</v>
      </c>
      <c r="D783" s="33" t="s">
        <v>50</v>
      </c>
      <c r="E783" s="33" t="s">
        <v>962</v>
      </c>
      <c r="F783" s="35">
        <v>0.5</v>
      </c>
      <c r="G783" s="40">
        <v>0</v>
      </c>
      <c r="H783" s="40">
        <v>0</v>
      </c>
      <c r="I783" s="40">
        <v>0</v>
      </c>
      <c r="J783" s="40">
        <v>0</v>
      </c>
      <c r="K783" s="40">
        <v>0</v>
      </c>
      <c r="L783" s="40">
        <v>0</v>
      </c>
      <c r="M783" s="40" cm="1">
        <f t="array" ref="M783:N783">VLOOKUP(B783,'Fumigation  Room'!B:H,{6,7},0)</f>
        <v>0</v>
      </c>
      <c r="N783" s="40">
        <v>0</v>
      </c>
      <c r="O783" s="40">
        <f t="shared" si="25"/>
        <v>0</v>
      </c>
      <c r="P783" s="40">
        <f t="shared" si="26"/>
        <v>0</v>
      </c>
    </row>
    <row r="784" spans="1:16" x14ac:dyDescent="0.35">
      <c r="A784" s="33">
        <v>781</v>
      </c>
      <c r="B784" s="34" t="s">
        <v>965</v>
      </c>
      <c r="C784" s="33" t="s">
        <v>297</v>
      </c>
      <c r="D784" s="33" t="s">
        <v>50</v>
      </c>
      <c r="E784" s="33" t="s">
        <v>966</v>
      </c>
      <c r="F784" s="35">
        <v>1</v>
      </c>
      <c r="G784" s="40">
        <v>0</v>
      </c>
      <c r="H784" s="40">
        <v>0</v>
      </c>
      <c r="I784" s="40">
        <v>0</v>
      </c>
      <c r="J784" s="40">
        <v>0</v>
      </c>
      <c r="K784" s="40">
        <v>0</v>
      </c>
      <c r="L784" s="40">
        <v>0</v>
      </c>
      <c r="M784" s="40" cm="1">
        <f t="array" ref="M784:N784">VLOOKUP(B784,'Fumigation  Room'!B:H,{6,7},0)</f>
        <v>0</v>
      </c>
      <c r="N784" s="40">
        <v>0</v>
      </c>
      <c r="O784" s="40">
        <f t="shared" si="25"/>
        <v>0</v>
      </c>
      <c r="P784" s="40">
        <f t="shared" si="26"/>
        <v>0</v>
      </c>
    </row>
    <row r="785" spans="1:16" x14ac:dyDescent="0.35">
      <c r="A785" s="33">
        <v>782</v>
      </c>
      <c r="B785" s="34" t="s">
        <v>967</v>
      </c>
      <c r="C785" s="33" t="s">
        <v>297</v>
      </c>
      <c r="D785" s="33" t="s">
        <v>50</v>
      </c>
      <c r="E785" s="33" t="s">
        <v>968</v>
      </c>
      <c r="F785" s="35">
        <v>1</v>
      </c>
      <c r="G785" s="40">
        <v>0</v>
      </c>
      <c r="H785" s="40">
        <v>0</v>
      </c>
      <c r="I785" s="40">
        <v>0</v>
      </c>
      <c r="J785" s="40">
        <v>0</v>
      </c>
      <c r="K785" s="40">
        <v>0</v>
      </c>
      <c r="L785" s="40">
        <v>0</v>
      </c>
      <c r="M785" s="40" cm="1">
        <f t="array" ref="M785:N785">VLOOKUP(B785,'Fumigation  Room'!B:H,{6,7},0)</f>
        <v>0</v>
      </c>
      <c r="N785" s="40">
        <v>0</v>
      </c>
      <c r="O785" s="40">
        <f t="shared" si="25"/>
        <v>0</v>
      </c>
      <c r="P785" s="40">
        <f t="shared" si="26"/>
        <v>0</v>
      </c>
    </row>
    <row r="786" spans="1:16" x14ac:dyDescent="0.35">
      <c r="A786" s="33">
        <v>783</v>
      </c>
      <c r="B786" s="34" t="s">
        <v>1139</v>
      </c>
      <c r="C786" s="33" t="s">
        <v>346</v>
      </c>
      <c r="D786" s="33" t="s">
        <v>50</v>
      </c>
      <c r="E786" s="33" t="s">
        <v>968</v>
      </c>
      <c r="F786" s="35">
        <v>0.3</v>
      </c>
      <c r="G786" s="40">
        <v>0</v>
      </c>
      <c r="H786" s="40">
        <v>0</v>
      </c>
      <c r="I786" s="40">
        <v>0</v>
      </c>
      <c r="J786" s="40">
        <v>0</v>
      </c>
      <c r="K786" s="40">
        <v>0</v>
      </c>
      <c r="L786" s="40">
        <v>0</v>
      </c>
      <c r="M786" s="40" cm="1">
        <f t="array" ref="M786:N786">VLOOKUP(B786,'Fumigation  Room'!B:H,{6,7},0)</f>
        <v>0</v>
      </c>
      <c r="N786" s="40">
        <v>0</v>
      </c>
      <c r="O786" s="40">
        <f t="shared" si="25"/>
        <v>0</v>
      </c>
      <c r="P786" s="40">
        <f t="shared" si="26"/>
        <v>0</v>
      </c>
    </row>
    <row r="787" spans="1:16" x14ac:dyDescent="0.35">
      <c r="A787" s="33">
        <v>784</v>
      </c>
      <c r="B787" s="34" t="s">
        <v>969</v>
      </c>
      <c r="C787" s="33" t="s">
        <v>297</v>
      </c>
      <c r="D787" s="33" t="s">
        <v>50</v>
      </c>
      <c r="E787" s="33" t="s">
        <v>970</v>
      </c>
      <c r="F787" s="35">
        <v>1</v>
      </c>
      <c r="G787" s="40">
        <v>0</v>
      </c>
      <c r="H787" s="40">
        <v>0</v>
      </c>
      <c r="I787" s="40">
        <v>0</v>
      </c>
      <c r="J787" s="40">
        <v>0</v>
      </c>
      <c r="K787" s="40">
        <v>0</v>
      </c>
      <c r="L787" s="40">
        <v>0</v>
      </c>
      <c r="M787" s="40" cm="1">
        <f t="array" ref="M787:N787">VLOOKUP(B787,'Fumigation  Room'!B:H,{6,7},0)</f>
        <v>0</v>
      </c>
      <c r="N787" s="40">
        <v>0</v>
      </c>
      <c r="O787" s="40">
        <f t="shared" si="25"/>
        <v>0</v>
      </c>
      <c r="P787" s="40">
        <f t="shared" si="26"/>
        <v>0</v>
      </c>
    </row>
    <row r="788" spans="1:16" x14ac:dyDescent="0.35">
      <c r="A788" s="33">
        <v>785</v>
      </c>
      <c r="B788" s="34" t="s">
        <v>971</v>
      </c>
      <c r="C788" s="33" t="s">
        <v>297</v>
      </c>
      <c r="D788" s="33" t="s">
        <v>50</v>
      </c>
      <c r="E788" s="33" t="s">
        <v>972</v>
      </c>
      <c r="F788" s="35">
        <v>1</v>
      </c>
      <c r="G788" s="40">
        <v>0</v>
      </c>
      <c r="H788" s="40">
        <v>0</v>
      </c>
      <c r="I788" s="40">
        <v>0</v>
      </c>
      <c r="J788" s="40">
        <v>0</v>
      </c>
      <c r="K788" s="40">
        <v>0</v>
      </c>
      <c r="L788" s="40">
        <v>0</v>
      </c>
      <c r="M788" s="40" cm="1">
        <f t="array" ref="M788:N788">VLOOKUP(B788,'Fumigation  Room'!B:H,{6,7},0)</f>
        <v>0</v>
      </c>
      <c r="N788" s="40">
        <v>0</v>
      </c>
      <c r="O788" s="40">
        <f t="shared" si="25"/>
        <v>0</v>
      </c>
      <c r="P788" s="40">
        <f t="shared" si="26"/>
        <v>0</v>
      </c>
    </row>
    <row r="789" spans="1:16" x14ac:dyDescent="0.35">
      <c r="A789" s="33">
        <v>786</v>
      </c>
      <c r="B789" s="34" t="s">
        <v>1140</v>
      </c>
      <c r="C789" s="33" t="s">
        <v>346</v>
      </c>
      <c r="D789" s="33" t="s">
        <v>50</v>
      </c>
      <c r="E789" s="33" t="s">
        <v>972</v>
      </c>
      <c r="F789" s="35">
        <v>0.5</v>
      </c>
      <c r="G789" s="40">
        <v>0</v>
      </c>
      <c r="H789" s="40">
        <v>0</v>
      </c>
      <c r="I789" s="40">
        <v>0</v>
      </c>
      <c r="J789" s="40">
        <v>0</v>
      </c>
      <c r="K789" s="40">
        <v>0</v>
      </c>
      <c r="L789" s="40">
        <v>0</v>
      </c>
      <c r="M789" s="40" cm="1">
        <f t="array" ref="M789:N789">VLOOKUP(B789,'Fumigation  Room'!B:H,{6,7},0)</f>
        <v>0</v>
      </c>
      <c r="N789" s="40">
        <v>0</v>
      </c>
      <c r="O789" s="40">
        <f t="shared" si="25"/>
        <v>0</v>
      </c>
      <c r="P789" s="40">
        <f t="shared" si="26"/>
        <v>0</v>
      </c>
    </row>
    <row r="790" spans="1:16" x14ac:dyDescent="0.35">
      <c r="A790" s="33">
        <v>787</v>
      </c>
      <c r="B790" s="34" t="s">
        <v>973</v>
      </c>
      <c r="C790" s="33" t="s">
        <v>297</v>
      </c>
      <c r="D790" s="33" t="s">
        <v>50</v>
      </c>
      <c r="E790" s="33" t="s">
        <v>974</v>
      </c>
      <c r="F790" s="35">
        <v>1</v>
      </c>
      <c r="G790" s="40">
        <v>0</v>
      </c>
      <c r="H790" s="40">
        <v>0</v>
      </c>
      <c r="I790" s="40">
        <v>0</v>
      </c>
      <c r="J790" s="40">
        <v>0</v>
      </c>
      <c r="K790" s="40">
        <v>0</v>
      </c>
      <c r="L790" s="40">
        <v>0</v>
      </c>
      <c r="M790" s="40" cm="1">
        <f t="array" ref="M790:N790">VLOOKUP(B790,'Fumigation  Room'!B:H,{6,7},0)</f>
        <v>0</v>
      </c>
      <c r="N790" s="40">
        <v>0</v>
      </c>
      <c r="O790" s="40">
        <f t="shared" si="25"/>
        <v>0</v>
      </c>
      <c r="P790" s="40">
        <f t="shared" si="26"/>
        <v>0</v>
      </c>
    </row>
    <row r="791" spans="1:16" x14ac:dyDescent="0.35">
      <c r="A791" s="33">
        <v>788</v>
      </c>
      <c r="B791" s="34" t="s">
        <v>1141</v>
      </c>
      <c r="C791" s="33" t="s">
        <v>346</v>
      </c>
      <c r="D791" s="33" t="s">
        <v>50</v>
      </c>
      <c r="E791" s="33" t="s">
        <v>974</v>
      </c>
      <c r="F791" s="35">
        <v>0.3</v>
      </c>
      <c r="G791" s="40">
        <v>0</v>
      </c>
      <c r="H791" s="40">
        <v>0</v>
      </c>
      <c r="I791" s="40">
        <v>0</v>
      </c>
      <c r="J791" s="40">
        <v>0</v>
      </c>
      <c r="K791" s="40">
        <v>0</v>
      </c>
      <c r="L791" s="40">
        <v>0</v>
      </c>
      <c r="M791" s="40" cm="1">
        <f t="array" ref="M791:N791">VLOOKUP(B791,'Fumigation  Room'!B:H,{6,7},0)</f>
        <v>0</v>
      </c>
      <c r="N791" s="40">
        <v>0</v>
      </c>
      <c r="O791" s="40">
        <f t="shared" si="25"/>
        <v>0</v>
      </c>
      <c r="P791" s="40">
        <f t="shared" si="26"/>
        <v>0</v>
      </c>
    </row>
    <row r="792" spans="1:16" x14ac:dyDescent="0.35">
      <c r="A792" s="33">
        <v>789</v>
      </c>
      <c r="B792" s="34" t="s">
        <v>204</v>
      </c>
      <c r="C792" s="33" t="s">
        <v>297</v>
      </c>
      <c r="D792" s="33" t="s">
        <v>50</v>
      </c>
      <c r="E792" s="33" t="s">
        <v>975</v>
      </c>
      <c r="F792" s="35">
        <v>1.1499999999999999</v>
      </c>
      <c r="G792" s="40">
        <v>0</v>
      </c>
      <c r="H792" s="40">
        <v>0</v>
      </c>
      <c r="I792" s="40">
        <v>0</v>
      </c>
      <c r="J792" s="40">
        <v>0</v>
      </c>
      <c r="K792" s="40">
        <v>0</v>
      </c>
      <c r="L792" s="40">
        <v>0</v>
      </c>
      <c r="M792" s="40" cm="1">
        <f t="array" ref="M792:N792">VLOOKUP(B792,'Fumigation  Room'!B:H,{6,7},0)</f>
        <v>0</v>
      </c>
      <c r="N792" s="40">
        <v>0</v>
      </c>
      <c r="O792" s="40">
        <f t="shared" si="25"/>
        <v>0</v>
      </c>
      <c r="P792" s="40">
        <f t="shared" si="26"/>
        <v>0</v>
      </c>
    </row>
    <row r="793" spans="1:16" x14ac:dyDescent="0.35">
      <c r="A793" s="33">
        <v>790</v>
      </c>
      <c r="B793" s="34" t="s">
        <v>976</v>
      </c>
      <c r="C793" s="33" t="s">
        <v>297</v>
      </c>
      <c r="D793" s="33" t="s">
        <v>50</v>
      </c>
      <c r="E793" s="33" t="s">
        <v>975</v>
      </c>
      <c r="F793" s="35">
        <v>1</v>
      </c>
      <c r="G793" s="40">
        <v>0</v>
      </c>
      <c r="H793" s="40">
        <v>0</v>
      </c>
      <c r="I793" s="40">
        <v>0</v>
      </c>
      <c r="J793" s="40">
        <v>0</v>
      </c>
      <c r="K793" s="40">
        <v>0</v>
      </c>
      <c r="L793" s="40">
        <v>0</v>
      </c>
      <c r="M793" s="40" cm="1">
        <f t="array" ref="M793:N793">VLOOKUP(B793,'Fumigation  Room'!B:H,{6,7},0)</f>
        <v>0</v>
      </c>
      <c r="N793" s="40">
        <v>0</v>
      </c>
      <c r="O793" s="40">
        <f t="shared" si="25"/>
        <v>0</v>
      </c>
      <c r="P793" s="40">
        <f t="shared" si="26"/>
        <v>0</v>
      </c>
    </row>
    <row r="794" spans="1:16" x14ac:dyDescent="0.35">
      <c r="A794" s="33">
        <v>791</v>
      </c>
      <c r="B794" s="34" t="s">
        <v>977</v>
      </c>
      <c r="C794" s="33" t="s">
        <v>297</v>
      </c>
      <c r="D794" s="33" t="s">
        <v>50</v>
      </c>
      <c r="E794" s="33" t="s">
        <v>975</v>
      </c>
      <c r="F794" s="35">
        <v>0.4</v>
      </c>
      <c r="G794" s="40">
        <v>0</v>
      </c>
      <c r="H794" s="40">
        <v>0</v>
      </c>
      <c r="I794" s="40">
        <v>0</v>
      </c>
      <c r="J794" s="40">
        <v>0</v>
      </c>
      <c r="K794" s="40">
        <v>0</v>
      </c>
      <c r="L794" s="40">
        <v>0</v>
      </c>
      <c r="M794" s="40" cm="1">
        <f t="array" ref="M794:N794">VLOOKUP(B794,'Fumigation  Room'!B:H,{6,7},0)</f>
        <v>0</v>
      </c>
      <c r="N794" s="40">
        <v>0</v>
      </c>
      <c r="O794" s="40">
        <f t="shared" si="25"/>
        <v>0</v>
      </c>
      <c r="P794" s="40">
        <f t="shared" si="26"/>
        <v>0</v>
      </c>
    </row>
    <row r="795" spans="1:16" x14ac:dyDescent="0.35">
      <c r="A795" s="33">
        <v>792</v>
      </c>
      <c r="B795" s="34" t="s">
        <v>978</v>
      </c>
      <c r="C795" s="33" t="s">
        <v>297</v>
      </c>
      <c r="D795" s="33" t="s">
        <v>50</v>
      </c>
      <c r="E795" s="33" t="s">
        <v>979</v>
      </c>
      <c r="F795" s="35">
        <v>1</v>
      </c>
      <c r="G795" s="40">
        <v>0</v>
      </c>
      <c r="H795" s="40">
        <v>0</v>
      </c>
      <c r="I795" s="40">
        <v>0</v>
      </c>
      <c r="J795" s="40">
        <v>0</v>
      </c>
      <c r="K795" s="40">
        <v>0</v>
      </c>
      <c r="L795" s="40">
        <v>0</v>
      </c>
      <c r="M795" s="40" cm="1">
        <f t="array" ref="M795:N795">VLOOKUP(B795,'Fumigation  Room'!B:H,{6,7},0)</f>
        <v>0</v>
      </c>
      <c r="N795" s="40">
        <v>0</v>
      </c>
      <c r="O795" s="40">
        <f t="shared" si="25"/>
        <v>0</v>
      </c>
      <c r="P795" s="40">
        <f t="shared" si="26"/>
        <v>0</v>
      </c>
    </row>
    <row r="796" spans="1:16" x14ac:dyDescent="0.35">
      <c r="A796" s="33">
        <v>793</v>
      </c>
      <c r="B796" s="34" t="s">
        <v>980</v>
      </c>
      <c r="C796" s="33" t="s">
        <v>297</v>
      </c>
      <c r="D796" s="33" t="s">
        <v>50</v>
      </c>
      <c r="E796" s="33" t="s">
        <v>979</v>
      </c>
      <c r="F796" s="35">
        <v>1</v>
      </c>
      <c r="G796" s="40">
        <v>0</v>
      </c>
      <c r="H796" s="40">
        <v>0</v>
      </c>
      <c r="I796" s="40">
        <v>0</v>
      </c>
      <c r="J796" s="40">
        <v>0</v>
      </c>
      <c r="K796" s="40">
        <v>0</v>
      </c>
      <c r="L796" s="40">
        <v>0</v>
      </c>
      <c r="M796" s="40" cm="1">
        <f t="array" ref="M796:N796">VLOOKUP(B796,'Fumigation  Room'!B:H,{6,7},0)</f>
        <v>0</v>
      </c>
      <c r="N796" s="40">
        <v>0</v>
      </c>
      <c r="O796" s="40">
        <f t="shared" si="25"/>
        <v>0</v>
      </c>
      <c r="P796" s="40">
        <f t="shared" si="26"/>
        <v>0</v>
      </c>
    </row>
    <row r="797" spans="1:16" x14ac:dyDescent="0.35">
      <c r="A797" s="33">
        <v>794</v>
      </c>
      <c r="B797" s="34" t="s">
        <v>981</v>
      </c>
      <c r="C797" s="33" t="s">
        <v>297</v>
      </c>
      <c r="D797" s="33" t="s">
        <v>50</v>
      </c>
      <c r="E797" s="33" t="s">
        <v>982</v>
      </c>
      <c r="F797" s="35">
        <v>1</v>
      </c>
      <c r="G797" s="40">
        <v>0</v>
      </c>
      <c r="H797" s="40">
        <v>0</v>
      </c>
      <c r="I797" s="40">
        <v>0</v>
      </c>
      <c r="J797" s="40">
        <v>0</v>
      </c>
      <c r="K797" s="40">
        <v>0</v>
      </c>
      <c r="L797" s="40">
        <v>0</v>
      </c>
      <c r="M797" s="40" cm="1">
        <f t="array" ref="M797:N797">VLOOKUP(B797,'Fumigation  Room'!B:H,{6,7},0)</f>
        <v>0</v>
      </c>
      <c r="N797" s="40">
        <v>0</v>
      </c>
      <c r="O797" s="40">
        <f t="shared" si="25"/>
        <v>0</v>
      </c>
      <c r="P797" s="40">
        <f t="shared" si="26"/>
        <v>0</v>
      </c>
    </row>
    <row r="798" spans="1:16" x14ac:dyDescent="0.35">
      <c r="A798" s="33">
        <v>795</v>
      </c>
      <c r="B798" s="34" t="s">
        <v>983</v>
      </c>
      <c r="C798" s="33" t="s">
        <v>297</v>
      </c>
      <c r="D798" s="33" t="s">
        <v>50</v>
      </c>
      <c r="E798" s="33" t="s">
        <v>982</v>
      </c>
      <c r="F798" s="35">
        <v>1</v>
      </c>
      <c r="G798" s="40">
        <v>0</v>
      </c>
      <c r="H798" s="40">
        <v>0</v>
      </c>
      <c r="I798" s="40">
        <v>0</v>
      </c>
      <c r="J798" s="40">
        <v>0</v>
      </c>
      <c r="K798" s="40">
        <v>0</v>
      </c>
      <c r="L798" s="40">
        <v>0</v>
      </c>
      <c r="M798" s="40" cm="1">
        <f t="array" ref="M798:N798">VLOOKUP(B798,'Fumigation  Room'!B:H,{6,7},0)</f>
        <v>0</v>
      </c>
      <c r="N798" s="40">
        <v>0</v>
      </c>
      <c r="O798" s="40">
        <f t="shared" si="25"/>
        <v>0</v>
      </c>
      <c r="P798" s="40">
        <f t="shared" si="26"/>
        <v>0</v>
      </c>
    </row>
    <row r="799" spans="1:16" x14ac:dyDescent="0.35">
      <c r="A799" s="33">
        <v>796</v>
      </c>
      <c r="B799" s="34" t="s">
        <v>984</v>
      </c>
      <c r="C799" s="33" t="s">
        <v>297</v>
      </c>
      <c r="D799" s="33" t="s">
        <v>50</v>
      </c>
      <c r="E799" s="33" t="s">
        <v>982</v>
      </c>
      <c r="F799" s="35">
        <v>1</v>
      </c>
      <c r="G799" s="40">
        <v>0</v>
      </c>
      <c r="H799" s="40">
        <v>0</v>
      </c>
      <c r="I799" s="40">
        <v>0</v>
      </c>
      <c r="J799" s="40">
        <v>0</v>
      </c>
      <c r="K799" s="40">
        <v>0</v>
      </c>
      <c r="L799" s="40">
        <v>0</v>
      </c>
      <c r="M799" s="40" cm="1">
        <f t="array" ref="M799:N799">VLOOKUP(B799,'Fumigation  Room'!B:H,{6,7},0)</f>
        <v>0</v>
      </c>
      <c r="N799" s="40">
        <v>0</v>
      </c>
      <c r="O799" s="40">
        <f t="shared" si="25"/>
        <v>0</v>
      </c>
      <c r="P799" s="40">
        <f t="shared" si="26"/>
        <v>0</v>
      </c>
    </row>
    <row r="800" spans="1:16" x14ac:dyDescent="0.35">
      <c r="A800" s="33">
        <v>797</v>
      </c>
      <c r="B800" s="34" t="s">
        <v>1142</v>
      </c>
      <c r="C800" s="33" t="s">
        <v>346</v>
      </c>
      <c r="D800" s="33" t="s">
        <v>50</v>
      </c>
      <c r="E800" s="33" t="s">
        <v>982</v>
      </c>
      <c r="F800" s="35">
        <v>0.5</v>
      </c>
      <c r="G800" s="40">
        <v>0</v>
      </c>
      <c r="H800" s="40">
        <v>0</v>
      </c>
      <c r="I800" s="40">
        <v>0</v>
      </c>
      <c r="J800" s="40">
        <v>0</v>
      </c>
      <c r="K800" s="40">
        <v>0</v>
      </c>
      <c r="L800" s="40">
        <v>0</v>
      </c>
      <c r="M800" s="40" cm="1">
        <f t="array" ref="M800:N800">VLOOKUP(B800,'Fumigation  Room'!B:H,{6,7},0)</f>
        <v>0</v>
      </c>
      <c r="N800" s="40">
        <v>0</v>
      </c>
      <c r="O800" s="40">
        <f t="shared" si="25"/>
        <v>0</v>
      </c>
      <c r="P800" s="40">
        <f t="shared" si="26"/>
        <v>0</v>
      </c>
    </row>
    <row r="801" spans="1:16" x14ac:dyDescent="0.35">
      <c r="A801" s="33">
        <v>798</v>
      </c>
      <c r="B801" s="34" t="s">
        <v>1143</v>
      </c>
      <c r="C801" s="33" t="s">
        <v>346</v>
      </c>
      <c r="D801" s="33" t="s">
        <v>50</v>
      </c>
      <c r="E801" s="33" t="s">
        <v>982</v>
      </c>
      <c r="F801" s="35">
        <v>0.5</v>
      </c>
      <c r="G801" s="40">
        <v>0</v>
      </c>
      <c r="H801" s="40">
        <v>0</v>
      </c>
      <c r="I801" s="40">
        <v>0</v>
      </c>
      <c r="J801" s="40">
        <v>0</v>
      </c>
      <c r="K801" s="40">
        <v>0</v>
      </c>
      <c r="L801" s="40">
        <v>0</v>
      </c>
      <c r="M801" s="40" cm="1">
        <f t="array" ref="M801:N801">VLOOKUP(B801,'Fumigation  Room'!B:H,{6,7},0)</f>
        <v>0</v>
      </c>
      <c r="N801" s="40">
        <v>0</v>
      </c>
      <c r="O801" s="40">
        <f t="shared" si="25"/>
        <v>0</v>
      </c>
      <c r="P801" s="40">
        <f t="shared" si="26"/>
        <v>0</v>
      </c>
    </row>
    <row r="802" spans="1:16" x14ac:dyDescent="0.35">
      <c r="A802" s="33">
        <v>799</v>
      </c>
      <c r="B802" s="34" t="s">
        <v>1144</v>
      </c>
      <c r="C802" s="33" t="s">
        <v>346</v>
      </c>
      <c r="D802" s="33" t="s">
        <v>50</v>
      </c>
      <c r="E802" s="33" t="s">
        <v>982</v>
      </c>
      <c r="F802" s="35">
        <v>1</v>
      </c>
      <c r="G802" s="40">
        <v>0</v>
      </c>
      <c r="H802" s="40">
        <v>0</v>
      </c>
      <c r="I802" s="40">
        <v>0</v>
      </c>
      <c r="J802" s="40">
        <v>0</v>
      </c>
      <c r="K802" s="40">
        <v>0</v>
      </c>
      <c r="L802" s="40">
        <v>0</v>
      </c>
      <c r="M802" s="40" cm="1">
        <f t="array" ref="M802:N802">VLOOKUP(B802,'Fumigation  Room'!B:H,{6,7},0)</f>
        <v>0</v>
      </c>
      <c r="N802" s="40">
        <v>0</v>
      </c>
      <c r="O802" s="40">
        <f t="shared" si="25"/>
        <v>0</v>
      </c>
      <c r="P802" s="40">
        <f t="shared" si="26"/>
        <v>0</v>
      </c>
    </row>
    <row r="803" spans="1:16" x14ac:dyDescent="0.35">
      <c r="A803" s="33">
        <v>800</v>
      </c>
      <c r="B803" s="34" t="s">
        <v>1145</v>
      </c>
      <c r="C803" s="33" t="s">
        <v>346</v>
      </c>
      <c r="D803" s="33" t="s">
        <v>50</v>
      </c>
      <c r="E803" s="33" t="s">
        <v>982</v>
      </c>
      <c r="F803" s="35">
        <v>0.9</v>
      </c>
      <c r="G803" s="40">
        <v>0</v>
      </c>
      <c r="H803" s="40">
        <v>0</v>
      </c>
      <c r="I803" s="40">
        <v>0</v>
      </c>
      <c r="J803" s="40">
        <v>0</v>
      </c>
      <c r="K803" s="40">
        <v>0</v>
      </c>
      <c r="L803" s="40">
        <v>0</v>
      </c>
      <c r="M803" s="40" cm="1">
        <f t="array" ref="M803:N803">VLOOKUP(B803,'Fumigation  Room'!B:H,{6,7},0)</f>
        <v>0</v>
      </c>
      <c r="N803" s="40">
        <v>0</v>
      </c>
      <c r="O803" s="40">
        <f t="shared" si="25"/>
        <v>0</v>
      </c>
      <c r="P803" s="40">
        <f t="shared" si="26"/>
        <v>0</v>
      </c>
    </row>
    <row r="804" spans="1:16" x14ac:dyDescent="0.35">
      <c r="A804" s="33">
        <v>801</v>
      </c>
      <c r="B804" s="34" t="s">
        <v>1146</v>
      </c>
      <c r="C804" s="33" t="s">
        <v>297</v>
      </c>
      <c r="D804" s="33" t="s">
        <v>111</v>
      </c>
      <c r="E804" s="33" t="s">
        <v>1147</v>
      </c>
      <c r="F804" s="35">
        <v>1</v>
      </c>
      <c r="G804" s="40">
        <v>0</v>
      </c>
      <c r="H804" s="40">
        <v>0</v>
      </c>
      <c r="I804" s="40">
        <v>0</v>
      </c>
      <c r="J804" s="40">
        <v>0</v>
      </c>
      <c r="K804" s="40">
        <v>0</v>
      </c>
      <c r="L804" s="40">
        <v>0</v>
      </c>
      <c r="M804" s="40" cm="1">
        <f t="array" ref="M804:N804">VLOOKUP(B804,'Fumigation  Room'!B:H,{6,7},0)</f>
        <v>0</v>
      </c>
      <c r="N804" s="40">
        <v>0</v>
      </c>
      <c r="O804" s="40">
        <f t="shared" si="25"/>
        <v>0</v>
      </c>
      <c r="P804" s="40">
        <f t="shared" si="26"/>
        <v>0</v>
      </c>
    </row>
    <row r="805" spans="1:16" x14ac:dyDescent="0.35">
      <c r="A805" s="33">
        <v>802</v>
      </c>
      <c r="B805" s="34" t="s">
        <v>1148</v>
      </c>
      <c r="C805" s="33" t="s">
        <v>297</v>
      </c>
      <c r="D805" s="33" t="s">
        <v>111</v>
      </c>
      <c r="E805" s="33" t="s">
        <v>1147</v>
      </c>
      <c r="F805" s="35">
        <v>1</v>
      </c>
      <c r="G805" s="40">
        <v>0</v>
      </c>
      <c r="H805" s="40">
        <v>0</v>
      </c>
      <c r="I805" s="40">
        <v>0</v>
      </c>
      <c r="J805" s="40">
        <v>0</v>
      </c>
      <c r="K805" s="40">
        <v>0</v>
      </c>
      <c r="L805" s="40">
        <v>0</v>
      </c>
      <c r="M805" s="40" cm="1">
        <f t="array" ref="M805:N805">VLOOKUP(B805,'Fumigation  Room'!B:H,{6,7},0)</f>
        <v>0</v>
      </c>
      <c r="N805" s="40">
        <v>0</v>
      </c>
      <c r="O805" s="40">
        <f t="shared" si="25"/>
        <v>0</v>
      </c>
      <c r="P805" s="40">
        <f t="shared" si="26"/>
        <v>0</v>
      </c>
    </row>
    <row r="806" spans="1:16" x14ac:dyDescent="0.35">
      <c r="A806" s="33">
        <v>803</v>
      </c>
      <c r="B806" s="34" t="s">
        <v>1198</v>
      </c>
      <c r="C806" s="33" t="s">
        <v>346</v>
      </c>
      <c r="D806" s="33" t="s">
        <v>111</v>
      </c>
      <c r="E806" s="33" t="s">
        <v>1147</v>
      </c>
      <c r="F806" s="35">
        <v>1</v>
      </c>
      <c r="G806" s="40">
        <v>0</v>
      </c>
      <c r="H806" s="40">
        <v>0</v>
      </c>
      <c r="I806" s="40">
        <v>0</v>
      </c>
      <c r="J806" s="40">
        <v>0</v>
      </c>
      <c r="K806" s="40">
        <v>0</v>
      </c>
      <c r="L806" s="40">
        <v>0</v>
      </c>
      <c r="M806" s="40" cm="1">
        <f t="array" ref="M806:N806">VLOOKUP(B806,'Fumigation  Room'!B:H,{6,7},0)</f>
        <v>0</v>
      </c>
      <c r="N806" s="40">
        <v>0</v>
      </c>
      <c r="O806" s="40">
        <f t="shared" si="25"/>
        <v>0</v>
      </c>
      <c r="P806" s="40">
        <f t="shared" si="26"/>
        <v>0</v>
      </c>
    </row>
    <row r="807" spans="1:16" x14ac:dyDescent="0.35">
      <c r="A807" s="33">
        <v>804</v>
      </c>
      <c r="B807" s="34" t="s">
        <v>1199</v>
      </c>
      <c r="C807" s="33" t="s">
        <v>346</v>
      </c>
      <c r="D807" s="33" t="s">
        <v>111</v>
      </c>
      <c r="E807" s="33" t="s">
        <v>1147</v>
      </c>
      <c r="F807" s="35">
        <v>0.2</v>
      </c>
      <c r="G807" s="40">
        <v>0</v>
      </c>
      <c r="H807" s="40">
        <v>0</v>
      </c>
      <c r="I807" s="40">
        <v>0</v>
      </c>
      <c r="J807" s="40">
        <v>0</v>
      </c>
      <c r="K807" s="40">
        <v>0</v>
      </c>
      <c r="L807" s="40">
        <v>0</v>
      </c>
      <c r="M807" s="40" cm="1">
        <f t="array" ref="M807:N807">VLOOKUP(B807,'Fumigation  Room'!B:H,{6,7},0)</f>
        <v>0</v>
      </c>
      <c r="N807" s="40">
        <v>0</v>
      </c>
      <c r="O807" s="40">
        <f t="shared" si="25"/>
        <v>0</v>
      </c>
      <c r="P807" s="40">
        <f t="shared" si="26"/>
        <v>0</v>
      </c>
    </row>
    <row r="808" spans="1:16" x14ac:dyDescent="0.35">
      <c r="A808" s="33">
        <v>805</v>
      </c>
      <c r="B808" s="34" t="s">
        <v>1149</v>
      </c>
      <c r="C808" s="33" t="s">
        <v>297</v>
      </c>
      <c r="D808" s="33" t="s">
        <v>111</v>
      </c>
      <c r="E808" s="33" t="s">
        <v>1150</v>
      </c>
      <c r="F808" s="35">
        <v>1</v>
      </c>
      <c r="G808" s="40">
        <v>0</v>
      </c>
      <c r="H808" s="40">
        <v>0</v>
      </c>
      <c r="I808" s="40">
        <v>0</v>
      </c>
      <c r="J808" s="40">
        <v>0</v>
      </c>
      <c r="K808" s="40">
        <v>0</v>
      </c>
      <c r="L808" s="40">
        <v>0</v>
      </c>
      <c r="M808" s="40" cm="1">
        <f t="array" ref="M808:N808">VLOOKUP(B808,'Fumigation  Room'!B:H,{6,7},0)</f>
        <v>0</v>
      </c>
      <c r="N808" s="40">
        <v>0</v>
      </c>
      <c r="O808" s="40">
        <f t="shared" si="25"/>
        <v>0</v>
      </c>
      <c r="P808" s="40">
        <f t="shared" si="26"/>
        <v>0</v>
      </c>
    </row>
    <row r="809" spans="1:16" x14ac:dyDescent="0.35">
      <c r="A809" s="33">
        <v>806</v>
      </c>
      <c r="B809" s="34" t="s">
        <v>1151</v>
      </c>
      <c r="C809" s="33" t="s">
        <v>297</v>
      </c>
      <c r="D809" s="33" t="s">
        <v>111</v>
      </c>
      <c r="E809" s="33" t="s">
        <v>1150</v>
      </c>
      <c r="F809" s="35">
        <v>1</v>
      </c>
      <c r="G809" s="40">
        <v>0</v>
      </c>
      <c r="H809" s="40">
        <v>0</v>
      </c>
      <c r="I809" s="40">
        <v>0</v>
      </c>
      <c r="J809" s="40">
        <v>0</v>
      </c>
      <c r="K809" s="40">
        <v>0</v>
      </c>
      <c r="L809" s="40">
        <v>0</v>
      </c>
      <c r="M809" s="40" cm="1">
        <f t="array" ref="M809:N809">VLOOKUP(B809,'Fumigation  Room'!B:H,{6,7},0)</f>
        <v>0</v>
      </c>
      <c r="N809" s="40">
        <v>0</v>
      </c>
      <c r="O809" s="40">
        <f t="shared" si="25"/>
        <v>0</v>
      </c>
      <c r="P809" s="40">
        <f t="shared" si="26"/>
        <v>0</v>
      </c>
    </row>
    <row r="810" spans="1:16" x14ac:dyDescent="0.35">
      <c r="A810" s="33">
        <v>807</v>
      </c>
      <c r="B810" s="34" t="s">
        <v>1152</v>
      </c>
      <c r="C810" s="33" t="s">
        <v>297</v>
      </c>
      <c r="D810" s="33" t="s">
        <v>111</v>
      </c>
      <c r="E810" s="33" t="s">
        <v>1150</v>
      </c>
      <c r="F810" s="35">
        <v>1</v>
      </c>
      <c r="G810" s="40">
        <v>0</v>
      </c>
      <c r="H810" s="40">
        <v>0</v>
      </c>
      <c r="I810" s="40">
        <v>0</v>
      </c>
      <c r="J810" s="40">
        <v>0</v>
      </c>
      <c r="K810" s="40">
        <v>0</v>
      </c>
      <c r="L810" s="40">
        <v>0</v>
      </c>
      <c r="M810" s="40" cm="1">
        <f t="array" ref="M810:N810">VLOOKUP(B810,'Fumigation  Room'!B:H,{6,7},0)</f>
        <v>0</v>
      </c>
      <c r="N810" s="40">
        <v>0</v>
      </c>
      <c r="O810" s="40">
        <f t="shared" si="25"/>
        <v>0</v>
      </c>
      <c r="P810" s="40">
        <f t="shared" si="26"/>
        <v>0</v>
      </c>
    </row>
    <row r="811" spans="1:16" x14ac:dyDescent="0.35">
      <c r="A811" s="33">
        <v>808</v>
      </c>
      <c r="B811" s="34" t="s">
        <v>1153</v>
      </c>
      <c r="C811" s="33" t="s">
        <v>297</v>
      </c>
      <c r="D811" s="33" t="s">
        <v>111</v>
      </c>
      <c r="E811" s="33" t="s">
        <v>1150</v>
      </c>
      <c r="F811" s="35">
        <v>1</v>
      </c>
      <c r="G811" s="40">
        <v>0</v>
      </c>
      <c r="H811" s="40">
        <v>0</v>
      </c>
      <c r="I811" s="40">
        <v>0</v>
      </c>
      <c r="J811" s="40">
        <v>0</v>
      </c>
      <c r="K811" s="40">
        <v>0</v>
      </c>
      <c r="L811" s="40">
        <v>0</v>
      </c>
      <c r="M811" s="40" cm="1">
        <f t="array" ref="M811:N811">VLOOKUP(B811,'Fumigation  Room'!B:H,{6,7},0)</f>
        <v>0</v>
      </c>
      <c r="N811" s="40">
        <v>0</v>
      </c>
      <c r="O811" s="40">
        <f t="shared" si="25"/>
        <v>0</v>
      </c>
      <c r="P811" s="40">
        <f t="shared" si="26"/>
        <v>0</v>
      </c>
    </row>
    <row r="812" spans="1:16" x14ac:dyDescent="0.35">
      <c r="A812" s="33">
        <v>809</v>
      </c>
      <c r="B812" s="34" t="s">
        <v>1154</v>
      </c>
      <c r="C812" s="33" t="s">
        <v>297</v>
      </c>
      <c r="D812" s="33" t="s">
        <v>111</v>
      </c>
      <c r="E812" s="33" t="s">
        <v>1150</v>
      </c>
      <c r="F812" s="35">
        <v>1</v>
      </c>
      <c r="G812" s="40">
        <v>0</v>
      </c>
      <c r="H812" s="40">
        <v>0</v>
      </c>
      <c r="I812" s="40">
        <v>0</v>
      </c>
      <c r="J812" s="40">
        <v>0</v>
      </c>
      <c r="K812" s="40">
        <v>0</v>
      </c>
      <c r="L812" s="40">
        <v>0</v>
      </c>
      <c r="M812" s="40" cm="1">
        <f t="array" ref="M812:N812">VLOOKUP(B812,'Fumigation  Room'!B:H,{6,7},0)</f>
        <v>0</v>
      </c>
      <c r="N812" s="40">
        <v>0</v>
      </c>
      <c r="O812" s="40">
        <f t="shared" si="25"/>
        <v>0</v>
      </c>
      <c r="P812" s="40">
        <f t="shared" si="26"/>
        <v>0</v>
      </c>
    </row>
    <row r="813" spans="1:16" x14ac:dyDescent="0.35">
      <c r="A813" s="33">
        <v>810</v>
      </c>
      <c r="B813" s="34" t="s">
        <v>1155</v>
      </c>
      <c r="C813" s="33" t="s">
        <v>297</v>
      </c>
      <c r="D813" s="33" t="s">
        <v>111</v>
      </c>
      <c r="E813" s="33" t="s">
        <v>1150</v>
      </c>
      <c r="F813" s="35">
        <v>1</v>
      </c>
      <c r="G813" s="40">
        <v>0</v>
      </c>
      <c r="H813" s="40">
        <v>0</v>
      </c>
      <c r="I813" s="40">
        <v>0</v>
      </c>
      <c r="J813" s="40">
        <v>0</v>
      </c>
      <c r="K813" s="40">
        <v>0</v>
      </c>
      <c r="L813" s="40">
        <v>0</v>
      </c>
      <c r="M813" s="40" cm="1">
        <f t="array" ref="M813:N813">VLOOKUP(B813,'Fumigation  Room'!B:H,{6,7},0)</f>
        <v>0</v>
      </c>
      <c r="N813" s="40">
        <v>0</v>
      </c>
      <c r="O813" s="40">
        <f t="shared" si="25"/>
        <v>0</v>
      </c>
      <c r="P813" s="40">
        <f t="shared" si="26"/>
        <v>0</v>
      </c>
    </row>
    <row r="814" spans="1:16" x14ac:dyDescent="0.35">
      <c r="A814" s="33">
        <v>811</v>
      </c>
      <c r="B814" s="34" t="s">
        <v>1156</v>
      </c>
      <c r="C814" s="33" t="s">
        <v>297</v>
      </c>
      <c r="D814" s="33" t="s">
        <v>111</v>
      </c>
      <c r="E814" s="33" t="s">
        <v>1150</v>
      </c>
      <c r="F814" s="35">
        <v>1</v>
      </c>
      <c r="G814" s="40">
        <v>0</v>
      </c>
      <c r="H814" s="40">
        <v>0</v>
      </c>
      <c r="I814" s="40">
        <v>0</v>
      </c>
      <c r="J814" s="40">
        <v>0</v>
      </c>
      <c r="K814" s="40">
        <v>0</v>
      </c>
      <c r="L814" s="40">
        <v>0</v>
      </c>
      <c r="M814" s="40" cm="1">
        <f t="array" ref="M814:N814">VLOOKUP(B814,'Fumigation  Room'!B:H,{6,7},0)</f>
        <v>0</v>
      </c>
      <c r="N814" s="40">
        <v>0</v>
      </c>
      <c r="O814" s="40">
        <f t="shared" si="25"/>
        <v>0</v>
      </c>
      <c r="P814" s="40">
        <f t="shared" si="26"/>
        <v>0</v>
      </c>
    </row>
    <row r="815" spans="1:16" x14ac:dyDescent="0.35">
      <c r="A815" s="33">
        <v>812</v>
      </c>
      <c r="B815" s="34" t="s">
        <v>1200</v>
      </c>
      <c r="C815" s="33" t="s">
        <v>346</v>
      </c>
      <c r="D815" s="33" t="s">
        <v>111</v>
      </c>
      <c r="E815" s="33" t="s">
        <v>1150</v>
      </c>
      <c r="F815" s="35">
        <v>0.2</v>
      </c>
      <c r="G815" s="40">
        <v>0</v>
      </c>
      <c r="H815" s="40">
        <v>0</v>
      </c>
      <c r="I815" s="40">
        <v>0</v>
      </c>
      <c r="J815" s="40">
        <v>0</v>
      </c>
      <c r="K815" s="40">
        <v>0</v>
      </c>
      <c r="L815" s="40">
        <v>0</v>
      </c>
      <c r="M815" s="40" cm="1">
        <f t="array" ref="M815:N815">VLOOKUP(B815,'Fumigation  Room'!B:H,{6,7},0)</f>
        <v>0</v>
      </c>
      <c r="N815" s="40">
        <v>0</v>
      </c>
      <c r="O815" s="40">
        <f t="shared" si="25"/>
        <v>0</v>
      </c>
      <c r="P815" s="40">
        <f t="shared" si="26"/>
        <v>0</v>
      </c>
    </row>
    <row r="816" spans="1:16" x14ac:dyDescent="0.35">
      <c r="A816" s="33">
        <v>813</v>
      </c>
      <c r="B816" s="34" t="s">
        <v>1201</v>
      </c>
      <c r="C816" s="33" t="s">
        <v>346</v>
      </c>
      <c r="D816" s="33" t="s">
        <v>111</v>
      </c>
      <c r="E816" s="33" t="s">
        <v>1150</v>
      </c>
      <c r="F816" s="35">
        <v>0.2</v>
      </c>
      <c r="G816" s="40">
        <v>0</v>
      </c>
      <c r="H816" s="40">
        <v>0</v>
      </c>
      <c r="I816" s="40">
        <v>0</v>
      </c>
      <c r="J816" s="40">
        <v>0</v>
      </c>
      <c r="K816" s="40">
        <v>0</v>
      </c>
      <c r="L816" s="40">
        <v>0</v>
      </c>
      <c r="M816" s="40" cm="1">
        <f t="array" ref="M816:N816">VLOOKUP(B816,'Fumigation  Room'!B:H,{6,7},0)</f>
        <v>0</v>
      </c>
      <c r="N816" s="40">
        <v>0</v>
      </c>
      <c r="O816" s="40">
        <f t="shared" si="25"/>
        <v>0</v>
      </c>
      <c r="P816" s="40">
        <f t="shared" si="26"/>
        <v>0</v>
      </c>
    </row>
    <row r="817" spans="1:16" x14ac:dyDescent="0.35">
      <c r="A817" s="33">
        <v>814</v>
      </c>
      <c r="B817" s="34" t="s">
        <v>1202</v>
      </c>
      <c r="C817" s="33" t="s">
        <v>346</v>
      </c>
      <c r="D817" s="33" t="s">
        <v>111</v>
      </c>
      <c r="E817" s="33" t="s">
        <v>1150</v>
      </c>
      <c r="F817" s="35">
        <v>1</v>
      </c>
      <c r="G817" s="40">
        <v>0</v>
      </c>
      <c r="H817" s="40">
        <v>0</v>
      </c>
      <c r="I817" s="40">
        <v>0</v>
      </c>
      <c r="J817" s="40">
        <v>0</v>
      </c>
      <c r="K817" s="40">
        <v>0</v>
      </c>
      <c r="L817" s="40">
        <v>0</v>
      </c>
      <c r="M817" s="40" cm="1">
        <f t="array" ref="M817:N817">VLOOKUP(B817,'Fumigation  Room'!B:H,{6,7},0)</f>
        <v>0</v>
      </c>
      <c r="N817" s="40">
        <v>0</v>
      </c>
      <c r="O817" s="40">
        <f t="shared" si="25"/>
        <v>0</v>
      </c>
      <c r="P817" s="40">
        <f t="shared" si="26"/>
        <v>0</v>
      </c>
    </row>
    <row r="818" spans="1:16" x14ac:dyDescent="0.35">
      <c r="A818" s="33">
        <v>815</v>
      </c>
      <c r="B818" s="34" t="s">
        <v>1203</v>
      </c>
      <c r="C818" s="33" t="s">
        <v>346</v>
      </c>
      <c r="D818" s="33" t="s">
        <v>111</v>
      </c>
      <c r="E818" s="33" t="s">
        <v>1150</v>
      </c>
      <c r="F818" s="35">
        <v>1</v>
      </c>
      <c r="G818" s="40">
        <v>0</v>
      </c>
      <c r="H818" s="40">
        <v>0</v>
      </c>
      <c r="I818" s="40">
        <v>0</v>
      </c>
      <c r="J818" s="40">
        <v>0</v>
      </c>
      <c r="K818" s="40">
        <v>0</v>
      </c>
      <c r="L818" s="40">
        <v>0</v>
      </c>
      <c r="M818" s="40" cm="1">
        <f t="array" ref="M818:N818">VLOOKUP(B818,'Fumigation  Room'!B:H,{6,7},0)</f>
        <v>0</v>
      </c>
      <c r="N818" s="40">
        <v>0</v>
      </c>
      <c r="O818" s="40">
        <f t="shared" si="25"/>
        <v>0</v>
      </c>
      <c r="P818" s="40">
        <f t="shared" si="26"/>
        <v>0</v>
      </c>
    </row>
    <row r="819" spans="1:16" x14ac:dyDescent="0.35">
      <c r="A819" s="33">
        <v>816</v>
      </c>
      <c r="B819" s="34" t="s">
        <v>1204</v>
      </c>
      <c r="C819" s="33" t="s">
        <v>346</v>
      </c>
      <c r="D819" s="33" t="s">
        <v>111</v>
      </c>
      <c r="E819" s="33" t="s">
        <v>1150</v>
      </c>
      <c r="F819" s="35">
        <v>1</v>
      </c>
      <c r="G819" s="40">
        <v>0</v>
      </c>
      <c r="H819" s="40">
        <v>0</v>
      </c>
      <c r="I819" s="40">
        <v>0</v>
      </c>
      <c r="J819" s="40">
        <v>0</v>
      </c>
      <c r="K819" s="40">
        <v>0</v>
      </c>
      <c r="L819" s="40">
        <v>0</v>
      </c>
      <c r="M819" s="40" cm="1">
        <f t="array" ref="M819:N819">VLOOKUP(B819,'Fumigation  Room'!B:H,{6,7},0)</f>
        <v>0</v>
      </c>
      <c r="N819" s="40">
        <v>0</v>
      </c>
      <c r="O819" s="40">
        <f t="shared" si="25"/>
        <v>0</v>
      </c>
      <c r="P819" s="40">
        <f t="shared" si="26"/>
        <v>0</v>
      </c>
    </row>
    <row r="820" spans="1:16" x14ac:dyDescent="0.35">
      <c r="A820" s="33">
        <v>817</v>
      </c>
      <c r="B820" s="34" t="s">
        <v>1157</v>
      </c>
      <c r="C820" s="33" t="s">
        <v>297</v>
      </c>
      <c r="D820" s="33" t="s">
        <v>111</v>
      </c>
      <c r="E820" s="33" t="s">
        <v>1158</v>
      </c>
      <c r="F820" s="35">
        <v>1</v>
      </c>
      <c r="G820" s="40">
        <v>0</v>
      </c>
      <c r="H820" s="40">
        <v>0</v>
      </c>
      <c r="I820" s="40">
        <v>0</v>
      </c>
      <c r="J820" s="40">
        <v>0</v>
      </c>
      <c r="K820" s="40">
        <v>0</v>
      </c>
      <c r="L820" s="40">
        <v>0</v>
      </c>
      <c r="M820" s="40" cm="1">
        <f t="array" ref="M820:N820">VLOOKUP(B820,'Fumigation  Room'!B:H,{6,7},0)</f>
        <v>0</v>
      </c>
      <c r="N820" s="40">
        <v>0</v>
      </c>
      <c r="O820" s="40">
        <f t="shared" si="25"/>
        <v>0</v>
      </c>
      <c r="P820" s="40">
        <f t="shared" si="26"/>
        <v>0</v>
      </c>
    </row>
    <row r="821" spans="1:16" x14ac:dyDescent="0.35">
      <c r="A821" s="33">
        <v>818</v>
      </c>
      <c r="B821" s="34" t="s">
        <v>1159</v>
      </c>
      <c r="C821" s="33" t="s">
        <v>297</v>
      </c>
      <c r="D821" s="33" t="s">
        <v>111</v>
      </c>
      <c r="E821" s="33" t="s">
        <v>1158</v>
      </c>
      <c r="F821" s="35">
        <v>1</v>
      </c>
      <c r="G821" s="40">
        <v>0</v>
      </c>
      <c r="H821" s="40">
        <v>0</v>
      </c>
      <c r="I821" s="40">
        <v>0</v>
      </c>
      <c r="J821" s="40">
        <v>0</v>
      </c>
      <c r="K821" s="40">
        <v>0</v>
      </c>
      <c r="L821" s="40">
        <v>0</v>
      </c>
      <c r="M821" s="40" cm="1">
        <f t="array" ref="M821:N821">VLOOKUP(B821,'Fumigation  Room'!B:H,{6,7},0)</f>
        <v>0</v>
      </c>
      <c r="N821" s="40">
        <v>0</v>
      </c>
      <c r="O821" s="40">
        <f t="shared" si="25"/>
        <v>0</v>
      </c>
      <c r="P821" s="40">
        <f t="shared" si="26"/>
        <v>0</v>
      </c>
    </row>
    <row r="822" spans="1:16" x14ac:dyDescent="0.35">
      <c r="A822" s="33">
        <v>819</v>
      </c>
      <c r="B822" s="34" t="s">
        <v>1160</v>
      </c>
      <c r="C822" s="33" t="s">
        <v>297</v>
      </c>
      <c r="D822" s="33" t="s">
        <v>111</v>
      </c>
      <c r="E822" s="33" t="s">
        <v>1158</v>
      </c>
      <c r="F822" s="35">
        <v>1</v>
      </c>
      <c r="G822" s="40">
        <v>0</v>
      </c>
      <c r="H822" s="40">
        <v>0</v>
      </c>
      <c r="I822" s="40">
        <v>0</v>
      </c>
      <c r="J822" s="40">
        <v>0</v>
      </c>
      <c r="K822" s="40">
        <v>0</v>
      </c>
      <c r="L822" s="40">
        <v>0</v>
      </c>
      <c r="M822" s="40" cm="1">
        <f t="array" ref="M822:N822">VLOOKUP(B822,'Fumigation  Room'!B:H,{6,7},0)</f>
        <v>0</v>
      </c>
      <c r="N822" s="40">
        <v>0</v>
      </c>
      <c r="O822" s="40">
        <f t="shared" si="25"/>
        <v>0</v>
      </c>
      <c r="P822" s="40">
        <f t="shared" si="26"/>
        <v>0</v>
      </c>
    </row>
    <row r="823" spans="1:16" x14ac:dyDescent="0.35">
      <c r="A823" s="33">
        <v>820</v>
      </c>
      <c r="B823" s="34" t="s">
        <v>1161</v>
      </c>
      <c r="C823" s="33" t="s">
        <v>297</v>
      </c>
      <c r="D823" s="33" t="s">
        <v>111</v>
      </c>
      <c r="E823" s="33" t="s">
        <v>1158</v>
      </c>
      <c r="F823" s="35">
        <v>1</v>
      </c>
      <c r="G823" s="40">
        <v>0</v>
      </c>
      <c r="H823" s="40">
        <v>0</v>
      </c>
      <c r="I823" s="40">
        <v>0</v>
      </c>
      <c r="J823" s="40">
        <v>0</v>
      </c>
      <c r="K823" s="40">
        <v>0</v>
      </c>
      <c r="L823" s="40">
        <v>0</v>
      </c>
      <c r="M823" s="40" cm="1">
        <f t="array" ref="M823:N823">VLOOKUP(B823,'Fumigation  Room'!B:H,{6,7},0)</f>
        <v>0</v>
      </c>
      <c r="N823" s="40">
        <v>0</v>
      </c>
      <c r="O823" s="40">
        <f t="shared" si="25"/>
        <v>0</v>
      </c>
      <c r="P823" s="40">
        <f t="shared" si="26"/>
        <v>0</v>
      </c>
    </row>
    <row r="824" spans="1:16" x14ac:dyDescent="0.35">
      <c r="A824" s="33">
        <v>821</v>
      </c>
      <c r="B824" s="34" t="s">
        <v>1205</v>
      </c>
      <c r="C824" s="33" t="s">
        <v>346</v>
      </c>
      <c r="D824" s="33" t="s">
        <v>111</v>
      </c>
      <c r="E824" s="33" t="s">
        <v>1158</v>
      </c>
      <c r="F824" s="35">
        <v>1</v>
      </c>
      <c r="G824" s="40">
        <v>0</v>
      </c>
      <c r="H824" s="40">
        <v>0</v>
      </c>
      <c r="I824" s="40">
        <v>0</v>
      </c>
      <c r="J824" s="40">
        <v>0</v>
      </c>
      <c r="K824" s="40">
        <v>0</v>
      </c>
      <c r="L824" s="40">
        <v>0</v>
      </c>
      <c r="M824" s="40" cm="1">
        <f t="array" ref="M824:N824">VLOOKUP(B824,'Fumigation  Room'!B:H,{6,7},0)</f>
        <v>0</v>
      </c>
      <c r="N824" s="40">
        <v>0</v>
      </c>
      <c r="O824" s="40">
        <f t="shared" si="25"/>
        <v>0</v>
      </c>
      <c r="P824" s="40">
        <f t="shared" si="26"/>
        <v>0</v>
      </c>
    </row>
    <row r="825" spans="1:16" x14ac:dyDescent="0.35">
      <c r="A825" s="33">
        <v>822</v>
      </c>
      <c r="B825" s="34" t="s">
        <v>1162</v>
      </c>
      <c r="C825" s="33" t="s">
        <v>297</v>
      </c>
      <c r="D825" s="33" t="s">
        <v>111</v>
      </c>
      <c r="E825" s="33" t="s">
        <v>1163</v>
      </c>
      <c r="F825" s="35">
        <v>1</v>
      </c>
      <c r="G825" s="40">
        <v>0</v>
      </c>
      <c r="H825" s="40">
        <v>0</v>
      </c>
      <c r="I825" s="40">
        <v>0</v>
      </c>
      <c r="J825" s="40">
        <v>0</v>
      </c>
      <c r="K825" s="40">
        <v>0</v>
      </c>
      <c r="L825" s="40">
        <v>0</v>
      </c>
      <c r="M825" s="40" cm="1">
        <f t="array" ref="M825:N825">VLOOKUP(B825,'Fumigation  Room'!B:H,{6,7},0)</f>
        <v>0</v>
      </c>
      <c r="N825" s="40">
        <v>0</v>
      </c>
      <c r="O825" s="40">
        <f t="shared" si="25"/>
        <v>0</v>
      </c>
      <c r="P825" s="40">
        <f t="shared" si="26"/>
        <v>0</v>
      </c>
    </row>
    <row r="826" spans="1:16" x14ac:dyDescent="0.35">
      <c r="A826" s="33">
        <v>823</v>
      </c>
      <c r="B826" s="34" t="s">
        <v>1206</v>
      </c>
      <c r="C826" s="33" t="s">
        <v>346</v>
      </c>
      <c r="D826" s="33" t="s">
        <v>111</v>
      </c>
      <c r="E826" s="33" t="s">
        <v>1163</v>
      </c>
      <c r="F826" s="35">
        <v>1</v>
      </c>
      <c r="G826" s="40">
        <v>0</v>
      </c>
      <c r="H826" s="40">
        <v>0</v>
      </c>
      <c r="I826" s="40">
        <v>0</v>
      </c>
      <c r="J826" s="40">
        <v>0</v>
      </c>
      <c r="K826" s="40">
        <v>0</v>
      </c>
      <c r="L826" s="40">
        <v>0</v>
      </c>
      <c r="M826" s="40" cm="1">
        <f t="array" ref="M826:N826">VLOOKUP(B826,'Fumigation  Room'!B:H,{6,7},0)</f>
        <v>0</v>
      </c>
      <c r="N826" s="40">
        <v>0</v>
      </c>
      <c r="O826" s="40">
        <f t="shared" si="25"/>
        <v>0</v>
      </c>
      <c r="P826" s="40">
        <f t="shared" si="26"/>
        <v>0</v>
      </c>
    </row>
    <row r="827" spans="1:16" x14ac:dyDescent="0.35">
      <c r="A827" s="33">
        <v>824</v>
      </c>
      <c r="B827" s="34" t="s">
        <v>1164</v>
      </c>
      <c r="C827" s="33" t="s">
        <v>297</v>
      </c>
      <c r="D827" s="33" t="s">
        <v>111</v>
      </c>
      <c r="E827" s="33" t="s">
        <v>1165</v>
      </c>
      <c r="F827" s="35">
        <v>1</v>
      </c>
      <c r="G827" s="40">
        <v>0</v>
      </c>
      <c r="H827" s="40">
        <v>0</v>
      </c>
      <c r="I827" s="40">
        <v>0</v>
      </c>
      <c r="J827" s="40">
        <v>0</v>
      </c>
      <c r="K827" s="40">
        <v>0</v>
      </c>
      <c r="L827" s="40">
        <v>0</v>
      </c>
      <c r="M827" s="40" cm="1">
        <f t="array" ref="M827:N827">VLOOKUP(B827,'Fumigation  Room'!B:H,{6,7},0)</f>
        <v>0</v>
      </c>
      <c r="N827" s="40">
        <v>0</v>
      </c>
      <c r="O827" s="40">
        <f t="shared" si="25"/>
        <v>0</v>
      </c>
      <c r="P827" s="40">
        <f t="shared" si="26"/>
        <v>0</v>
      </c>
    </row>
    <row r="828" spans="1:16" x14ac:dyDescent="0.35">
      <c r="A828" s="33">
        <v>825</v>
      </c>
      <c r="B828" s="34" t="s">
        <v>1207</v>
      </c>
      <c r="C828" s="33" t="s">
        <v>346</v>
      </c>
      <c r="D828" s="33" t="s">
        <v>111</v>
      </c>
      <c r="E828" s="33" t="s">
        <v>1165</v>
      </c>
      <c r="F828" s="35">
        <v>1</v>
      </c>
      <c r="G828" s="40">
        <v>0</v>
      </c>
      <c r="H828" s="40">
        <v>0</v>
      </c>
      <c r="I828" s="40">
        <v>0</v>
      </c>
      <c r="J828" s="40">
        <v>0</v>
      </c>
      <c r="K828" s="40">
        <v>0</v>
      </c>
      <c r="L828" s="40">
        <v>0</v>
      </c>
      <c r="M828" s="40" cm="1">
        <f t="array" ref="M828:N828">VLOOKUP(B828,'Fumigation  Room'!B:H,{6,7},0)</f>
        <v>0</v>
      </c>
      <c r="N828" s="40">
        <v>0</v>
      </c>
      <c r="O828" s="40">
        <f t="shared" si="25"/>
        <v>0</v>
      </c>
      <c r="P828" s="40">
        <f t="shared" si="26"/>
        <v>0</v>
      </c>
    </row>
    <row r="829" spans="1:16" x14ac:dyDescent="0.35">
      <c r="A829" s="33">
        <v>826</v>
      </c>
      <c r="B829" s="34" t="s">
        <v>1208</v>
      </c>
      <c r="C829" s="33" t="s">
        <v>346</v>
      </c>
      <c r="D829" s="33" t="s">
        <v>111</v>
      </c>
      <c r="E829" s="33" t="s">
        <v>1165</v>
      </c>
      <c r="F829" s="35">
        <v>0.2</v>
      </c>
      <c r="G829" s="40">
        <v>0</v>
      </c>
      <c r="H829" s="40">
        <v>0</v>
      </c>
      <c r="I829" s="40">
        <v>0</v>
      </c>
      <c r="J829" s="40">
        <v>0</v>
      </c>
      <c r="K829" s="40">
        <v>0</v>
      </c>
      <c r="L829" s="40">
        <v>0</v>
      </c>
      <c r="M829" s="40" cm="1">
        <f t="array" ref="M829:N829">VLOOKUP(B829,'Fumigation  Room'!B:H,{6,7},0)</f>
        <v>0</v>
      </c>
      <c r="N829" s="40">
        <v>0</v>
      </c>
      <c r="O829" s="40">
        <f t="shared" si="25"/>
        <v>0</v>
      </c>
      <c r="P829" s="40">
        <f t="shared" si="26"/>
        <v>0</v>
      </c>
    </row>
    <row r="830" spans="1:16" x14ac:dyDescent="0.35">
      <c r="A830" s="33">
        <v>827</v>
      </c>
      <c r="B830" s="34" t="s">
        <v>1209</v>
      </c>
      <c r="C830" s="33" t="s">
        <v>346</v>
      </c>
      <c r="D830" s="33" t="s">
        <v>111</v>
      </c>
      <c r="E830" s="33" t="s">
        <v>1165</v>
      </c>
      <c r="F830" s="35">
        <v>1</v>
      </c>
      <c r="G830" s="40">
        <v>0</v>
      </c>
      <c r="H830" s="40">
        <v>0</v>
      </c>
      <c r="I830" s="40">
        <v>0</v>
      </c>
      <c r="J830" s="40">
        <v>0</v>
      </c>
      <c r="K830" s="40">
        <v>0</v>
      </c>
      <c r="L830" s="40">
        <v>0</v>
      </c>
      <c r="M830" s="40" cm="1">
        <f t="array" ref="M830:N830">VLOOKUP(B830,'Fumigation  Room'!B:H,{6,7},0)</f>
        <v>0</v>
      </c>
      <c r="N830" s="40">
        <v>0</v>
      </c>
      <c r="O830" s="40">
        <f t="shared" si="25"/>
        <v>0</v>
      </c>
      <c r="P830" s="40">
        <f t="shared" si="26"/>
        <v>0</v>
      </c>
    </row>
    <row r="831" spans="1:16" x14ac:dyDescent="0.35">
      <c r="A831" s="33">
        <v>828</v>
      </c>
      <c r="B831" s="34" t="s">
        <v>1166</v>
      </c>
      <c r="C831" s="33" t="s">
        <v>297</v>
      </c>
      <c r="D831" s="33" t="s">
        <v>111</v>
      </c>
      <c r="E831" s="33" t="s">
        <v>1167</v>
      </c>
      <c r="F831" s="35">
        <v>1</v>
      </c>
      <c r="G831" s="40">
        <v>0</v>
      </c>
      <c r="H831" s="40">
        <v>0</v>
      </c>
      <c r="I831" s="40">
        <v>0</v>
      </c>
      <c r="J831" s="40">
        <v>0</v>
      </c>
      <c r="K831" s="40">
        <v>0</v>
      </c>
      <c r="L831" s="40">
        <v>0</v>
      </c>
      <c r="M831" s="40" cm="1">
        <f t="array" ref="M831:N831">VLOOKUP(B831,'Fumigation  Room'!B:H,{6,7},0)</f>
        <v>0</v>
      </c>
      <c r="N831" s="40">
        <v>0</v>
      </c>
      <c r="O831" s="40">
        <f t="shared" si="25"/>
        <v>0</v>
      </c>
      <c r="P831" s="40">
        <f t="shared" si="26"/>
        <v>0</v>
      </c>
    </row>
    <row r="832" spans="1:16" x14ac:dyDescent="0.35">
      <c r="A832" s="33">
        <v>829</v>
      </c>
      <c r="B832" s="34" t="s">
        <v>1168</v>
      </c>
      <c r="C832" s="33" t="s">
        <v>297</v>
      </c>
      <c r="D832" s="33" t="s">
        <v>111</v>
      </c>
      <c r="E832" s="33" t="s">
        <v>1167</v>
      </c>
      <c r="F832" s="35">
        <v>1</v>
      </c>
      <c r="G832" s="40">
        <v>0</v>
      </c>
      <c r="H832" s="40">
        <v>0</v>
      </c>
      <c r="I832" s="40">
        <v>0</v>
      </c>
      <c r="J832" s="40">
        <v>0</v>
      </c>
      <c r="K832" s="40">
        <v>0</v>
      </c>
      <c r="L832" s="40">
        <v>0</v>
      </c>
      <c r="M832" s="40" cm="1">
        <f t="array" ref="M832:N832">VLOOKUP(B832,'Fumigation  Room'!B:H,{6,7},0)</f>
        <v>0</v>
      </c>
      <c r="N832" s="40">
        <v>0</v>
      </c>
      <c r="O832" s="40">
        <f t="shared" si="25"/>
        <v>0</v>
      </c>
      <c r="P832" s="40">
        <f t="shared" si="26"/>
        <v>0</v>
      </c>
    </row>
    <row r="833" spans="1:16" x14ac:dyDescent="0.35">
      <c r="A833" s="33">
        <v>830</v>
      </c>
      <c r="B833" s="34" t="s">
        <v>1169</v>
      </c>
      <c r="C833" s="33" t="s">
        <v>297</v>
      </c>
      <c r="D833" s="33" t="s">
        <v>111</v>
      </c>
      <c r="E833" s="33" t="s">
        <v>1167</v>
      </c>
      <c r="F833" s="35">
        <v>1</v>
      </c>
      <c r="G833" s="40">
        <v>0</v>
      </c>
      <c r="H833" s="40">
        <v>0</v>
      </c>
      <c r="I833" s="40">
        <v>0</v>
      </c>
      <c r="J833" s="40">
        <v>0</v>
      </c>
      <c r="K833" s="40">
        <v>0</v>
      </c>
      <c r="L833" s="40">
        <v>0</v>
      </c>
      <c r="M833" s="40" cm="1">
        <f t="array" ref="M833:N833">VLOOKUP(B833,'Fumigation  Room'!B:H,{6,7},0)</f>
        <v>0</v>
      </c>
      <c r="N833" s="40">
        <v>0</v>
      </c>
      <c r="O833" s="40">
        <f t="shared" si="25"/>
        <v>0</v>
      </c>
      <c r="P833" s="40">
        <f t="shared" si="26"/>
        <v>0</v>
      </c>
    </row>
    <row r="834" spans="1:16" x14ac:dyDescent="0.35">
      <c r="A834" s="33">
        <v>831</v>
      </c>
      <c r="B834" s="34" t="s">
        <v>1170</v>
      </c>
      <c r="C834" s="33" t="s">
        <v>297</v>
      </c>
      <c r="D834" s="33" t="s">
        <v>111</v>
      </c>
      <c r="E834" s="33" t="s">
        <v>1167</v>
      </c>
      <c r="F834" s="35">
        <v>1</v>
      </c>
      <c r="G834" s="40">
        <v>0</v>
      </c>
      <c r="H834" s="40">
        <v>0</v>
      </c>
      <c r="I834" s="40">
        <v>0</v>
      </c>
      <c r="J834" s="40">
        <v>0</v>
      </c>
      <c r="K834" s="40">
        <v>0</v>
      </c>
      <c r="L834" s="40">
        <v>0</v>
      </c>
      <c r="M834" s="40" cm="1">
        <f t="array" ref="M834:N834">VLOOKUP(B834,'Fumigation  Room'!B:H,{6,7},0)</f>
        <v>0</v>
      </c>
      <c r="N834" s="40">
        <v>0</v>
      </c>
      <c r="O834" s="40">
        <f t="shared" si="25"/>
        <v>0</v>
      </c>
      <c r="P834" s="40">
        <f t="shared" si="26"/>
        <v>0</v>
      </c>
    </row>
    <row r="835" spans="1:16" x14ac:dyDescent="0.35">
      <c r="A835" s="33">
        <v>832</v>
      </c>
      <c r="B835" s="34" t="s">
        <v>1171</v>
      </c>
      <c r="C835" s="33" t="s">
        <v>297</v>
      </c>
      <c r="D835" s="33" t="s">
        <v>111</v>
      </c>
      <c r="E835" s="33" t="s">
        <v>1167</v>
      </c>
      <c r="F835" s="35">
        <v>1</v>
      </c>
      <c r="G835" s="40">
        <v>0</v>
      </c>
      <c r="H835" s="40">
        <v>0</v>
      </c>
      <c r="I835" s="40">
        <v>0</v>
      </c>
      <c r="J835" s="40">
        <v>0</v>
      </c>
      <c r="K835" s="40">
        <v>0</v>
      </c>
      <c r="L835" s="40">
        <v>0</v>
      </c>
      <c r="M835" s="40" cm="1">
        <f t="array" ref="M835:N835">VLOOKUP(B835,'Fumigation  Room'!B:H,{6,7},0)</f>
        <v>0</v>
      </c>
      <c r="N835" s="40">
        <v>0</v>
      </c>
      <c r="O835" s="40">
        <f t="shared" si="25"/>
        <v>0</v>
      </c>
      <c r="P835" s="40">
        <f t="shared" si="26"/>
        <v>0</v>
      </c>
    </row>
    <row r="836" spans="1:16" x14ac:dyDescent="0.35">
      <c r="A836" s="33">
        <v>833</v>
      </c>
      <c r="B836" s="34" t="s">
        <v>1172</v>
      </c>
      <c r="C836" s="33" t="s">
        <v>297</v>
      </c>
      <c r="D836" s="33" t="s">
        <v>111</v>
      </c>
      <c r="E836" s="33" t="s">
        <v>1167</v>
      </c>
      <c r="F836" s="35">
        <v>1</v>
      </c>
      <c r="G836" s="40">
        <v>0</v>
      </c>
      <c r="H836" s="40">
        <v>0</v>
      </c>
      <c r="I836" s="40">
        <v>0</v>
      </c>
      <c r="J836" s="40">
        <v>0</v>
      </c>
      <c r="K836" s="40">
        <v>0</v>
      </c>
      <c r="L836" s="40">
        <v>0</v>
      </c>
      <c r="M836" s="40" cm="1">
        <f t="array" ref="M836:N836">VLOOKUP(B836,'Fumigation  Room'!B:H,{6,7},0)</f>
        <v>0</v>
      </c>
      <c r="N836" s="40">
        <v>0</v>
      </c>
      <c r="O836" s="40">
        <f t="shared" si="25"/>
        <v>0</v>
      </c>
      <c r="P836" s="40">
        <f t="shared" si="26"/>
        <v>0</v>
      </c>
    </row>
    <row r="837" spans="1:16" x14ac:dyDescent="0.35">
      <c r="A837" s="33">
        <v>834</v>
      </c>
      <c r="B837" s="34" t="s">
        <v>2318</v>
      </c>
      <c r="C837" s="33" t="s">
        <v>297</v>
      </c>
      <c r="D837" s="33" t="s">
        <v>111</v>
      </c>
      <c r="E837" s="33" t="s">
        <v>1167</v>
      </c>
      <c r="F837" s="35">
        <v>1</v>
      </c>
      <c r="G837" s="40">
        <v>0</v>
      </c>
      <c r="H837" s="40">
        <v>0</v>
      </c>
      <c r="I837" s="40">
        <v>0</v>
      </c>
      <c r="J837" s="40">
        <v>0</v>
      </c>
      <c r="K837" s="40">
        <v>0</v>
      </c>
      <c r="L837" s="40">
        <v>0</v>
      </c>
      <c r="M837" s="40">
        <v>0</v>
      </c>
      <c r="N837" s="40">
        <v>0</v>
      </c>
      <c r="O837" s="40">
        <f t="shared" ref="O837:O900" si="27">G837+I837+K837+M837</f>
        <v>0</v>
      </c>
      <c r="P837" s="40">
        <f t="shared" ref="P837:P900" si="28">H837+J837+L837+N837</f>
        <v>0</v>
      </c>
    </row>
    <row r="838" spans="1:16" x14ac:dyDescent="0.35">
      <c r="A838" s="33">
        <v>835</v>
      </c>
      <c r="B838" s="34" t="s">
        <v>1210</v>
      </c>
      <c r="C838" s="33" t="s">
        <v>346</v>
      </c>
      <c r="D838" s="33" t="s">
        <v>111</v>
      </c>
      <c r="E838" s="33" t="s">
        <v>1167</v>
      </c>
      <c r="F838" s="35">
        <v>1</v>
      </c>
      <c r="G838" s="40">
        <v>0</v>
      </c>
      <c r="H838" s="40">
        <v>0</v>
      </c>
      <c r="I838" s="40">
        <v>0</v>
      </c>
      <c r="J838" s="40">
        <v>0</v>
      </c>
      <c r="K838" s="40">
        <v>0</v>
      </c>
      <c r="L838" s="40">
        <v>0</v>
      </c>
      <c r="M838" s="40" cm="1">
        <f t="array" ref="M838:N838">VLOOKUP(B838,'Fumigation  Room'!B:H,{6,7},0)</f>
        <v>0</v>
      </c>
      <c r="N838" s="40">
        <v>0</v>
      </c>
      <c r="O838" s="40">
        <f t="shared" si="27"/>
        <v>0</v>
      </c>
      <c r="P838" s="40">
        <f t="shared" si="28"/>
        <v>0</v>
      </c>
    </row>
    <row r="839" spans="1:16" x14ac:dyDescent="0.35">
      <c r="A839" s="33">
        <v>836</v>
      </c>
      <c r="B839" s="34" t="s">
        <v>1211</v>
      </c>
      <c r="C839" s="33" t="s">
        <v>346</v>
      </c>
      <c r="D839" s="33" t="s">
        <v>111</v>
      </c>
      <c r="E839" s="33" t="s">
        <v>1167</v>
      </c>
      <c r="F839" s="35">
        <v>1</v>
      </c>
      <c r="G839" s="40">
        <v>0</v>
      </c>
      <c r="H839" s="40">
        <v>0</v>
      </c>
      <c r="I839" s="40">
        <v>0</v>
      </c>
      <c r="J839" s="40">
        <v>0</v>
      </c>
      <c r="K839" s="40">
        <v>0</v>
      </c>
      <c r="L839" s="40">
        <v>0</v>
      </c>
      <c r="M839" s="40" cm="1">
        <f t="array" ref="M839:N839">VLOOKUP(B839,'Fumigation  Room'!B:H,{6,7},0)</f>
        <v>0</v>
      </c>
      <c r="N839" s="40">
        <v>0</v>
      </c>
      <c r="O839" s="40">
        <f t="shared" si="27"/>
        <v>0</v>
      </c>
      <c r="P839" s="40">
        <f t="shared" si="28"/>
        <v>0</v>
      </c>
    </row>
    <row r="840" spans="1:16" x14ac:dyDescent="0.35">
      <c r="A840" s="33">
        <v>837</v>
      </c>
      <c r="B840" s="34" t="s">
        <v>1173</v>
      </c>
      <c r="C840" s="33" t="s">
        <v>297</v>
      </c>
      <c r="D840" s="33" t="s">
        <v>111</v>
      </c>
      <c r="E840" s="33" t="s">
        <v>1174</v>
      </c>
      <c r="F840" s="35">
        <v>1</v>
      </c>
      <c r="G840" s="40">
        <v>0</v>
      </c>
      <c r="H840" s="40">
        <v>0</v>
      </c>
      <c r="I840" s="40">
        <v>0</v>
      </c>
      <c r="J840" s="40">
        <v>0</v>
      </c>
      <c r="K840" s="40">
        <v>0</v>
      </c>
      <c r="L840" s="40">
        <v>0</v>
      </c>
      <c r="M840" s="40" cm="1">
        <f t="array" ref="M840:N840">VLOOKUP(B840,'Fumigation  Room'!B:H,{6,7},0)</f>
        <v>0</v>
      </c>
      <c r="N840" s="40">
        <v>0</v>
      </c>
      <c r="O840" s="40">
        <f t="shared" si="27"/>
        <v>0</v>
      </c>
      <c r="P840" s="40">
        <f t="shared" si="28"/>
        <v>0</v>
      </c>
    </row>
    <row r="841" spans="1:16" x14ac:dyDescent="0.35">
      <c r="A841" s="33">
        <v>838</v>
      </c>
      <c r="B841" s="34" t="s">
        <v>1212</v>
      </c>
      <c r="C841" s="33" t="s">
        <v>346</v>
      </c>
      <c r="D841" s="33" t="s">
        <v>111</v>
      </c>
      <c r="E841" s="33" t="s">
        <v>1174</v>
      </c>
      <c r="F841" s="35">
        <v>1</v>
      </c>
      <c r="G841" s="40">
        <v>0</v>
      </c>
      <c r="H841" s="40">
        <v>0</v>
      </c>
      <c r="I841" s="40">
        <v>0</v>
      </c>
      <c r="J841" s="40">
        <v>0</v>
      </c>
      <c r="K841" s="40">
        <v>0</v>
      </c>
      <c r="L841" s="40">
        <v>0</v>
      </c>
      <c r="M841" s="40" cm="1">
        <f t="array" ref="M841:N841">VLOOKUP(B841,'Fumigation  Room'!B:H,{6,7},0)</f>
        <v>0</v>
      </c>
      <c r="N841" s="40">
        <v>0</v>
      </c>
      <c r="O841" s="40">
        <f t="shared" si="27"/>
        <v>0</v>
      </c>
      <c r="P841" s="40">
        <f t="shared" si="28"/>
        <v>0</v>
      </c>
    </row>
    <row r="842" spans="1:16" x14ac:dyDescent="0.35">
      <c r="A842" s="33">
        <v>839</v>
      </c>
      <c r="B842" s="34" t="s">
        <v>1175</v>
      </c>
      <c r="C842" s="33" t="s">
        <v>297</v>
      </c>
      <c r="D842" s="33" t="s">
        <v>111</v>
      </c>
      <c r="E842" s="33" t="s">
        <v>1176</v>
      </c>
      <c r="F842" s="35">
        <v>1</v>
      </c>
      <c r="G842" s="40">
        <v>0</v>
      </c>
      <c r="H842" s="40">
        <v>0</v>
      </c>
      <c r="I842" s="40">
        <v>0</v>
      </c>
      <c r="J842" s="40">
        <v>0</v>
      </c>
      <c r="K842" s="40">
        <v>0</v>
      </c>
      <c r="L842" s="40">
        <v>0</v>
      </c>
      <c r="M842" s="40" cm="1">
        <f t="array" ref="M842:N842">VLOOKUP(B842,'Fumigation  Room'!B:H,{6,7},0)</f>
        <v>0</v>
      </c>
      <c r="N842" s="40">
        <v>0</v>
      </c>
      <c r="O842" s="40">
        <f t="shared" si="27"/>
        <v>0</v>
      </c>
      <c r="P842" s="40">
        <f t="shared" si="28"/>
        <v>0</v>
      </c>
    </row>
    <row r="843" spans="1:16" x14ac:dyDescent="0.35">
      <c r="A843" s="33">
        <v>840</v>
      </c>
      <c r="B843" s="34" t="s">
        <v>1177</v>
      </c>
      <c r="C843" s="33" t="s">
        <v>297</v>
      </c>
      <c r="D843" s="33" t="s">
        <v>111</v>
      </c>
      <c r="E843" s="33" t="s">
        <v>1176</v>
      </c>
      <c r="F843" s="35">
        <v>1</v>
      </c>
      <c r="G843" s="40">
        <v>0</v>
      </c>
      <c r="H843" s="40">
        <v>0</v>
      </c>
      <c r="I843" s="40">
        <v>0</v>
      </c>
      <c r="J843" s="40">
        <v>0</v>
      </c>
      <c r="K843" s="40">
        <v>0</v>
      </c>
      <c r="L843" s="40">
        <v>0</v>
      </c>
      <c r="M843" s="40" cm="1">
        <f t="array" ref="M843:N843">VLOOKUP(B843,'Fumigation  Room'!B:H,{6,7},0)</f>
        <v>0</v>
      </c>
      <c r="N843" s="40">
        <v>0</v>
      </c>
      <c r="O843" s="40">
        <f t="shared" si="27"/>
        <v>0</v>
      </c>
      <c r="P843" s="40">
        <f t="shared" si="28"/>
        <v>0</v>
      </c>
    </row>
    <row r="844" spans="1:16" x14ac:dyDescent="0.35">
      <c r="A844" s="33">
        <v>841</v>
      </c>
      <c r="B844" s="34" t="s">
        <v>1178</v>
      </c>
      <c r="C844" s="33" t="s">
        <v>297</v>
      </c>
      <c r="D844" s="33" t="s">
        <v>111</v>
      </c>
      <c r="E844" s="33" t="s">
        <v>1176</v>
      </c>
      <c r="F844" s="35">
        <v>1</v>
      </c>
      <c r="G844" s="40">
        <v>0</v>
      </c>
      <c r="H844" s="40">
        <v>0</v>
      </c>
      <c r="I844" s="40">
        <v>0</v>
      </c>
      <c r="J844" s="40">
        <v>0</v>
      </c>
      <c r="K844" s="40">
        <v>0</v>
      </c>
      <c r="L844" s="40">
        <v>0</v>
      </c>
      <c r="M844" s="40" cm="1">
        <f t="array" ref="M844:N844">VLOOKUP(B844,'Fumigation  Room'!B:H,{6,7},0)</f>
        <v>0</v>
      </c>
      <c r="N844" s="40">
        <v>0</v>
      </c>
      <c r="O844" s="40">
        <f t="shared" si="27"/>
        <v>0</v>
      </c>
      <c r="P844" s="40">
        <f t="shared" si="28"/>
        <v>0</v>
      </c>
    </row>
    <row r="845" spans="1:16" x14ac:dyDescent="0.35">
      <c r="A845" s="33">
        <v>842</v>
      </c>
      <c r="B845" s="34" t="s">
        <v>1179</v>
      </c>
      <c r="C845" s="33" t="s">
        <v>297</v>
      </c>
      <c r="D845" s="33" t="s">
        <v>111</v>
      </c>
      <c r="E845" s="33" t="s">
        <v>1176</v>
      </c>
      <c r="F845" s="35">
        <v>1</v>
      </c>
      <c r="G845" s="40">
        <v>0</v>
      </c>
      <c r="H845" s="40">
        <v>0</v>
      </c>
      <c r="I845" s="40">
        <v>0</v>
      </c>
      <c r="J845" s="40">
        <v>0</v>
      </c>
      <c r="K845" s="40">
        <v>0</v>
      </c>
      <c r="L845" s="40">
        <v>0</v>
      </c>
      <c r="M845" s="40" cm="1">
        <f t="array" ref="M845:N845">VLOOKUP(B845,'Fumigation  Room'!B:H,{6,7},0)</f>
        <v>0</v>
      </c>
      <c r="N845" s="40">
        <v>0</v>
      </c>
      <c r="O845" s="40">
        <f t="shared" si="27"/>
        <v>0</v>
      </c>
      <c r="P845" s="40">
        <f t="shared" si="28"/>
        <v>0</v>
      </c>
    </row>
    <row r="846" spans="1:16" x14ac:dyDescent="0.35">
      <c r="A846" s="33">
        <v>843</v>
      </c>
      <c r="B846" s="34" t="s">
        <v>1180</v>
      </c>
      <c r="C846" s="33" t="s">
        <v>297</v>
      </c>
      <c r="D846" s="33" t="s">
        <v>111</v>
      </c>
      <c r="E846" s="33" t="s">
        <v>1176</v>
      </c>
      <c r="F846" s="35">
        <v>1</v>
      </c>
      <c r="G846" s="40">
        <v>0</v>
      </c>
      <c r="H846" s="40">
        <v>0</v>
      </c>
      <c r="I846" s="40">
        <v>0</v>
      </c>
      <c r="J846" s="40">
        <v>0</v>
      </c>
      <c r="K846" s="40">
        <v>0</v>
      </c>
      <c r="L846" s="40">
        <v>0</v>
      </c>
      <c r="M846" s="40" cm="1">
        <f t="array" ref="M846:N846">VLOOKUP(B846,'Fumigation  Room'!B:H,{6,7},0)</f>
        <v>0</v>
      </c>
      <c r="N846" s="40">
        <v>0</v>
      </c>
      <c r="O846" s="40">
        <f t="shared" si="27"/>
        <v>0</v>
      </c>
      <c r="P846" s="40">
        <f t="shared" si="28"/>
        <v>0</v>
      </c>
    </row>
    <row r="847" spans="1:16" x14ac:dyDescent="0.35">
      <c r="A847" s="33">
        <v>844</v>
      </c>
      <c r="B847" s="34" t="s">
        <v>1213</v>
      </c>
      <c r="C847" s="33" t="s">
        <v>346</v>
      </c>
      <c r="D847" s="33" t="s">
        <v>111</v>
      </c>
      <c r="E847" s="33" t="s">
        <v>1176</v>
      </c>
      <c r="F847" s="35">
        <v>1</v>
      </c>
      <c r="G847" s="40">
        <v>0</v>
      </c>
      <c r="H847" s="40">
        <v>0</v>
      </c>
      <c r="I847" s="40">
        <v>0</v>
      </c>
      <c r="J847" s="40">
        <v>0</v>
      </c>
      <c r="K847" s="40">
        <v>0</v>
      </c>
      <c r="L847" s="40">
        <v>0</v>
      </c>
      <c r="M847" s="40" cm="1">
        <f t="array" ref="M847:N847">VLOOKUP(B847,'Fumigation  Room'!B:H,{6,7},0)</f>
        <v>0</v>
      </c>
      <c r="N847" s="40">
        <v>0</v>
      </c>
      <c r="O847" s="40">
        <f t="shared" si="27"/>
        <v>0</v>
      </c>
      <c r="P847" s="40">
        <f t="shared" si="28"/>
        <v>0</v>
      </c>
    </row>
    <row r="848" spans="1:16" x14ac:dyDescent="0.35">
      <c r="A848" s="33">
        <v>845</v>
      </c>
      <c r="B848" s="34" t="s">
        <v>1181</v>
      </c>
      <c r="C848" s="33" t="s">
        <v>297</v>
      </c>
      <c r="D848" s="33" t="s">
        <v>111</v>
      </c>
      <c r="E848" s="33" t="s">
        <v>1182</v>
      </c>
      <c r="F848" s="35">
        <v>1</v>
      </c>
      <c r="G848" s="40">
        <v>0</v>
      </c>
      <c r="H848" s="40">
        <v>0</v>
      </c>
      <c r="I848" s="40">
        <v>0</v>
      </c>
      <c r="J848" s="40">
        <v>0</v>
      </c>
      <c r="K848" s="40">
        <v>0</v>
      </c>
      <c r="L848" s="40">
        <v>0</v>
      </c>
      <c r="M848" s="40" cm="1">
        <f t="array" ref="M848:N848">VLOOKUP(B848,'Fumigation  Room'!B:H,{6,7},0)</f>
        <v>0</v>
      </c>
      <c r="N848" s="40">
        <v>0</v>
      </c>
      <c r="O848" s="40">
        <f t="shared" si="27"/>
        <v>0</v>
      </c>
      <c r="P848" s="40">
        <f t="shared" si="28"/>
        <v>0</v>
      </c>
    </row>
    <row r="849" spans="1:16" x14ac:dyDescent="0.35">
      <c r="A849" s="33">
        <v>846</v>
      </c>
      <c r="B849" s="34" t="s">
        <v>1183</v>
      </c>
      <c r="C849" s="33" t="s">
        <v>297</v>
      </c>
      <c r="D849" s="33" t="s">
        <v>111</v>
      </c>
      <c r="E849" s="33" t="s">
        <v>1182</v>
      </c>
      <c r="F849" s="35">
        <v>1</v>
      </c>
      <c r="G849" s="40">
        <v>0</v>
      </c>
      <c r="H849" s="40">
        <v>0</v>
      </c>
      <c r="I849" s="40">
        <v>0</v>
      </c>
      <c r="J849" s="40">
        <v>0</v>
      </c>
      <c r="K849" s="40">
        <v>0</v>
      </c>
      <c r="L849" s="40">
        <v>0</v>
      </c>
      <c r="M849" s="40" cm="1">
        <f t="array" ref="M849:N849">VLOOKUP(B849,'Fumigation  Room'!B:H,{6,7},0)</f>
        <v>0</v>
      </c>
      <c r="N849" s="40">
        <v>0</v>
      </c>
      <c r="O849" s="40">
        <f t="shared" si="27"/>
        <v>0</v>
      </c>
      <c r="P849" s="40">
        <f t="shared" si="28"/>
        <v>0</v>
      </c>
    </row>
    <row r="850" spans="1:16" x14ac:dyDescent="0.35">
      <c r="A850" s="33">
        <v>847</v>
      </c>
      <c r="B850" s="34" t="s">
        <v>1184</v>
      </c>
      <c r="C850" s="33" t="s">
        <v>297</v>
      </c>
      <c r="D850" s="33" t="s">
        <v>111</v>
      </c>
      <c r="E850" s="33" t="s">
        <v>1182</v>
      </c>
      <c r="F850" s="35">
        <v>1</v>
      </c>
      <c r="G850" s="40">
        <v>0</v>
      </c>
      <c r="H850" s="40">
        <v>0</v>
      </c>
      <c r="I850" s="40">
        <v>0</v>
      </c>
      <c r="J850" s="40">
        <v>0</v>
      </c>
      <c r="K850" s="40">
        <v>0</v>
      </c>
      <c r="L850" s="40">
        <v>0</v>
      </c>
      <c r="M850" s="40" cm="1">
        <f t="array" ref="M850:N850">VLOOKUP(B850,'Fumigation  Room'!B:H,{6,7},0)</f>
        <v>0</v>
      </c>
      <c r="N850" s="40">
        <v>0</v>
      </c>
      <c r="O850" s="40">
        <f t="shared" si="27"/>
        <v>0</v>
      </c>
      <c r="P850" s="40">
        <f t="shared" si="28"/>
        <v>0</v>
      </c>
    </row>
    <row r="851" spans="1:16" x14ac:dyDescent="0.35">
      <c r="A851" s="33">
        <v>848</v>
      </c>
      <c r="B851" s="34" t="s">
        <v>1185</v>
      </c>
      <c r="C851" s="33" t="s">
        <v>297</v>
      </c>
      <c r="D851" s="33" t="s">
        <v>111</v>
      </c>
      <c r="E851" s="33" t="s">
        <v>1182</v>
      </c>
      <c r="F851" s="35">
        <v>1</v>
      </c>
      <c r="G851" s="40">
        <v>0</v>
      </c>
      <c r="H851" s="40">
        <v>0</v>
      </c>
      <c r="I851" s="40">
        <v>0</v>
      </c>
      <c r="J851" s="40">
        <v>0</v>
      </c>
      <c r="K851" s="40">
        <v>0</v>
      </c>
      <c r="L851" s="40">
        <v>0</v>
      </c>
      <c r="M851" s="40" cm="1">
        <f t="array" ref="M851:N851">VLOOKUP(B851,'Fumigation  Room'!B:H,{6,7},0)</f>
        <v>0</v>
      </c>
      <c r="N851" s="40">
        <v>0</v>
      </c>
      <c r="O851" s="40">
        <f t="shared" si="27"/>
        <v>0</v>
      </c>
      <c r="P851" s="40">
        <f t="shared" si="28"/>
        <v>0</v>
      </c>
    </row>
    <row r="852" spans="1:16" x14ac:dyDescent="0.35">
      <c r="A852" s="33">
        <v>849</v>
      </c>
      <c r="B852" s="34" t="s">
        <v>1186</v>
      </c>
      <c r="C852" s="33" t="s">
        <v>297</v>
      </c>
      <c r="D852" s="33" t="s">
        <v>111</v>
      </c>
      <c r="E852" s="33" t="s">
        <v>1182</v>
      </c>
      <c r="F852" s="35">
        <v>1</v>
      </c>
      <c r="G852" s="40">
        <v>0</v>
      </c>
      <c r="H852" s="40">
        <v>0</v>
      </c>
      <c r="I852" s="40">
        <v>0</v>
      </c>
      <c r="J852" s="40">
        <v>0</v>
      </c>
      <c r="K852" s="40">
        <v>0</v>
      </c>
      <c r="L852" s="40">
        <v>0</v>
      </c>
      <c r="M852" s="40" cm="1">
        <f t="array" ref="M852:N852">VLOOKUP(B852,'Fumigation  Room'!B:H,{6,7},0)</f>
        <v>0</v>
      </c>
      <c r="N852" s="40">
        <v>0</v>
      </c>
      <c r="O852" s="40">
        <f t="shared" si="27"/>
        <v>0</v>
      </c>
      <c r="P852" s="40">
        <f t="shared" si="28"/>
        <v>0</v>
      </c>
    </row>
    <row r="853" spans="1:16" x14ac:dyDescent="0.35">
      <c r="A853" s="33">
        <v>850</v>
      </c>
      <c r="B853" s="34" t="s">
        <v>1187</v>
      </c>
      <c r="C853" s="33" t="s">
        <v>297</v>
      </c>
      <c r="D853" s="33" t="s">
        <v>111</v>
      </c>
      <c r="E853" s="33" t="s">
        <v>1188</v>
      </c>
      <c r="F853" s="35">
        <v>1</v>
      </c>
      <c r="G853" s="40">
        <v>0</v>
      </c>
      <c r="H853" s="40">
        <v>0</v>
      </c>
      <c r="I853" s="40">
        <v>0</v>
      </c>
      <c r="J853" s="40">
        <v>0</v>
      </c>
      <c r="K853" s="40">
        <v>0</v>
      </c>
      <c r="L853" s="40">
        <v>0</v>
      </c>
      <c r="M853" s="40" cm="1">
        <f t="array" ref="M853:N853">VLOOKUP(B853,'Fumigation  Room'!B:H,{6,7},0)</f>
        <v>0</v>
      </c>
      <c r="N853" s="40">
        <v>0</v>
      </c>
      <c r="O853" s="40">
        <f t="shared" si="27"/>
        <v>0</v>
      </c>
      <c r="P853" s="40">
        <f t="shared" si="28"/>
        <v>0</v>
      </c>
    </row>
    <row r="854" spans="1:16" x14ac:dyDescent="0.35">
      <c r="A854" s="33">
        <v>851</v>
      </c>
      <c r="B854" s="34" t="s">
        <v>1189</v>
      </c>
      <c r="C854" s="33" t="s">
        <v>297</v>
      </c>
      <c r="D854" s="33" t="s">
        <v>111</v>
      </c>
      <c r="E854" s="33" t="s">
        <v>1190</v>
      </c>
      <c r="F854" s="35">
        <v>1</v>
      </c>
      <c r="G854" s="40">
        <v>0</v>
      </c>
      <c r="H854" s="40">
        <v>0</v>
      </c>
      <c r="I854" s="40">
        <v>0</v>
      </c>
      <c r="J854" s="40">
        <v>0</v>
      </c>
      <c r="K854" s="40">
        <v>0</v>
      </c>
      <c r="L854" s="40">
        <v>0</v>
      </c>
      <c r="M854" s="40" cm="1">
        <f t="array" ref="M854:N854">VLOOKUP(B854,'Fumigation  Room'!B:H,{6,7},0)</f>
        <v>0</v>
      </c>
      <c r="N854" s="40">
        <v>0</v>
      </c>
      <c r="O854" s="40">
        <f t="shared" si="27"/>
        <v>0</v>
      </c>
      <c r="P854" s="40">
        <f t="shared" si="28"/>
        <v>0</v>
      </c>
    </row>
    <row r="855" spans="1:16" x14ac:dyDescent="0.35">
      <c r="A855" s="33">
        <v>852</v>
      </c>
      <c r="B855" s="34" t="s">
        <v>1191</v>
      </c>
      <c r="C855" s="33" t="s">
        <v>297</v>
      </c>
      <c r="D855" s="33" t="s">
        <v>111</v>
      </c>
      <c r="E855" s="33" t="s">
        <v>1190</v>
      </c>
      <c r="F855" s="35">
        <v>1</v>
      </c>
      <c r="G855" s="40">
        <v>0</v>
      </c>
      <c r="H855" s="40">
        <v>0</v>
      </c>
      <c r="I855" s="40">
        <v>0</v>
      </c>
      <c r="J855" s="40">
        <v>0</v>
      </c>
      <c r="K855" s="40">
        <v>0</v>
      </c>
      <c r="L855" s="40">
        <v>0</v>
      </c>
      <c r="M855" s="40" cm="1">
        <f t="array" ref="M855:N855">VLOOKUP(B855,'Fumigation  Room'!B:H,{6,7},0)</f>
        <v>0</v>
      </c>
      <c r="N855" s="40">
        <v>0</v>
      </c>
      <c r="O855" s="40">
        <f t="shared" si="27"/>
        <v>0</v>
      </c>
      <c r="P855" s="40">
        <f t="shared" si="28"/>
        <v>0</v>
      </c>
    </row>
    <row r="856" spans="1:16" x14ac:dyDescent="0.35">
      <c r="A856" s="33">
        <v>853</v>
      </c>
      <c r="B856" s="34" t="s">
        <v>1192</v>
      </c>
      <c r="C856" s="33" t="s">
        <v>297</v>
      </c>
      <c r="D856" s="33" t="s">
        <v>111</v>
      </c>
      <c r="E856" s="33" t="s">
        <v>1190</v>
      </c>
      <c r="F856" s="35">
        <v>1</v>
      </c>
      <c r="G856" s="40">
        <v>0</v>
      </c>
      <c r="H856" s="40">
        <v>0</v>
      </c>
      <c r="I856" s="40">
        <v>0</v>
      </c>
      <c r="J856" s="40">
        <v>0</v>
      </c>
      <c r="K856" s="40">
        <v>0</v>
      </c>
      <c r="L856" s="40">
        <v>0</v>
      </c>
      <c r="M856" s="40" cm="1">
        <f t="array" ref="M856:N856">VLOOKUP(B856,'Fumigation  Room'!B:H,{6,7},0)</f>
        <v>0</v>
      </c>
      <c r="N856" s="40">
        <v>0</v>
      </c>
      <c r="O856" s="40">
        <f t="shared" si="27"/>
        <v>0</v>
      </c>
      <c r="P856" s="40">
        <f t="shared" si="28"/>
        <v>0</v>
      </c>
    </row>
    <row r="857" spans="1:16" x14ac:dyDescent="0.35">
      <c r="A857" s="33">
        <v>854</v>
      </c>
      <c r="B857" s="34" t="s">
        <v>1193</v>
      </c>
      <c r="C857" s="33" t="s">
        <v>297</v>
      </c>
      <c r="D857" s="33" t="s">
        <v>111</v>
      </c>
      <c r="E857" s="33" t="s">
        <v>1190</v>
      </c>
      <c r="F857" s="35">
        <v>1</v>
      </c>
      <c r="G857" s="40">
        <v>0</v>
      </c>
      <c r="H857" s="40">
        <v>0</v>
      </c>
      <c r="I857" s="40">
        <v>0</v>
      </c>
      <c r="J857" s="40">
        <v>0</v>
      </c>
      <c r="K857" s="40">
        <v>0</v>
      </c>
      <c r="L857" s="40">
        <v>0</v>
      </c>
      <c r="M857" s="40" cm="1">
        <f t="array" ref="M857:N857">VLOOKUP(B857,'Fumigation  Room'!B:H,{6,7},0)</f>
        <v>0</v>
      </c>
      <c r="N857" s="40">
        <v>0</v>
      </c>
      <c r="O857" s="40">
        <f t="shared" si="27"/>
        <v>0</v>
      </c>
      <c r="P857" s="40">
        <f t="shared" si="28"/>
        <v>0</v>
      </c>
    </row>
    <row r="858" spans="1:16" x14ac:dyDescent="0.35">
      <c r="A858" s="33">
        <v>855</v>
      </c>
      <c r="B858" s="34" t="s">
        <v>1214</v>
      </c>
      <c r="C858" s="33" t="s">
        <v>346</v>
      </c>
      <c r="D858" s="33" t="s">
        <v>111</v>
      </c>
      <c r="E858" s="33" t="s">
        <v>1190</v>
      </c>
      <c r="F858" s="35">
        <v>1</v>
      </c>
      <c r="G858" s="40">
        <v>0</v>
      </c>
      <c r="H858" s="40">
        <v>0</v>
      </c>
      <c r="I858" s="40">
        <v>0</v>
      </c>
      <c r="J858" s="40">
        <v>0</v>
      </c>
      <c r="K858" s="40">
        <v>0</v>
      </c>
      <c r="L858" s="40">
        <v>0</v>
      </c>
      <c r="M858" s="40" cm="1">
        <f t="array" ref="M858:N858">VLOOKUP(B858,'Fumigation  Room'!B:H,{6,7},0)</f>
        <v>0</v>
      </c>
      <c r="N858" s="40">
        <v>0</v>
      </c>
      <c r="O858" s="40">
        <f t="shared" si="27"/>
        <v>0</v>
      </c>
      <c r="P858" s="40">
        <f t="shared" si="28"/>
        <v>0</v>
      </c>
    </row>
    <row r="859" spans="1:16" x14ac:dyDescent="0.35">
      <c r="A859" s="33">
        <v>856</v>
      </c>
      <c r="B859" s="34" t="s">
        <v>1215</v>
      </c>
      <c r="C859" s="33" t="s">
        <v>346</v>
      </c>
      <c r="D859" s="33" t="s">
        <v>111</v>
      </c>
      <c r="E859" s="33" t="s">
        <v>1190</v>
      </c>
      <c r="F859" s="35">
        <v>1</v>
      </c>
      <c r="G859" s="40">
        <v>0</v>
      </c>
      <c r="H859" s="40">
        <v>0</v>
      </c>
      <c r="I859" s="40">
        <v>0</v>
      </c>
      <c r="J859" s="40">
        <v>0</v>
      </c>
      <c r="K859" s="40">
        <v>0</v>
      </c>
      <c r="L859" s="40">
        <v>0</v>
      </c>
      <c r="M859" s="40" cm="1">
        <f t="array" ref="M859:N859">VLOOKUP(B859,'Fumigation  Room'!B:H,{6,7},0)</f>
        <v>0</v>
      </c>
      <c r="N859" s="40">
        <v>0</v>
      </c>
      <c r="O859" s="40">
        <f t="shared" si="27"/>
        <v>0</v>
      </c>
      <c r="P859" s="40">
        <f t="shared" si="28"/>
        <v>0</v>
      </c>
    </row>
    <row r="860" spans="1:16" x14ac:dyDescent="0.35">
      <c r="A860" s="33">
        <v>857</v>
      </c>
      <c r="B860" s="34" t="s">
        <v>1216</v>
      </c>
      <c r="C860" s="33" t="s">
        <v>346</v>
      </c>
      <c r="D860" s="33" t="s">
        <v>111</v>
      </c>
      <c r="E860" s="33" t="s">
        <v>1190</v>
      </c>
      <c r="F860" s="35">
        <v>1</v>
      </c>
      <c r="G860" s="40">
        <v>0</v>
      </c>
      <c r="H860" s="40">
        <v>0</v>
      </c>
      <c r="I860" s="40">
        <v>0</v>
      </c>
      <c r="J860" s="40">
        <v>0</v>
      </c>
      <c r="K860" s="40">
        <v>0</v>
      </c>
      <c r="L860" s="40">
        <v>0</v>
      </c>
      <c r="M860" s="40" cm="1">
        <f t="array" ref="M860:N860">VLOOKUP(B860,'Fumigation  Room'!B:H,{6,7},0)</f>
        <v>0</v>
      </c>
      <c r="N860" s="40">
        <v>0</v>
      </c>
      <c r="O860" s="40">
        <f t="shared" si="27"/>
        <v>0</v>
      </c>
      <c r="P860" s="40">
        <f t="shared" si="28"/>
        <v>0</v>
      </c>
    </row>
    <row r="861" spans="1:16" x14ac:dyDescent="0.35">
      <c r="A861" s="33">
        <v>858</v>
      </c>
      <c r="B861" s="34" t="s">
        <v>1194</v>
      </c>
      <c r="C861" s="33" t="s">
        <v>297</v>
      </c>
      <c r="D861" s="33" t="s">
        <v>111</v>
      </c>
      <c r="E861" s="33" t="s">
        <v>1195</v>
      </c>
      <c r="F861" s="35">
        <v>1</v>
      </c>
      <c r="G861" s="40">
        <v>0</v>
      </c>
      <c r="H861" s="40">
        <v>0</v>
      </c>
      <c r="I861" s="40">
        <v>0</v>
      </c>
      <c r="J861" s="40">
        <v>0</v>
      </c>
      <c r="K861" s="40">
        <v>0</v>
      </c>
      <c r="L861" s="40">
        <v>0</v>
      </c>
      <c r="M861" s="40" cm="1">
        <f t="array" ref="M861:N861">VLOOKUP(B861,'Fumigation  Room'!B:H,{6,7},0)</f>
        <v>0</v>
      </c>
      <c r="N861" s="40">
        <v>0</v>
      </c>
      <c r="O861" s="40">
        <f t="shared" si="27"/>
        <v>0</v>
      </c>
      <c r="P861" s="40">
        <f t="shared" si="28"/>
        <v>0</v>
      </c>
    </row>
    <row r="862" spans="1:16" x14ac:dyDescent="0.35">
      <c r="A862" s="33">
        <v>859</v>
      </c>
      <c r="B862" s="34" t="s">
        <v>1196</v>
      </c>
      <c r="C862" s="33" t="s">
        <v>297</v>
      </c>
      <c r="D862" s="33" t="s">
        <v>111</v>
      </c>
      <c r="E862" s="33" t="s">
        <v>1195</v>
      </c>
      <c r="F862" s="35">
        <v>1</v>
      </c>
      <c r="G862" s="40">
        <v>0</v>
      </c>
      <c r="H862" s="40">
        <v>0</v>
      </c>
      <c r="I862" s="40">
        <v>0</v>
      </c>
      <c r="J862" s="40">
        <v>0</v>
      </c>
      <c r="K862" s="40">
        <v>0</v>
      </c>
      <c r="L862" s="40">
        <v>0</v>
      </c>
      <c r="M862" s="40" cm="1">
        <f t="array" ref="M862:N862">VLOOKUP(B862,'Fumigation  Room'!B:H,{6,7},0)</f>
        <v>0</v>
      </c>
      <c r="N862" s="40">
        <v>0</v>
      </c>
      <c r="O862" s="40">
        <f t="shared" si="27"/>
        <v>0</v>
      </c>
      <c r="P862" s="40">
        <f t="shared" si="28"/>
        <v>0</v>
      </c>
    </row>
    <row r="863" spans="1:16" x14ac:dyDescent="0.35">
      <c r="A863" s="33">
        <v>860</v>
      </c>
      <c r="B863" s="34" t="s">
        <v>1197</v>
      </c>
      <c r="C863" s="33" t="s">
        <v>297</v>
      </c>
      <c r="D863" s="33" t="s">
        <v>111</v>
      </c>
      <c r="E863" s="33" t="s">
        <v>1195</v>
      </c>
      <c r="F863" s="35">
        <v>1</v>
      </c>
      <c r="G863" s="40">
        <v>0</v>
      </c>
      <c r="H863" s="40">
        <v>0</v>
      </c>
      <c r="I863" s="40">
        <v>0</v>
      </c>
      <c r="J863" s="40">
        <v>0</v>
      </c>
      <c r="K863" s="40">
        <v>0</v>
      </c>
      <c r="L863" s="40">
        <v>0</v>
      </c>
      <c r="M863" s="40" cm="1">
        <f t="array" ref="M863:N863">VLOOKUP(B863,'Fumigation  Room'!B:H,{6,7},0)</f>
        <v>0</v>
      </c>
      <c r="N863" s="40">
        <v>0</v>
      </c>
      <c r="O863" s="40">
        <f t="shared" si="27"/>
        <v>0</v>
      </c>
      <c r="P863" s="40">
        <f t="shared" si="28"/>
        <v>0</v>
      </c>
    </row>
    <row r="864" spans="1:16" x14ac:dyDescent="0.35">
      <c r="A864" s="33">
        <v>861</v>
      </c>
      <c r="B864" s="34" t="s">
        <v>1217</v>
      </c>
      <c r="C864" s="33" t="s">
        <v>346</v>
      </c>
      <c r="D864" s="33" t="s">
        <v>111</v>
      </c>
      <c r="E864" s="33" t="s">
        <v>1195</v>
      </c>
      <c r="F864" s="35">
        <v>1</v>
      </c>
      <c r="G864" s="40">
        <v>0</v>
      </c>
      <c r="H864" s="40">
        <v>0</v>
      </c>
      <c r="I864" s="40">
        <v>0</v>
      </c>
      <c r="J864" s="40">
        <v>0</v>
      </c>
      <c r="K864" s="40">
        <v>0</v>
      </c>
      <c r="L864" s="40">
        <v>0</v>
      </c>
      <c r="M864" s="40" cm="1">
        <f t="array" ref="M864:N864">VLOOKUP(B864,'Fumigation  Room'!B:H,{6,7},0)</f>
        <v>0</v>
      </c>
      <c r="N864" s="40">
        <v>0</v>
      </c>
      <c r="O864" s="40">
        <f t="shared" si="27"/>
        <v>0</v>
      </c>
      <c r="P864" s="40">
        <f t="shared" si="28"/>
        <v>0</v>
      </c>
    </row>
    <row r="865" spans="1:16" x14ac:dyDescent="0.35">
      <c r="A865" s="33">
        <v>862</v>
      </c>
      <c r="B865" s="34" t="s">
        <v>1218</v>
      </c>
      <c r="C865" s="33" t="s">
        <v>346</v>
      </c>
      <c r="D865" s="33" t="s">
        <v>111</v>
      </c>
      <c r="E865" s="33" t="s">
        <v>1195</v>
      </c>
      <c r="F865" s="35">
        <v>0.2</v>
      </c>
      <c r="G865" s="40">
        <v>0</v>
      </c>
      <c r="H865" s="40">
        <v>0</v>
      </c>
      <c r="I865" s="40">
        <v>0</v>
      </c>
      <c r="J865" s="40">
        <v>0</v>
      </c>
      <c r="K865" s="40">
        <v>0</v>
      </c>
      <c r="L865" s="40">
        <v>0</v>
      </c>
      <c r="M865" s="40" cm="1">
        <f t="array" ref="M865:N865">VLOOKUP(B865,'Fumigation  Room'!B:H,{6,7},0)</f>
        <v>0</v>
      </c>
      <c r="N865" s="40">
        <v>0</v>
      </c>
      <c r="O865" s="40">
        <f t="shared" si="27"/>
        <v>0</v>
      </c>
      <c r="P865" s="40">
        <f t="shared" si="28"/>
        <v>0</v>
      </c>
    </row>
    <row r="866" spans="1:16" x14ac:dyDescent="0.35">
      <c r="A866" s="33">
        <v>863</v>
      </c>
      <c r="B866" s="34" t="s">
        <v>1219</v>
      </c>
      <c r="C866" s="33" t="s">
        <v>346</v>
      </c>
      <c r="D866" s="33" t="s">
        <v>111</v>
      </c>
      <c r="E866" s="33" t="s">
        <v>1195</v>
      </c>
      <c r="F866" s="35">
        <v>1</v>
      </c>
      <c r="G866" s="40">
        <v>0</v>
      </c>
      <c r="H866" s="40">
        <v>0</v>
      </c>
      <c r="I866" s="40">
        <v>0</v>
      </c>
      <c r="J866" s="40">
        <v>0</v>
      </c>
      <c r="K866" s="40">
        <v>0</v>
      </c>
      <c r="L866" s="40">
        <v>0</v>
      </c>
      <c r="M866" s="40" cm="1">
        <f t="array" ref="M866:N866">VLOOKUP(B866,'Fumigation  Room'!B:H,{6,7},0)</f>
        <v>0</v>
      </c>
      <c r="N866" s="40">
        <v>0</v>
      </c>
      <c r="O866" s="40">
        <f t="shared" si="27"/>
        <v>0</v>
      </c>
      <c r="P866" s="40">
        <f t="shared" si="28"/>
        <v>0</v>
      </c>
    </row>
    <row r="867" spans="1:16" x14ac:dyDescent="0.35">
      <c r="A867" s="33">
        <v>864</v>
      </c>
      <c r="B867" s="34" t="s">
        <v>1220</v>
      </c>
      <c r="C867" s="33" t="s">
        <v>346</v>
      </c>
      <c r="D867" s="33" t="s">
        <v>111</v>
      </c>
      <c r="E867" s="33" t="s">
        <v>1195</v>
      </c>
      <c r="F867" s="35">
        <v>1</v>
      </c>
      <c r="G867" s="40">
        <v>0</v>
      </c>
      <c r="H867" s="40">
        <v>0</v>
      </c>
      <c r="I867" s="40">
        <v>0</v>
      </c>
      <c r="J867" s="40">
        <v>0</v>
      </c>
      <c r="K867" s="40">
        <v>0</v>
      </c>
      <c r="L867" s="40">
        <v>0</v>
      </c>
      <c r="M867" s="40" cm="1">
        <f t="array" ref="M867:N867">VLOOKUP(B867,'Fumigation  Room'!B:H,{6,7},0)</f>
        <v>0</v>
      </c>
      <c r="N867" s="40">
        <v>0</v>
      </c>
      <c r="O867" s="40">
        <f t="shared" si="27"/>
        <v>0</v>
      </c>
      <c r="P867" s="40">
        <f t="shared" si="28"/>
        <v>0</v>
      </c>
    </row>
    <row r="868" spans="1:16" x14ac:dyDescent="0.35">
      <c r="A868" s="33">
        <v>865</v>
      </c>
      <c r="B868" s="34" t="s">
        <v>2319</v>
      </c>
      <c r="C868" s="33" t="s">
        <v>297</v>
      </c>
      <c r="D868" s="33" t="s">
        <v>111</v>
      </c>
      <c r="E868" s="33" t="s">
        <v>2320</v>
      </c>
      <c r="F868" s="35">
        <v>1</v>
      </c>
      <c r="G868" s="40">
        <v>0</v>
      </c>
      <c r="H868" s="40">
        <v>0</v>
      </c>
      <c r="I868" s="40">
        <v>0</v>
      </c>
      <c r="J868" s="40">
        <v>0</v>
      </c>
      <c r="K868" s="40">
        <v>0</v>
      </c>
      <c r="L868" s="40">
        <v>0</v>
      </c>
      <c r="M868" s="40">
        <v>0</v>
      </c>
      <c r="N868" s="40">
        <v>0</v>
      </c>
      <c r="O868" s="40">
        <f t="shared" si="27"/>
        <v>0</v>
      </c>
      <c r="P868" s="40">
        <f t="shared" si="28"/>
        <v>0</v>
      </c>
    </row>
    <row r="869" spans="1:16" x14ac:dyDescent="0.35">
      <c r="A869" s="33">
        <v>866</v>
      </c>
      <c r="B869" s="34" t="s">
        <v>1221</v>
      </c>
      <c r="C869" s="33" t="s">
        <v>346</v>
      </c>
      <c r="D869" s="33" t="s">
        <v>1222</v>
      </c>
      <c r="E869" s="33" t="s">
        <v>1223</v>
      </c>
      <c r="F869" s="35">
        <v>0.68</v>
      </c>
      <c r="G869" s="40">
        <v>0</v>
      </c>
      <c r="H869" s="40">
        <v>0</v>
      </c>
      <c r="I869" s="40">
        <v>0</v>
      </c>
      <c r="J869" s="40">
        <v>0</v>
      </c>
      <c r="K869" s="40">
        <v>0</v>
      </c>
      <c r="L869" s="40">
        <v>0</v>
      </c>
      <c r="M869" s="40" cm="1">
        <f t="array" ref="M869:N869">VLOOKUP(B869,'Fumigation  Room'!B:H,{6,7},0)</f>
        <v>0</v>
      </c>
      <c r="N869" s="40">
        <v>0</v>
      </c>
      <c r="O869" s="40">
        <f t="shared" si="27"/>
        <v>0</v>
      </c>
      <c r="P869" s="40">
        <f t="shared" si="28"/>
        <v>0</v>
      </c>
    </row>
    <row r="870" spans="1:16" x14ac:dyDescent="0.35">
      <c r="A870" s="33">
        <v>867</v>
      </c>
      <c r="B870" s="34" t="s">
        <v>1224</v>
      </c>
      <c r="C870" s="33" t="s">
        <v>346</v>
      </c>
      <c r="D870" s="33" t="s">
        <v>1222</v>
      </c>
      <c r="E870" s="33" t="s">
        <v>1223</v>
      </c>
      <c r="F870" s="35">
        <v>0.4</v>
      </c>
      <c r="G870" s="40">
        <v>0</v>
      </c>
      <c r="H870" s="40">
        <v>0</v>
      </c>
      <c r="I870" s="40">
        <v>0</v>
      </c>
      <c r="J870" s="40">
        <v>0</v>
      </c>
      <c r="K870" s="40">
        <v>0</v>
      </c>
      <c r="L870" s="40">
        <v>0</v>
      </c>
      <c r="M870" s="40" cm="1">
        <f t="array" ref="M870:N870">VLOOKUP(B870,'Fumigation  Room'!B:H,{6,7},0)</f>
        <v>0</v>
      </c>
      <c r="N870" s="40">
        <v>0</v>
      </c>
      <c r="O870" s="40">
        <f t="shared" si="27"/>
        <v>0</v>
      </c>
      <c r="P870" s="40">
        <f t="shared" si="28"/>
        <v>0</v>
      </c>
    </row>
    <row r="871" spans="1:16" x14ac:dyDescent="0.35">
      <c r="A871" s="33">
        <v>868</v>
      </c>
      <c r="B871" s="34" t="s">
        <v>1225</v>
      </c>
      <c r="C871" s="33" t="s">
        <v>346</v>
      </c>
      <c r="D871" s="33" t="s">
        <v>1222</v>
      </c>
      <c r="E871" s="33" t="s">
        <v>1223</v>
      </c>
      <c r="F871" s="35">
        <v>0.4</v>
      </c>
      <c r="G871" s="40">
        <v>0</v>
      </c>
      <c r="H871" s="40">
        <v>0</v>
      </c>
      <c r="I871" s="40">
        <v>0</v>
      </c>
      <c r="J871" s="40">
        <v>0</v>
      </c>
      <c r="K871" s="40">
        <v>0</v>
      </c>
      <c r="L871" s="40">
        <v>0</v>
      </c>
      <c r="M871" s="40" cm="1">
        <f t="array" ref="M871:N871">VLOOKUP(B871,'Fumigation  Room'!B:H,{6,7},0)</f>
        <v>0</v>
      </c>
      <c r="N871" s="40">
        <v>0</v>
      </c>
      <c r="O871" s="40">
        <f t="shared" si="27"/>
        <v>0</v>
      </c>
      <c r="P871" s="40">
        <f t="shared" si="28"/>
        <v>0</v>
      </c>
    </row>
    <row r="872" spans="1:16" x14ac:dyDescent="0.35">
      <c r="A872" s="33">
        <v>869</v>
      </c>
      <c r="B872" s="34" t="s">
        <v>1226</v>
      </c>
      <c r="C872" s="33" t="s">
        <v>346</v>
      </c>
      <c r="D872" s="33" t="s">
        <v>1222</v>
      </c>
      <c r="E872" s="33" t="s">
        <v>1223</v>
      </c>
      <c r="F872" s="35">
        <v>0.3</v>
      </c>
      <c r="G872" s="40">
        <v>0</v>
      </c>
      <c r="H872" s="40">
        <v>0</v>
      </c>
      <c r="I872" s="40">
        <v>0</v>
      </c>
      <c r="J872" s="40">
        <v>0</v>
      </c>
      <c r="K872" s="40">
        <v>0</v>
      </c>
      <c r="L872" s="40">
        <v>0</v>
      </c>
      <c r="M872" s="40" cm="1">
        <f t="array" ref="M872:N872">VLOOKUP(B872,'Fumigation  Room'!B:H,{6,7},0)</f>
        <v>0</v>
      </c>
      <c r="N872" s="40">
        <v>0</v>
      </c>
      <c r="O872" s="40">
        <f t="shared" si="27"/>
        <v>0</v>
      </c>
      <c r="P872" s="40">
        <f t="shared" si="28"/>
        <v>0</v>
      </c>
    </row>
    <row r="873" spans="1:16" x14ac:dyDescent="0.35">
      <c r="A873" s="33">
        <v>870</v>
      </c>
      <c r="B873" s="34" t="s">
        <v>1227</v>
      </c>
      <c r="C873" s="33" t="s">
        <v>346</v>
      </c>
      <c r="D873" s="33" t="s">
        <v>1222</v>
      </c>
      <c r="E873" s="33" t="s">
        <v>1223</v>
      </c>
      <c r="F873" s="35">
        <v>0.36</v>
      </c>
      <c r="G873" s="40">
        <v>0</v>
      </c>
      <c r="H873" s="40">
        <v>0</v>
      </c>
      <c r="I873" s="40">
        <v>0</v>
      </c>
      <c r="J873" s="40">
        <v>0</v>
      </c>
      <c r="K873" s="40">
        <v>0</v>
      </c>
      <c r="L873" s="40">
        <v>0</v>
      </c>
      <c r="M873" s="40" cm="1">
        <f t="array" ref="M873:N873">VLOOKUP(B873,'Fumigation  Room'!B:H,{6,7},0)</f>
        <v>0</v>
      </c>
      <c r="N873" s="40">
        <v>0</v>
      </c>
      <c r="O873" s="40">
        <f t="shared" si="27"/>
        <v>0</v>
      </c>
      <c r="P873" s="40">
        <f t="shared" si="28"/>
        <v>0</v>
      </c>
    </row>
    <row r="874" spans="1:16" x14ac:dyDescent="0.35">
      <c r="A874" s="33">
        <v>871</v>
      </c>
      <c r="B874" s="34" t="s">
        <v>1228</v>
      </c>
      <c r="C874" s="33" t="s">
        <v>346</v>
      </c>
      <c r="D874" s="33" t="s">
        <v>1222</v>
      </c>
      <c r="E874" s="33" t="s">
        <v>1223</v>
      </c>
      <c r="F874" s="35">
        <v>0.3</v>
      </c>
      <c r="G874" s="40">
        <v>0</v>
      </c>
      <c r="H874" s="40">
        <v>0</v>
      </c>
      <c r="I874" s="40">
        <v>0</v>
      </c>
      <c r="J874" s="40">
        <v>0</v>
      </c>
      <c r="K874" s="40">
        <v>0</v>
      </c>
      <c r="L874" s="40">
        <v>0</v>
      </c>
      <c r="M874" s="40" cm="1">
        <f t="array" ref="M874:N874">VLOOKUP(B874,'Fumigation  Room'!B:H,{6,7},0)</f>
        <v>0</v>
      </c>
      <c r="N874" s="40">
        <v>0</v>
      </c>
      <c r="O874" s="40">
        <f t="shared" si="27"/>
        <v>0</v>
      </c>
      <c r="P874" s="40">
        <f t="shared" si="28"/>
        <v>0</v>
      </c>
    </row>
    <row r="875" spans="1:16" x14ac:dyDescent="0.35">
      <c r="A875" s="33">
        <v>872</v>
      </c>
      <c r="B875" s="34" t="s">
        <v>1229</v>
      </c>
      <c r="C875" s="33" t="s">
        <v>346</v>
      </c>
      <c r="D875" s="33" t="s">
        <v>1222</v>
      </c>
      <c r="E875" s="33" t="s">
        <v>1223</v>
      </c>
      <c r="F875" s="35">
        <v>0.24199999999999999</v>
      </c>
      <c r="G875" s="40">
        <v>0</v>
      </c>
      <c r="H875" s="40">
        <v>0</v>
      </c>
      <c r="I875" s="40">
        <v>0</v>
      </c>
      <c r="J875" s="40">
        <v>0</v>
      </c>
      <c r="K875" s="40">
        <v>0</v>
      </c>
      <c r="L875" s="40">
        <v>0</v>
      </c>
      <c r="M875" s="40" cm="1">
        <f t="array" ref="M875:N875">VLOOKUP(B875,'Fumigation  Room'!B:H,{6,7},0)</f>
        <v>0</v>
      </c>
      <c r="N875" s="40">
        <v>0</v>
      </c>
      <c r="O875" s="40">
        <f t="shared" si="27"/>
        <v>0</v>
      </c>
      <c r="P875" s="40">
        <f t="shared" si="28"/>
        <v>0</v>
      </c>
    </row>
    <row r="876" spans="1:16" x14ac:dyDescent="0.35">
      <c r="A876" s="33">
        <v>873</v>
      </c>
      <c r="B876" s="34" t="s">
        <v>1230</v>
      </c>
      <c r="C876" s="33" t="s">
        <v>346</v>
      </c>
      <c r="D876" s="33" t="s">
        <v>1222</v>
      </c>
      <c r="E876" s="33" t="s">
        <v>1223</v>
      </c>
      <c r="F876" s="35">
        <v>0.4</v>
      </c>
      <c r="G876" s="40">
        <v>0</v>
      </c>
      <c r="H876" s="40">
        <v>0</v>
      </c>
      <c r="I876" s="40">
        <v>0</v>
      </c>
      <c r="J876" s="40">
        <v>0</v>
      </c>
      <c r="K876" s="40">
        <v>0</v>
      </c>
      <c r="L876" s="40">
        <v>0</v>
      </c>
      <c r="M876" s="40" cm="1">
        <f t="array" ref="M876:N876">VLOOKUP(B876,'Fumigation  Room'!B:H,{6,7},0)</f>
        <v>0</v>
      </c>
      <c r="N876" s="40">
        <v>0</v>
      </c>
      <c r="O876" s="40">
        <f t="shared" si="27"/>
        <v>0</v>
      </c>
      <c r="P876" s="40">
        <f t="shared" si="28"/>
        <v>0</v>
      </c>
    </row>
    <row r="877" spans="1:16" x14ac:dyDescent="0.35">
      <c r="A877" s="33">
        <v>874</v>
      </c>
      <c r="B877" s="34" t="s">
        <v>1231</v>
      </c>
      <c r="C877" s="33" t="s">
        <v>346</v>
      </c>
      <c r="D877" s="33" t="s">
        <v>1222</v>
      </c>
      <c r="E877" s="33" t="s">
        <v>1223</v>
      </c>
      <c r="F877" s="35">
        <v>0.6</v>
      </c>
      <c r="G877" s="40">
        <v>0</v>
      </c>
      <c r="H877" s="40">
        <v>0</v>
      </c>
      <c r="I877" s="40">
        <v>0</v>
      </c>
      <c r="J877" s="40">
        <v>0</v>
      </c>
      <c r="K877" s="40">
        <v>0</v>
      </c>
      <c r="L877" s="40">
        <v>0</v>
      </c>
      <c r="M877" s="40" cm="1">
        <f t="array" ref="M877:N877">VLOOKUP(B877,'Fumigation  Room'!B:H,{6,7},0)</f>
        <v>0</v>
      </c>
      <c r="N877" s="40">
        <v>0</v>
      </c>
      <c r="O877" s="40">
        <f t="shared" si="27"/>
        <v>0</v>
      </c>
      <c r="P877" s="40">
        <f t="shared" si="28"/>
        <v>0</v>
      </c>
    </row>
    <row r="878" spans="1:16" x14ac:dyDescent="0.35">
      <c r="A878" s="33">
        <v>875</v>
      </c>
      <c r="B878" s="34" t="s">
        <v>1232</v>
      </c>
      <c r="C878" s="33" t="s">
        <v>346</v>
      </c>
      <c r="D878" s="33" t="s">
        <v>1222</v>
      </c>
      <c r="E878" s="33" t="s">
        <v>1223</v>
      </c>
      <c r="F878" s="35">
        <v>0.6</v>
      </c>
      <c r="G878" s="40">
        <v>0</v>
      </c>
      <c r="H878" s="40">
        <v>0</v>
      </c>
      <c r="I878" s="40">
        <v>0</v>
      </c>
      <c r="J878" s="40">
        <v>0</v>
      </c>
      <c r="K878" s="40">
        <v>0</v>
      </c>
      <c r="L878" s="40">
        <v>0</v>
      </c>
      <c r="M878" s="40" cm="1">
        <f t="array" ref="M878:N878">VLOOKUP(B878,'Fumigation  Room'!B:H,{6,7},0)</f>
        <v>0</v>
      </c>
      <c r="N878" s="40">
        <v>0</v>
      </c>
      <c r="O878" s="40">
        <f t="shared" si="27"/>
        <v>0</v>
      </c>
      <c r="P878" s="40">
        <f t="shared" si="28"/>
        <v>0</v>
      </c>
    </row>
    <row r="879" spans="1:16" x14ac:dyDescent="0.35">
      <c r="A879" s="33">
        <v>876</v>
      </c>
      <c r="B879" s="34" t="s">
        <v>1233</v>
      </c>
      <c r="C879" s="33" t="s">
        <v>346</v>
      </c>
      <c r="D879" s="33" t="s">
        <v>1222</v>
      </c>
      <c r="E879" s="33" t="s">
        <v>1223</v>
      </c>
      <c r="F879" s="35">
        <v>0.52</v>
      </c>
      <c r="G879" s="40">
        <v>0</v>
      </c>
      <c r="H879" s="40">
        <v>0</v>
      </c>
      <c r="I879" s="40">
        <v>0</v>
      </c>
      <c r="J879" s="40">
        <v>0</v>
      </c>
      <c r="K879" s="40">
        <v>0</v>
      </c>
      <c r="L879" s="40">
        <v>0</v>
      </c>
      <c r="M879" s="40" cm="1">
        <f t="array" ref="M879:N879">VLOOKUP(B879,'Fumigation  Room'!B:H,{6,7},0)</f>
        <v>0</v>
      </c>
      <c r="N879" s="40">
        <v>0</v>
      </c>
      <c r="O879" s="40">
        <f t="shared" si="27"/>
        <v>0</v>
      </c>
      <c r="P879" s="40">
        <f t="shared" si="28"/>
        <v>0</v>
      </c>
    </row>
    <row r="880" spans="1:16" x14ac:dyDescent="0.35">
      <c r="A880" s="33">
        <v>877</v>
      </c>
      <c r="B880" s="34" t="s">
        <v>1234</v>
      </c>
      <c r="C880" s="33" t="s">
        <v>346</v>
      </c>
      <c r="D880" s="33" t="s">
        <v>1222</v>
      </c>
      <c r="E880" s="33" t="s">
        <v>1223</v>
      </c>
      <c r="F880" s="35">
        <v>0.52</v>
      </c>
      <c r="G880" s="40">
        <v>0</v>
      </c>
      <c r="H880" s="40">
        <v>0</v>
      </c>
      <c r="I880" s="40">
        <v>0</v>
      </c>
      <c r="J880" s="40">
        <v>0</v>
      </c>
      <c r="K880" s="40">
        <v>0</v>
      </c>
      <c r="L880" s="40">
        <v>0</v>
      </c>
      <c r="M880" s="40" cm="1">
        <f t="array" ref="M880:N880">VLOOKUP(B880,'Fumigation  Room'!B:H,{6,7},0)</f>
        <v>0</v>
      </c>
      <c r="N880" s="40">
        <v>0</v>
      </c>
      <c r="O880" s="40">
        <f t="shared" si="27"/>
        <v>0</v>
      </c>
      <c r="P880" s="40">
        <f t="shared" si="28"/>
        <v>0</v>
      </c>
    </row>
    <row r="881" spans="1:16" x14ac:dyDescent="0.35">
      <c r="A881" s="33">
        <v>878</v>
      </c>
      <c r="B881" s="34" t="s">
        <v>1235</v>
      </c>
      <c r="C881" s="33" t="s">
        <v>346</v>
      </c>
      <c r="D881" s="33" t="s">
        <v>1222</v>
      </c>
      <c r="E881" s="33" t="s">
        <v>1223</v>
      </c>
      <c r="F881" s="35">
        <v>0.36</v>
      </c>
      <c r="G881" s="40">
        <v>0</v>
      </c>
      <c r="H881" s="40">
        <v>0</v>
      </c>
      <c r="I881" s="40">
        <v>0</v>
      </c>
      <c r="J881" s="40">
        <v>0</v>
      </c>
      <c r="K881" s="40">
        <v>0</v>
      </c>
      <c r="L881" s="40">
        <v>0</v>
      </c>
      <c r="M881" s="40" cm="1">
        <f t="array" ref="M881:N881">VLOOKUP(B881,'Fumigation  Room'!B:H,{6,7},0)</f>
        <v>0</v>
      </c>
      <c r="N881" s="40">
        <v>0</v>
      </c>
      <c r="O881" s="40">
        <f t="shared" si="27"/>
        <v>0</v>
      </c>
      <c r="P881" s="40">
        <f t="shared" si="28"/>
        <v>0</v>
      </c>
    </row>
    <row r="882" spans="1:16" x14ac:dyDescent="0.35">
      <c r="A882" s="33">
        <v>879</v>
      </c>
      <c r="B882" s="34" t="s">
        <v>1236</v>
      </c>
      <c r="C882" s="33" t="s">
        <v>346</v>
      </c>
      <c r="D882" s="33" t="s">
        <v>1222</v>
      </c>
      <c r="E882" s="33" t="s">
        <v>1223</v>
      </c>
      <c r="F882" s="35">
        <v>0.36</v>
      </c>
      <c r="G882" s="40">
        <v>0</v>
      </c>
      <c r="H882" s="40">
        <v>0</v>
      </c>
      <c r="I882" s="40">
        <v>0</v>
      </c>
      <c r="J882" s="40">
        <v>0</v>
      </c>
      <c r="K882" s="40">
        <v>0</v>
      </c>
      <c r="L882" s="40">
        <v>0</v>
      </c>
      <c r="M882" s="40" cm="1">
        <f t="array" ref="M882:N882">VLOOKUP(B882,'Fumigation  Room'!B:H,{6,7},0)</f>
        <v>0</v>
      </c>
      <c r="N882" s="40">
        <v>0</v>
      </c>
      <c r="O882" s="40">
        <f t="shared" si="27"/>
        <v>0</v>
      </c>
      <c r="P882" s="40">
        <f t="shared" si="28"/>
        <v>0</v>
      </c>
    </row>
    <row r="883" spans="1:16" x14ac:dyDescent="0.35">
      <c r="A883" s="33">
        <v>880</v>
      </c>
      <c r="B883" s="34" t="s">
        <v>1237</v>
      </c>
      <c r="C883" s="33" t="s">
        <v>346</v>
      </c>
      <c r="D883" s="33" t="s">
        <v>1222</v>
      </c>
      <c r="E883" s="33" t="s">
        <v>1223</v>
      </c>
      <c r="F883" s="35">
        <v>0.6</v>
      </c>
      <c r="G883" s="40">
        <v>0</v>
      </c>
      <c r="H883" s="40">
        <v>0</v>
      </c>
      <c r="I883" s="40">
        <v>0</v>
      </c>
      <c r="J883" s="40">
        <v>0</v>
      </c>
      <c r="K883" s="40">
        <v>0</v>
      </c>
      <c r="L883" s="40">
        <v>0</v>
      </c>
      <c r="M883" s="40" cm="1">
        <f t="array" ref="M883:N883">VLOOKUP(B883,'Fumigation  Room'!B:H,{6,7},0)</f>
        <v>0</v>
      </c>
      <c r="N883" s="40">
        <v>0</v>
      </c>
      <c r="O883" s="40">
        <f t="shared" si="27"/>
        <v>0</v>
      </c>
      <c r="P883" s="40">
        <f t="shared" si="28"/>
        <v>0</v>
      </c>
    </row>
    <row r="884" spans="1:16" x14ac:dyDescent="0.35">
      <c r="A884" s="33">
        <v>881</v>
      </c>
      <c r="B884" s="34" t="s">
        <v>1238</v>
      </c>
      <c r="C884" s="33" t="s">
        <v>346</v>
      </c>
      <c r="D884" s="33" t="s">
        <v>1222</v>
      </c>
      <c r="E884" s="33" t="s">
        <v>1223</v>
      </c>
      <c r="F884" s="35">
        <v>0.4</v>
      </c>
      <c r="G884" s="40">
        <v>0</v>
      </c>
      <c r="H884" s="40">
        <v>0</v>
      </c>
      <c r="I884" s="40">
        <v>0</v>
      </c>
      <c r="J884" s="40">
        <v>0</v>
      </c>
      <c r="K884" s="40">
        <v>0</v>
      </c>
      <c r="L884" s="40">
        <v>0</v>
      </c>
      <c r="M884" s="40" cm="1">
        <f t="array" ref="M884:N884">VLOOKUP(B884,'Fumigation  Room'!B:H,{6,7},0)</f>
        <v>0</v>
      </c>
      <c r="N884" s="40">
        <v>0</v>
      </c>
      <c r="O884" s="40">
        <f t="shared" si="27"/>
        <v>0</v>
      </c>
      <c r="P884" s="40">
        <f t="shared" si="28"/>
        <v>0</v>
      </c>
    </row>
    <row r="885" spans="1:16" x14ac:dyDescent="0.35">
      <c r="A885" s="33">
        <v>882</v>
      </c>
      <c r="B885" s="34" t="s">
        <v>1239</v>
      </c>
      <c r="C885" s="33" t="s">
        <v>346</v>
      </c>
      <c r="D885" s="33" t="s">
        <v>1222</v>
      </c>
      <c r="E885" s="33" t="s">
        <v>1223</v>
      </c>
      <c r="F885" s="35">
        <v>0.55000000000000004</v>
      </c>
      <c r="G885" s="40">
        <v>0</v>
      </c>
      <c r="H885" s="40">
        <v>0</v>
      </c>
      <c r="I885" s="40">
        <v>0</v>
      </c>
      <c r="J885" s="40">
        <v>0</v>
      </c>
      <c r="K885" s="40">
        <v>0</v>
      </c>
      <c r="L885" s="40">
        <v>0</v>
      </c>
      <c r="M885" s="40" cm="1">
        <f t="array" ref="M885:N885">VLOOKUP(B885,'Fumigation  Room'!B:H,{6,7},0)</f>
        <v>0</v>
      </c>
      <c r="N885" s="40">
        <v>0</v>
      </c>
      <c r="O885" s="40">
        <f t="shared" si="27"/>
        <v>0</v>
      </c>
      <c r="P885" s="40">
        <f t="shared" si="28"/>
        <v>0</v>
      </c>
    </row>
    <row r="886" spans="1:16" x14ac:dyDescent="0.35">
      <c r="A886" s="33">
        <v>883</v>
      </c>
      <c r="B886" s="34" t="s">
        <v>1240</v>
      </c>
      <c r="C886" s="33" t="s">
        <v>346</v>
      </c>
      <c r="D886" s="33" t="s">
        <v>1222</v>
      </c>
      <c r="E886" s="33" t="s">
        <v>1223</v>
      </c>
      <c r="F886" s="35">
        <v>0.3</v>
      </c>
      <c r="G886" s="40">
        <v>0</v>
      </c>
      <c r="H886" s="40">
        <v>0</v>
      </c>
      <c r="I886" s="40">
        <v>0</v>
      </c>
      <c r="J886" s="40">
        <v>0</v>
      </c>
      <c r="K886" s="40">
        <v>0</v>
      </c>
      <c r="L886" s="40">
        <v>0</v>
      </c>
      <c r="M886" s="40" cm="1">
        <f t="array" ref="M886:N886">VLOOKUP(B886,'Fumigation  Room'!B:H,{6,7},0)</f>
        <v>0</v>
      </c>
      <c r="N886" s="40">
        <v>0</v>
      </c>
      <c r="O886" s="40">
        <f t="shared" si="27"/>
        <v>0</v>
      </c>
      <c r="P886" s="40">
        <f t="shared" si="28"/>
        <v>0</v>
      </c>
    </row>
    <row r="887" spans="1:16" x14ac:dyDescent="0.35">
      <c r="A887" s="33">
        <v>884</v>
      </c>
      <c r="B887" s="34" t="s">
        <v>1241</v>
      </c>
      <c r="C887" s="33" t="s">
        <v>346</v>
      </c>
      <c r="D887" s="33" t="s">
        <v>1222</v>
      </c>
      <c r="E887" s="33" t="s">
        <v>1223</v>
      </c>
      <c r="F887" s="35">
        <v>0.7</v>
      </c>
      <c r="G887" s="40">
        <v>0</v>
      </c>
      <c r="H887" s="40">
        <v>0</v>
      </c>
      <c r="I887" s="40">
        <v>0</v>
      </c>
      <c r="J887" s="40">
        <v>0</v>
      </c>
      <c r="K887" s="40">
        <v>0</v>
      </c>
      <c r="L887" s="40">
        <v>0</v>
      </c>
      <c r="M887" s="40" cm="1">
        <f t="array" ref="M887:N887">VLOOKUP(B887,'Fumigation  Room'!B:H,{6,7},0)</f>
        <v>0</v>
      </c>
      <c r="N887" s="40">
        <v>0</v>
      </c>
      <c r="O887" s="40">
        <f t="shared" si="27"/>
        <v>0</v>
      </c>
      <c r="P887" s="40">
        <f t="shared" si="28"/>
        <v>0</v>
      </c>
    </row>
    <row r="888" spans="1:16" x14ac:dyDescent="0.35">
      <c r="A888" s="33">
        <v>885</v>
      </c>
      <c r="B888" s="34" t="s">
        <v>1242</v>
      </c>
      <c r="C888" s="33" t="s">
        <v>346</v>
      </c>
      <c r="D888" s="33" t="s">
        <v>1222</v>
      </c>
      <c r="E888" s="33" t="s">
        <v>1223</v>
      </c>
      <c r="F888" s="35">
        <v>0.3</v>
      </c>
      <c r="G888" s="40">
        <v>0</v>
      </c>
      <c r="H888" s="40">
        <v>0</v>
      </c>
      <c r="I888" s="40">
        <v>0</v>
      </c>
      <c r="J888" s="40">
        <v>0</v>
      </c>
      <c r="K888" s="40">
        <v>0</v>
      </c>
      <c r="L888" s="40">
        <v>0</v>
      </c>
      <c r="M888" s="40" cm="1">
        <f t="array" ref="M888:N888">VLOOKUP(B888,'Fumigation  Room'!B:H,{6,7},0)</f>
        <v>0</v>
      </c>
      <c r="N888" s="40">
        <v>0</v>
      </c>
      <c r="O888" s="40">
        <f t="shared" si="27"/>
        <v>0</v>
      </c>
      <c r="P888" s="40">
        <f t="shared" si="28"/>
        <v>0</v>
      </c>
    </row>
    <row r="889" spans="1:16" x14ac:dyDescent="0.35">
      <c r="A889" s="33">
        <v>886</v>
      </c>
      <c r="B889" s="34" t="s">
        <v>1243</v>
      </c>
      <c r="C889" s="33" t="s">
        <v>346</v>
      </c>
      <c r="D889" s="33" t="s">
        <v>1222</v>
      </c>
      <c r="E889" s="33" t="s">
        <v>1223</v>
      </c>
      <c r="F889" s="35">
        <v>0.8</v>
      </c>
      <c r="G889" s="40">
        <v>0</v>
      </c>
      <c r="H889" s="40">
        <v>0</v>
      </c>
      <c r="I889" s="40">
        <v>0</v>
      </c>
      <c r="J889" s="40">
        <v>0</v>
      </c>
      <c r="K889" s="40">
        <v>0</v>
      </c>
      <c r="L889" s="40">
        <v>0</v>
      </c>
      <c r="M889" s="40" cm="1">
        <f t="array" ref="M889:N889">VLOOKUP(B889,'Fumigation  Room'!B:H,{6,7},0)</f>
        <v>0</v>
      </c>
      <c r="N889" s="40">
        <v>0</v>
      </c>
      <c r="O889" s="40">
        <f t="shared" si="27"/>
        <v>0</v>
      </c>
      <c r="P889" s="40">
        <f t="shared" si="28"/>
        <v>0</v>
      </c>
    </row>
    <row r="890" spans="1:16" x14ac:dyDescent="0.35">
      <c r="A890" s="33">
        <v>887</v>
      </c>
      <c r="B890" s="34" t="s">
        <v>1244</v>
      </c>
      <c r="C890" s="33" t="s">
        <v>346</v>
      </c>
      <c r="D890" s="33" t="s">
        <v>1222</v>
      </c>
      <c r="E890" s="33" t="s">
        <v>1223</v>
      </c>
      <c r="F890" s="35">
        <v>0.2</v>
      </c>
      <c r="G890" s="40">
        <v>0</v>
      </c>
      <c r="H890" s="40">
        <v>0</v>
      </c>
      <c r="I890" s="40">
        <v>0</v>
      </c>
      <c r="J890" s="40">
        <v>0</v>
      </c>
      <c r="K890" s="40">
        <v>0</v>
      </c>
      <c r="L890" s="40">
        <v>0</v>
      </c>
      <c r="M890" s="40" cm="1">
        <f t="array" ref="M890:N890">VLOOKUP(B890,'Fumigation  Room'!B:H,{6,7},0)</f>
        <v>0</v>
      </c>
      <c r="N890" s="40">
        <v>0</v>
      </c>
      <c r="O890" s="40">
        <f t="shared" si="27"/>
        <v>0</v>
      </c>
      <c r="P890" s="40">
        <f t="shared" si="28"/>
        <v>0</v>
      </c>
    </row>
    <row r="891" spans="1:16" x14ac:dyDescent="0.35">
      <c r="A891" s="33">
        <v>888</v>
      </c>
      <c r="B891" s="34" t="s">
        <v>1245</v>
      </c>
      <c r="C891" s="33" t="s">
        <v>346</v>
      </c>
      <c r="D891" s="33" t="s">
        <v>1222</v>
      </c>
      <c r="E891" s="33" t="s">
        <v>1223</v>
      </c>
      <c r="F891" s="35">
        <v>0.3</v>
      </c>
      <c r="G891" s="40">
        <v>0</v>
      </c>
      <c r="H891" s="40">
        <v>0</v>
      </c>
      <c r="I891" s="40">
        <v>0</v>
      </c>
      <c r="J891" s="40">
        <v>0</v>
      </c>
      <c r="K891" s="40">
        <v>0</v>
      </c>
      <c r="L891" s="40">
        <v>0</v>
      </c>
      <c r="M891" s="40" cm="1">
        <f t="array" ref="M891:N891">VLOOKUP(B891,'Fumigation  Room'!B:H,{6,7},0)</f>
        <v>0</v>
      </c>
      <c r="N891" s="40">
        <v>0</v>
      </c>
      <c r="O891" s="40">
        <f t="shared" si="27"/>
        <v>0</v>
      </c>
      <c r="P891" s="40">
        <f t="shared" si="28"/>
        <v>0</v>
      </c>
    </row>
    <row r="892" spans="1:16" x14ac:dyDescent="0.35">
      <c r="A892" s="33">
        <v>889</v>
      </c>
      <c r="B892" s="34" t="s">
        <v>1246</v>
      </c>
      <c r="C892" s="33" t="s">
        <v>346</v>
      </c>
      <c r="D892" s="33" t="s">
        <v>1222</v>
      </c>
      <c r="E892" s="33" t="s">
        <v>1223</v>
      </c>
      <c r="F892" s="35">
        <v>0.3</v>
      </c>
      <c r="G892" s="40">
        <v>0</v>
      </c>
      <c r="H892" s="40">
        <v>0</v>
      </c>
      <c r="I892" s="40">
        <v>0</v>
      </c>
      <c r="J892" s="40">
        <v>0</v>
      </c>
      <c r="K892" s="40">
        <v>0</v>
      </c>
      <c r="L892" s="40">
        <v>0</v>
      </c>
      <c r="M892" s="40" cm="1">
        <f t="array" ref="M892:N892">VLOOKUP(B892,'Fumigation  Room'!B:H,{6,7},0)</f>
        <v>0</v>
      </c>
      <c r="N892" s="40">
        <v>0</v>
      </c>
      <c r="O892" s="40">
        <f t="shared" si="27"/>
        <v>0</v>
      </c>
      <c r="P892" s="40">
        <f t="shared" si="28"/>
        <v>0</v>
      </c>
    </row>
    <row r="893" spans="1:16" x14ac:dyDescent="0.35">
      <c r="A893" s="33">
        <v>890</v>
      </c>
      <c r="B893" s="34" t="s">
        <v>1247</v>
      </c>
      <c r="C893" s="33" t="s">
        <v>346</v>
      </c>
      <c r="D893" s="33" t="s">
        <v>1222</v>
      </c>
      <c r="E893" s="33" t="s">
        <v>1223</v>
      </c>
      <c r="F893" s="35">
        <v>0.38</v>
      </c>
      <c r="G893" s="40">
        <v>0</v>
      </c>
      <c r="H893" s="40">
        <v>0</v>
      </c>
      <c r="I893" s="40">
        <v>0</v>
      </c>
      <c r="J893" s="40">
        <v>0</v>
      </c>
      <c r="K893" s="40">
        <v>0</v>
      </c>
      <c r="L893" s="40">
        <v>0</v>
      </c>
      <c r="M893" s="40" cm="1">
        <f t="array" ref="M893:N893">VLOOKUP(B893,'Fumigation  Room'!B:H,{6,7},0)</f>
        <v>0</v>
      </c>
      <c r="N893" s="40">
        <v>0</v>
      </c>
      <c r="O893" s="40">
        <f t="shared" si="27"/>
        <v>0</v>
      </c>
      <c r="P893" s="40">
        <f t="shared" si="28"/>
        <v>0</v>
      </c>
    </row>
    <row r="894" spans="1:16" x14ac:dyDescent="0.35">
      <c r="A894" s="33">
        <v>891</v>
      </c>
      <c r="B894" s="34" t="s">
        <v>1248</v>
      </c>
      <c r="C894" s="33" t="s">
        <v>346</v>
      </c>
      <c r="D894" s="33" t="s">
        <v>1222</v>
      </c>
      <c r="E894" s="33" t="s">
        <v>1223</v>
      </c>
      <c r="F894" s="35">
        <v>0.55000000000000004</v>
      </c>
      <c r="G894" s="40">
        <v>0</v>
      </c>
      <c r="H894" s="40">
        <v>0</v>
      </c>
      <c r="I894" s="40">
        <v>0</v>
      </c>
      <c r="J894" s="40">
        <v>0</v>
      </c>
      <c r="K894" s="40">
        <v>0</v>
      </c>
      <c r="L894" s="40">
        <v>0</v>
      </c>
      <c r="M894" s="40" cm="1">
        <f t="array" ref="M894:N894">VLOOKUP(B894,'Fumigation  Room'!B:H,{6,7},0)</f>
        <v>0</v>
      </c>
      <c r="N894" s="40">
        <v>0</v>
      </c>
      <c r="O894" s="40">
        <f t="shared" si="27"/>
        <v>0</v>
      </c>
      <c r="P894" s="40">
        <f t="shared" si="28"/>
        <v>0</v>
      </c>
    </row>
    <row r="895" spans="1:16" x14ac:dyDescent="0.35">
      <c r="A895" s="33">
        <v>892</v>
      </c>
      <c r="B895" s="34" t="s">
        <v>1249</v>
      </c>
      <c r="C895" s="33" t="s">
        <v>346</v>
      </c>
      <c r="D895" s="33" t="s">
        <v>1222</v>
      </c>
      <c r="E895" s="33" t="s">
        <v>1223</v>
      </c>
      <c r="F895" s="35">
        <v>0.48</v>
      </c>
      <c r="G895" s="40">
        <v>0</v>
      </c>
      <c r="H895" s="40">
        <v>0</v>
      </c>
      <c r="I895" s="40">
        <v>0</v>
      </c>
      <c r="J895" s="40">
        <v>0</v>
      </c>
      <c r="K895" s="40">
        <v>0</v>
      </c>
      <c r="L895" s="40">
        <v>0</v>
      </c>
      <c r="M895" s="40" cm="1">
        <f t="array" ref="M895:N895">VLOOKUP(B895,'Fumigation  Room'!B:H,{6,7},0)</f>
        <v>0</v>
      </c>
      <c r="N895" s="40">
        <v>0</v>
      </c>
      <c r="O895" s="40">
        <f t="shared" si="27"/>
        <v>0</v>
      </c>
      <c r="P895" s="40">
        <f t="shared" si="28"/>
        <v>0</v>
      </c>
    </row>
    <row r="896" spans="1:16" x14ac:dyDescent="0.35">
      <c r="A896" s="33">
        <v>893</v>
      </c>
      <c r="B896" s="34" t="s">
        <v>1250</v>
      </c>
      <c r="C896" s="33" t="s">
        <v>346</v>
      </c>
      <c r="D896" s="33" t="s">
        <v>1222</v>
      </c>
      <c r="E896" s="33" t="s">
        <v>1223</v>
      </c>
      <c r="F896" s="35">
        <v>0.5</v>
      </c>
      <c r="G896" s="40">
        <v>0</v>
      </c>
      <c r="H896" s="40">
        <v>0</v>
      </c>
      <c r="I896" s="40">
        <v>0</v>
      </c>
      <c r="J896" s="40">
        <v>0</v>
      </c>
      <c r="K896" s="40">
        <v>0</v>
      </c>
      <c r="L896" s="40">
        <v>0</v>
      </c>
      <c r="M896" s="40" cm="1">
        <f t="array" ref="M896:N896">VLOOKUP(B896,'Fumigation  Room'!B:H,{6,7},0)</f>
        <v>0</v>
      </c>
      <c r="N896" s="40">
        <v>0</v>
      </c>
      <c r="O896" s="40">
        <f t="shared" si="27"/>
        <v>0</v>
      </c>
      <c r="P896" s="40">
        <f t="shared" si="28"/>
        <v>0</v>
      </c>
    </row>
    <row r="897" spans="1:16" x14ac:dyDescent="0.35">
      <c r="A897" s="33">
        <v>894</v>
      </c>
      <c r="B897" s="34" t="s">
        <v>1251</v>
      </c>
      <c r="C897" s="33" t="s">
        <v>346</v>
      </c>
      <c r="D897" s="33" t="s">
        <v>1222</v>
      </c>
      <c r="E897" s="33" t="s">
        <v>1223</v>
      </c>
      <c r="F897" s="35">
        <v>0.93</v>
      </c>
      <c r="G897" s="40">
        <v>0</v>
      </c>
      <c r="H897" s="40">
        <v>0</v>
      </c>
      <c r="I897" s="40">
        <v>0</v>
      </c>
      <c r="J897" s="40">
        <v>0</v>
      </c>
      <c r="K897" s="40">
        <v>0</v>
      </c>
      <c r="L897" s="40">
        <v>0</v>
      </c>
      <c r="M897" s="40" cm="1">
        <f t="array" ref="M897:N897">VLOOKUP(B897,'Fumigation  Room'!B:H,{6,7},0)</f>
        <v>0</v>
      </c>
      <c r="N897" s="40">
        <v>0</v>
      </c>
      <c r="O897" s="40">
        <f t="shared" si="27"/>
        <v>0</v>
      </c>
      <c r="P897" s="40">
        <f t="shared" si="28"/>
        <v>0</v>
      </c>
    </row>
    <row r="898" spans="1:16" x14ac:dyDescent="0.35">
      <c r="A898" s="33">
        <v>895</v>
      </c>
      <c r="B898" s="34" t="s">
        <v>1252</v>
      </c>
      <c r="C898" s="33" t="s">
        <v>346</v>
      </c>
      <c r="D898" s="33" t="s">
        <v>1222</v>
      </c>
      <c r="E898" s="33" t="s">
        <v>1223</v>
      </c>
      <c r="F898" s="35">
        <v>0.3</v>
      </c>
      <c r="G898" s="40">
        <v>0</v>
      </c>
      <c r="H898" s="40">
        <v>0</v>
      </c>
      <c r="I898" s="40">
        <v>0</v>
      </c>
      <c r="J898" s="40">
        <v>0</v>
      </c>
      <c r="K898" s="40">
        <v>0</v>
      </c>
      <c r="L898" s="40">
        <v>0</v>
      </c>
      <c r="M898" s="40" cm="1">
        <f t="array" ref="M898:N898">VLOOKUP(B898,'Fumigation  Room'!B:H,{6,7},0)</f>
        <v>0</v>
      </c>
      <c r="N898" s="40">
        <v>0</v>
      </c>
      <c r="O898" s="40">
        <f t="shared" si="27"/>
        <v>0</v>
      </c>
      <c r="P898" s="40">
        <f t="shared" si="28"/>
        <v>0</v>
      </c>
    </row>
    <row r="899" spans="1:16" x14ac:dyDescent="0.35">
      <c r="A899" s="33">
        <v>896</v>
      </c>
      <c r="B899" s="34" t="s">
        <v>1253</v>
      </c>
      <c r="C899" s="33" t="s">
        <v>346</v>
      </c>
      <c r="D899" s="33" t="s">
        <v>1222</v>
      </c>
      <c r="E899" s="33" t="s">
        <v>1223</v>
      </c>
      <c r="F899" s="35">
        <v>0.6</v>
      </c>
      <c r="G899" s="40">
        <v>0</v>
      </c>
      <c r="H899" s="40">
        <v>0</v>
      </c>
      <c r="I899" s="40">
        <v>0</v>
      </c>
      <c r="J899" s="40">
        <v>0</v>
      </c>
      <c r="K899" s="40">
        <v>0</v>
      </c>
      <c r="L899" s="40">
        <v>0</v>
      </c>
      <c r="M899" s="40" cm="1">
        <f t="array" ref="M899:N899">VLOOKUP(B899,'Fumigation  Room'!B:H,{6,7},0)</f>
        <v>0</v>
      </c>
      <c r="N899" s="40">
        <v>0</v>
      </c>
      <c r="O899" s="40">
        <f t="shared" si="27"/>
        <v>0</v>
      </c>
      <c r="P899" s="40">
        <f t="shared" si="28"/>
        <v>0</v>
      </c>
    </row>
    <row r="900" spans="1:16" x14ac:dyDescent="0.35">
      <c r="A900" s="33">
        <v>897</v>
      </c>
      <c r="B900" s="34" t="s">
        <v>1254</v>
      </c>
      <c r="C900" s="33" t="s">
        <v>346</v>
      </c>
      <c r="D900" s="33" t="s">
        <v>1222</v>
      </c>
      <c r="E900" s="33" t="s">
        <v>1223</v>
      </c>
      <c r="F900" s="35">
        <v>1</v>
      </c>
      <c r="G900" s="40">
        <v>0</v>
      </c>
      <c r="H900" s="40">
        <v>0</v>
      </c>
      <c r="I900" s="40">
        <v>0</v>
      </c>
      <c r="J900" s="40">
        <v>0</v>
      </c>
      <c r="K900" s="40">
        <v>0</v>
      </c>
      <c r="L900" s="40">
        <v>0</v>
      </c>
      <c r="M900" s="40" cm="1">
        <f t="array" ref="M900:N900">VLOOKUP(B900,'Fumigation  Room'!B:H,{6,7},0)</f>
        <v>0</v>
      </c>
      <c r="N900" s="40">
        <v>0</v>
      </c>
      <c r="O900" s="40">
        <f t="shared" si="27"/>
        <v>0</v>
      </c>
      <c r="P900" s="40">
        <f t="shared" si="28"/>
        <v>0</v>
      </c>
    </row>
    <row r="901" spans="1:16" x14ac:dyDescent="0.35">
      <c r="A901" s="33">
        <v>898</v>
      </c>
      <c r="B901" s="34" t="s">
        <v>1255</v>
      </c>
      <c r="C901" s="33" t="s">
        <v>346</v>
      </c>
      <c r="D901" s="33" t="s">
        <v>1222</v>
      </c>
      <c r="E901" s="33" t="s">
        <v>1223</v>
      </c>
      <c r="F901" s="35">
        <v>0.56000000000000005</v>
      </c>
      <c r="G901" s="40">
        <v>0</v>
      </c>
      <c r="H901" s="40">
        <v>0</v>
      </c>
      <c r="I901" s="40">
        <v>0</v>
      </c>
      <c r="J901" s="40">
        <v>0</v>
      </c>
      <c r="K901" s="40">
        <v>0</v>
      </c>
      <c r="L901" s="40">
        <v>0</v>
      </c>
      <c r="M901" s="40" cm="1">
        <f t="array" ref="M901:N901">VLOOKUP(B901,'Fumigation  Room'!B:H,{6,7},0)</f>
        <v>0</v>
      </c>
      <c r="N901" s="40">
        <v>0</v>
      </c>
      <c r="O901" s="40">
        <f t="shared" ref="O901:O964" si="29">G901+I901+K901+M901</f>
        <v>0</v>
      </c>
      <c r="P901" s="40">
        <f t="shared" ref="P901:P964" si="30">H901+J901+L901+N901</f>
        <v>0</v>
      </c>
    </row>
    <row r="902" spans="1:16" x14ac:dyDescent="0.35">
      <c r="A902" s="33">
        <v>899</v>
      </c>
      <c r="B902" s="34" t="s">
        <v>1256</v>
      </c>
      <c r="C902" s="33" t="s">
        <v>346</v>
      </c>
      <c r="D902" s="33" t="s">
        <v>1222</v>
      </c>
      <c r="E902" s="33" t="s">
        <v>1223</v>
      </c>
      <c r="F902" s="35">
        <v>1.26</v>
      </c>
      <c r="G902" s="40">
        <v>0</v>
      </c>
      <c r="H902" s="40">
        <v>0</v>
      </c>
      <c r="I902" s="40">
        <v>0</v>
      </c>
      <c r="J902" s="40">
        <v>0</v>
      </c>
      <c r="K902" s="40">
        <v>0</v>
      </c>
      <c r="L902" s="40">
        <v>0</v>
      </c>
      <c r="M902" s="40" cm="1">
        <f t="array" ref="M902:N902">VLOOKUP(B902,'Fumigation  Room'!B:H,{6,7},0)</f>
        <v>0</v>
      </c>
      <c r="N902" s="40">
        <v>0</v>
      </c>
      <c r="O902" s="40">
        <f t="shared" si="29"/>
        <v>0</v>
      </c>
      <c r="P902" s="40">
        <f t="shared" si="30"/>
        <v>0</v>
      </c>
    </row>
    <row r="903" spans="1:16" x14ac:dyDescent="0.35">
      <c r="A903" s="33">
        <v>900</v>
      </c>
      <c r="B903" s="34" t="s">
        <v>1257</v>
      </c>
      <c r="C903" s="33" t="s">
        <v>346</v>
      </c>
      <c r="D903" s="33" t="s">
        <v>1222</v>
      </c>
      <c r="E903" s="33" t="s">
        <v>1223</v>
      </c>
      <c r="F903" s="35">
        <v>0.46</v>
      </c>
      <c r="G903" s="40">
        <v>0</v>
      </c>
      <c r="H903" s="40">
        <v>0</v>
      </c>
      <c r="I903" s="40">
        <v>0</v>
      </c>
      <c r="J903" s="40">
        <v>0</v>
      </c>
      <c r="K903" s="40">
        <v>0</v>
      </c>
      <c r="L903" s="40">
        <v>0</v>
      </c>
      <c r="M903" s="40" cm="1">
        <f t="array" ref="M903:N903">VLOOKUP(B903,'Fumigation  Room'!B:H,{6,7},0)</f>
        <v>0</v>
      </c>
      <c r="N903" s="40">
        <v>0</v>
      </c>
      <c r="O903" s="40">
        <f t="shared" si="29"/>
        <v>0</v>
      </c>
      <c r="P903" s="40">
        <f t="shared" si="30"/>
        <v>0</v>
      </c>
    </row>
    <row r="904" spans="1:16" x14ac:dyDescent="0.35">
      <c r="A904" s="33">
        <v>901</v>
      </c>
      <c r="B904" s="34" t="s">
        <v>1258</v>
      </c>
      <c r="C904" s="33" t="s">
        <v>346</v>
      </c>
      <c r="D904" s="33" t="s">
        <v>1222</v>
      </c>
      <c r="E904" s="33" t="s">
        <v>1223</v>
      </c>
      <c r="F904" s="35">
        <v>0.71</v>
      </c>
      <c r="G904" s="40">
        <v>0</v>
      </c>
      <c r="H904" s="40">
        <v>0</v>
      </c>
      <c r="I904" s="40">
        <v>0</v>
      </c>
      <c r="J904" s="40">
        <v>0</v>
      </c>
      <c r="K904" s="40">
        <v>0</v>
      </c>
      <c r="L904" s="40">
        <v>0</v>
      </c>
      <c r="M904" s="40" cm="1">
        <f t="array" ref="M904:N904">VLOOKUP(B904,'Fumigation  Room'!B:H,{6,7},0)</f>
        <v>0</v>
      </c>
      <c r="N904" s="40">
        <v>0</v>
      </c>
      <c r="O904" s="40">
        <f t="shared" si="29"/>
        <v>0</v>
      </c>
      <c r="P904" s="40">
        <f t="shared" si="30"/>
        <v>0</v>
      </c>
    </row>
    <row r="905" spans="1:16" x14ac:dyDescent="0.35">
      <c r="A905" s="33">
        <v>902</v>
      </c>
      <c r="B905" s="34" t="s">
        <v>1259</v>
      </c>
      <c r="C905" s="33" t="s">
        <v>346</v>
      </c>
      <c r="D905" s="33" t="s">
        <v>1222</v>
      </c>
      <c r="E905" s="33" t="s">
        <v>1223</v>
      </c>
      <c r="F905" s="35">
        <v>0.8</v>
      </c>
      <c r="G905" s="40">
        <v>0</v>
      </c>
      <c r="H905" s="40">
        <v>0</v>
      </c>
      <c r="I905" s="40">
        <v>0</v>
      </c>
      <c r="J905" s="40">
        <v>0</v>
      </c>
      <c r="K905" s="40">
        <v>0</v>
      </c>
      <c r="L905" s="40">
        <v>0</v>
      </c>
      <c r="M905" s="40" cm="1">
        <f t="array" ref="M905:N905">VLOOKUP(B905,'Fumigation  Room'!B:H,{6,7},0)</f>
        <v>0</v>
      </c>
      <c r="N905" s="40">
        <v>0</v>
      </c>
      <c r="O905" s="40">
        <f t="shared" si="29"/>
        <v>0</v>
      </c>
      <c r="P905" s="40">
        <f t="shared" si="30"/>
        <v>0</v>
      </c>
    </row>
    <row r="906" spans="1:16" x14ac:dyDescent="0.35">
      <c r="A906" s="33">
        <v>903</v>
      </c>
      <c r="B906" s="34" t="s">
        <v>1260</v>
      </c>
      <c r="C906" s="33" t="s">
        <v>346</v>
      </c>
      <c r="D906" s="33" t="s">
        <v>1222</v>
      </c>
      <c r="E906" s="33" t="s">
        <v>1223</v>
      </c>
      <c r="F906" s="35">
        <v>0.69</v>
      </c>
      <c r="G906" s="40">
        <v>0</v>
      </c>
      <c r="H906" s="40">
        <v>0</v>
      </c>
      <c r="I906" s="40">
        <v>0</v>
      </c>
      <c r="J906" s="40">
        <v>0</v>
      </c>
      <c r="K906" s="40">
        <v>0</v>
      </c>
      <c r="L906" s="40">
        <v>0</v>
      </c>
      <c r="M906" s="40" cm="1">
        <f t="array" ref="M906:N906">VLOOKUP(B906,'Fumigation  Room'!B:H,{6,7},0)</f>
        <v>0</v>
      </c>
      <c r="N906" s="40">
        <v>0</v>
      </c>
      <c r="O906" s="40">
        <f t="shared" si="29"/>
        <v>0</v>
      </c>
      <c r="P906" s="40">
        <f t="shared" si="30"/>
        <v>0</v>
      </c>
    </row>
    <row r="907" spans="1:16" x14ac:dyDescent="0.35">
      <c r="A907" s="33">
        <v>904</v>
      </c>
      <c r="B907" s="34" t="s">
        <v>1261</v>
      </c>
      <c r="C907" s="33" t="s">
        <v>346</v>
      </c>
      <c r="D907" s="33" t="s">
        <v>1222</v>
      </c>
      <c r="E907" s="33" t="s">
        <v>1223</v>
      </c>
      <c r="F907" s="35">
        <v>0.55000000000000004</v>
      </c>
      <c r="G907" s="40">
        <v>0</v>
      </c>
      <c r="H907" s="40">
        <v>0</v>
      </c>
      <c r="I907" s="40">
        <v>0</v>
      </c>
      <c r="J907" s="40">
        <v>0</v>
      </c>
      <c r="K907" s="40">
        <v>0</v>
      </c>
      <c r="L907" s="40">
        <v>0</v>
      </c>
      <c r="M907" s="40" cm="1">
        <f t="array" ref="M907:N907">VLOOKUP(B907,'Fumigation  Room'!B:H,{6,7},0)</f>
        <v>0</v>
      </c>
      <c r="N907" s="40">
        <v>0</v>
      </c>
      <c r="O907" s="40">
        <f t="shared" si="29"/>
        <v>0</v>
      </c>
      <c r="P907" s="40">
        <f t="shared" si="30"/>
        <v>0</v>
      </c>
    </row>
    <row r="908" spans="1:16" x14ac:dyDescent="0.35">
      <c r="A908" s="33">
        <v>905</v>
      </c>
      <c r="B908" s="34" t="s">
        <v>1262</v>
      </c>
      <c r="C908" s="33" t="s">
        <v>346</v>
      </c>
      <c r="D908" s="33" t="s">
        <v>1222</v>
      </c>
      <c r="E908" s="33" t="s">
        <v>1223</v>
      </c>
      <c r="F908" s="35">
        <v>2.09</v>
      </c>
      <c r="G908" s="40">
        <v>0</v>
      </c>
      <c r="H908" s="40">
        <v>0</v>
      </c>
      <c r="I908" s="40">
        <v>0</v>
      </c>
      <c r="J908" s="40">
        <v>0</v>
      </c>
      <c r="K908" s="40">
        <v>0</v>
      </c>
      <c r="L908" s="40">
        <v>0</v>
      </c>
      <c r="M908" s="40" cm="1">
        <f t="array" ref="M908:N908">VLOOKUP(B908,'Fumigation  Room'!B:H,{6,7},0)</f>
        <v>0</v>
      </c>
      <c r="N908" s="40">
        <v>0</v>
      </c>
      <c r="O908" s="40">
        <f t="shared" si="29"/>
        <v>0</v>
      </c>
      <c r="P908" s="40">
        <f t="shared" si="30"/>
        <v>0</v>
      </c>
    </row>
    <row r="909" spans="1:16" x14ac:dyDescent="0.35">
      <c r="A909" s="33">
        <v>906</v>
      </c>
      <c r="B909" s="34" t="s">
        <v>1263</v>
      </c>
      <c r="C909" s="33" t="s">
        <v>346</v>
      </c>
      <c r="D909" s="33" t="s">
        <v>1222</v>
      </c>
      <c r="E909" s="33" t="s">
        <v>1223</v>
      </c>
      <c r="F909" s="35">
        <v>0.55500000000000005</v>
      </c>
      <c r="G909" s="40">
        <v>0</v>
      </c>
      <c r="H909" s="40">
        <v>0</v>
      </c>
      <c r="I909" s="40">
        <v>0</v>
      </c>
      <c r="J909" s="40">
        <v>0</v>
      </c>
      <c r="K909" s="40">
        <v>0</v>
      </c>
      <c r="L909" s="40">
        <v>0</v>
      </c>
      <c r="M909" s="40" cm="1">
        <f t="array" ref="M909:N909">VLOOKUP(B909,'Fumigation  Room'!B:H,{6,7},0)</f>
        <v>0</v>
      </c>
      <c r="N909" s="40">
        <v>0</v>
      </c>
      <c r="O909" s="40">
        <f t="shared" si="29"/>
        <v>0</v>
      </c>
      <c r="P909" s="40">
        <f t="shared" si="30"/>
        <v>0</v>
      </c>
    </row>
    <row r="910" spans="1:16" x14ac:dyDescent="0.35">
      <c r="A910" s="33">
        <v>907</v>
      </c>
      <c r="B910" s="34" t="s">
        <v>1264</v>
      </c>
      <c r="C910" s="33" t="s">
        <v>346</v>
      </c>
      <c r="D910" s="33" t="s">
        <v>1222</v>
      </c>
      <c r="E910" s="33" t="s">
        <v>1223</v>
      </c>
      <c r="F910" s="35">
        <v>0.28000000000000003</v>
      </c>
      <c r="G910" s="40">
        <v>0</v>
      </c>
      <c r="H910" s="40">
        <v>0</v>
      </c>
      <c r="I910" s="40">
        <v>0</v>
      </c>
      <c r="J910" s="40">
        <v>0</v>
      </c>
      <c r="K910" s="40">
        <v>0</v>
      </c>
      <c r="L910" s="40">
        <v>0</v>
      </c>
      <c r="M910" s="40" cm="1">
        <f t="array" ref="M910:N910">VLOOKUP(B910,'Fumigation  Room'!B:H,{6,7},0)</f>
        <v>0</v>
      </c>
      <c r="N910" s="40">
        <v>0</v>
      </c>
      <c r="O910" s="40">
        <f t="shared" si="29"/>
        <v>0</v>
      </c>
      <c r="P910" s="40">
        <f t="shared" si="30"/>
        <v>0</v>
      </c>
    </row>
    <row r="911" spans="1:16" x14ac:dyDescent="0.35">
      <c r="A911" s="33">
        <v>908</v>
      </c>
      <c r="B911" s="34" t="s">
        <v>1265</v>
      </c>
      <c r="C911" s="33" t="s">
        <v>346</v>
      </c>
      <c r="D911" s="33" t="s">
        <v>1222</v>
      </c>
      <c r="E911" s="33" t="s">
        <v>1223</v>
      </c>
      <c r="F911" s="35">
        <v>0.19</v>
      </c>
      <c r="G911" s="40">
        <v>0</v>
      </c>
      <c r="H911" s="40">
        <v>0</v>
      </c>
      <c r="I911" s="40">
        <v>0</v>
      </c>
      <c r="J911" s="40">
        <v>0</v>
      </c>
      <c r="K911" s="40">
        <v>0</v>
      </c>
      <c r="L911" s="40">
        <v>0</v>
      </c>
      <c r="M911" s="40" cm="1">
        <f t="array" ref="M911:N911">VLOOKUP(B911,'Fumigation  Room'!B:H,{6,7},0)</f>
        <v>0</v>
      </c>
      <c r="N911" s="40">
        <v>0</v>
      </c>
      <c r="O911" s="40">
        <f t="shared" si="29"/>
        <v>0</v>
      </c>
      <c r="P911" s="40">
        <f t="shared" si="30"/>
        <v>0</v>
      </c>
    </row>
    <row r="912" spans="1:16" x14ac:dyDescent="0.35">
      <c r="A912" s="33">
        <v>909</v>
      </c>
      <c r="B912" s="34" t="s">
        <v>1266</v>
      </c>
      <c r="C912" s="33" t="s">
        <v>346</v>
      </c>
      <c r="D912" s="33" t="s">
        <v>1222</v>
      </c>
      <c r="E912" s="33" t="s">
        <v>1223</v>
      </c>
      <c r="F912" s="35">
        <v>0.26800000000000002</v>
      </c>
      <c r="G912" s="40">
        <v>0</v>
      </c>
      <c r="H912" s="40">
        <v>0</v>
      </c>
      <c r="I912" s="40">
        <v>0</v>
      </c>
      <c r="J912" s="40">
        <v>0</v>
      </c>
      <c r="K912" s="40">
        <v>0</v>
      </c>
      <c r="L912" s="40">
        <v>0</v>
      </c>
      <c r="M912" s="40" cm="1">
        <f t="array" ref="M912:N912">VLOOKUP(B912,'Fumigation  Room'!B:H,{6,7},0)</f>
        <v>0</v>
      </c>
      <c r="N912" s="40">
        <v>0</v>
      </c>
      <c r="O912" s="40">
        <f t="shared" si="29"/>
        <v>0</v>
      </c>
      <c r="P912" s="40">
        <f t="shared" si="30"/>
        <v>0</v>
      </c>
    </row>
    <row r="913" spans="1:16" x14ac:dyDescent="0.35">
      <c r="A913" s="33">
        <v>910</v>
      </c>
      <c r="B913" s="34" t="s">
        <v>1267</v>
      </c>
      <c r="C913" s="33" t="s">
        <v>346</v>
      </c>
      <c r="D913" s="33" t="s">
        <v>1222</v>
      </c>
      <c r="E913" s="33" t="s">
        <v>1223</v>
      </c>
      <c r="F913" s="35">
        <v>0.3</v>
      </c>
      <c r="G913" s="40">
        <v>0</v>
      </c>
      <c r="H913" s="40">
        <v>0</v>
      </c>
      <c r="I913" s="40">
        <v>0</v>
      </c>
      <c r="J913" s="40">
        <v>0</v>
      </c>
      <c r="K913" s="40">
        <v>0</v>
      </c>
      <c r="L913" s="40">
        <v>0</v>
      </c>
      <c r="M913" s="40" cm="1">
        <f t="array" ref="M913:N913">VLOOKUP(B913,'Fumigation  Room'!B:H,{6,7},0)</f>
        <v>0</v>
      </c>
      <c r="N913" s="40">
        <v>0</v>
      </c>
      <c r="O913" s="40">
        <f t="shared" si="29"/>
        <v>0</v>
      </c>
      <c r="P913" s="40">
        <f t="shared" si="30"/>
        <v>0</v>
      </c>
    </row>
    <row r="914" spans="1:16" x14ac:dyDescent="0.35">
      <c r="A914" s="33">
        <v>911</v>
      </c>
      <c r="B914" s="34" t="s">
        <v>1268</v>
      </c>
      <c r="C914" s="33" t="s">
        <v>346</v>
      </c>
      <c r="D914" s="33" t="s">
        <v>1222</v>
      </c>
      <c r="E914" s="33" t="s">
        <v>1223</v>
      </c>
      <c r="F914" s="35">
        <v>0.96</v>
      </c>
      <c r="G914" s="40">
        <v>0</v>
      </c>
      <c r="H914" s="40">
        <v>0</v>
      </c>
      <c r="I914" s="40">
        <v>0</v>
      </c>
      <c r="J914" s="40">
        <v>0</v>
      </c>
      <c r="K914" s="40">
        <v>0</v>
      </c>
      <c r="L914" s="40">
        <v>0</v>
      </c>
      <c r="M914" s="40" cm="1">
        <f t="array" ref="M914:N914">VLOOKUP(B914,'Fumigation  Room'!B:H,{6,7},0)</f>
        <v>0</v>
      </c>
      <c r="N914" s="40">
        <v>0</v>
      </c>
      <c r="O914" s="40">
        <f t="shared" si="29"/>
        <v>0</v>
      </c>
      <c r="P914" s="40">
        <f t="shared" si="30"/>
        <v>0</v>
      </c>
    </row>
    <row r="915" spans="1:16" x14ac:dyDescent="0.35">
      <c r="A915" s="33">
        <v>912</v>
      </c>
      <c r="B915" s="34" t="s">
        <v>1269</v>
      </c>
      <c r="C915" s="33" t="s">
        <v>346</v>
      </c>
      <c r="D915" s="33" t="s">
        <v>1222</v>
      </c>
      <c r="E915" s="33" t="s">
        <v>1223</v>
      </c>
      <c r="F915" s="35">
        <v>0.54</v>
      </c>
      <c r="G915" s="40">
        <v>0</v>
      </c>
      <c r="H915" s="40">
        <v>0</v>
      </c>
      <c r="I915" s="40">
        <v>0</v>
      </c>
      <c r="J915" s="40">
        <v>0</v>
      </c>
      <c r="K915" s="40">
        <v>0</v>
      </c>
      <c r="L915" s="40">
        <v>0</v>
      </c>
      <c r="M915" s="40" cm="1">
        <f t="array" ref="M915:N915">VLOOKUP(B915,'Fumigation  Room'!B:H,{6,7},0)</f>
        <v>0</v>
      </c>
      <c r="N915" s="40">
        <v>0</v>
      </c>
      <c r="O915" s="40">
        <f t="shared" si="29"/>
        <v>0</v>
      </c>
      <c r="P915" s="40">
        <f t="shared" si="30"/>
        <v>0</v>
      </c>
    </row>
    <row r="916" spans="1:16" x14ac:dyDescent="0.35">
      <c r="A916" s="33">
        <v>913</v>
      </c>
      <c r="B916" s="34" t="s">
        <v>1270</v>
      </c>
      <c r="C916" s="33" t="s">
        <v>346</v>
      </c>
      <c r="D916" s="33" t="s">
        <v>1222</v>
      </c>
      <c r="E916" s="33" t="s">
        <v>1223</v>
      </c>
      <c r="F916" s="35">
        <v>0.5</v>
      </c>
      <c r="G916" s="40">
        <v>0</v>
      </c>
      <c r="H916" s="40">
        <v>0</v>
      </c>
      <c r="I916" s="40">
        <v>0</v>
      </c>
      <c r="J916" s="40">
        <v>0</v>
      </c>
      <c r="K916" s="40">
        <v>0</v>
      </c>
      <c r="L916" s="40">
        <v>0</v>
      </c>
      <c r="M916" s="40" cm="1">
        <f t="array" ref="M916:N916">VLOOKUP(B916,'Fumigation  Room'!B:H,{6,7},0)</f>
        <v>0</v>
      </c>
      <c r="N916" s="40">
        <v>0</v>
      </c>
      <c r="O916" s="40">
        <f t="shared" si="29"/>
        <v>0</v>
      </c>
      <c r="P916" s="40">
        <f t="shared" si="30"/>
        <v>0</v>
      </c>
    </row>
    <row r="917" spans="1:16" x14ac:dyDescent="0.35">
      <c r="A917" s="33">
        <v>914</v>
      </c>
      <c r="B917" s="34" t="s">
        <v>1271</v>
      </c>
      <c r="C917" s="33" t="s">
        <v>346</v>
      </c>
      <c r="D917" s="33" t="s">
        <v>1222</v>
      </c>
      <c r="E917" s="33" t="s">
        <v>1223</v>
      </c>
      <c r="F917" s="35">
        <v>0.3</v>
      </c>
      <c r="G917" s="40">
        <v>0</v>
      </c>
      <c r="H917" s="40">
        <v>0</v>
      </c>
      <c r="I917" s="40">
        <v>0</v>
      </c>
      <c r="J917" s="40">
        <v>0</v>
      </c>
      <c r="K917" s="40">
        <v>0</v>
      </c>
      <c r="L917" s="40">
        <v>0</v>
      </c>
      <c r="M917" s="40" cm="1">
        <f t="array" ref="M917:N917">VLOOKUP(B917,'Fumigation  Room'!B:H,{6,7},0)</f>
        <v>0</v>
      </c>
      <c r="N917" s="40">
        <v>0</v>
      </c>
      <c r="O917" s="40">
        <f t="shared" si="29"/>
        <v>0</v>
      </c>
      <c r="P917" s="40">
        <f t="shared" si="30"/>
        <v>0</v>
      </c>
    </row>
    <row r="918" spans="1:16" x14ac:dyDescent="0.35">
      <c r="A918" s="33">
        <v>915</v>
      </c>
      <c r="B918" s="34" t="s">
        <v>1272</v>
      </c>
      <c r="C918" s="33" t="s">
        <v>346</v>
      </c>
      <c r="D918" s="33" t="s">
        <v>1222</v>
      </c>
      <c r="E918" s="33" t="s">
        <v>1223</v>
      </c>
      <c r="F918" s="35">
        <v>0.4</v>
      </c>
      <c r="G918" s="40">
        <v>0</v>
      </c>
      <c r="H918" s="40">
        <v>0</v>
      </c>
      <c r="I918" s="40">
        <v>0</v>
      </c>
      <c r="J918" s="40">
        <v>0</v>
      </c>
      <c r="K918" s="40">
        <v>0</v>
      </c>
      <c r="L918" s="40">
        <v>0</v>
      </c>
      <c r="M918" s="40" cm="1">
        <f t="array" ref="M918:N918">VLOOKUP(B918,'Fumigation  Room'!B:H,{6,7},0)</f>
        <v>0</v>
      </c>
      <c r="N918" s="40">
        <v>0</v>
      </c>
      <c r="O918" s="40">
        <f t="shared" si="29"/>
        <v>0</v>
      </c>
      <c r="P918" s="40">
        <f t="shared" si="30"/>
        <v>0</v>
      </c>
    </row>
    <row r="919" spans="1:16" x14ac:dyDescent="0.35">
      <c r="A919" s="33">
        <v>916</v>
      </c>
      <c r="B919" s="34" t="s">
        <v>1273</v>
      </c>
      <c r="C919" s="33" t="s">
        <v>346</v>
      </c>
      <c r="D919" s="33" t="s">
        <v>1222</v>
      </c>
      <c r="E919" s="33" t="s">
        <v>1223</v>
      </c>
      <c r="F919" s="35">
        <v>0.3</v>
      </c>
      <c r="G919" s="40">
        <v>0</v>
      </c>
      <c r="H919" s="40">
        <v>0</v>
      </c>
      <c r="I919" s="40">
        <v>0</v>
      </c>
      <c r="J919" s="40">
        <v>0</v>
      </c>
      <c r="K919" s="40">
        <v>0</v>
      </c>
      <c r="L919" s="40">
        <v>0</v>
      </c>
      <c r="M919" s="40" cm="1">
        <f t="array" ref="M919:N919">VLOOKUP(B919,'Fumigation  Room'!B:H,{6,7},0)</f>
        <v>0</v>
      </c>
      <c r="N919" s="40">
        <v>0</v>
      </c>
      <c r="O919" s="40">
        <f t="shared" si="29"/>
        <v>0</v>
      </c>
      <c r="P919" s="40">
        <f t="shared" si="30"/>
        <v>0</v>
      </c>
    </row>
    <row r="920" spans="1:16" x14ac:dyDescent="0.35">
      <c r="A920" s="33">
        <v>917</v>
      </c>
      <c r="B920" s="34" t="s">
        <v>1274</v>
      </c>
      <c r="C920" s="33" t="s">
        <v>346</v>
      </c>
      <c r="D920" s="33" t="s">
        <v>1222</v>
      </c>
      <c r="E920" s="33" t="s">
        <v>1223</v>
      </c>
      <c r="F920" s="35">
        <v>0.3</v>
      </c>
      <c r="G920" s="40">
        <v>0</v>
      </c>
      <c r="H920" s="40">
        <v>0</v>
      </c>
      <c r="I920" s="40">
        <v>0</v>
      </c>
      <c r="J920" s="40">
        <v>0</v>
      </c>
      <c r="K920" s="40">
        <v>0</v>
      </c>
      <c r="L920" s="40">
        <v>0</v>
      </c>
      <c r="M920" s="40" cm="1">
        <f t="array" ref="M920:N920">VLOOKUP(B920,'Fumigation  Room'!B:H,{6,7},0)</f>
        <v>0</v>
      </c>
      <c r="N920" s="40">
        <v>0</v>
      </c>
      <c r="O920" s="40">
        <f t="shared" si="29"/>
        <v>0</v>
      </c>
      <c r="P920" s="40">
        <f t="shared" si="30"/>
        <v>0</v>
      </c>
    </row>
    <row r="921" spans="1:16" x14ac:dyDescent="0.35">
      <c r="A921" s="33">
        <v>918</v>
      </c>
      <c r="B921" s="34" t="s">
        <v>1275</v>
      </c>
      <c r="C921" s="33" t="s">
        <v>346</v>
      </c>
      <c r="D921" s="33" t="s">
        <v>1222</v>
      </c>
      <c r="E921" s="33" t="s">
        <v>1223</v>
      </c>
      <c r="F921" s="35">
        <v>0.18</v>
      </c>
      <c r="G921" s="40">
        <v>0</v>
      </c>
      <c r="H921" s="40">
        <v>0</v>
      </c>
      <c r="I921" s="40">
        <v>0</v>
      </c>
      <c r="J921" s="40">
        <v>0</v>
      </c>
      <c r="K921" s="40">
        <v>0</v>
      </c>
      <c r="L921" s="40">
        <v>0</v>
      </c>
      <c r="M921" s="40" cm="1">
        <f t="array" ref="M921:N921">VLOOKUP(B921,'Fumigation  Room'!B:H,{6,7},0)</f>
        <v>0</v>
      </c>
      <c r="N921" s="40">
        <v>0</v>
      </c>
      <c r="O921" s="40">
        <f t="shared" si="29"/>
        <v>0</v>
      </c>
      <c r="P921" s="40">
        <f t="shared" si="30"/>
        <v>0</v>
      </c>
    </row>
    <row r="922" spans="1:16" x14ac:dyDescent="0.35">
      <c r="A922" s="33">
        <v>919</v>
      </c>
      <c r="B922" s="34" t="s">
        <v>1276</v>
      </c>
      <c r="C922" s="33" t="s">
        <v>346</v>
      </c>
      <c r="D922" s="33" t="s">
        <v>1222</v>
      </c>
      <c r="E922" s="33" t="s">
        <v>1223</v>
      </c>
      <c r="F922" s="35">
        <v>0.6</v>
      </c>
      <c r="G922" s="40">
        <v>0</v>
      </c>
      <c r="H922" s="40">
        <v>0</v>
      </c>
      <c r="I922" s="40">
        <v>0</v>
      </c>
      <c r="J922" s="40">
        <v>0</v>
      </c>
      <c r="K922" s="40">
        <v>0</v>
      </c>
      <c r="L922" s="40">
        <v>0</v>
      </c>
      <c r="M922" s="40" cm="1">
        <f t="array" ref="M922:N922">VLOOKUP(B922,'Fumigation  Room'!B:H,{6,7},0)</f>
        <v>0</v>
      </c>
      <c r="N922" s="40">
        <v>0</v>
      </c>
      <c r="O922" s="40">
        <f t="shared" si="29"/>
        <v>0</v>
      </c>
      <c r="P922" s="40">
        <f t="shared" si="30"/>
        <v>0</v>
      </c>
    </row>
    <row r="923" spans="1:16" x14ac:dyDescent="0.35">
      <c r="A923" s="33">
        <v>920</v>
      </c>
      <c r="B923" s="34" t="s">
        <v>1277</v>
      </c>
      <c r="C923" s="33" t="s">
        <v>346</v>
      </c>
      <c r="D923" s="33" t="s">
        <v>1222</v>
      </c>
      <c r="E923" s="33" t="s">
        <v>1223</v>
      </c>
      <c r="F923" s="35">
        <v>0.4</v>
      </c>
      <c r="G923" s="40">
        <v>0</v>
      </c>
      <c r="H923" s="40">
        <v>0</v>
      </c>
      <c r="I923" s="40">
        <v>0</v>
      </c>
      <c r="J923" s="40">
        <v>0</v>
      </c>
      <c r="K923" s="40">
        <v>0</v>
      </c>
      <c r="L923" s="40">
        <v>0</v>
      </c>
      <c r="M923" s="40" cm="1">
        <f t="array" ref="M923:N923">VLOOKUP(B923,'Fumigation  Room'!B:H,{6,7},0)</f>
        <v>0</v>
      </c>
      <c r="N923" s="40">
        <v>0</v>
      </c>
      <c r="O923" s="40">
        <f t="shared" si="29"/>
        <v>0</v>
      </c>
      <c r="P923" s="40">
        <f t="shared" si="30"/>
        <v>0</v>
      </c>
    </row>
    <row r="924" spans="1:16" x14ac:dyDescent="0.35">
      <c r="A924" s="33">
        <v>921</v>
      </c>
      <c r="B924" s="34" t="s">
        <v>1278</v>
      </c>
      <c r="C924" s="33" t="s">
        <v>346</v>
      </c>
      <c r="D924" s="33" t="s">
        <v>1222</v>
      </c>
      <c r="E924" s="33" t="s">
        <v>1223</v>
      </c>
      <c r="F924" s="35">
        <v>0.8</v>
      </c>
      <c r="G924" s="40">
        <v>0</v>
      </c>
      <c r="H924" s="40">
        <v>0</v>
      </c>
      <c r="I924" s="40">
        <v>0</v>
      </c>
      <c r="J924" s="40">
        <v>0</v>
      </c>
      <c r="K924" s="40">
        <v>0</v>
      </c>
      <c r="L924" s="40">
        <v>0</v>
      </c>
      <c r="M924" s="40" cm="1">
        <f t="array" ref="M924:N924">VLOOKUP(B924,'Fumigation  Room'!B:H,{6,7},0)</f>
        <v>0</v>
      </c>
      <c r="N924" s="40">
        <v>0</v>
      </c>
      <c r="O924" s="40">
        <f t="shared" si="29"/>
        <v>0</v>
      </c>
      <c r="P924" s="40">
        <f t="shared" si="30"/>
        <v>0</v>
      </c>
    </row>
    <row r="925" spans="1:16" x14ac:dyDescent="0.35">
      <c r="A925" s="33">
        <v>922</v>
      </c>
      <c r="B925" s="34" t="s">
        <v>1279</v>
      </c>
      <c r="C925" s="33" t="s">
        <v>346</v>
      </c>
      <c r="D925" s="33" t="s">
        <v>1222</v>
      </c>
      <c r="E925" s="33" t="s">
        <v>1223</v>
      </c>
      <c r="F925" s="35">
        <v>0.8</v>
      </c>
      <c r="G925" s="40">
        <v>0</v>
      </c>
      <c r="H925" s="40">
        <v>0</v>
      </c>
      <c r="I925" s="40">
        <v>0</v>
      </c>
      <c r="J925" s="40">
        <v>0</v>
      </c>
      <c r="K925" s="40">
        <v>0</v>
      </c>
      <c r="L925" s="40">
        <v>0</v>
      </c>
      <c r="M925" s="40" cm="1">
        <f t="array" ref="M925:N925">VLOOKUP(B925,'Fumigation  Room'!B:H,{6,7},0)</f>
        <v>0</v>
      </c>
      <c r="N925" s="40">
        <v>0</v>
      </c>
      <c r="O925" s="40">
        <f t="shared" si="29"/>
        <v>0</v>
      </c>
      <c r="P925" s="40">
        <f t="shared" si="30"/>
        <v>0</v>
      </c>
    </row>
    <row r="926" spans="1:16" x14ac:dyDescent="0.35">
      <c r="A926" s="33">
        <v>923</v>
      </c>
      <c r="B926" s="34" t="s">
        <v>1280</v>
      </c>
      <c r="C926" s="33" t="s">
        <v>346</v>
      </c>
      <c r="D926" s="33" t="s">
        <v>1222</v>
      </c>
      <c r="E926" s="33" t="s">
        <v>1223</v>
      </c>
      <c r="F926" s="35">
        <v>1</v>
      </c>
      <c r="G926" s="40">
        <v>0</v>
      </c>
      <c r="H926" s="40">
        <v>0</v>
      </c>
      <c r="I926" s="40">
        <v>0</v>
      </c>
      <c r="J926" s="40">
        <v>0</v>
      </c>
      <c r="K926" s="40">
        <v>0</v>
      </c>
      <c r="L926" s="40">
        <v>0</v>
      </c>
      <c r="M926" s="40" cm="1">
        <f t="array" ref="M926:N926">VLOOKUP(B926,'Fumigation  Room'!B:H,{6,7},0)</f>
        <v>0</v>
      </c>
      <c r="N926" s="40">
        <v>0</v>
      </c>
      <c r="O926" s="40">
        <f t="shared" si="29"/>
        <v>0</v>
      </c>
      <c r="P926" s="40">
        <f t="shared" si="30"/>
        <v>0</v>
      </c>
    </row>
    <row r="927" spans="1:16" x14ac:dyDescent="0.35">
      <c r="A927" s="33">
        <v>924</v>
      </c>
      <c r="B927" s="34" t="s">
        <v>1281</v>
      </c>
      <c r="C927" s="33" t="s">
        <v>346</v>
      </c>
      <c r="D927" s="33" t="s">
        <v>1222</v>
      </c>
      <c r="E927" s="33" t="s">
        <v>1223</v>
      </c>
      <c r="F927" s="35">
        <v>0.5</v>
      </c>
      <c r="G927" s="40">
        <v>0</v>
      </c>
      <c r="H927" s="40">
        <v>0</v>
      </c>
      <c r="I927" s="40">
        <v>0</v>
      </c>
      <c r="J927" s="40">
        <v>0</v>
      </c>
      <c r="K927" s="40">
        <v>0</v>
      </c>
      <c r="L927" s="40">
        <v>0</v>
      </c>
      <c r="M927" s="40" cm="1">
        <f t="array" ref="M927:N927">VLOOKUP(B927,'Fumigation  Room'!B:H,{6,7},0)</f>
        <v>0</v>
      </c>
      <c r="N927" s="40">
        <v>0</v>
      </c>
      <c r="O927" s="40">
        <f t="shared" si="29"/>
        <v>0</v>
      </c>
      <c r="P927" s="40">
        <f t="shared" si="30"/>
        <v>0</v>
      </c>
    </row>
    <row r="928" spans="1:16" x14ac:dyDescent="0.35">
      <c r="A928" s="33">
        <v>925</v>
      </c>
      <c r="B928" s="34" t="s">
        <v>1282</v>
      </c>
      <c r="C928" s="33" t="s">
        <v>297</v>
      </c>
      <c r="D928" s="33" t="s">
        <v>265</v>
      </c>
      <c r="E928" s="33" t="s">
        <v>1283</v>
      </c>
      <c r="F928" s="35">
        <v>1</v>
      </c>
      <c r="G928" s="40">
        <v>0</v>
      </c>
      <c r="H928" s="40">
        <v>0</v>
      </c>
      <c r="I928" s="40">
        <v>0</v>
      </c>
      <c r="J928" s="40">
        <v>0</v>
      </c>
      <c r="K928" s="40">
        <v>0</v>
      </c>
      <c r="L928" s="40">
        <v>0</v>
      </c>
      <c r="M928" s="40" cm="1">
        <f t="array" ref="M928:N928">VLOOKUP(B928,'Fumigation  Room'!B:H,{6,7},0)</f>
        <v>0</v>
      </c>
      <c r="N928" s="40">
        <v>0</v>
      </c>
      <c r="O928" s="40">
        <f t="shared" si="29"/>
        <v>0</v>
      </c>
      <c r="P928" s="40">
        <f t="shared" si="30"/>
        <v>0</v>
      </c>
    </row>
    <row r="929" spans="1:16" x14ac:dyDescent="0.35">
      <c r="A929" s="33">
        <v>926</v>
      </c>
      <c r="B929" s="34" t="s">
        <v>1284</v>
      </c>
      <c r="C929" s="33" t="s">
        <v>297</v>
      </c>
      <c r="D929" s="33" t="s">
        <v>265</v>
      </c>
      <c r="E929" s="33" t="s">
        <v>1283</v>
      </c>
      <c r="F929" s="35">
        <v>1</v>
      </c>
      <c r="G929" s="40">
        <v>0</v>
      </c>
      <c r="H929" s="40">
        <v>0</v>
      </c>
      <c r="I929" s="40">
        <v>0</v>
      </c>
      <c r="J929" s="40">
        <v>0</v>
      </c>
      <c r="K929" s="40">
        <v>0</v>
      </c>
      <c r="L929" s="40">
        <v>0</v>
      </c>
      <c r="M929" s="40" cm="1">
        <f t="array" ref="M929:N929">VLOOKUP(B929,'Fumigation  Room'!B:H,{6,7},0)</f>
        <v>0</v>
      </c>
      <c r="N929" s="40">
        <v>0</v>
      </c>
      <c r="O929" s="40">
        <f t="shared" si="29"/>
        <v>0</v>
      </c>
      <c r="P929" s="40">
        <f t="shared" si="30"/>
        <v>0</v>
      </c>
    </row>
    <row r="930" spans="1:16" x14ac:dyDescent="0.35">
      <c r="A930" s="33">
        <v>927</v>
      </c>
      <c r="B930" s="34" t="s">
        <v>1285</v>
      </c>
      <c r="C930" s="33" t="s">
        <v>297</v>
      </c>
      <c r="D930" s="33" t="s">
        <v>265</v>
      </c>
      <c r="E930" s="33" t="s">
        <v>1283</v>
      </c>
      <c r="F930" s="35">
        <v>1</v>
      </c>
      <c r="G930" s="40">
        <v>0</v>
      </c>
      <c r="H930" s="40">
        <v>0</v>
      </c>
      <c r="I930" s="40">
        <v>0</v>
      </c>
      <c r="J930" s="40">
        <v>0</v>
      </c>
      <c r="K930" s="40">
        <v>0</v>
      </c>
      <c r="L930" s="40">
        <v>0</v>
      </c>
      <c r="M930" s="40" cm="1">
        <f t="array" ref="M930:N930">VLOOKUP(B930,'Fumigation  Room'!B:H,{6,7},0)</f>
        <v>0</v>
      </c>
      <c r="N930" s="40">
        <v>0</v>
      </c>
      <c r="O930" s="40">
        <f t="shared" si="29"/>
        <v>0</v>
      </c>
      <c r="P930" s="40">
        <f t="shared" si="30"/>
        <v>0</v>
      </c>
    </row>
    <row r="931" spans="1:16" x14ac:dyDescent="0.35">
      <c r="A931" s="33">
        <v>928</v>
      </c>
      <c r="B931" s="34" t="s">
        <v>1287</v>
      </c>
      <c r="C931" s="33" t="s">
        <v>346</v>
      </c>
      <c r="D931" s="33" t="s">
        <v>265</v>
      </c>
      <c r="E931" s="33" t="s">
        <v>1283</v>
      </c>
      <c r="F931" s="35">
        <v>1</v>
      </c>
      <c r="G931" s="40">
        <v>0</v>
      </c>
      <c r="H931" s="40">
        <v>0</v>
      </c>
      <c r="I931" s="40">
        <v>0</v>
      </c>
      <c r="J931" s="40">
        <v>0</v>
      </c>
      <c r="K931" s="40">
        <v>0</v>
      </c>
      <c r="L931" s="40">
        <v>0</v>
      </c>
      <c r="M931" s="40" cm="1">
        <f t="array" ref="M931:N931">VLOOKUP(B931,'Fumigation  Room'!B:H,{6,7},0)</f>
        <v>0</v>
      </c>
      <c r="N931" s="40">
        <v>0</v>
      </c>
      <c r="O931" s="40">
        <f t="shared" si="29"/>
        <v>0</v>
      </c>
      <c r="P931" s="40">
        <f t="shared" si="30"/>
        <v>0</v>
      </c>
    </row>
    <row r="932" spans="1:16" x14ac:dyDescent="0.35">
      <c r="A932" s="33">
        <v>929</v>
      </c>
      <c r="B932" s="34" t="s">
        <v>1288</v>
      </c>
      <c r="C932" s="33" t="s">
        <v>346</v>
      </c>
      <c r="D932" s="33" t="s">
        <v>265</v>
      </c>
      <c r="E932" s="33" t="s">
        <v>1283</v>
      </c>
      <c r="F932" s="35">
        <v>0.125</v>
      </c>
      <c r="G932" s="40">
        <v>0</v>
      </c>
      <c r="H932" s="40">
        <v>0</v>
      </c>
      <c r="I932" s="40">
        <v>0</v>
      </c>
      <c r="J932" s="40">
        <v>0</v>
      </c>
      <c r="K932" s="40">
        <v>0</v>
      </c>
      <c r="L932" s="40">
        <v>0</v>
      </c>
      <c r="M932" s="40" cm="1">
        <f t="array" ref="M932:N932">VLOOKUP(B932,'Fumigation  Room'!B:H,{6,7},0)</f>
        <v>0</v>
      </c>
      <c r="N932" s="40">
        <v>0</v>
      </c>
      <c r="O932" s="40">
        <f t="shared" si="29"/>
        <v>0</v>
      </c>
      <c r="P932" s="40">
        <f t="shared" si="30"/>
        <v>0</v>
      </c>
    </row>
    <row r="933" spans="1:16" x14ac:dyDescent="0.35">
      <c r="A933" s="33">
        <v>930</v>
      </c>
      <c r="B933" s="34" t="s">
        <v>1289</v>
      </c>
      <c r="C933" s="33" t="s">
        <v>346</v>
      </c>
      <c r="D933" s="33" t="s">
        <v>265</v>
      </c>
      <c r="E933" s="33" t="s">
        <v>1283</v>
      </c>
      <c r="F933" s="35">
        <v>5.5E-2</v>
      </c>
      <c r="G933" s="40">
        <v>0</v>
      </c>
      <c r="H933" s="40">
        <v>0</v>
      </c>
      <c r="I933" s="40">
        <v>0</v>
      </c>
      <c r="J933" s="40">
        <v>0</v>
      </c>
      <c r="K933" s="40">
        <v>0</v>
      </c>
      <c r="L933" s="40">
        <v>0</v>
      </c>
      <c r="M933" s="40" cm="1">
        <f t="array" ref="M933:N933">VLOOKUP(B933,'Fumigation  Room'!B:H,{6,7},0)</f>
        <v>0</v>
      </c>
      <c r="N933" s="40">
        <v>0</v>
      </c>
      <c r="O933" s="40">
        <f t="shared" si="29"/>
        <v>0</v>
      </c>
      <c r="P933" s="40">
        <f t="shared" si="30"/>
        <v>0</v>
      </c>
    </row>
    <row r="934" spans="1:16" x14ac:dyDescent="0.35">
      <c r="A934" s="33">
        <v>931</v>
      </c>
      <c r="B934" s="34" t="s">
        <v>1290</v>
      </c>
      <c r="C934" s="33" t="s">
        <v>346</v>
      </c>
      <c r="D934" s="33" t="s">
        <v>265</v>
      </c>
      <c r="E934" s="33" t="s">
        <v>1283</v>
      </c>
      <c r="F934" s="35">
        <v>0.125</v>
      </c>
      <c r="G934" s="40">
        <v>0</v>
      </c>
      <c r="H934" s="40">
        <v>0</v>
      </c>
      <c r="I934" s="40">
        <v>0</v>
      </c>
      <c r="J934" s="40">
        <v>0</v>
      </c>
      <c r="K934" s="40">
        <v>0</v>
      </c>
      <c r="L934" s="40">
        <v>0</v>
      </c>
      <c r="M934" s="40" cm="1">
        <f t="array" ref="M934:N934">VLOOKUP(B934,'Fumigation  Room'!B:H,{6,7},0)</f>
        <v>0</v>
      </c>
      <c r="N934" s="40">
        <v>0</v>
      </c>
      <c r="O934" s="40">
        <f t="shared" si="29"/>
        <v>0</v>
      </c>
      <c r="P934" s="40">
        <f t="shared" si="30"/>
        <v>0</v>
      </c>
    </row>
    <row r="935" spans="1:16" x14ac:dyDescent="0.35">
      <c r="A935" s="33">
        <v>932</v>
      </c>
      <c r="B935" s="34" t="s">
        <v>1291</v>
      </c>
      <c r="C935" s="33" t="s">
        <v>346</v>
      </c>
      <c r="D935" s="33" t="s">
        <v>265</v>
      </c>
      <c r="E935" s="33" t="s">
        <v>1283</v>
      </c>
      <c r="F935" s="35">
        <v>5.5E-2</v>
      </c>
      <c r="G935" s="40">
        <v>0</v>
      </c>
      <c r="H935" s="40">
        <v>0</v>
      </c>
      <c r="I935" s="40">
        <v>0</v>
      </c>
      <c r="J935" s="40">
        <v>0</v>
      </c>
      <c r="K935" s="40">
        <v>0</v>
      </c>
      <c r="L935" s="40">
        <v>0</v>
      </c>
      <c r="M935" s="40" cm="1">
        <f t="array" ref="M935:N935">VLOOKUP(B935,'Fumigation  Room'!B:H,{6,7},0)</f>
        <v>0</v>
      </c>
      <c r="N935" s="40">
        <v>0</v>
      </c>
      <c r="O935" s="40">
        <f t="shared" si="29"/>
        <v>0</v>
      </c>
      <c r="P935" s="40">
        <f t="shared" si="30"/>
        <v>0</v>
      </c>
    </row>
    <row r="936" spans="1:16" x14ac:dyDescent="0.35">
      <c r="A936" s="33">
        <v>933</v>
      </c>
      <c r="B936" s="34" t="s">
        <v>1292</v>
      </c>
      <c r="C936" s="33" t="s">
        <v>346</v>
      </c>
      <c r="D936" s="33" t="s">
        <v>265</v>
      </c>
      <c r="E936" s="33" t="s">
        <v>1283</v>
      </c>
      <c r="F936" s="35">
        <v>0.125</v>
      </c>
      <c r="G936" s="40">
        <v>0</v>
      </c>
      <c r="H936" s="40">
        <v>0</v>
      </c>
      <c r="I936" s="40">
        <v>0</v>
      </c>
      <c r="J936" s="40">
        <v>0</v>
      </c>
      <c r="K936" s="40">
        <v>0</v>
      </c>
      <c r="L936" s="40">
        <v>0</v>
      </c>
      <c r="M936" s="40" cm="1">
        <f t="array" ref="M936:N936">VLOOKUP(B936,'Fumigation  Room'!B:H,{6,7},0)</f>
        <v>0</v>
      </c>
      <c r="N936" s="40">
        <v>0</v>
      </c>
      <c r="O936" s="40">
        <f t="shared" si="29"/>
        <v>0</v>
      </c>
      <c r="P936" s="40">
        <f t="shared" si="30"/>
        <v>0</v>
      </c>
    </row>
    <row r="937" spans="1:16" x14ac:dyDescent="0.35">
      <c r="A937" s="33">
        <v>934</v>
      </c>
      <c r="B937" s="34" t="s">
        <v>1293</v>
      </c>
      <c r="C937" s="33" t="s">
        <v>346</v>
      </c>
      <c r="D937" s="33" t="s">
        <v>265</v>
      </c>
      <c r="E937" s="33" t="s">
        <v>1283</v>
      </c>
      <c r="F937" s="35">
        <v>5.5E-2</v>
      </c>
      <c r="G937" s="40">
        <v>0</v>
      </c>
      <c r="H937" s="40">
        <v>0</v>
      </c>
      <c r="I937" s="40">
        <v>0</v>
      </c>
      <c r="J937" s="40">
        <v>0</v>
      </c>
      <c r="K937" s="40">
        <v>0</v>
      </c>
      <c r="L937" s="40">
        <v>0</v>
      </c>
      <c r="M937" s="40" cm="1">
        <f t="array" ref="M937:N937">VLOOKUP(B937,'Fumigation  Room'!B:H,{6,7},0)</f>
        <v>0</v>
      </c>
      <c r="N937" s="40">
        <v>0</v>
      </c>
      <c r="O937" s="40">
        <f t="shared" si="29"/>
        <v>0</v>
      </c>
      <c r="P937" s="40">
        <f t="shared" si="30"/>
        <v>0</v>
      </c>
    </row>
    <row r="938" spans="1:16" x14ac:dyDescent="0.35">
      <c r="A938" s="33">
        <v>935</v>
      </c>
      <c r="B938" s="34" t="s">
        <v>1294</v>
      </c>
      <c r="C938" s="33" t="s">
        <v>346</v>
      </c>
      <c r="D938" s="33" t="s">
        <v>265</v>
      </c>
      <c r="E938" s="33" t="s">
        <v>1283</v>
      </c>
      <c r="F938" s="35">
        <v>0.25</v>
      </c>
      <c r="G938" s="40">
        <v>0</v>
      </c>
      <c r="H938" s="40">
        <v>0</v>
      </c>
      <c r="I938" s="40">
        <v>0</v>
      </c>
      <c r="J938" s="40">
        <v>0</v>
      </c>
      <c r="K938" s="40">
        <v>0</v>
      </c>
      <c r="L938" s="40">
        <v>0</v>
      </c>
      <c r="M938" s="40" cm="1">
        <f t="array" ref="M938:N938">VLOOKUP(B938,'Fumigation  Room'!B:H,{6,7},0)</f>
        <v>0</v>
      </c>
      <c r="N938" s="40">
        <v>0</v>
      </c>
      <c r="O938" s="40">
        <f t="shared" si="29"/>
        <v>0</v>
      </c>
      <c r="P938" s="40">
        <f t="shared" si="30"/>
        <v>0</v>
      </c>
    </row>
    <row r="939" spans="1:16" x14ac:dyDescent="0.35">
      <c r="A939" s="33">
        <v>936</v>
      </c>
      <c r="B939" s="34" t="s">
        <v>1295</v>
      </c>
      <c r="C939" s="33" t="s">
        <v>346</v>
      </c>
      <c r="D939" s="33" t="s">
        <v>265</v>
      </c>
      <c r="E939" s="33" t="s">
        <v>1283</v>
      </c>
      <c r="F939" s="35">
        <v>0.125</v>
      </c>
      <c r="G939" s="40">
        <v>0</v>
      </c>
      <c r="H939" s="40">
        <v>0</v>
      </c>
      <c r="I939" s="40">
        <v>0</v>
      </c>
      <c r="J939" s="40">
        <v>0</v>
      </c>
      <c r="K939" s="40">
        <v>0</v>
      </c>
      <c r="L939" s="40">
        <v>0</v>
      </c>
      <c r="M939" s="40" cm="1">
        <f t="array" ref="M939:N939">VLOOKUP(B939,'Fumigation  Room'!B:H,{6,7},0)</f>
        <v>0</v>
      </c>
      <c r="N939" s="40">
        <v>0</v>
      </c>
      <c r="O939" s="40">
        <f t="shared" si="29"/>
        <v>0</v>
      </c>
      <c r="P939" s="40">
        <f t="shared" si="30"/>
        <v>0</v>
      </c>
    </row>
    <row r="940" spans="1:16" x14ac:dyDescent="0.35">
      <c r="A940" s="33">
        <v>937</v>
      </c>
      <c r="B940" s="34" t="s">
        <v>1296</v>
      </c>
      <c r="C940" s="33" t="s">
        <v>346</v>
      </c>
      <c r="D940" s="33" t="s">
        <v>265</v>
      </c>
      <c r="E940" s="33" t="s">
        <v>1283</v>
      </c>
      <c r="F940" s="35">
        <v>5.5E-2</v>
      </c>
      <c r="G940" s="40">
        <v>0</v>
      </c>
      <c r="H940" s="40">
        <v>0</v>
      </c>
      <c r="I940" s="40">
        <v>0</v>
      </c>
      <c r="J940" s="40">
        <v>0</v>
      </c>
      <c r="K940" s="40">
        <v>0</v>
      </c>
      <c r="L940" s="40">
        <v>0</v>
      </c>
      <c r="M940" s="40" cm="1">
        <f t="array" ref="M940:N940">VLOOKUP(B940,'Fumigation  Room'!B:H,{6,7},0)</f>
        <v>0</v>
      </c>
      <c r="N940" s="40">
        <v>0</v>
      </c>
      <c r="O940" s="40">
        <f t="shared" si="29"/>
        <v>0</v>
      </c>
      <c r="P940" s="40">
        <f t="shared" si="30"/>
        <v>0</v>
      </c>
    </row>
    <row r="941" spans="1:16" x14ac:dyDescent="0.35">
      <c r="A941" s="33">
        <v>938</v>
      </c>
      <c r="B941" s="34" t="s">
        <v>1297</v>
      </c>
      <c r="C941" s="33" t="s">
        <v>346</v>
      </c>
      <c r="D941" s="33" t="s">
        <v>265</v>
      </c>
      <c r="E941" s="33" t="s">
        <v>1283</v>
      </c>
      <c r="F941" s="35">
        <v>0.125</v>
      </c>
      <c r="G941" s="40">
        <v>0</v>
      </c>
      <c r="H941" s="40">
        <v>0</v>
      </c>
      <c r="I941" s="40">
        <v>0</v>
      </c>
      <c r="J941" s="40">
        <v>0</v>
      </c>
      <c r="K941" s="40">
        <v>0</v>
      </c>
      <c r="L941" s="40">
        <v>0</v>
      </c>
      <c r="M941" s="40" cm="1">
        <f t="array" ref="M941:N941">VLOOKUP(B941,'Fumigation  Room'!B:H,{6,7},0)</f>
        <v>0</v>
      </c>
      <c r="N941" s="40">
        <v>0</v>
      </c>
      <c r="O941" s="40">
        <f t="shared" si="29"/>
        <v>0</v>
      </c>
      <c r="P941" s="40">
        <f t="shared" si="30"/>
        <v>0</v>
      </c>
    </row>
    <row r="942" spans="1:16" x14ac:dyDescent="0.35">
      <c r="A942" s="33">
        <v>939</v>
      </c>
      <c r="B942" s="34" t="s">
        <v>1298</v>
      </c>
      <c r="C942" s="33" t="s">
        <v>346</v>
      </c>
      <c r="D942" s="33" t="s">
        <v>265</v>
      </c>
      <c r="E942" s="33" t="s">
        <v>1283</v>
      </c>
      <c r="F942" s="35">
        <v>5.5E-2</v>
      </c>
      <c r="G942" s="40">
        <v>0</v>
      </c>
      <c r="H942" s="40">
        <v>0</v>
      </c>
      <c r="I942" s="40">
        <v>0</v>
      </c>
      <c r="J942" s="40">
        <v>0</v>
      </c>
      <c r="K942" s="40">
        <v>0</v>
      </c>
      <c r="L942" s="40">
        <v>0</v>
      </c>
      <c r="M942" s="40" cm="1">
        <f t="array" ref="M942:N942">VLOOKUP(B942,'Fumigation  Room'!B:H,{6,7},0)</f>
        <v>0</v>
      </c>
      <c r="N942" s="40">
        <v>0</v>
      </c>
      <c r="O942" s="40">
        <f t="shared" si="29"/>
        <v>0</v>
      </c>
      <c r="P942" s="40">
        <f t="shared" si="30"/>
        <v>0</v>
      </c>
    </row>
    <row r="943" spans="1:16" x14ac:dyDescent="0.35">
      <c r="A943" s="33">
        <v>940</v>
      </c>
      <c r="B943" s="34" t="s">
        <v>1299</v>
      </c>
      <c r="C943" s="33" t="s">
        <v>346</v>
      </c>
      <c r="D943" s="33" t="s">
        <v>265</v>
      </c>
      <c r="E943" s="33" t="s">
        <v>1283</v>
      </c>
      <c r="F943" s="35">
        <v>0.125</v>
      </c>
      <c r="G943" s="40">
        <v>0</v>
      </c>
      <c r="H943" s="40">
        <v>0</v>
      </c>
      <c r="I943" s="40">
        <v>0</v>
      </c>
      <c r="J943" s="40">
        <v>0</v>
      </c>
      <c r="K943" s="40">
        <v>0</v>
      </c>
      <c r="L943" s="40">
        <v>0</v>
      </c>
      <c r="M943" s="40" cm="1">
        <f t="array" ref="M943:N943">VLOOKUP(B943,'Fumigation  Room'!B:H,{6,7},0)</f>
        <v>0</v>
      </c>
      <c r="N943" s="40">
        <v>0</v>
      </c>
      <c r="O943" s="40">
        <f t="shared" si="29"/>
        <v>0</v>
      </c>
      <c r="P943" s="40">
        <f t="shared" si="30"/>
        <v>0</v>
      </c>
    </row>
    <row r="944" spans="1:16" x14ac:dyDescent="0.35">
      <c r="A944" s="33">
        <v>941</v>
      </c>
      <c r="B944" s="34" t="s">
        <v>1300</v>
      </c>
      <c r="C944" s="33" t="s">
        <v>346</v>
      </c>
      <c r="D944" s="33" t="s">
        <v>265</v>
      </c>
      <c r="E944" s="33" t="s">
        <v>1283</v>
      </c>
      <c r="F944" s="35">
        <v>5.5E-2</v>
      </c>
      <c r="G944" s="40">
        <v>0</v>
      </c>
      <c r="H944" s="40">
        <v>0</v>
      </c>
      <c r="I944" s="40">
        <v>0</v>
      </c>
      <c r="J944" s="40">
        <v>0</v>
      </c>
      <c r="K944" s="40">
        <v>0</v>
      </c>
      <c r="L944" s="40">
        <v>0</v>
      </c>
      <c r="M944" s="40" cm="1">
        <f t="array" ref="M944:N944">VLOOKUP(B944,'Fumigation  Room'!B:H,{6,7},0)</f>
        <v>0</v>
      </c>
      <c r="N944" s="40">
        <v>0</v>
      </c>
      <c r="O944" s="40">
        <f t="shared" si="29"/>
        <v>0</v>
      </c>
      <c r="P944" s="40">
        <f t="shared" si="30"/>
        <v>0</v>
      </c>
    </row>
    <row r="945" spans="1:16" x14ac:dyDescent="0.35">
      <c r="A945" s="33">
        <v>942</v>
      </c>
      <c r="B945" s="34" t="s">
        <v>1301</v>
      </c>
      <c r="C945" s="33" t="s">
        <v>346</v>
      </c>
      <c r="D945" s="33" t="s">
        <v>265</v>
      </c>
      <c r="E945" s="33" t="s">
        <v>1283</v>
      </c>
      <c r="F945" s="35">
        <v>1</v>
      </c>
      <c r="G945" s="40">
        <v>0</v>
      </c>
      <c r="H945" s="40">
        <v>0</v>
      </c>
      <c r="I945" s="40">
        <v>0</v>
      </c>
      <c r="J945" s="40">
        <v>0</v>
      </c>
      <c r="K945" s="40">
        <v>0</v>
      </c>
      <c r="L945" s="40">
        <v>0</v>
      </c>
      <c r="M945" s="40" cm="1">
        <f t="array" ref="M945:N945">VLOOKUP(B945,'Fumigation  Room'!B:H,{6,7},0)</f>
        <v>0</v>
      </c>
      <c r="N945" s="40">
        <v>0</v>
      </c>
      <c r="O945" s="40">
        <f t="shared" si="29"/>
        <v>0</v>
      </c>
      <c r="P945" s="40">
        <f t="shared" si="30"/>
        <v>0</v>
      </c>
    </row>
    <row r="946" spans="1:16" x14ac:dyDescent="0.35">
      <c r="A946" s="33">
        <v>943</v>
      </c>
      <c r="B946" s="34" t="s">
        <v>1302</v>
      </c>
      <c r="C946" s="33" t="s">
        <v>346</v>
      </c>
      <c r="D946" s="33" t="s">
        <v>265</v>
      </c>
      <c r="E946" s="33" t="s">
        <v>1283</v>
      </c>
      <c r="F946" s="35">
        <v>0.1</v>
      </c>
      <c r="G946" s="40">
        <v>0</v>
      </c>
      <c r="H946" s="40">
        <v>0</v>
      </c>
      <c r="I946" s="40">
        <v>0</v>
      </c>
      <c r="J946" s="40">
        <v>0</v>
      </c>
      <c r="K946" s="40">
        <v>0</v>
      </c>
      <c r="L946" s="40">
        <v>0</v>
      </c>
      <c r="M946" s="40" cm="1">
        <f t="array" ref="M946:N946">VLOOKUP(B946,'Fumigation  Room'!B:H,{6,7},0)</f>
        <v>0</v>
      </c>
      <c r="N946" s="40">
        <v>0</v>
      </c>
      <c r="O946" s="40">
        <f t="shared" si="29"/>
        <v>0</v>
      </c>
      <c r="P946" s="40">
        <f t="shared" si="30"/>
        <v>0</v>
      </c>
    </row>
    <row r="947" spans="1:16" x14ac:dyDescent="0.35">
      <c r="A947" s="33">
        <v>944</v>
      </c>
      <c r="B947" s="34" t="s">
        <v>1303</v>
      </c>
      <c r="C947" s="33" t="s">
        <v>346</v>
      </c>
      <c r="D947" s="33" t="s">
        <v>265</v>
      </c>
      <c r="E947" s="33" t="s">
        <v>1283</v>
      </c>
      <c r="F947" s="35">
        <v>0.1</v>
      </c>
      <c r="G947" s="40">
        <v>0</v>
      </c>
      <c r="H947" s="40">
        <v>0</v>
      </c>
      <c r="I947" s="40">
        <v>0</v>
      </c>
      <c r="J947" s="40">
        <v>0</v>
      </c>
      <c r="K947" s="40">
        <v>0</v>
      </c>
      <c r="L947" s="40">
        <v>0</v>
      </c>
      <c r="M947" s="40" cm="1">
        <f t="array" ref="M947:N947">VLOOKUP(B947,'Fumigation  Room'!B:H,{6,7},0)</f>
        <v>0</v>
      </c>
      <c r="N947" s="40">
        <v>0</v>
      </c>
      <c r="O947" s="40">
        <f t="shared" si="29"/>
        <v>0</v>
      </c>
      <c r="P947" s="40">
        <f t="shared" si="30"/>
        <v>0</v>
      </c>
    </row>
    <row r="948" spans="1:16" x14ac:dyDescent="0.35">
      <c r="A948" s="33">
        <v>945</v>
      </c>
      <c r="B948" s="34" t="s">
        <v>1304</v>
      </c>
      <c r="C948" s="33" t="s">
        <v>346</v>
      </c>
      <c r="D948" s="33" t="s">
        <v>265</v>
      </c>
      <c r="E948" s="33" t="s">
        <v>1283</v>
      </c>
      <c r="F948" s="35">
        <v>0.1</v>
      </c>
      <c r="G948" s="40">
        <v>0</v>
      </c>
      <c r="H948" s="40">
        <v>0</v>
      </c>
      <c r="I948" s="40">
        <v>0</v>
      </c>
      <c r="J948" s="40">
        <v>0</v>
      </c>
      <c r="K948" s="40">
        <v>0</v>
      </c>
      <c r="L948" s="40">
        <v>0</v>
      </c>
      <c r="M948" s="40" cm="1">
        <f t="array" ref="M948:N948">VLOOKUP(B948,'Fumigation  Room'!B:H,{6,7},0)</f>
        <v>0</v>
      </c>
      <c r="N948" s="40">
        <v>0</v>
      </c>
      <c r="O948" s="40">
        <f t="shared" si="29"/>
        <v>0</v>
      </c>
      <c r="P948" s="40">
        <f t="shared" si="30"/>
        <v>0</v>
      </c>
    </row>
    <row r="949" spans="1:16" x14ac:dyDescent="0.35">
      <c r="A949" s="33">
        <v>946</v>
      </c>
      <c r="B949" s="34" t="s">
        <v>1305</v>
      </c>
      <c r="C949" s="33" t="s">
        <v>346</v>
      </c>
      <c r="D949" s="33" t="s">
        <v>265</v>
      </c>
      <c r="E949" s="33" t="s">
        <v>1283</v>
      </c>
      <c r="F949" s="35">
        <v>0.1</v>
      </c>
      <c r="G949" s="40">
        <v>0</v>
      </c>
      <c r="H949" s="40">
        <v>0</v>
      </c>
      <c r="I949" s="40">
        <v>0</v>
      </c>
      <c r="J949" s="40">
        <v>0</v>
      </c>
      <c r="K949" s="40">
        <v>0</v>
      </c>
      <c r="L949" s="40">
        <v>0</v>
      </c>
      <c r="M949" s="40" cm="1">
        <f t="array" ref="M949:N949">VLOOKUP(B949,'Fumigation  Room'!B:H,{6,7},0)</f>
        <v>0</v>
      </c>
      <c r="N949" s="40">
        <v>0</v>
      </c>
      <c r="O949" s="40">
        <f t="shared" si="29"/>
        <v>0</v>
      </c>
      <c r="P949" s="40">
        <f t="shared" si="30"/>
        <v>0</v>
      </c>
    </row>
    <row r="950" spans="1:16" x14ac:dyDescent="0.35">
      <c r="A950" s="33">
        <v>947</v>
      </c>
      <c r="B950" s="34" t="s">
        <v>1306</v>
      </c>
      <c r="C950" s="33" t="s">
        <v>346</v>
      </c>
      <c r="D950" s="33" t="s">
        <v>265</v>
      </c>
      <c r="E950" s="33" t="s">
        <v>1283</v>
      </c>
      <c r="F950" s="35">
        <v>2.5000000000000001E-2</v>
      </c>
      <c r="G950" s="40">
        <v>0</v>
      </c>
      <c r="H950" s="40">
        <v>0</v>
      </c>
      <c r="I950" s="40">
        <v>0</v>
      </c>
      <c r="J950" s="40">
        <v>0</v>
      </c>
      <c r="K950" s="40">
        <v>0</v>
      </c>
      <c r="L950" s="40">
        <v>0</v>
      </c>
      <c r="M950" s="40" cm="1">
        <f t="array" ref="M950:N950">VLOOKUP(B950,'Fumigation  Room'!B:H,{6,7},0)</f>
        <v>0</v>
      </c>
      <c r="N950" s="40">
        <v>0</v>
      </c>
      <c r="O950" s="40">
        <f t="shared" si="29"/>
        <v>0</v>
      </c>
      <c r="P950" s="40">
        <f t="shared" si="30"/>
        <v>0</v>
      </c>
    </row>
    <row r="951" spans="1:16" x14ac:dyDescent="0.35">
      <c r="A951" s="33">
        <v>948</v>
      </c>
      <c r="B951" s="34" t="s">
        <v>1307</v>
      </c>
      <c r="C951" s="33" t="s">
        <v>346</v>
      </c>
      <c r="D951" s="33" t="s">
        <v>265</v>
      </c>
      <c r="E951" s="33" t="s">
        <v>1283</v>
      </c>
      <c r="F951" s="35">
        <v>2.5000000000000001E-2</v>
      </c>
      <c r="G951" s="40">
        <v>0</v>
      </c>
      <c r="H951" s="40">
        <v>0</v>
      </c>
      <c r="I951" s="40">
        <v>0</v>
      </c>
      <c r="J951" s="40">
        <v>0</v>
      </c>
      <c r="K951" s="40">
        <v>0</v>
      </c>
      <c r="L951" s="40">
        <v>0</v>
      </c>
      <c r="M951" s="40" cm="1">
        <f t="array" ref="M951:N951">VLOOKUP(B951,'Fumigation  Room'!B:H,{6,7},0)</f>
        <v>0</v>
      </c>
      <c r="N951" s="40">
        <v>0</v>
      </c>
      <c r="O951" s="40">
        <f t="shared" si="29"/>
        <v>0</v>
      </c>
      <c r="P951" s="40">
        <f t="shared" si="30"/>
        <v>0</v>
      </c>
    </row>
    <row r="952" spans="1:16" x14ac:dyDescent="0.35">
      <c r="A952" s="33">
        <v>949</v>
      </c>
      <c r="B952" s="34" t="s">
        <v>1308</v>
      </c>
      <c r="C952" s="33" t="s">
        <v>346</v>
      </c>
      <c r="D952" s="33" t="s">
        <v>265</v>
      </c>
      <c r="E952" s="33" t="s">
        <v>1283</v>
      </c>
      <c r="F952" s="35">
        <v>2.5000000000000001E-2</v>
      </c>
      <c r="G952" s="40">
        <v>0</v>
      </c>
      <c r="H952" s="40">
        <v>0</v>
      </c>
      <c r="I952" s="40">
        <v>0</v>
      </c>
      <c r="J952" s="40">
        <v>0</v>
      </c>
      <c r="K952" s="40">
        <v>0</v>
      </c>
      <c r="L952" s="40">
        <v>0</v>
      </c>
      <c r="M952" s="40" cm="1">
        <f t="array" ref="M952:N952">VLOOKUP(B952,'Fumigation  Room'!B:H,{6,7},0)</f>
        <v>0</v>
      </c>
      <c r="N952" s="40">
        <v>0</v>
      </c>
      <c r="O952" s="40">
        <f t="shared" si="29"/>
        <v>0</v>
      </c>
      <c r="P952" s="40">
        <f t="shared" si="30"/>
        <v>0</v>
      </c>
    </row>
    <row r="953" spans="1:16" x14ac:dyDescent="0.35">
      <c r="A953" s="33">
        <v>950</v>
      </c>
      <c r="B953" s="34" t="s">
        <v>1309</v>
      </c>
      <c r="C953" s="33" t="s">
        <v>346</v>
      </c>
      <c r="D953" s="33" t="s">
        <v>265</v>
      </c>
      <c r="E953" s="33" t="s">
        <v>1283</v>
      </c>
      <c r="F953" s="35">
        <v>2.5000000000000001E-2</v>
      </c>
      <c r="G953" s="40">
        <v>0</v>
      </c>
      <c r="H953" s="40">
        <v>0</v>
      </c>
      <c r="I953" s="40">
        <v>0</v>
      </c>
      <c r="J953" s="40">
        <v>0</v>
      </c>
      <c r="K953" s="40">
        <v>0</v>
      </c>
      <c r="L953" s="40">
        <v>0</v>
      </c>
      <c r="M953" s="40" cm="1">
        <f t="array" ref="M953:N953">VLOOKUP(B953,'Fumigation  Room'!B:H,{6,7},0)</f>
        <v>0</v>
      </c>
      <c r="N953" s="40">
        <v>0</v>
      </c>
      <c r="O953" s="40">
        <f t="shared" si="29"/>
        <v>0</v>
      </c>
      <c r="P953" s="40">
        <f t="shared" si="30"/>
        <v>0</v>
      </c>
    </row>
    <row r="954" spans="1:16" x14ac:dyDescent="0.35">
      <c r="A954" s="33">
        <v>951</v>
      </c>
      <c r="B954" s="34" t="s">
        <v>1310</v>
      </c>
      <c r="C954" s="33" t="s">
        <v>346</v>
      </c>
      <c r="D954" s="33" t="s">
        <v>265</v>
      </c>
      <c r="E954" s="33" t="s">
        <v>1283</v>
      </c>
      <c r="F954" s="35">
        <v>1</v>
      </c>
      <c r="G954" s="40">
        <v>0</v>
      </c>
      <c r="H954" s="40">
        <v>0</v>
      </c>
      <c r="I954" s="40">
        <v>0</v>
      </c>
      <c r="J954" s="40">
        <v>0</v>
      </c>
      <c r="K954" s="40">
        <v>0</v>
      </c>
      <c r="L954" s="40">
        <v>0</v>
      </c>
      <c r="M954" s="40" cm="1">
        <f t="array" ref="M954:N954">VLOOKUP(B954,'Fumigation  Room'!B:H,{6,7},0)</f>
        <v>0</v>
      </c>
      <c r="N954" s="40">
        <v>0</v>
      </c>
      <c r="O954" s="40">
        <f t="shared" si="29"/>
        <v>0</v>
      </c>
      <c r="P954" s="40">
        <f t="shared" si="30"/>
        <v>0</v>
      </c>
    </row>
    <row r="955" spans="1:16" x14ac:dyDescent="0.35">
      <c r="A955" s="33">
        <v>952</v>
      </c>
      <c r="B955" s="34" t="s">
        <v>1311</v>
      </c>
      <c r="C955" s="33" t="s">
        <v>346</v>
      </c>
      <c r="D955" s="33" t="s">
        <v>265</v>
      </c>
      <c r="E955" s="33" t="s">
        <v>1283</v>
      </c>
      <c r="F955" s="35">
        <v>7.4999999999999997E-2</v>
      </c>
      <c r="G955" s="40">
        <v>0</v>
      </c>
      <c r="H955" s="40">
        <v>0</v>
      </c>
      <c r="I955" s="40">
        <v>0</v>
      </c>
      <c r="J955" s="40">
        <v>0</v>
      </c>
      <c r="K955" s="40">
        <v>0</v>
      </c>
      <c r="L955" s="40">
        <v>0</v>
      </c>
      <c r="M955" s="40" cm="1">
        <f t="array" ref="M955:N955">VLOOKUP(B955,'Fumigation  Room'!B:H,{6,7},0)</f>
        <v>0</v>
      </c>
      <c r="N955" s="40">
        <v>0</v>
      </c>
      <c r="O955" s="40">
        <f t="shared" si="29"/>
        <v>0</v>
      </c>
      <c r="P955" s="40">
        <f t="shared" si="30"/>
        <v>0</v>
      </c>
    </row>
    <row r="956" spans="1:16" x14ac:dyDescent="0.35">
      <c r="A956" s="33">
        <v>953</v>
      </c>
      <c r="B956" s="34" t="s">
        <v>1312</v>
      </c>
      <c r="C956" s="33" t="s">
        <v>346</v>
      </c>
      <c r="D956" s="33" t="s">
        <v>265</v>
      </c>
      <c r="E956" s="33" t="s">
        <v>1283</v>
      </c>
      <c r="F956" s="35">
        <v>7.4999999999999997E-2</v>
      </c>
      <c r="G956" s="40">
        <v>0</v>
      </c>
      <c r="H956" s="40">
        <v>0</v>
      </c>
      <c r="I956" s="40">
        <v>0</v>
      </c>
      <c r="J956" s="40">
        <v>0</v>
      </c>
      <c r="K956" s="40">
        <v>0</v>
      </c>
      <c r="L956" s="40">
        <v>0</v>
      </c>
      <c r="M956" s="40" cm="1">
        <f t="array" ref="M956:N956">VLOOKUP(B956,'Fumigation  Room'!B:H,{6,7},0)</f>
        <v>0</v>
      </c>
      <c r="N956" s="40">
        <v>0</v>
      </c>
      <c r="O956" s="40">
        <f t="shared" si="29"/>
        <v>0</v>
      </c>
      <c r="P956" s="40">
        <f t="shared" si="30"/>
        <v>0</v>
      </c>
    </row>
    <row r="957" spans="1:16" x14ac:dyDescent="0.35">
      <c r="A957" s="33">
        <v>954</v>
      </c>
      <c r="B957" s="34" t="s">
        <v>1313</v>
      </c>
      <c r="C957" s="33" t="s">
        <v>346</v>
      </c>
      <c r="D957" s="33" t="s">
        <v>265</v>
      </c>
      <c r="E957" s="33" t="s">
        <v>1283</v>
      </c>
      <c r="F957" s="35">
        <v>1</v>
      </c>
      <c r="G957" s="40">
        <v>0</v>
      </c>
      <c r="H957" s="40">
        <v>0</v>
      </c>
      <c r="I957" s="40">
        <v>0</v>
      </c>
      <c r="J957" s="40">
        <v>0</v>
      </c>
      <c r="K957" s="40">
        <v>0</v>
      </c>
      <c r="L957" s="40">
        <v>0</v>
      </c>
      <c r="M957" s="40" cm="1">
        <f t="array" ref="M957:N957">VLOOKUP(B957,'Fumigation  Room'!B:H,{6,7},0)</f>
        <v>0</v>
      </c>
      <c r="N957" s="40">
        <v>0</v>
      </c>
      <c r="O957" s="40">
        <f t="shared" si="29"/>
        <v>0</v>
      </c>
      <c r="P957" s="40">
        <f t="shared" si="30"/>
        <v>0</v>
      </c>
    </row>
    <row r="958" spans="1:16" x14ac:dyDescent="0.35">
      <c r="A958" s="33">
        <v>955</v>
      </c>
      <c r="B958" s="34" t="s">
        <v>1314</v>
      </c>
      <c r="C958" s="33" t="s">
        <v>346</v>
      </c>
      <c r="D958" s="33" t="s">
        <v>265</v>
      </c>
      <c r="E958" s="33" t="s">
        <v>1283</v>
      </c>
      <c r="F958" s="35">
        <v>7.4999999999999997E-2</v>
      </c>
      <c r="G958" s="40">
        <v>0</v>
      </c>
      <c r="H958" s="40">
        <v>0</v>
      </c>
      <c r="I958" s="40">
        <v>0</v>
      </c>
      <c r="J958" s="40">
        <v>0</v>
      </c>
      <c r="K958" s="40">
        <v>0</v>
      </c>
      <c r="L958" s="40">
        <v>0</v>
      </c>
      <c r="M958" s="40" cm="1">
        <f t="array" ref="M958:N958">VLOOKUP(B958,'Fumigation  Room'!B:H,{6,7},0)</f>
        <v>0</v>
      </c>
      <c r="N958" s="40">
        <v>0</v>
      </c>
      <c r="O958" s="40">
        <f t="shared" si="29"/>
        <v>0</v>
      </c>
      <c r="P958" s="40">
        <f t="shared" si="30"/>
        <v>0</v>
      </c>
    </row>
    <row r="959" spans="1:16" x14ac:dyDescent="0.35">
      <c r="A959" s="33">
        <v>956</v>
      </c>
      <c r="B959" s="34" t="s">
        <v>1315</v>
      </c>
      <c r="C959" s="33" t="s">
        <v>346</v>
      </c>
      <c r="D959" s="33" t="s">
        <v>265</v>
      </c>
      <c r="E959" s="33" t="s">
        <v>1283</v>
      </c>
      <c r="F959" s="35">
        <v>1</v>
      </c>
      <c r="G959" s="40">
        <v>0</v>
      </c>
      <c r="H959" s="40">
        <v>0</v>
      </c>
      <c r="I959" s="40">
        <v>0</v>
      </c>
      <c r="J959" s="40">
        <v>0</v>
      </c>
      <c r="K959" s="40">
        <v>0</v>
      </c>
      <c r="L959" s="40">
        <v>0</v>
      </c>
      <c r="M959" s="40" cm="1">
        <f t="array" ref="M959:N959">VLOOKUP(B959,'Fumigation  Room'!B:H,{6,7},0)</f>
        <v>0</v>
      </c>
      <c r="N959" s="40">
        <v>0</v>
      </c>
      <c r="O959" s="40">
        <f t="shared" si="29"/>
        <v>0</v>
      </c>
      <c r="P959" s="40">
        <f t="shared" si="30"/>
        <v>0</v>
      </c>
    </row>
    <row r="960" spans="1:16" x14ac:dyDescent="0.35">
      <c r="A960" s="33">
        <v>957</v>
      </c>
      <c r="B960" s="34" t="s">
        <v>1316</v>
      </c>
      <c r="C960" s="33" t="s">
        <v>346</v>
      </c>
      <c r="D960" s="33" t="s">
        <v>265</v>
      </c>
      <c r="E960" s="33" t="s">
        <v>1283</v>
      </c>
      <c r="F960" s="35">
        <v>1</v>
      </c>
      <c r="G960" s="40">
        <v>0</v>
      </c>
      <c r="H960" s="40">
        <v>0</v>
      </c>
      <c r="I960" s="40">
        <v>0</v>
      </c>
      <c r="J960" s="40">
        <v>0</v>
      </c>
      <c r="K960" s="40">
        <v>0</v>
      </c>
      <c r="L960" s="40">
        <v>0</v>
      </c>
      <c r="M960" s="40" cm="1">
        <f t="array" ref="M960:N960">VLOOKUP(B960,'Fumigation  Room'!B:H,{6,7},0)</f>
        <v>0</v>
      </c>
      <c r="N960" s="40">
        <v>0</v>
      </c>
      <c r="O960" s="40">
        <f t="shared" si="29"/>
        <v>0</v>
      </c>
      <c r="P960" s="40">
        <f t="shared" si="30"/>
        <v>0</v>
      </c>
    </row>
    <row r="961" spans="1:16" x14ac:dyDescent="0.35">
      <c r="A961" s="33">
        <v>958</v>
      </c>
      <c r="B961" s="34" t="s">
        <v>1317</v>
      </c>
      <c r="C961" s="33" t="s">
        <v>346</v>
      </c>
      <c r="D961" s="33" t="s">
        <v>265</v>
      </c>
      <c r="E961" s="33" t="s">
        <v>1283</v>
      </c>
      <c r="F961" s="35">
        <v>0.05</v>
      </c>
      <c r="G961" s="40">
        <v>0</v>
      </c>
      <c r="H961" s="40">
        <v>0</v>
      </c>
      <c r="I961" s="40">
        <v>0</v>
      </c>
      <c r="J961" s="40">
        <v>0</v>
      </c>
      <c r="K961" s="40">
        <v>0</v>
      </c>
      <c r="L961" s="40">
        <v>0</v>
      </c>
      <c r="M961" s="40" cm="1">
        <f t="array" ref="M961:N961">VLOOKUP(B961,'Fumigation  Room'!B:H,{6,7},0)</f>
        <v>0</v>
      </c>
      <c r="N961" s="40">
        <v>0</v>
      </c>
      <c r="O961" s="40">
        <f t="shared" si="29"/>
        <v>0</v>
      </c>
      <c r="P961" s="40">
        <f t="shared" si="30"/>
        <v>0</v>
      </c>
    </row>
    <row r="962" spans="1:16" x14ac:dyDescent="0.35">
      <c r="A962" s="33">
        <v>959</v>
      </c>
      <c r="B962" s="34" t="s">
        <v>1318</v>
      </c>
      <c r="C962" s="33" t="s">
        <v>346</v>
      </c>
      <c r="D962" s="33" t="s">
        <v>265</v>
      </c>
      <c r="E962" s="33" t="s">
        <v>1283</v>
      </c>
      <c r="F962" s="35">
        <v>7.4999999999999997E-2</v>
      </c>
      <c r="G962" s="40">
        <v>0</v>
      </c>
      <c r="H962" s="40">
        <v>0</v>
      </c>
      <c r="I962" s="40">
        <v>0</v>
      </c>
      <c r="J962" s="40">
        <v>0</v>
      </c>
      <c r="K962" s="40">
        <v>0</v>
      </c>
      <c r="L962" s="40">
        <v>0</v>
      </c>
      <c r="M962" s="40" cm="1">
        <f t="array" ref="M962:N962">VLOOKUP(B962,'Fumigation  Room'!B:H,{6,7},0)</f>
        <v>0</v>
      </c>
      <c r="N962" s="40">
        <v>0</v>
      </c>
      <c r="O962" s="40">
        <f t="shared" si="29"/>
        <v>0</v>
      </c>
      <c r="P962" s="40">
        <f t="shared" si="30"/>
        <v>0</v>
      </c>
    </row>
    <row r="963" spans="1:16" x14ac:dyDescent="0.35">
      <c r="A963" s="33">
        <v>960</v>
      </c>
      <c r="B963" s="34" t="s">
        <v>1319</v>
      </c>
      <c r="C963" s="33" t="s">
        <v>346</v>
      </c>
      <c r="D963" s="33" t="s">
        <v>265</v>
      </c>
      <c r="E963" s="33" t="s">
        <v>1283</v>
      </c>
      <c r="F963" s="35">
        <v>1</v>
      </c>
      <c r="G963" s="40">
        <v>0</v>
      </c>
      <c r="H963" s="40">
        <v>0</v>
      </c>
      <c r="I963" s="40">
        <v>0</v>
      </c>
      <c r="J963" s="40">
        <v>0</v>
      </c>
      <c r="K963" s="40">
        <v>0</v>
      </c>
      <c r="L963" s="40">
        <v>0</v>
      </c>
      <c r="M963" s="40" cm="1">
        <f t="array" ref="M963:N963">VLOOKUP(B963,'Fumigation  Room'!B:H,{6,7},0)</f>
        <v>0</v>
      </c>
      <c r="N963" s="40">
        <v>0</v>
      </c>
      <c r="O963" s="40">
        <f t="shared" si="29"/>
        <v>0</v>
      </c>
      <c r="P963" s="40">
        <f t="shared" si="30"/>
        <v>0</v>
      </c>
    </row>
    <row r="964" spans="1:16" x14ac:dyDescent="0.35">
      <c r="A964" s="33">
        <v>961</v>
      </c>
      <c r="B964" s="34" t="s">
        <v>1320</v>
      </c>
      <c r="C964" s="33" t="s">
        <v>346</v>
      </c>
      <c r="D964" s="33" t="s">
        <v>265</v>
      </c>
      <c r="E964" s="33" t="s">
        <v>1283</v>
      </c>
      <c r="F964" s="35">
        <v>0.05</v>
      </c>
      <c r="G964" s="40">
        <v>0</v>
      </c>
      <c r="H964" s="40">
        <v>0</v>
      </c>
      <c r="I964" s="40">
        <v>0</v>
      </c>
      <c r="J964" s="40">
        <v>0</v>
      </c>
      <c r="K964" s="40">
        <v>0</v>
      </c>
      <c r="L964" s="40">
        <v>0</v>
      </c>
      <c r="M964" s="40" cm="1">
        <f t="array" ref="M964:N964">VLOOKUP(B964,'Fumigation  Room'!B:H,{6,7},0)</f>
        <v>0</v>
      </c>
      <c r="N964" s="40">
        <v>0</v>
      </c>
      <c r="O964" s="40">
        <f t="shared" si="29"/>
        <v>0</v>
      </c>
      <c r="P964" s="40">
        <f t="shared" si="30"/>
        <v>0</v>
      </c>
    </row>
    <row r="965" spans="1:16" x14ac:dyDescent="0.35">
      <c r="A965" s="33">
        <v>962</v>
      </c>
      <c r="B965" s="34" t="s">
        <v>1321</v>
      </c>
      <c r="C965" s="33" t="s">
        <v>346</v>
      </c>
      <c r="D965" s="33" t="s">
        <v>265</v>
      </c>
      <c r="E965" s="33" t="s">
        <v>1283</v>
      </c>
      <c r="F965" s="35">
        <v>1</v>
      </c>
      <c r="G965" s="40">
        <v>0</v>
      </c>
      <c r="H965" s="40">
        <v>0</v>
      </c>
      <c r="I965" s="40">
        <v>0</v>
      </c>
      <c r="J965" s="40">
        <v>0</v>
      </c>
      <c r="K965" s="40">
        <v>0</v>
      </c>
      <c r="L965" s="40">
        <v>0</v>
      </c>
      <c r="M965" s="40" cm="1">
        <f t="array" ref="M965:N965">VLOOKUP(B965,'Fumigation  Room'!B:H,{6,7},0)</f>
        <v>0</v>
      </c>
      <c r="N965" s="40">
        <v>0</v>
      </c>
      <c r="O965" s="40">
        <f t="shared" ref="O965:O1028" si="31">G965+I965+K965+M965</f>
        <v>0</v>
      </c>
      <c r="P965" s="40">
        <f t="shared" ref="P965:P1028" si="32">H965+J965+L965+N965</f>
        <v>0</v>
      </c>
    </row>
    <row r="966" spans="1:16" x14ac:dyDescent="0.35">
      <c r="A966" s="33">
        <v>963</v>
      </c>
      <c r="B966" s="34" t="s">
        <v>1322</v>
      </c>
      <c r="C966" s="33" t="s">
        <v>346</v>
      </c>
      <c r="D966" s="33" t="s">
        <v>265</v>
      </c>
      <c r="E966" s="33" t="s">
        <v>1283</v>
      </c>
      <c r="F966" s="35">
        <v>5.5E-2</v>
      </c>
      <c r="G966" s="40">
        <v>0</v>
      </c>
      <c r="H966" s="40">
        <v>0</v>
      </c>
      <c r="I966" s="40">
        <v>0</v>
      </c>
      <c r="J966" s="40">
        <v>0</v>
      </c>
      <c r="K966" s="40">
        <v>0</v>
      </c>
      <c r="L966" s="40">
        <v>0</v>
      </c>
      <c r="M966" s="40" cm="1">
        <f t="array" ref="M966:N966">VLOOKUP(B966,'Fumigation  Room'!B:H,{6,7},0)</f>
        <v>0</v>
      </c>
      <c r="N966" s="40">
        <v>0.5</v>
      </c>
      <c r="O966" s="40">
        <f t="shared" si="31"/>
        <v>0</v>
      </c>
      <c r="P966" s="40">
        <f t="shared" si="32"/>
        <v>0.5</v>
      </c>
    </row>
    <row r="967" spans="1:16" x14ac:dyDescent="0.35">
      <c r="A967" s="33">
        <v>964</v>
      </c>
      <c r="B967" s="34" t="s">
        <v>1323</v>
      </c>
      <c r="C967" s="33" t="s">
        <v>346</v>
      </c>
      <c r="D967" s="33" t="s">
        <v>265</v>
      </c>
      <c r="E967" s="33" t="s">
        <v>1283</v>
      </c>
      <c r="F967" s="35">
        <v>2.5000000000000001E-2</v>
      </c>
      <c r="G967" s="40">
        <v>0</v>
      </c>
      <c r="H967" s="40">
        <v>0</v>
      </c>
      <c r="I967" s="40">
        <v>0</v>
      </c>
      <c r="J967" s="40">
        <v>0</v>
      </c>
      <c r="K967" s="40">
        <v>0</v>
      </c>
      <c r="L967" s="40">
        <v>0</v>
      </c>
      <c r="M967" s="40" cm="1">
        <f t="array" ref="M967:N967">VLOOKUP(B967,'Fumigation  Room'!B:H,{6,7},0)</f>
        <v>0</v>
      </c>
      <c r="N967" s="40">
        <v>0</v>
      </c>
      <c r="O967" s="40">
        <f t="shared" si="31"/>
        <v>0</v>
      </c>
      <c r="P967" s="40">
        <f t="shared" si="32"/>
        <v>0</v>
      </c>
    </row>
    <row r="968" spans="1:16" x14ac:dyDescent="0.35">
      <c r="A968" s="33">
        <v>965</v>
      </c>
      <c r="B968" s="34" t="s">
        <v>1324</v>
      </c>
      <c r="C968" s="33" t="s">
        <v>346</v>
      </c>
      <c r="D968" s="33" t="s">
        <v>265</v>
      </c>
      <c r="E968" s="33" t="s">
        <v>1283</v>
      </c>
      <c r="F968" s="35">
        <v>2.5000000000000001E-2</v>
      </c>
      <c r="G968" s="40">
        <v>0</v>
      </c>
      <c r="H968" s="40">
        <v>0</v>
      </c>
      <c r="I968" s="40">
        <v>0</v>
      </c>
      <c r="J968" s="40">
        <v>0</v>
      </c>
      <c r="K968" s="40">
        <v>0</v>
      </c>
      <c r="L968" s="40">
        <v>0</v>
      </c>
      <c r="M968" s="40" cm="1">
        <f t="array" ref="M968:N968">VLOOKUP(B968,'Fumigation  Room'!B:H,{6,7},0)</f>
        <v>0</v>
      </c>
      <c r="N968" s="40">
        <v>0</v>
      </c>
      <c r="O968" s="40">
        <f t="shared" si="31"/>
        <v>0</v>
      </c>
      <c r="P968" s="40">
        <f t="shared" si="32"/>
        <v>0</v>
      </c>
    </row>
    <row r="969" spans="1:16" x14ac:dyDescent="0.35">
      <c r="A969" s="33">
        <v>966</v>
      </c>
      <c r="B969" s="34" t="s">
        <v>1325</v>
      </c>
      <c r="C969" s="33" t="s">
        <v>346</v>
      </c>
      <c r="D969" s="33" t="s">
        <v>265</v>
      </c>
      <c r="E969" s="33" t="s">
        <v>1283</v>
      </c>
      <c r="F969" s="35">
        <v>2.5000000000000001E-2</v>
      </c>
      <c r="G969" s="40">
        <v>0</v>
      </c>
      <c r="H969" s="40">
        <v>0</v>
      </c>
      <c r="I969" s="40">
        <v>0</v>
      </c>
      <c r="J969" s="40">
        <v>0</v>
      </c>
      <c r="K969" s="40">
        <v>0</v>
      </c>
      <c r="L969" s="40">
        <v>0</v>
      </c>
      <c r="M969" s="40" cm="1">
        <f t="array" ref="M969:N969">VLOOKUP(B969,'Fumigation  Room'!B:H,{6,7},0)</f>
        <v>0</v>
      </c>
      <c r="N969" s="40">
        <v>0</v>
      </c>
      <c r="O969" s="40">
        <f t="shared" si="31"/>
        <v>0</v>
      </c>
      <c r="P969" s="40">
        <f t="shared" si="32"/>
        <v>0</v>
      </c>
    </row>
    <row r="970" spans="1:16" x14ac:dyDescent="0.35">
      <c r="A970" s="33">
        <v>967</v>
      </c>
      <c r="B970" s="34" t="s">
        <v>1326</v>
      </c>
      <c r="C970" s="33" t="s">
        <v>346</v>
      </c>
      <c r="D970" s="33" t="s">
        <v>265</v>
      </c>
      <c r="E970" s="33" t="s">
        <v>1283</v>
      </c>
      <c r="F970" s="35">
        <v>2.5000000000000001E-2</v>
      </c>
      <c r="G970" s="40">
        <v>0</v>
      </c>
      <c r="H970" s="40">
        <v>0</v>
      </c>
      <c r="I970" s="40">
        <v>0</v>
      </c>
      <c r="J970" s="40">
        <v>0</v>
      </c>
      <c r="K970" s="40">
        <v>0</v>
      </c>
      <c r="L970" s="40">
        <v>0</v>
      </c>
      <c r="M970" s="40" cm="1">
        <f t="array" ref="M970:N970">VLOOKUP(B970,'Fumigation  Room'!B:H,{6,7},0)</f>
        <v>0</v>
      </c>
      <c r="N970" s="40">
        <v>0</v>
      </c>
      <c r="O970" s="40">
        <f t="shared" si="31"/>
        <v>0</v>
      </c>
      <c r="P970" s="40">
        <f t="shared" si="32"/>
        <v>0</v>
      </c>
    </row>
    <row r="971" spans="1:16" x14ac:dyDescent="0.35">
      <c r="A971" s="33">
        <v>968</v>
      </c>
      <c r="B971" s="34" t="s">
        <v>1327</v>
      </c>
      <c r="C971" s="33" t="s">
        <v>346</v>
      </c>
      <c r="D971" s="33" t="s">
        <v>265</v>
      </c>
      <c r="E971" s="33" t="s">
        <v>1283</v>
      </c>
      <c r="F971" s="35">
        <v>1</v>
      </c>
      <c r="G971" s="40">
        <v>0</v>
      </c>
      <c r="H971" s="40">
        <v>0</v>
      </c>
      <c r="I971" s="40">
        <v>0</v>
      </c>
      <c r="J971" s="40">
        <v>0</v>
      </c>
      <c r="K971" s="40">
        <v>0</v>
      </c>
      <c r="L971" s="40">
        <v>0</v>
      </c>
      <c r="M971" s="40" cm="1">
        <f t="array" ref="M971:N971">VLOOKUP(B971,'Fumigation  Room'!B:H,{6,7},0)</f>
        <v>0</v>
      </c>
      <c r="N971" s="40">
        <v>0</v>
      </c>
      <c r="O971" s="40">
        <f t="shared" si="31"/>
        <v>0</v>
      </c>
      <c r="P971" s="40">
        <f t="shared" si="32"/>
        <v>0</v>
      </c>
    </row>
    <row r="972" spans="1:16" x14ac:dyDescent="0.35">
      <c r="A972" s="33">
        <v>969</v>
      </c>
      <c r="B972" s="34" t="s">
        <v>1286</v>
      </c>
      <c r="C972" s="33" t="s">
        <v>297</v>
      </c>
      <c r="D972" s="33" t="s">
        <v>265</v>
      </c>
      <c r="E972" s="33" t="s">
        <v>1286</v>
      </c>
      <c r="F972" s="35">
        <v>1</v>
      </c>
      <c r="G972" s="40">
        <v>0</v>
      </c>
      <c r="H972" s="40">
        <v>0</v>
      </c>
      <c r="I972" s="40">
        <v>0</v>
      </c>
      <c r="J972" s="40">
        <v>0</v>
      </c>
      <c r="K972" s="40">
        <v>0</v>
      </c>
      <c r="L972" s="40">
        <v>0</v>
      </c>
      <c r="M972" s="40" cm="1">
        <f t="array" ref="M972:N972">VLOOKUP(B972,'Fumigation  Room'!B:H,{6,7},0)</f>
        <v>0</v>
      </c>
      <c r="N972" s="40">
        <v>0</v>
      </c>
      <c r="O972" s="40">
        <f t="shared" si="31"/>
        <v>0</v>
      </c>
      <c r="P972" s="40">
        <f t="shared" si="32"/>
        <v>0</v>
      </c>
    </row>
    <row r="973" spans="1:16" x14ac:dyDescent="0.35">
      <c r="A973" s="33">
        <v>970</v>
      </c>
      <c r="B973" s="34" t="s">
        <v>1328</v>
      </c>
      <c r="C973" s="33" t="s">
        <v>297</v>
      </c>
      <c r="D973" s="33" t="s">
        <v>22</v>
      </c>
      <c r="E973" s="33" t="s">
        <v>561</v>
      </c>
      <c r="F973" s="35">
        <v>1</v>
      </c>
      <c r="G973" s="40">
        <v>0</v>
      </c>
      <c r="H973" s="40">
        <v>0</v>
      </c>
      <c r="I973" s="40">
        <v>0</v>
      </c>
      <c r="J973" s="40">
        <v>0</v>
      </c>
      <c r="K973" s="40">
        <v>0</v>
      </c>
      <c r="L973" s="40">
        <v>0</v>
      </c>
      <c r="M973" s="40" cm="1">
        <f t="array" ref="M973:N973">VLOOKUP(B973,'Fumigation  Room'!B:H,{6,7},0)</f>
        <v>0</v>
      </c>
      <c r="N973" s="40">
        <v>0</v>
      </c>
      <c r="O973" s="40">
        <f t="shared" si="31"/>
        <v>0</v>
      </c>
      <c r="P973" s="40">
        <f t="shared" si="32"/>
        <v>0</v>
      </c>
    </row>
    <row r="974" spans="1:16" x14ac:dyDescent="0.35">
      <c r="A974" s="33">
        <v>971</v>
      </c>
      <c r="B974" s="34" t="s">
        <v>1329</v>
      </c>
      <c r="C974" s="33" t="s">
        <v>297</v>
      </c>
      <c r="D974" s="33" t="s">
        <v>22</v>
      </c>
      <c r="E974" s="33" t="s">
        <v>561</v>
      </c>
      <c r="F974" s="35">
        <v>1</v>
      </c>
      <c r="G974" s="40">
        <v>0</v>
      </c>
      <c r="H974" s="40">
        <v>0</v>
      </c>
      <c r="I974" s="40">
        <v>0</v>
      </c>
      <c r="J974" s="40">
        <v>0</v>
      </c>
      <c r="K974" s="40">
        <v>0</v>
      </c>
      <c r="L974" s="40">
        <v>0</v>
      </c>
      <c r="M974" s="40" cm="1">
        <f t="array" ref="M974:N974">VLOOKUP(B974,'Fumigation  Room'!B:H,{6,7},0)</f>
        <v>0</v>
      </c>
      <c r="N974" s="40">
        <v>0</v>
      </c>
      <c r="O974" s="40">
        <f t="shared" si="31"/>
        <v>0</v>
      </c>
      <c r="P974" s="40">
        <f t="shared" si="32"/>
        <v>0</v>
      </c>
    </row>
    <row r="975" spans="1:16" x14ac:dyDescent="0.35">
      <c r="A975" s="33">
        <v>972</v>
      </c>
      <c r="B975" s="34" t="s">
        <v>1330</v>
      </c>
      <c r="C975" s="33" t="s">
        <v>297</v>
      </c>
      <c r="D975" s="33" t="s">
        <v>22</v>
      </c>
      <c r="E975" s="33" t="s">
        <v>561</v>
      </c>
      <c r="F975" s="35">
        <v>1</v>
      </c>
      <c r="G975" s="40">
        <v>0</v>
      </c>
      <c r="H975" s="40">
        <v>0</v>
      </c>
      <c r="I975" s="40">
        <v>0</v>
      </c>
      <c r="J975" s="40">
        <v>0</v>
      </c>
      <c r="K975" s="40">
        <v>0</v>
      </c>
      <c r="L975" s="40">
        <v>0</v>
      </c>
      <c r="M975" s="40" cm="1">
        <f t="array" ref="M975:N975">VLOOKUP(B975,'Fumigation  Room'!B:H,{6,7},0)</f>
        <v>0</v>
      </c>
      <c r="N975" s="40">
        <v>0</v>
      </c>
      <c r="O975" s="40">
        <f t="shared" si="31"/>
        <v>0</v>
      </c>
      <c r="P975" s="40">
        <f t="shared" si="32"/>
        <v>0</v>
      </c>
    </row>
    <row r="976" spans="1:16" x14ac:dyDescent="0.35">
      <c r="A976" s="33">
        <v>973</v>
      </c>
      <c r="B976" s="34" t="s">
        <v>1331</v>
      </c>
      <c r="C976" s="33" t="s">
        <v>297</v>
      </c>
      <c r="D976" s="33" t="s">
        <v>22</v>
      </c>
      <c r="E976" s="33" t="s">
        <v>561</v>
      </c>
      <c r="F976" s="35">
        <v>1</v>
      </c>
      <c r="G976" s="40">
        <v>0</v>
      </c>
      <c r="H976" s="40">
        <v>0</v>
      </c>
      <c r="I976" s="40">
        <v>0</v>
      </c>
      <c r="J976" s="40">
        <v>0</v>
      </c>
      <c r="K976" s="40">
        <v>0</v>
      </c>
      <c r="L976" s="40">
        <v>0</v>
      </c>
      <c r="M976" s="40" cm="1">
        <f t="array" ref="M976:N976">VLOOKUP(B976,'Fumigation  Room'!B:H,{6,7},0)</f>
        <v>0</v>
      </c>
      <c r="N976" s="40">
        <v>0</v>
      </c>
      <c r="O976" s="40">
        <f t="shared" si="31"/>
        <v>0</v>
      </c>
      <c r="P976" s="40">
        <f t="shared" si="32"/>
        <v>0</v>
      </c>
    </row>
    <row r="977" spans="1:16" x14ac:dyDescent="0.35">
      <c r="A977" s="33">
        <v>974</v>
      </c>
      <c r="B977" s="34" t="s">
        <v>1332</v>
      </c>
      <c r="C977" s="33" t="s">
        <v>297</v>
      </c>
      <c r="D977" s="33" t="s">
        <v>22</v>
      </c>
      <c r="E977" s="33" t="s">
        <v>561</v>
      </c>
      <c r="F977" s="35">
        <v>1</v>
      </c>
      <c r="G977" s="40">
        <v>0</v>
      </c>
      <c r="H977" s="40">
        <v>0</v>
      </c>
      <c r="I977" s="40">
        <v>0</v>
      </c>
      <c r="J977" s="40">
        <v>0</v>
      </c>
      <c r="K977" s="40">
        <v>0</v>
      </c>
      <c r="L977" s="40">
        <v>0</v>
      </c>
      <c r="M977" s="40" cm="1">
        <f t="array" ref="M977:N977">VLOOKUP(B977,'Fumigation  Room'!B:H,{6,7},0)</f>
        <v>0</v>
      </c>
      <c r="N977" s="40">
        <v>0</v>
      </c>
      <c r="O977" s="40">
        <f t="shared" si="31"/>
        <v>0</v>
      </c>
      <c r="P977" s="40">
        <f t="shared" si="32"/>
        <v>0</v>
      </c>
    </row>
    <row r="978" spans="1:16" x14ac:dyDescent="0.35">
      <c r="A978" s="33">
        <v>975</v>
      </c>
      <c r="B978" s="34" t="s">
        <v>1333</v>
      </c>
      <c r="C978" s="33" t="s">
        <v>297</v>
      </c>
      <c r="D978" s="33" t="s">
        <v>22</v>
      </c>
      <c r="E978" s="33" t="s">
        <v>561</v>
      </c>
      <c r="F978" s="35">
        <v>1</v>
      </c>
      <c r="G978" s="40">
        <v>0</v>
      </c>
      <c r="H978" s="40">
        <v>0</v>
      </c>
      <c r="I978" s="40">
        <v>0</v>
      </c>
      <c r="J978" s="40">
        <v>0</v>
      </c>
      <c r="K978" s="40">
        <v>0</v>
      </c>
      <c r="L978" s="40">
        <v>0</v>
      </c>
      <c r="M978" s="40" cm="1">
        <f t="array" ref="M978:N978">VLOOKUP(B978,'Fumigation  Room'!B:H,{6,7},0)</f>
        <v>0</v>
      </c>
      <c r="N978" s="40">
        <v>0</v>
      </c>
      <c r="O978" s="40">
        <f t="shared" si="31"/>
        <v>0</v>
      </c>
      <c r="P978" s="40">
        <f t="shared" si="32"/>
        <v>0</v>
      </c>
    </row>
    <row r="979" spans="1:16" x14ac:dyDescent="0.35">
      <c r="A979" s="33">
        <v>976</v>
      </c>
      <c r="B979" s="34" t="s">
        <v>1334</v>
      </c>
      <c r="C979" s="33" t="s">
        <v>297</v>
      </c>
      <c r="D979" s="33" t="s">
        <v>22</v>
      </c>
      <c r="E979" s="33" t="s">
        <v>561</v>
      </c>
      <c r="F979" s="35">
        <v>1</v>
      </c>
      <c r="G979" s="40">
        <v>0</v>
      </c>
      <c r="H979" s="40">
        <v>0</v>
      </c>
      <c r="I979" s="40">
        <v>0</v>
      </c>
      <c r="J979" s="40">
        <v>0</v>
      </c>
      <c r="K979" s="40">
        <v>0</v>
      </c>
      <c r="L979" s="40">
        <v>0</v>
      </c>
      <c r="M979" s="40" cm="1">
        <f t="array" ref="M979:N979">VLOOKUP(B979,'Fumigation  Room'!B:H,{6,7},0)</f>
        <v>0</v>
      </c>
      <c r="N979" s="40">
        <v>0</v>
      </c>
      <c r="O979" s="40">
        <f t="shared" si="31"/>
        <v>0</v>
      </c>
      <c r="P979" s="40">
        <f t="shared" si="32"/>
        <v>0</v>
      </c>
    </row>
    <row r="980" spans="1:16" x14ac:dyDescent="0.35">
      <c r="A980" s="33">
        <v>977</v>
      </c>
      <c r="B980" s="34" t="s">
        <v>1335</v>
      </c>
      <c r="C980" s="33" t="s">
        <v>297</v>
      </c>
      <c r="D980" s="33" t="s">
        <v>22</v>
      </c>
      <c r="E980" s="33" t="s">
        <v>561</v>
      </c>
      <c r="F980" s="35">
        <v>1</v>
      </c>
      <c r="G980" s="40">
        <v>0</v>
      </c>
      <c r="H980" s="40">
        <v>0</v>
      </c>
      <c r="I980" s="40">
        <v>0</v>
      </c>
      <c r="J980" s="40">
        <v>0</v>
      </c>
      <c r="K980" s="40">
        <v>0</v>
      </c>
      <c r="L980" s="40">
        <v>0</v>
      </c>
      <c r="M980" s="40" cm="1">
        <f t="array" ref="M980:N980">VLOOKUP(B980,'Fumigation  Room'!B:H,{6,7},0)</f>
        <v>0</v>
      </c>
      <c r="N980" s="40">
        <v>0</v>
      </c>
      <c r="O980" s="40">
        <f t="shared" si="31"/>
        <v>0</v>
      </c>
      <c r="P980" s="40">
        <f t="shared" si="32"/>
        <v>0</v>
      </c>
    </row>
    <row r="981" spans="1:16" x14ac:dyDescent="0.35">
      <c r="A981" s="33">
        <v>978</v>
      </c>
      <c r="B981" s="34" t="s">
        <v>1336</v>
      </c>
      <c r="C981" s="33" t="s">
        <v>297</v>
      </c>
      <c r="D981" s="33" t="s">
        <v>22</v>
      </c>
      <c r="E981" s="33" t="s">
        <v>561</v>
      </c>
      <c r="F981" s="35">
        <v>1</v>
      </c>
      <c r="G981" s="40">
        <v>0</v>
      </c>
      <c r="H981" s="40">
        <v>0</v>
      </c>
      <c r="I981" s="40">
        <v>0</v>
      </c>
      <c r="J981" s="40">
        <v>0</v>
      </c>
      <c r="K981" s="40">
        <v>0</v>
      </c>
      <c r="L981" s="40">
        <v>0</v>
      </c>
      <c r="M981" s="40" cm="1">
        <f t="array" ref="M981:N981">VLOOKUP(B981,'Fumigation  Room'!B:H,{6,7},0)</f>
        <v>0</v>
      </c>
      <c r="N981" s="40">
        <v>0</v>
      </c>
      <c r="O981" s="40">
        <f t="shared" si="31"/>
        <v>0</v>
      </c>
      <c r="P981" s="40">
        <f t="shared" si="32"/>
        <v>0</v>
      </c>
    </row>
    <row r="982" spans="1:16" x14ac:dyDescent="0.35">
      <c r="A982" s="33">
        <v>979</v>
      </c>
      <c r="B982" s="34" t="s">
        <v>1337</v>
      </c>
      <c r="C982" s="33" t="s">
        <v>297</v>
      </c>
      <c r="D982" s="33" t="s">
        <v>22</v>
      </c>
      <c r="E982" s="33" t="s">
        <v>561</v>
      </c>
      <c r="F982" s="35">
        <v>1</v>
      </c>
      <c r="G982" s="40">
        <v>0</v>
      </c>
      <c r="H982" s="40">
        <v>0</v>
      </c>
      <c r="I982" s="40">
        <v>0</v>
      </c>
      <c r="J982" s="40">
        <v>0</v>
      </c>
      <c r="K982" s="40">
        <v>0</v>
      </c>
      <c r="L982" s="40">
        <v>0</v>
      </c>
      <c r="M982" s="40" cm="1">
        <f t="array" ref="M982:N982">VLOOKUP(B982,'Fumigation  Room'!B:H,{6,7},0)</f>
        <v>0</v>
      </c>
      <c r="N982" s="40">
        <v>0</v>
      </c>
      <c r="O982" s="40">
        <f t="shared" si="31"/>
        <v>0</v>
      </c>
      <c r="P982" s="40">
        <f t="shared" si="32"/>
        <v>0</v>
      </c>
    </row>
    <row r="983" spans="1:16" x14ac:dyDescent="0.35">
      <c r="A983" s="33">
        <v>980</v>
      </c>
      <c r="B983" s="34" t="s">
        <v>1338</v>
      </c>
      <c r="C983" s="33" t="s">
        <v>297</v>
      </c>
      <c r="D983" s="33" t="s">
        <v>22</v>
      </c>
      <c r="E983" s="33" t="s">
        <v>561</v>
      </c>
      <c r="F983" s="35">
        <v>1</v>
      </c>
      <c r="G983" s="40">
        <v>0</v>
      </c>
      <c r="H983" s="40">
        <v>0</v>
      </c>
      <c r="I983" s="40">
        <v>0</v>
      </c>
      <c r="J983" s="40">
        <v>0</v>
      </c>
      <c r="K983" s="40">
        <v>0</v>
      </c>
      <c r="L983" s="40">
        <v>0</v>
      </c>
      <c r="M983" s="40" cm="1">
        <f t="array" ref="M983:N983">VLOOKUP(B983,'Fumigation  Room'!B:H,{6,7},0)</f>
        <v>0</v>
      </c>
      <c r="N983" s="40">
        <v>0</v>
      </c>
      <c r="O983" s="40">
        <f t="shared" si="31"/>
        <v>0</v>
      </c>
      <c r="P983" s="40">
        <f t="shared" si="32"/>
        <v>0</v>
      </c>
    </row>
    <row r="984" spans="1:16" x14ac:dyDescent="0.35">
      <c r="A984" s="33">
        <v>981</v>
      </c>
      <c r="B984" s="34" t="s">
        <v>1339</v>
      </c>
      <c r="C984" s="33" t="s">
        <v>297</v>
      </c>
      <c r="D984" s="33" t="s">
        <v>22</v>
      </c>
      <c r="E984" s="33" t="s">
        <v>561</v>
      </c>
      <c r="F984" s="35">
        <v>1</v>
      </c>
      <c r="G984" s="40">
        <v>0</v>
      </c>
      <c r="H984" s="40">
        <v>0</v>
      </c>
      <c r="I984" s="40">
        <v>0</v>
      </c>
      <c r="J984" s="40">
        <v>0</v>
      </c>
      <c r="K984" s="40">
        <v>0</v>
      </c>
      <c r="L984" s="40">
        <v>0</v>
      </c>
      <c r="M984" s="40" cm="1">
        <f t="array" ref="M984:N984">VLOOKUP(B984,'Fumigation  Room'!B:H,{6,7},0)</f>
        <v>0</v>
      </c>
      <c r="N984" s="40">
        <v>0</v>
      </c>
      <c r="O984" s="40">
        <f t="shared" si="31"/>
        <v>0</v>
      </c>
      <c r="P984" s="40">
        <f t="shared" si="32"/>
        <v>0</v>
      </c>
    </row>
    <row r="985" spans="1:16" x14ac:dyDescent="0.35">
      <c r="A985" s="33">
        <v>982</v>
      </c>
      <c r="B985" s="34" t="s">
        <v>1340</v>
      </c>
      <c r="C985" s="33" t="s">
        <v>297</v>
      </c>
      <c r="D985" s="33" t="s">
        <v>22</v>
      </c>
      <c r="E985" s="33" t="s">
        <v>561</v>
      </c>
      <c r="F985" s="35">
        <v>1</v>
      </c>
      <c r="G985" s="40">
        <v>0</v>
      </c>
      <c r="H985" s="40">
        <v>0</v>
      </c>
      <c r="I985" s="40">
        <v>0</v>
      </c>
      <c r="J985" s="40">
        <v>0</v>
      </c>
      <c r="K985" s="40">
        <v>0</v>
      </c>
      <c r="L985" s="40">
        <v>0</v>
      </c>
      <c r="M985" s="40" cm="1">
        <f t="array" ref="M985:N985">VLOOKUP(B985,'Fumigation  Room'!B:H,{6,7},0)</f>
        <v>0</v>
      </c>
      <c r="N985" s="40">
        <v>0</v>
      </c>
      <c r="O985" s="40">
        <f t="shared" si="31"/>
        <v>0</v>
      </c>
      <c r="P985" s="40">
        <f t="shared" si="32"/>
        <v>0</v>
      </c>
    </row>
    <row r="986" spans="1:16" x14ac:dyDescent="0.35">
      <c r="A986" s="33">
        <v>983</v>
      </c>
      <c r="B986" s="34" t="s">
        <v>1341</v>
      </c>
      <c r="C986" s="33" t="s">
        <v>297</v>
      </c>
      <c r="D986" s="33" t="s">
        <v>22</v>
      </c>
      <c r="E986" s="33" t="s">
        <v>561</v>
      </c>
      <c r="F986" s="35">
        <v>1</v>
      </c>
      <c r="G986" s="40">
        <v>0</v>
      </c>
      <c r="H986" s="40">
        <v>0</v>
      </c>
      <c r="I986" s="40">
        <v>0</v>
      </c>
      <c r="J986" s="40">
        <v>0</v>
      </c>
      <c r="K986" s="40">
        <v>0</v>
      </c>
      <c r="L986" s="40">
        <v>0</v>
      </c>
      <c r="M986" s="40" cm="1">
        <f t="array" ref="M986:N986">VLOOKUP(B986,'Fumigation  Room'!B:H,{6,7},0)</f>
        <v>0</v>
      </c>
      <c r="N986" s="40">
        <v>0</v>
      </c>
      <c r="O986" s="40">
        <f t="shared" si="31"/>
        <v>0</v>
      </c>
      <c r="P986" s="40">
        <f t="shared" si="32"/>
        <v>0</v>
      </c>
    </row>
    <row r="987" spans="1:16" x14ac:dyDescent="0.35">
      <c r="A987" s="33">
        <v>984</v>
      </c>
      <c r="B987" s="34" t="s">
        <v>1342</v>
      </c>
      <c r="C987" s="33" t="s">
        <v>297</v>
      </c>
      <c r="D987" s="33" t="s">
        <v>22</v>
      </c>
      <c r="E987" s="33" t="s">
        <v>561</v>
      </c>
      <c r="F987" s="35">
        <v>1</v>
      </c>
      <c r="G987" s="40">
        <v>0</v>
      </c>
      <c r="H987" s="40">
        <v>0</v>
      </c>
      <c r="I987" s="40">
        <v>0</v>
      </c>
      <c r="J987" s="40">
        <v>0</v>
      </c>
      <c r="K987" s="40">
        <v>0</v>
      </c>
      <c r="L987" s="40">
        <v>0</v>
      </c>
      <c r="M987" s="40" cm="1">
        <f t="array" ref="M987:N987">VLOOKUP(B987,'Fumigation  Room'!B:H,{6,7},0)</f>
        <v>0</v>
      </c>
      <c r="N987" s="40">
        <v>0</v>
      </c>
      <c r="O987" s="40">
        <f t="shared" si="31"/>
        <v>0</v>
      </c>
      <c r="P987" s="40">
        <f t="shared" si="32"/>
        <v>0</v>
      </c>
    </row>
    <row r="988" spans="1:16" x14ac:dyDescent="0.35">
      <c r="A988" s="33">
        <v>985</v>
      </c>
      <c r="B988" s="34" t="s">
        <v>1343</v>
      </c>
      <c r="C988" s="33" t="s">
        <v>297</v>
      </c>
      <c r="D988" s="33" t="s">
        <v>22</v>
      </c>
      <c r="E988" s="33" t="s">
        <v>1344</v>
      </c>
      <c r="F988" s="35">
        <v>1</v>
      </c>
      <c r="G988" s="40">
        <v>0</v>
      </c>
      <c r="H988" s="40">
        <v>0</v>
      </c>
      <c r="I988" s="40">
        <v>0</v>
      </c>
      <c r="J988" s="40">
        <v>0</v>
      </c>
      <c r="K988" s="40">
        <v>0</v>
      </c>
      <c r="L988" s="40">
        <v>0</v>
      </c>
      <c r="M988" s="40" cm="1">
        <f t="array" ref="M988:N988">VLOOKUP(B988,'Fumigation  Room'!B:H,{6,7},0)</f>
        <v>0</v>
      </c>
      <c r="N988" s="40">
        <v>0</v>
      </c>
      <c r="O988" s="40">
        <f t="shared" si="31"/>
        <v>0</v>
      </c>
      <c r="P988" s="40">
        <f t="shared" si="32"/>
        <v>0</v>
      </c>
    </row>
    <row r="989" spans="1:16" x14ac:dyDescent="0.35">
      <c r="A989" s="33">
        <v>986</v>
      </c>
      <c r="B989" s="34" t="s">
        <v>1345</v>
      </c>
      <c r="C989" s="33" t="s">
        <v>297</v>
      </c>
      <c r="D989" s="33" t="s">
        <v>22</v>
      </c>
      <c r="E989" s="33" t="s">
        <v>1344</v>
      </c>
      <c r="F989" s="35">
        <v>1</v>
      </c>
      <c r="G989" s="40">
        <v>0</v>
      </c>
      <c r="H989" s="40">
        <v>0</v>
      </c>
      <c r="I989" s="40">
        <v>0</v>
      </c>
      <c r="J989" s="40">
        <v>0</v>
      </c>
      <c r="K989" s="40">
        <v>0</v>
      </c>
      <c r="L989" s="40">
        <v>0</v>
      </c>
      <c r="M989" s="40" cm="1">
        <f t="array" ref="M989:N989">VLOOKUP(B989,'Fumigation  Room'!B:H,{6,7},0)</f>
        <v>0</v>
      </c>
      <c r="N989" s="40">
        <v>0</v>
      </c>
      <c r="O989" s="40">
        <f t="shared" si="31"/>
        <v>0</v>
      </c>
      <c r="P989" s="40">
        <f t="shared" si="32"/>
        <v>0</v>
      </c>
    </row>
    <row r="990" spans="1:16" x14ac:dyDescent="0.35">
      <c r="A990" s="33">
        <v>987</v>
      </c>
      <c r="B990" s="34" t="s">
        <v>1346</v>
      </c>
      <c r="C990" s="33" t="s">
        <v>297</v>
      </c>
      <c r="D990" s="33" t="s">
        <v>22</v>
      </c>
      <c r="E990" s="33" t="s">
        <v>1344</v>
      </c>
      <c r="F990" s="35">
        <v>1</v>
      </c>
      <c r="G990" s="40">
        <v>0</v>
      </c>
      <c r="H990" s="40">
        <v>0</v>
      </c>
      <c r="I990" s="40">
        <v>0</v>
      </c>
      <c r="J990" s="40">
        <v>0</v>
      </c>
      <c r="K990" s="40">
        <v>0</v>
      </c>
      <c r="L990" s="40">
        <v>0</v>
      </c>
      <c r="M990" s="40" cm="1">
        <f t="array" ref="M990:N990">VLOOKUP(B990,'Fumigation  Room'!B:H,{6,7},0)</f>
        <v>0</v>
      </c>
      <c r="N990" s="40">
        <v>0</v>
      </c>
      <c r="O990" s="40">
        <f t="shared" si="31"/>
        <v>0</v>
      </c>
      <c r="P990" s="40">
        <f t="shared" si="32"/>
        <v>0</v>
      </c>
    </row>
    <row r="991" spans="1:16" x14ac:dyDescent="0.35">
      <c r="A991" s="33">
        <v>988</v>
      </c>
      <c r="B991" s="34" t="s">
        <v>1347</v>
      </c>
      <c r="C991" s="33" t="s">
        <v>297</v>
      </c>
      <c r="D991" s="33" t="s">
        <v>22</v>
      </c>
      <c r="E991" s="33" t="s">
        <v>1344</v>
      </c>
      <c r="F991" s="35">
        <v>1</v>
      </c>
      <c r="G991" s="40">
        <v>0</v>
      </c>
      <c r="H991" s="40">
        <v>0</v>
      </c>
      <c r="I991" s="40">
        <v>0</v>
      </c>
      <c r="J991" s="40">
        <v>0</v>
      </c>
      <c r="K991" s="40">
        <v>0</v>
      </c>
      <c r="L991" s="40">
        <v>0</v>
      </c>
      <c r="M991" s="40" cm="1">
        <f t="array" ref="M991:N991">VLOOKUP(B991,'Fumigation  Room'!B:H,{6,7},0)</f>
        <v>0</v>
      </c>
      <c r="N991" s="40">
        <v>0</v>
      </c>
      <c r="O991" s="40">
        <f t="shared" si="31"/>
        <v>0</v>
      </c>
      <c r="P991" s="40">
        <f t="shared" si="32"/>
        <v>0</v>
      </c>
    </row>
    <row r="992" spans="1:16" x14ac:dyDescent="0.35">
      <c r="A992" s="33">
        <v>989</v>
      </c>
      <c r="B992" s="34" t="s">
        <v>1348</v>
      </c>
      <c r="C992" s="33" t="s">
        <v>297</v>
      </c>
      <c r="D992" s="33" t="s">
        <v>22</v>
      </c>
      <c r="E992" s="33" t="s">
        <v>1344</v>
      </c>
      <c r="F992" s="35">
        <v>1</v>
      </c>
      <c r="G992" s="40">
        <v>0</v>
      </c>
      <c r="H992" s="40">
        <v>0</v>
      </c>
      <c r="I992" s="40">
        <v>0</v>
      </c>
      <c r="J992" s="40">
        <v>0</v>
      </c>
      <c r="K992" s="40">
        <v>0</v>
      </c>
      <c r="L992" s="40">
        <v>0</v>
      </c>
      <c r="M992" s="40" cm="1">
        <f t="array" ref="M992:N992">VLOOKUP(B992,'Fumigation  Room'!B:H,{6,7},0)</f>
        <v>0</v>
      </c>
      <c r="N992" s="40">
        <v>0</v>
      </c>
      <c r="O992" s="40">
        <f t="shared" si="31"/>
        <v>0</v>
      </c>
      <c r="P992" s="40">
        <f t="shared" si="32"/>
        <v>0</v>
      </c>
    </row>
    <row r="993" spans="1:16" x14ac:dyDescent="0.35">
      <c r="A993" s="33">
        <v>990</v>
      </c>
      <c r="B993" s="34" t="s">
        <v>1349</v>
      </c>
      <c r="C993" s="33" t="s">
        <v>297</v>
      </c>
      <c r="D993" s="33" t="s">
        <v>22</v>
      </c>
      <c r="E993" s="33" t="s">
        <v>1350</v>
      </c>
      <c r="F993" s="35">
        <v>1</v>
      </c>
      <c r="G993" s="40">
        <v>0</v>
      </c>
      <c r="H993" s="40">
        <v>0</v>
      </c>
      <c r="I993" s="40">
        <v>0</v>
      </c>
      <c r="J993" s="40">
        <v>0</v>
      </c>
      <c r="K993" s="40">
        <v>0</v>
      </c>
      <c r="L993" s="40">
        <v>0</v>
      </c>
      <c r="M993" s="40" cm="1">
        <f t="array" ref="M993:N993">VLOOKUP(B993,'Fumigation  Room'!B:H,{6,7},0)</f>
        <v>0</v>
      </c>
      <c r="N993" s="40">
        <v>0</v>
      </c>
      <c r="O993" s="40">
        <f t="shared" si="31"/>
        <v>0</v>
      </c>
      <c r="P993" s="40">
        <f t="shared" si="32"/>
        <v>0</v>
      </c>
    </row>
    <row r="994" spans="1:16" x14ac:dyDescent="0.35">
      <c r="A994" s="33">
        <v>991</v>
      </c>
      <c r="B994" s="34" t="s">
        <v>1351</v>
      </c>
      <c r="C994" s="33" t="s">
        <v>297</v>
      </c>
      <c r="D994" s="33" t="s">
        <v>22</v>
      </c>
      <c r="E994" s="33" t="s">
        <v>1350</v>
      </c>
      <c r="F994" s="35">
        <v>1</v>
      </c>
      <c r="G994" s="40">
        <v>0</v>
      </c>
      <c r="H994" s="40">
        <v>0</v>
      </c>
      <c r="I994" s="40">
        <v>0</v>
      </c>
      <c r="J994" s="40">
        <v>0</v>
      </c>
      <c r="K994" s="40">
        <v>0</v>
      </c>
      <c r="L994" s="40">
        <v>0</v>
      </c>
      <c r="M994" s="40" cm="1">
        <f t="array" ref="M994:N994">VLOOKUP(B994,'Fumigation  Room'!B:H,{6,7},0)</f>
        <v>0</v>
      </c>
      <c r="N994" s="40">
        <v>0</v>
      </c>
      <c r="O994" s="40">
        <f t="shared" si="31"/>
        <v>0</v>
      </c>
      <c r="P994" s="40">
        <f t="shared" si="32"/>
        <v>0</v>
      </c>
    </row>
    <row r="995" spans="1:16" x14ac:dyDescent="0.35">
      <c r="A995" s="33">
        <v>992</v>
      </c>
      <c r="B995" s="34" t="s">
        <v>1352</v>
      </c>
      <c r="C995" s="33" t="s">
        <v>297</v>
      </c>
      <c r="D995" s="33" t="s">
        <v>22</v>
      </c>
      <c r="E995" s="33" t="s">
        <v>1350</v>
      </c>
      <c r="F995" s="35">
        <v>1</v>
      </c>
      <c r="G995" s="40">
        <v>0</v>
      </c>
      <c r="H995" s="40">
        <v>0</v>
      </c>
      <c r="I995" s="40">
        <v>0</v>
      </c>
      <c r="J995" s="40">
        <v>0</v>
      </c>
      <c r="K995" s="40">
        <v>0</v>
      </c>
      <c r="L995" s="40">
        <v>0</v>
      </c>
      <c r="M995" s="40" cm="1">
        <f t="array" ref="M995:N995">VLOOKUP(B995,'Fumigation  Room'!B:H,{6,7},0)</f>
        <v>0</v>
      </c>
      <c r="N995" s="40">
        <v>0</v>
      </c>
      <c r="O995" s="40">
        <f t="shared" si="31"/>
        <v>0</v>
      </c>
      <c r="P995" s="40">
        <f t="shared" si="32"/>
        <v>0</v>
      </c>
    </row>
    <row r="996" spans="1:16" x14ac:dyDescent="0.35">
      <c r="A996" s="33">
        <v>993</v>
      </c>
      <c r="B996" s="34" t="s">
        <v>1353</v>
      </c>
      <c r="C996" s="33" t="s">
        <v>297</v>
      </c>
      <c r="D996" s="33" t="s">
        <v>22</v>
      </c>
      <c r="E996" s="33" t="s">
        <v>1350</v>
      </c>
      <c r="F996" s="35">
        <v>1</v>
      </c>
      <c r="G996" s="40">
        <v>0</v>
      </c>
      <c r="H996" s="40">
        <v>0</v>
      </c>
      <c r="I996" s="40">
        <v>0</v>
      </c>
      <c r="J996" s="40">
        <v>0</v>
      </c>
      <c r="K996" s="40">
        <v>0</v>
      </c>
      <c r="L996" s="40">
        <v>0</v>
      </c>
      <c r="M996" s="40" cm="1">
        <f t="array" ref="M996:N996">VLOOKUP(B996,'Fumigation  Room'!B:H,{6,7},0)</f>
        <v>0</v>
      </c>
      <c r="N996" s="40">
        <v>0</v>
      </c>
      <c r="O996" s="40">
        <f t="shared" si="31"/>
        <v>0</v>
      </c>
      <c r="P996" s="40">
        <f t="shared" si="32"/>
        <v>0</v>
      </c>
    </row>
    <row r="997" spans="1:16" x14ac:dyDescent="0.35">
      <c r="A997" s="33">
        <v>994</v>
      </c>
      <c r="B997" s="34" t="s">
        <v>1354</v>
      </c>
      <c r="C997" s="33" t="s">
        <v>297</v>
      </c>
      <c r="D997" s="33" t="s">
        <v>22</v>
      </c>
      <c r="E997" s="33" t="s">
        <v>1350</v>
      </c>
      <c r="F997" s="35">
        <v>1</v>
      </c>
      <c r="G997" s="40">
        <v>0</v>
      </c>
      <c r="H997" s="40">
        <v>0</v>
      </c>
      <c r="I997" s="40">
        <v>0</v>
      </c>
      <c r="J997" s="40">
        <v>0</v>
      </c>
      <c r="K997" s="40">
        <v>0</v>
      </c>
      <c r="L997" s="40">
        <v>0</v>
      </c>
      <c r="M997" s="40" cm="1">
        <f t="array" ref="M997:N997">VLOOKUP(B997,'Fumigation  Room'!B:H,{6,7},0)</f>
        <v>0</v>
      </c>
      <c r="N997" s="40">
        <v>0</v>
      </c>
      <c r="O997" s="40">
        <f t="shared" si="31"/>
        <v>0</v>
      </c>
      <c r="P997" s="40">
        <f t="shared" si="32"/>
        <v>0</v>
      </c>
    </row>
    <row r="998" spans="1:16" x14ac:dyDescent="0.35">
      <c r="A998" s="33">
        <v>995</v>
      </c>
      <c r="B998" s="34" t="s">
        <v>1355</v>
      </c>
      <c r="C998" s="33" t="s">
        <v>297</v>
      </c>
      <c r="D998" s="33" t="s">
        <v>22</v>
      </c>
      <c r="E998" s="33" t="s">
        <v>1350</v>
      </c>
      <c r="F998" s="35">
        <v>1</v>
      </c>
      <c r="G998" s="40">
        <v>0</v>
      </c>
      <c r="H998" s="40">
        <v>0</v>
      </c>
      <c r="I998" s="40">
        <v>0</v>
      </c>
      <c r="J998" s="40">
        <v>0</v>
      </c>
      <c r="K998" s="40">
        <v>0</v>
      </c>
      <c r="L998" s="40">
        <v>0</v>
      </c>
      <c r="M998" s="40" cm="1">
        <f t="array" ref="M998:N998">VLOOKUP(B998,'Fumigation  Room'!B:H,{6,7},0)</f>
        <v>0</v>
      </c>
      <c r="N998" s="40">
        <v>0</v>
      </c>
      <c r="O998" s="40">
        <f t="shared" si="31"/>
        <v>0</v>
      </c>
      <c r="P998" s="40">
        <f t="shared" si="32"/>
        <v>0</v>
      </c>
    </row>
    <row r="999" spans="1:16" x14ac:dyDescent="0.35">
      <c r="A999" s="33">
        <v>996</v>
      </c>
      <c r="B999" s="34" t="s">
        <v>1356</v>
      </c>
      <c r="C999" s="33" t="s">
        <v>297</v>
      </c>
      <c r="D999" s="33" t="s">
        <v>22</v>
      </c>
      <c r="E999" s="33" t="s">
        <v>2321</v>
      </c>
      <c r="F999" s="35">
        <v>1</v>
      </c>
      <c r="G999" s="40">
        <v>0</v>
      </c>
      <c r="H999" s="40">
        <v>0</v>
      </c>
      <c r="I999" s="40">
        <v>0</v>
      </c>
      <c r="J999" s="40">
        <v>0</v>
      </c>
      <c r="K999" s="40">
        <v>0</v>
      </c>
      <c r="L999" s="40">
        <v>0</v>
      </c>
      <c r="M999" s="40" cm="1">
        <f t="array" ref="M999:N999">VLOOKUP(B999,'Fumigation  Room'!B:H,{6,7},0)</f>
        <v>0</v>
      </c>
      <c r="N999" s="40">
        <v>0</v>
      </c>
      <c r="O999" s="40">
        <f t="shared" si="31"/>
        <v>0</v>
      </c>
      <c r="P999" s="40">
        <f t="shared" si="32"/>
        <v>0</v>
      </c>
    </row>
    <row r="1000" spans="1:16" x14ac:dyDescent="0.35">
      <c r="A1000" s="33">
        <v>997</v>
      </c>
      <c r="B1000" s="34" t="s">
        <v>1357</v>
      </c>
      <c r="C1000" s="33" t="s">
        <v>297</v>
      </c>
      <c r="D1000" s="33" t="s">
        <v>22</v>
      </c>
      <c r="E1000" s="33" t="s">
        <v>2322</v>
      </c>
      <c r="F1000" s="35">
        <v>1</v>
      </c>
      <c r="G1000" s="40">
        <v>0</v>
      </c>
      <c r="H1000" s="40">
        <v>0</v>
      </c>
      <c r="I1000" s="40">
        <v>0</v>
      </c>
      <c r="J1000" s="40">
        <v>0</v>
      </c>
      <c r="K1000" s="40">
        <v>0</v>
      </c>
      <c r="L1000" s="40">
        <v>0</v>
      </c>
      <c r="M1000" s="40" cm="1">
        <f t="array" ref="M1000:N1000">VLOOKUP(B1000,'Fumigation  Room'!B:H,{6,7},0)</f>
        <v>0</v>
      </c>
      <c r="N1000" s="40">
        <v>0</v>
      </c>
      <c r="O1000" s="40">
        <f t="shared" si="31"/>
        <v>0</v>
      </c>
      <c r="P1000" s="40">
        <f t="shared" si="32"/>
        <v>0</v>
      </c>
    </row>
    <row r="1001" spans="1:16" x14ac:dyDescent="0.35">
      <c r="A1001" s="33">
        <v>998</v>
      </c>
      <c r="B1001" s="34" t="s">
        <v>1358</v>
      </c>
      <c r="C1001" s="33" t="s">
        <v>297</v>
      </c>
      <c r="D1001" s="33" t="s">
        <v>22</v>
      </c>
      <c r="E1001" s="33" t="s">
        <v>1359</v>
      </c>
      <c r="F1001" s="35">
        <v>1</v>
      </c>
      <c r="G1001" s="40">
        <v>0</v>
      </c>
      <c r="H1001" s="40">
        <v>0</v>
      </c>
      <c r="I1001" s="40">
        <v>0</v>
      </c>
      <c r="J1001" s="40">
        <v>0</v>
      </c>
      <c r="K1001" s="40">
        <v>0</v>
      </c>
      <c r="L1001" s="40">
        <v>0</v>
      </c>
      <c r="M1001" s="40" cm="1">
        <f t="array" ref="M1001:N1001">VLOOKUP(B1001,'Fumigation  Room'!B:H,{6,7},0)</f>
        <v>0</v>
      </c>
      <c r="N1001" s="40">
        <v>0</v>
      </c>
      <c r="O1001" s="40">
        <f t="shared" si="31"/>
        <v>0</v>
      </c>
      <c r="P1001" s="40">
        <f t="shared" si="32"/>
        <v>0</v>
      </c>
    </row>
    <row r="1002" spans="1:16" x14ac:dyDescent="0.35">
      <c r="A1002" s="33">
        <v>999</v>
      </c>
      <c r="B1002" s="34" t="s">
        <v>1360</v>
      </c>
      <c r="C1002" s="33" t="s">
        <v>297</v>
      </c>
      <c r="D1002" s="33" t="s">
        <v>22</v>
      </c>
      <c r="E1002" s="33" t="s">
        <v>1359</v>
      </c>
      <c r="F1002" s="35">
        <v>1</v>
      </c>
      <c r="G1002" s="40">
        <v>0</v>
      </c>
      <c r="H1002" s="40">
        <v>0</v>
      </c>
      <c r="I1002" s="40">
        <v>0</v>
      </c>
      <c r="J1002" s="40">
        <v>0</v>
      </c>
      <c r="K1002" s="40">
        <v>0</v>
      </c>
      <c r="L1002" s="40">
        <v>0</v>
      </c>
      <c r="M1002" s="40" cm="1">
        <f t="array" ref="M1002:N1002">VLOOKUP(B1002,'Fumigation  Room'!B:H,{6,7},0)</f>
        <v>0</v>
      </c>
      <c r="N1002" s="40">
        <v>0</v>
      </c>
      <c r="O1002" s="40">
        <f t="shared" si="31"/>
        <v>0</v>
      </c>
      <c r="P1002" s="40">
        <f t="shared" si="32"/>
        <v>0</v>
      </c>
    </row>
    <row r="1003" spans="1:16" x14ac:dyDescent="0.35">
      <c r="A1003" s="33">
        <v>1000</v>
      </c>
      <c r="B1003" s="34" t="s">
        <v>1361</v>
      </c>
      <c r="C1003" s="33" t="s">
        <v>297</v>
      </c>
      <c r="D1003" s="33" t="s">
        <v>22</v>
      </c>
      <c r="E1003" s="33" t="s">
        <v>1359</v>
      </c>
      <c r="F1003" s="35">
        <v>1</v>
      </c>
      <c r="G1003" s="40">
        <v>0</v>
      </c>
      <c r="H1003" s="40">
        <v>0</v>
      </c>
      <c r="I1003" s="40">
        <v>0</v>
      </c>
      <c r="J1003" s="40">
        <v>0</v>
      </c>
      <c r="K1003" s="40">
        <v>0</v>
      </c>
      <c r="L1003" s="40">
        <v>0</v>
      </c>
      <c r="M1003" s="40" cm="1">
        <f t="array" ref="M1003:N1003">VLOOKUP(B1003,'Fumigation  Room'!B:H,{6,7},0)</f>
        <v>0</v>
      </c>
      <c r="N1003" s="40">
        <v>0</v>
      </c>
      <c r="O1003" s="40">
        <f t="shared" si="31"/>
        <v>0</v>
      </c>
      <c r="P1003" s="40">
        <f t="shared" si="32"/>
        <v>0</v>
      </c>
    </row>
    <row r="1004" spans="1:16" x14ac:dyDescent="0.35">
      <c r="A1004" s="33">
        <v>1001</v>
      </c>
      <c r="B1004" s="34" t="s">
        <v>1362</v>
      </c>
      <c r="C1004" s="33" t="s">
        <v>297</v>
      </c>
      <c r="D1004" s="33" t="s">
        <v>22</v>
      </c>
      <c r="E1004" s="33" t="s">
        <v>1359</v>
      </c>
      <c r="F1004" s="35">
        <v>1</v>
      </c>
      <c r="G1004" s="40">
        <v>0</v>
      </c>
      <c r="H1004" s="40">
        <v>0</v>
      </c>
      <c r="I1004" s="40">
        <v>0</v>
      </c>
      <c r="J1004" s="40">
        <v>0</v>
      </c>
      <c r="K1004" s="40">
        <v>0</v>
      </c>
      <c r="L1004" s="40">
        <v>0</v>
      </c>
      <c r="M1004" s="40" cm="1">
        <f t="array" ref="M1004:N1004">VLOOKUP(B1004,'Fumigation  Room'!B:H,{6,7},0)</f>
        <v>0</v>
      </c>
      <c r="N1004" s="40">
        <v>0</v>
      </c>
      <c r="O1004" s="40">
        <f t="shared" si="31"/>
        <v>0</v>
      </c>
      <c r="P1004" s="40">
        <f t="shared" si="32"/>
        <v>0</v>
      </c>
    </row>
    <row r="1005" spans="1:16" x14ac:dyDescent="0.35">
      <c r="A1005" s="33">
        <v>1002</v>
      </c>
      <c r="B1005" s="34" t="s">
        <v>1363</v>
      </c>
      <c r="C1005" s="33" t="s">
        <v>297</v>
      </c>
      <c r="D1005" s="33" t="s">
        <v>22</v>
      </c>
      <c r="E1005" s="33" t="s">
        <v>1359</v>
      </c>
      <c r="F1005" s="35">
        <v>1</v>
      </c>
      <c r="G1005" s="40">
        <v>0</v>
      </c>
      <c r="H1005" s="40">
        <v>0</v>
      </c>
      <c r="I1005" s="40">
        <v>0</v>
      </c>
      <c r="J1005" s="40">
        <v>0</v>
      </c>
      <c r="K1005" s="40">
        <v>0</v>
      </c>
      <c r="L1005" s="40">
        <v>0</v>
      </c>
      <c r="M1005" s="40" cm="1">
        <f t="array" ref="M1005:N1005">VLOOKUP(B1005,'Fumigation  Room'!B:H,{6,7},0)</f>
        <v>0</v>
      </c>
      <c r="N1005" s="40">
        <v>0</v>
      </c>
      <c r="O1005" s="40">
        <f t="shared" si="31"/>
        <v>0</v>
      </c>
      <c r="P1005" s="40">
        <f t="shared" si="32"/>
        <v>0</v>
      </c>
    </row>
    <row r="1006" spans="1:16" x14ac:dyDescent="0.35">
      <c r="A1006" s="33">
        <v>1003</v>
      </c>
      <c r="B1006" s="34" t="s">
        <v>1364</v>
      </c>
      <c r="C1006" s="33" t="s">
        <v>297</v>
      </c>
      <c r="D1006" s="33" t="s">
        <v>22</v>
      </c>
      <c r="E1006" s="33" t="s">
        <v>1359</v>
      </c>
      <c r="F1006" s="35">
        <v>1</v>
      </c>
      <c r="G1006" s="40">
        <v>0</v>
      </c>
      <c r="H1006" s="40">
        <v>0</v>
      </c>
      <c r="I1006" s="40">
        <v>0</v>
      </c>
      <c r="J1006" s="40">
        <v>0</v>
      </c>
      <c r="K1006" s="40">
        <v>0</v>
      </c>
      <c r="L1006" s="40">
        <v>0</v>
      </c>
      <c r="M1006" s="40" cm="1">
        <f t="array" ref="M1006:N1006">VLOOKUP(B1006,'Fumigation  Room'!B:H,{6,7},0)</f>
        <v>0</v>
      </c>
      <c r="N1006" s="40">
        <v>0</v>
      </c>
      <c r="O1006" s="40">
        <f t="shared" si="31"/>
        <v>0</v>
      </c>
      <c r="P1006" s="40">
        <f t="shared" si="32"/>
        <v>0</v>
      </c>
    </row>
    <row r="1007" spans="1:16" x14ac:dyDescent="0.35">
      <c r="A1007" s="33">
        <v>1004</v>
      </c>
      <c r="B1007" s="34" t="s">
        <v>1365</v>
      </c>
      <c r="C1007" s="33" t="s">
        <v>297</v>
      </c>
      <c r="D1007" s="33" t="s">
        <v>22</v>
      </c>
      <c r="E1007" s="33" t="s">
        <v>1359</v>
      </c>
      <c r="F1007" s="35">
        <v>1</v>
      </c>
      <c r="G1007" s="40">
        <v>0</v>
      </c>
      <c r="H1007" s="40">
        <v>0</v>
      </c>
      <c r="I1007" s="40">
        <v>0</v>
      </c>
      <c r="J1007" s="40">
        <v>0</v>
      </c>
      <c r="K1007" s="40">
        <v>0</v>
      </c>
      <c r="L1007" s="40">
        <v>0</v>
      </c>
      <c r="M1007" s="40" cm="1">
        <f t="array" ref="M1007:N1007">VLOOKUP(B1007,'Fumigation  Room'!B:H,{6,7},0)</f>
        <v>0</v>
      </c>
      <c r="N1007" s="40">
        <v>0</v>
      </c>
      <c r="O1007" s="40">
        <f t="shared" si="31"/>
        <v>0</v>
      </c>
      <c r="P1007" s="40">
        <f t="shared" si="32"/>
        <v>0</v>
      </c>
    </row>
    <row r="1008" spans="1:16" x14ac:dyDescent="0.35">
      <c r="A1008" s="33">
        <v>1005</v>
      </c>
      <c r="B1008" s="34" t="s">
        <v>1366</v>
      </c>
      <c r="C1008" s="33" t="s">
        <v>297</v>
      </c>
      <c r="D1008" s="33" t="s">
        <v>22</v>
      </c>
      <c r="E1008" s="33" t="s">
        <v>1359</v>
      </c>
      <c r="F1008" s="35">
        <v>1</v>
      </c>
      <c r="G1008" s="40">
        <v>0</v>
      </c>
      <c r="H1008" s="40">
        <v>0</v>
      </c>
      <c r="I1008" s="40">
        <v>0</v>
      </c>
      <c r="J1008" s="40">
        <v>0</v>
      </c>
      <c r="K1008" s="40">
        <v>0</v>
      </c>
      <c r="L1008" s="40">
        <v>0</v>
      </c>
      <c r="M1008" s="40" cm="1">
        <f t="array" ref="M1008:N1008">VLOOKUP(B1008,'Fumigation  Room'!B:H,{6,7},0)</f>
        <v>0</v>
      </c>
      <c r="N1008" s="40">
        <v>0</v>
      </c>
      <c r="O1008" s="40">
        <f t="shared" si="31"/>
        <v>0</v>
      </c>
      <c r="P1008" s="40">
        <f t="shared" si="32"/>
        <v>0</v>
      </c>
    </row>
    <row r="1009" spans="1:16" x14ac:dyDescent="0.35">
      <c r="A1009" s="33">
        <v>1006</v>
      </c>
      <c r="B1009" s="34" t="s">
        <v>1367</v>
      </c>
      <c r="C1009" s="33" t="s">
        <v>297</v>
      </c>
      <c r="D1009" s="33" t="s">
        <v>22</v>
      </c>
      <c r="E1009" s="33" t="s">
        <v>1359</v>
      </c>
      <c r="F1009" s="35">
        <v>1</v>
      </c>
      <c r="G1009" s="40">
        <v>0</v>
      </c>
      <c r="H1009" s="40">
        <v>0</v>
      </c>
      <c r="I1009" s="40">
        <v>0</v>
      </c>
      <c r="J1009" s="40">
        <v>0</v>
      </c>
      <c r="K1009" s="40">
        <v>0</v>
      </c>
      <c r="L1009" s="40">
        <v>0</v>
      </c>
      <c r="M1009" s="40" cm="1">
        <f t="array" ref="M1009:N1009">VLOOKUP(B1009,'Fumigation  Room'!B:H,{6,7},0)</f>
        <v>0</v>
      </c>
      <c r="N1009" s="40">
        <v>0</v>
      </c>
      <c r="O1009" s="40">
        <f t="shared" si="31"/>
        <v>0</v>
      </c>
      <c r="P1009" s="40">
        <f t="shared" si="32"/>
        <v>0</v>
      </c>
    </row>
    <row r="1010" spans="1:16" x14ac:dyDescent="0.35">
      <c r="A1010" s="33">
        <v>1007</v>
      </c>
      <c r="B1010" s="34" t="s">
        <v>1368</v>
      </c>
      <c r="C1010" s="33" t="s">
        <v>297</v>
      </c>
      <c r="D1010" s="33" t="s">
        <v>22</v>
      </c>
      <c r="E1010" s="33" t="s">
        <v>1359</v>
      </c>
      <c r="F1010" s="35">
        <v>1</v>
      </c>
      <c r="G1010" s="40">
        <v>0</v>
      </c>
      <c r="H1010" s="40">
        <v>0</v>
      </c>
      <c r="I1010" s="40">
        <v>0</v>
      </c>
      <c r="J1010" s="40">
        <v>0</v>
      </c>
      <c r="K1010" s="40">
        <v>0</v>
      </c>
      <c r="L1010" s="40">
        <v>0</v>
      </c>
      <c r="M1010" s="40" cm="1">
        <f t="array" ref="M1010:N1010">VLOOKUP(B1010,'Fumigation  Room'!B:H,{6,7},0)</f>
        <v>0</v>
      </c>
      <c r="N1010" s="40">
        <v>0</v>
      </c>
      <c r="O1010" s="40">
        <f t="shared" si="31"/>
        <v>0</v>
      </c>
      <c r="P1010" s="40">
        <f t="shared" si="32"/>
        <v>0</v>
      </c>
    </row>
    <row r="1011" spans="1:16" x14ac:dyDescent="0.35">
      <c r="A1011" s="33">
        <v>1008</v>
      </c>
      <c r="B1011" s="34" t="s">
        <v>1369</v>
      </c>
      <c r="C1011" s="33" t="s">
        <v>297</v>
      </c>
      <c r="D1011" s="33" t="s">
        <v>22</v>
      </c>
      <c r="E1011" s="33" t="s">
        <v>1359</v>
      </c>
      <c r="F1011" s="35">
        <v>1</v>
      </c>
      <c r="G1011" s="40">
        <v>0</v>
      </c>
      <c r="H1011" s="40">
        <v>0</v>
      </c>
      <c r="I1011" s="40">
        <v>0</v>
      </c>
      <c r="J1011" s="40">
        <v>0</v>
      </c>
      <c r="K1011" s="40">
        <v>0</v>
      </c>
      <c r="L1011" s="40">
        <v>0</v>
      </c>
      <c r="M1011" s="40" cm="1">
        <f t="array" ref="M1011:N1011">VLOOKUP(B1011,'Fumigation  Room'!B:H,{6,7},0)</f>
        <v>0</v>
      </c>
      <c r="N1011" s="40">
        <v>0</v>
      </c>
      <c r="O1011" s="40">
        <f t="shared" si="31"/>
        <v>0</v>
      </c>
      <c r="P1011" s="40">
        <f t="shared" si="32"/>
        <v>0</v>
      </c>
    </row>
    <row r="1012" spans="1:16" x14ac:dyDescent="0.35">
      <c r="A1012" s="33">
        <v>1009</v>
      </c>
      <c r="B1012" s="34" t="s">
        <v>1370</v>
      </c>
      <c r="C1012" s="33" t="s">
        <v>297</v>
      </c>
      <c r="D1012" s="33" t="s">
        <v>22</v>
      </c>
      <c r="E1012" s="33" t="s">
        <v>1359</v>
      </c>
      <c r="F1012" s="35">
        <v>1</v>
      </c>
      <c r="G1012" s="40">
        <v>0</v>
      </c>
      <c r="H1012" s="40">
        <v>0</v>
      </c>
      <c r="I1012" s="40">
        <v>0</v>
      </c>
      <c r="J1012" s="40">
        <v>0</v>
      </c>
      <c r="K1012" s="40">
        <v>0</v>
      </c>
      <c r="L1012" s="40">
        <v>0</v>
      </c>
      <c r="M1012" s="40" cm="1">
        <f t="array" ref="M1012:N1012">VLOOKUP(B1012,'Fumigation  Room'!B:H,{6,7},0)</f>
        <v>0</v>
      </c>
      <c r="N1012" s="40">
        <v>0</v>
      </c>
      <c r="O1012" s="40">
        <f t="shared" si="31"/>
        <v>0</v>
      </c>
      <c r="P1012" s="40">
        <f t="shared" si="32"/>
        <v>0</v>
      </c>
    </row>
    <row r="1013" spans="1:16" x14ac:dyDescent="0.35">
      <c r="A1013" s="33">
        <v>1010</v>
      </c>
      <c r="B1013" s="34" t="s">
        <v>1371</v>
      </c>
      <c r="C1013" s="33" t="s">
        <v>297</v>
      </c>
      <c r="D1013" s="33" t="s">
        <v>22</v>
      </c>
      <c r="E1013" s="33" t="s">
        <v>1359</v>
      </c>
      <c r="F1013" s="35">
        <v>1</v>
      </c>
      <c r="G1013" s="40">
        <v>0</v>
      </c>
      <c r="H1013" s="40">
        <v>0</v>
      </c>
      <c r="I1013" s="40">
        <v>0</v>
      </c>
      <c r="J1013" s="40">
        <v>0</v>
      </c>
      <c r="K1013" s="40">
        <v>0</v>
      </c>
      <c r="L1013" s="40">
        <v>0</v>
      </c>
      <c r="M1013" s="40" cm="1">
        <f t="array" ref="M1013:N1013">VLOOKUP(B1013,'Fumigation  Room'!B:H,{6,7},0)</f>
        <v>0</v>
      </c>
      <c r="N1013" s="40">
        <v>0</v>
      </c>
      <c r="O1013" s="40">
        <f t="shared" si="31"/>
        <v>0</v>
      </c>
      <c r="P1013" s="40">
        <f t="shared" si="32"/>
        <v>0</v>
      </c>
    </row>
    <row r="1014" spans="1:16" x14ac:dyDescent="0.35">
      <c r="A1014" s="33">
        <v>1011</v>
      </c>
      <c r="B1014" s="34" t="s">
        <v>1372</v>
      </c>
      <c r="C1014" s="33" t="s">
        <v>297</v>
      </c>
      <c r="D1014" s="33" t="s">
        <v>22</v>
      </c>
      <c r="E1014" s="33" t="s">
        <v>1359</v>
      </c>
      <c r="F1014" s="35">
        <v>1</v>
      </c>
      <c r="G1014" s="40">
        <v>0</v>
      </c>
      <c r="H1014" s="40">
        <v>0</v>
      </c>
      <c r="I1014" s="40">
        <v>0</v>
      </c>
      <c r="J1014" s="40">
        <v>0</v>
      </c>
      <c r="K1014" s="40">
        <v>0</v>
      </c>
      <c r="L1014" s="40">
        <v>0</v>
      </c>
      <c r="M1014" s="40" cm="1">
        <f t="array" ref="M1014:N1014">VLOOKUP(B1014,'Fumigation  Room'!B:H,{6,7},0)</f>
        <v>0</v>
      </c>
      <c r="N1014" s="40">
        <v>0</v>
      </c>
      <c r="O1014" s="40">
        <f t="shared" si="31"/>
        <v>0</v>
      </c>
      <c r="P1014" s="40">
        <f t="shared" si="32"/>
        <v>0</v>
      </c>
    </row>
    <row r="1015" spans="1:16" x14ac:dyDescent="0.35">
      <c r="A1015" s="33">
        <v>1012</v>
      </c>
      <c r="B1015" s="34" t="s">
        <v>1373</v>
      </c>
      <c r="C1015" s="33" t="s">
        <v>297</v>
      </c>
      <c r="D1015" s="33" t="s">
        <v>22</v>
      </c>
      <c r="E1015" s="33" t="s">
        <v>1359</v>
      </c>
      <c r="F1015" s="35">
        <v>1</v>
      </c>
      <c r="G1015" s="40">
        <v>0</v>
      </c>
      <c r="H1015" s="40">
        <v>0</v>
      </c>
      <c r="I1015" s="40">
        <v>0</v>
      </c>
      <c r="J1015" s="40">
        <v>0</v>
      </c>
      <c r="K1015" s="40">
        <v>0</v>
      </c>
      <c r="L1015" s="40">
        <v>0</v>
      </c>
      <c r="M1015" s="40" cm="1">
        <f t="array" ref="M1015:N1015">VLOOKUP(B1015,'Fumigation  Room'!B:H,{6,7},0)</f>
        <v>0</v>
      </c>
      <c r="N1015" s="40">
        <v>0</v>
      </c>
      <c r="O1015" s="40">
        <f t="shared" si="31"/>
        <v>0</v>
      </c>
      <c r="P1015" s="40">
        <f t="shared" si="32"/>
        <v>0</v>
      </c>
    </row>
    <row r="1016" spans="1:16" x14ac:dyDescent="0.35">
      <c r="A1016" s="33">
        <v>1013</v>
      </c>
      <c r="B1016" s="34" t="s">
        <v>1374</v>
      </c>
      <c r="C1016" s="33" t="s">
        <v>297</v>
      </c>
      <c r="D1016" s="33" t="s">
        <v>22</v>
      </c>
      <c r="E1016" s="33" t="s">
        <v>1359</v>
      </c>
      <c r="F1016" s="35">
        <v>1</v>
      </c>
      <c r="G1016" s="40">
        <v>0</v>
      </c>
      <c r="H1016" s="40">
        <v>0</v>
      </c>
      <c r="I1016" s="40">
        <v>0</v>
      </c>
      <c r="J1016" s="40">
        <v>0</v>
      </c>
      <c r="K1016" s="40">
        <v>0</v>
      </c>
      <c r="L1016" s="40">
        <v>0</v>
      </c>
      <c r="M1016" s="40" cm="1">
        <f t="array" ref="M1016:N1016">VLOOKUP(B1016,'Fumigation  Room'!B:H,{6,7},0)</f>
        <v>0</v>
      </c>
      <c r="N1016" s="40">
        <v>0</v>
      </c>
      <c r="O1016" s="40">
        <f t="shared" si="31"/>
        <v>0</v>
      </c>
      <c r="P1016" s="40">
        <f t="shared" si="32"/>
        <v>0</v>
      </c>
    </row>
    <row r="1017" spans="1:16" x14ac:dyDescent="0.35">
      <c r="A1017" s="33">
        <v>1014</v>
      </c>
      <c r="B1017" s="34" t="s">
        <v>1375</v>
      </c>
      <c r="C1017" s="33" t="s">
        <v>297</v>
      </c>
      <c r="D1017" s="33" t="s">
        <v>22</v>
      </c>
      <c r="E1017" s="33" t="s">
        <v>1359</v>
      </c>
      <c r="F1017" s="35">
        <v>1</v>
      </c>
      <c r="G1017" s="40">
        <v>0</v>
      </c>
      <c r="H1017" s="40">
        <v>0</v>
      </c>
      <c r="I1017" s="40">
        <v>0</v>
      </c>
      <c r="J1017" s="40">
        <v>0</v>
      </c>
      <c r="K1017" s="40">
        <v>0</v>
      </c>
      <c r="L1017" s="40">
        <v>0</v>
      </c>
      <c r="M1017" s="40" cm="1">
        <f t="array" ref="M1017:N1017">VLOOKUP(B1017,'Fumigation  Room'!B:H,{6,7},0)</f>
        <v>0</v>
      </c>
      <c r="N1017" s="40">
        <v>0</v>
      </c>
      <c r="O1017" s="40">
        <f t="shared" si="31"/>
        <v>0</v>
      </c>
      <c r="P1017" s="40">
        <f t="shared" si="32"/>
        <v>0</v>
      </c>
    </row>
    <row r="1018" spans="1:16" x14ac:dyDescent="0.35">
      <c r="A1018" s="33">
        <v>1015</v>
      </c>
      <c r="B1018" s="34" t="s">
        <v>1376</v>
      </c>
      <c r="C1018" s="33" t="s">
        <v>297</v>
      </c>
      <c r="D1018" s="33" t="s">
        <v>22</v>
      </c>
      <c r="E1018" s="33" t="s">
        <v>1359</v>
      </c>
      <c r="F1018" s="35">
        <v>1</v>
      </c>
      <c r="G1018" s="40">
        <v>0</v>
      </c>
      <c r="H1018" s="40">
        <v>0</v>
      </c>
      <c r="I1018" s="40">
        <v>0</v>
      </c>
      <c r="J1018" s="40">
        <v>0</v>
      </c>
      <c r="K1018" s="40">
        <v>0</v>
      </c>
      <c r="L1018" s="40">
        <v>0</v>
      </c>
      <c r="M1018" s="40" cm="1">
        <f t="array" ref="M1018:N1018">VLOOKUP(B1018,'Fumigation  Room'!B:H,{6,7},0)</f>
        <v>0</v>
      </c>
      <c r="N1018" s="40">
        <v>0</v>
      </c>
      <c r="O1018" s="40">
        <f t="shared" si="31"/>
        <v>0</v>
      </c>
      <c r="P1018" s="40">
        <f t="shared" si="32"/>
        <v>0</v>
      </c>
    </row>
    <row r="1019" spans="1:16" x14ac:dyDescent="0.35">
      <c r="A1019" s="33">
        <v>1016</v>
      </c>
      <c r="B1019" s="34" t="s">
        <v>1377</v>
      </c>
      <c r="C1019" s="33" t="s">
        <v>297</v>
      </c>
      <c r="D1019" s="33" t="s">
        <v>22</v>
      </c>
      <c r="E1019" s="33" t="s">
        <v>1359</v>
      </c>
      <c r="F1019" s="35">
        <v>1</v>
      </c>
      <c r="G1019" s="40">
        <v>0</v>
      </c>
      <c r="H1019" s="40">
        <v>0</v>
      </c>
      <c r="I1019" s="40">
        <v>0</v>
      </c>
      <c r="J1019" s="40">
        <v>0</v>
      </c>
      <c r="K1019" s="40">
        <v>0</v>
      </c>
      <c r="L1019" s="40">
        <v>0</v>
      </c>
      <c r="M1019" s="40" cm="1">
        <f t="array" ref="M1019:N1019">VLOOKUP(B1019,'Fumigation  Room'!B:H,{6,7},0)</f>
        <v>0</v>
      </c>
      <c r="N1019" s="40">
        <v>0</v>
      </c>
      <c r="O1019" s="40">
        <f t="shared" si="31"/>
        <v>0</v>
      </c>
      <c r="P1019" s="40">
        <f t="shared" si="32"/>
        <v>0</v>
      </c>
    </row>
    <row r="1020" spans="1:16" x14ac:dyDescent="0.35">
      <c r="A1020" s="33">
        <v>1017</v>
      </c>
      <c r="B1020" s="34" t="s">
        <v>1378</v>
      </c>
      <c r="C1020" s="33" t="s">
        <v>297</v>
      </c>
      <c r="D1020" s="33" t="s">
        <v>22</v>
      </c>
      <c r="E1020" s="33" t="s">
        <v>1359</v>
      </c>
      <c r="F1020" s="35">
        <v>1</v>
      </c>
      <c r="G1020" s="40">
        <v>0</v>
      </c>
      <c r="H1020" s="40">
        <v>0</v>
      </c>
      <c r="I1020" s="40">
        <v>0</v>
      </c>
      <c r="J1020" s="40">
        <v>0</v>
      </c>
      <c r="K1020" s="40">
        <v>0</v>
      </c>
      <c r="L1020" s="40">
        <v>0</v>
      </c>
      <c r="M1020" s="40" cm="1">
        <f t="array" ref="M1020:N1020">VLOOKUP(B1020,'Fumigation  Room'!B:H,{6,7},0)</f>
        <v>0</v>
      </c>
      <c r="N1020" s="40">
        <v>0</v>
      </c>
      <c r="O1020" s="40">
        <f t="shared" si="31"/>
        <v>0</v>
      </c>
      <c r="P1020" s="40">
        <f t="shared" si="32"/>
        <v>0</v>
      </c>
    </row>
    <row r="1021" spans="1:16" x14ac:dyDescent="0.35">
      <c r="A1021" s="33">
        <v>1018</v>
      </c>
      <c r="B1021" s="34" t="s">
        <v>1379</v>
      </c>
      <c r="C1021" s="33" t="s">
        <v>297</v>
      </c>
      <c r="D1021" s="33" t="s">
        <v>22</v>
      </c>
      <c r="E1021" s="33" t="s">
        <v>1359</v>
      </c>
      <c r="F1021" s="35">
        <v>1</v>
      </c>
      <c r="G1021" s="40">
        <v>0</v>
      </c>
      <c r="H1021" s="40">
        <v>0</v>
      </c>
      <c r="I1021" s="40">
        <v>0</v>
      </c>
      <c r="J1021" s="40">
        <v>0</v>
      </c>
      <c r="K1021" s="40">
        <v>0</v>
      </c>
      <c r="L1021" s="40">
        <v>0</v>
      </c>
      <c r="M1021" s="40" cm="1">
        <f t="array" ref="M1021:N1021">VLOOKUP(B1021,'Fumigation  Room'!B:H,{6,7},0)</f>
        <v>0</v>
      </c>
      <c r="N1021" s="40">
        <v>0</v>
      </c>
      <c r="O1021" s="40">
        <f t="shared" si="31"/>
        <v>0</v>
      </c>
      <c r="P1021" s="40">
        <f t="shared" si="32"/>
        <v>0</v>
      </c>
    </row>
    <row r="1022" spans="1:16" x14ac:dyDescent="0.35">
      <c r="A1022" s="33">
        <v>1019</v>
      </c>
      <c r="B1022" s="34" t="s">
        <v>1380</v>
      </c>
      <c r="C1022" s="33" t="s">
        <v>297</v>
      </c>
      <c r="D1022" s="33" t="s">
        <v>22</v>
      </c>
      <c r="E1022" s="33" t="s">
        <v>1359</v>
      </c>
      <c r="F1022" s="35">
        <v>1</v>
      </c>
      <c r="G1022" s="40">
        <v>0</v>
      </c>
      <c r="H1022" s="40">
        <v>0</v>
      </c>
      <c r="I1022" s="40">
        <v>0</v>
      </c>
      <c r="J1022" s="40">
        <v>0</v>
      </c>
      <c r="K1022" s="40">
        <v>0</v>
      </c>
      <c r="L1022" s="40">
        <v>0</v>
      </c>
      <c r="M1022" s="40" cm="1">
        <f t="array" ref="M1022:N1022">VLOOKUP(B1022,'Fumigation  Room'!B:H,{6,7},0)</f>
        <v>0</v>
      </c>
      <c r="N1022" s="40">
        <v>0</v>
      </c>
      <c r="O1022" s="40">
        <f t="shared" si="31"/>
        <v>0</v>
      </c>
      <c r="P1022" s="40">
        <f t="shared" si="32"/>
        <v>0</v>
      </c>
    </row>
    <row r="1023" spans="1:16" x14ac:dyDescent="0.35">
      <c r="A1023" s="33">
        <v>1020</v>
      </c>
      <c r="B1023" s="34" t="s">
        <v>1381</v>
      </c>
      <c r="C1023" s="33" t="s">
        <v>297</v>
      </c>
      <c r="D1023" s="33" t="s">
        <v>22</v>
      </c>
      <c r="E1023" s="33" t="s">
        <v>1359</v>
      </c>
      <c r="F1023" s="35">
        <v>1</v>
      </c>
      <c r="G1023" s="40">
        <v>0</v>
      </c>
      <c r="H1023" s="40">
        <v>0</v>
      </c>
      <c r="I1023" s="40">
        <v>0</v>
      </c>
      <c r="J1023" s="40">
        <v>0</v>
      </c>
      <c r="K1023" s="40">
        <v>0</v>
      </c>
      <c r="L1023" s="40">
        <v>0</v>
      </c>
      <c r="M1023" s="40" cm="1">
        <f t="array" ref="M1023:N1023">VLOOKUP(B1023,'Fumigation  Room'!B:H,{6,7},0)</f>
        <v>0</v>
      </c>
      <c r="N1023" s="40">
        <v>0</v>
      </c>
      <c r="O1023" s="40">
        <f t="shared" si="31"/>
        <v>0</v>
      </c>
      <c r="P1023" s="40">
        <f t="shared" si="32"/>
        <v>0</v>
      </c>
    </row>
    <row r="1024" spans="1:16" x14ac:dyDescent="0.35">
      <c r="A1024" s="33">
        <v>1021</v>
      </c>
      <c r="B1024" s="34" t="s">
        <v>1382</v>
      </c>
      <c r="C1024" s="33" t="s">
        <v>297</v>
      </c>
      <c r="D1024" s="33" t="s">
        <v>22</v>
      </c>
      <c r="E1024" s="33" t="s">
        <v>1359</v>
      </c>
      <c r="F1024" s="35">
        <v>1</v>
      </c>
      <c r="G1024" s="40">
        <v>0</v>
      </c>
      <c r="H1024" s="40">
        <v>0</v>
      </c>
      <c r="I1024" s="40">
        <v>0</v>
      </c>
      <c r="J1024" s="40">
        <v>0</v>
      </c>
      <c r="K1024" s="40">
        <v>0</v>
      </c>
      <c r="L1024" s="40">
        <v>0</v>
      </c>
      <c r="M1024" s="40" cm="1">
        <f t="array" ref="M1024:N1024">VLOOKUP(B1024,'Fumigation  Room'!B:H,{6,7},0)</f>
        <v>0</v>
      </c>
      <c r="N1024" s="40">
        <v>0</v>
      </c>
      <c r="O1024" s="40">
        <f t="shared" si="31"/>
        <v>0</v>
      </c>
      <c r="P1024" s="40">
        <f t="shared" si="32"/>
        <v>0</v>
      </c>
    </row>
    <row r="1025" spans="1:16" x14ac:dyDescent="0.35">
      <c r="A1025" s="33">
        <v>1022</v>
      </c>
      <c r="B1025" s="34" t="s">
        <v>1383</v>
      </c>
      <c r="C1025" s="33" t="s">
        <v>297</v>
      </c>
      <c r="D1025" s="33" t="s">
        <v>22</v>
      </c>
      <c r="E1025" s="33" t="s">
        <v>1359</v>
      </c>
      <c r="F1025" s="35">
        <v>1</v>
      </c>
      <c r="G1025" s="40">
        <v>0</v>
      </c>
      <c r="H1025" s="40">
        <v>0</v>
      </c>
      <c r="I1025" s="40">
        <v>0</v>
      </c>
      <c r="J1025" s="40">
        <v>0</v>
      </c>
      <c r="K1025" s="40">
        <v>0</v>
      </c>
      <c r="L1025" s="40">
        <v>0</v>
      </c>
      <c r="M1025" s="40" cm="1">
        <f t="array" ref="M1025:N1025">VLOOKUP(B1025,'Fumigation  Room'!B:H,{6,7},0)</f>
        <v>0</v>
      </c>
      <c r="N1025" s="40">
        <v>0</v>
      </c>
      <c r="O1025" s="40">
        <f t="shared" si="31"/>
        <v>0</v>
      </c>
      <c r="P1025" s="40">
        <f t="shared" si="32"/>
        <v>0</v>
      </c>
    </row>
    <row r="1026" spans="1:16" x14ac:dyDescent="0.35">
      <c r="A1026" s="33">
        <v>1023</v>
      </c>
      <c r="B1026" s="34" t="s">
        <v>1384</v>
      </c>
      <c r="C1026" s="33" t="s">
        <v>297</v>
      </c>
      <c r="D1026" s="33" t="s">
        <v>22</v>
      </c>
      <c r="E1026" s="33" t="s">
        <v>1359</v>
      </c>
      <c r="F1026" s="35">
        <v>1</v>
      </c>
      <c r="G1026" s="40">
        <v>0</v>
      </c>
      <c r="H1026" s="40">
        <v>0</v>
      </c>
      <c r="I1026" s="40">
        <v>0</v>
      </c>
      <c r="J1026" s="40">
        <v>0</v>
      </c>
      <c r="K1026" s="40">
        <v>0</v>
      </c>
      <c r="L1026" s="40">
        <v>0</v>
      </c>
      <c r="M1026" s="40" cm="1">
        <f t="array" ref="M1026:N1026">VLOOKUP(B1026,'Fumigation  Room'!B:H,{6,7},0)</f>
        <v>0</v>
      </c>
      <c r="N1026" s="40">
        <v>0</v>
      </c>
      <c r="O1026" s="40">
        <f t="shared" si="31"/>
        <v>0</v>
      </c>
      <c r="P1026" s="40">
        <f t="shared" si="32"/>
        <v>0</v>
      </c>
    </row>
    <row r="1027" spans="1:16" x14ac:dyDescent="0.35">
      <c r="A1027" s="33">
        <v>1024</v>
      </c>
      <c r="B1027" s="34" t="s">
        <v>1385</v>
      </c>
      <c r="C1027" s="33" t="s">
        <v>297</v>
      </c>
      <c r="D1027" s="33" t="s">
        <v>22</v>
      </c>
      <c r="E1027" s="33" t="s">
        <v>1359</v>
      </c>
      <c r="F1027" s="35">
        <v>1</v>
      </c>
      <c r="G1027" s="40">
        <v>0</v>
      </c>
      <c r="H1027" s="40">
        <v>0</v>
      </c>
      <c r="I1027" s="40">
        <v>0</v>
      </c>
      <c r="J1027" s="40">
        <v>0</v>
      </c>
      <c r="K1027" s="40">
        <v>0</v>
      </c>
      <c r="L1027" s="40">
        <v>0</v>
      </c>
      <c r="M1027" s="40" cm="1">
        <f t="array" ref="M1027:N1027">VLOOKUP(B1027,'Fumigation  Room'!B:H,{6,7},0)</f>
        <v>0</v>
      </c>
      <c r="N1027" s="40">
        <v>0</v>
      </c>
      <c r="O1027" s="40">
        <f t="shared" si="31"/>
        <v>0</v>
      </c>
      <c r="P1027" s="40">
        <f t="shared" si="32"/>
        <v>0</v>
      </c>
    </row>
    <row r="1028" spans="1:16" x14ac:dyDescent="0.35">
      <c r="A1028" s="33">
        <v>1025</v>
      </c>
      <c r="B1028" s="34" t="s">
        <v>1386</v>
      </c>
      <c r="C1028" s="33" t="s">
        <v>297</v>
      </c>
      <c r="D1028" s="33" t="s">
        <v>22</v>
      </c>
      <c r="E1028" s="33" t="s">
        <v>1359</v>
      </c>
      <c r="F1028" s="35">
        <v>1</v>
      </c>
      <c r="G1028" s="40">
        <v>0</v>
      </c>
      <c r="H1028" s="40">
        <v>0</v>
      </c>
      <c r="I1028" s="40">
        <v>0</v>
      </c>
      <c r="J1028" s="40">
        <v>0</v>
      </c>
      <c r="K1028" s="40">
        <v>0</v>
      </c>
      <c r="L1028" s="40">
        <v>0</v>
      </c>
      <c r="M1028" s="40" cm="1">
        <f t="array" ref="M1028:N1028">VLOOKUP(B1028,'Fumigation  Room'!B:H,{6,7},0)</f>
        <v>0</v>
      </c>
      <c r="N1028" s="40">
        <v>0</v>
      </c>
      <c r="O1028" s="40">
        <f t="shared" si="31"/>
        <v>0</v>
      </c>
      <c r="P1028" s="40">
        <f t="shared" si="32"/>
        <v>0</v>
      </c>
    </row>
    <row r="1029" spans="1:16" x14ac:dyDescent="0.35">
      <c r="A1029" s="33">
        <v>1026</v>
      </c>
      <c r="B1029" s="34" t="s">
        <v>1387</v>
      </c>
      <c r="C1029" s="33" t="s">
        <v>297</v>
      </c>
      <c r="D1029" s="33" t="s">
        <v>22</v>
      </c>
      <c r="E1029" s="33" t="s">
        <v>1359</v>
      </c>
      <c r="F1029" s="35">
        <v>1</v>
      </c>
      <c r="G1029" s="40">
        <v>0</v>
      </c>
      <c r="H1029" s="40">
        <v>0</v>
      </c>
      <c r="I1029" s="40">
        <v>0</v>
      </c>
      <c r="J1029" s="40">
        <v>0</v>
      </c>
      <c r="K1029" s="40">
        <v>0</v>
      </c>
      <c r="L1029" s="40">
        <v>0</v>
      </c>
      <c r="M1029" s="40" cm="1">
        <f t="array" ref="M1029:N1029">VLOOKUP(B1029,'Fumigation  Room'!B:H,{6,7},0)</f>
        <v>0</v>
      </c>
      <c r="N1029" s="40">
        <v>0</v>
      </c>
      <c r="O1029" s="40">
        <f t="shared" ref="O1029:O1092" si="33">G1029+I1029+K1029+M1029</f>
        <v>0</v>
      </c>
      <c r="P1029" s="40">
        <f t="shared" ref="P1029:P1092" si="34">H1029+J1029+L1029+N1029</f>
        <v>0</v>
      </c>
    </row>
    <row r="1030" spans="1:16" x14ac:dyDescent="0.35">
      <c r="A1030" s="33">
        <v>1027</v>
      </c>
      <c r="B1030" s="34" t="s">
        <v>1388</v>
      </c>
      <c r="C1030" s="33" t="s">
        <v>297</v>
      </c>
      <c r="D1030" s="33" t="s">
        <v>22</v>
      </c>
      <c r="E1030" s="33" t="s">
        <v>1359</v>
      </c>
      <c r="F1030" s="35">
        <v>1</v>
      </c>
      <c r="G1030" s="40">
        <v>0</v>
      </c>
      <c r="H1030" s="40">
        <v>0</v>
      </c>
      <c r="I1030" s="40">
        <v>0</v>
      </c>
      <c r="J1030" s="40">
        <v>0</v>
      </c>
      <c r="K1030" s="40">
        <v>0</v>
      </c>
      <c r="L1030" s="40">
        <v>0</v>
      </c>
      <c r="M1030" s="40" cm="1">
        <f t="array" ref="M1030:N1030">VLOOKUP(B1030,'Fumigation  Room'!B:H,{6,7},0)</f>
        <v>0</v>
      </c>
      <c r="N1030" s="40">
        <v>0</v>
      </c>
      <c r="O1030" s="40">
        <f t="shared" si="33"/>
        <v>0</v>
      </c>
      <c r="P1030" s="40">
        <f t="shared" si="34"/>
        <v>0</v>
      </c>
    </row>
    <row r="1031" spans="1:16" x14ac:dyDescent="0.35">
      <c r="A1031" s="33">
        <v>1028</v>
      </c>
      <c r="B1031" s="34" t="s">
        <v>1389</v>
      </c>
      <c r="C1031" s="33" t="s">
        <v>297</v>
      </c>
      <c r="D1031" s="33" t="s">
        <v>22</v>
      </c>
      <c r="E1031" s="33" t="s">
        <v>1359</v>
      </c>
      <c r="F1031" s="35">
        <v>1</v>
      </c>
      <c r="G1031" s="40">
        <v>0</v>
      </c>
      <c r="H1031" s="40">
        <v>0</v>
      </c>
      <c r="I1031" s="40">
        <v>0</v>
      </c>
      <c r="J1031" s="40">
        <v>0</v>
      </c>
      <c r="K1031" s="40">
        <v>0</v>
      </c>
      <c r="L1031" s="40">
        <v>0</v>
      </c>
      <c r="M1031" s="40" cm="1">
        <f t="array" ref="M1031:N1031">VLOOKUP(B1031,'Fumigation  Room'!B:H,{6,7},0)</f>
        <v>0</v>
      </c>
      <c r="N1031" s="40">
        <v>0</v>
      </c>
      <c r="O1031" s="40">
        <f t="shared" si="33"/>
        <v>0</v>
      </c>
      <c r="P1031" s="40">
        <f t="shared" si="34"/>
        <v>0</v>
      </c>
    </row>
    <row r="1032" spans="1:16" x14ac:dyDescent="0.35">
      <c r="A1032" s="33">
        <v>1029</v>
      </c>
      <c r="B1032" s="34" t="s">
        <v>1390</v>
      </c>
      <c r="C1032" s="33" t="s">
        <v>297</v>
      </c>
      <c r="D1032" s="33" t="s">
        <v>22</v>
      </c>
      <c r="E1032" s="33" t="s">
        <v>1359</v>
      </c>
      <c r="F1032" s="35">
        <v>1</v>
      </c>
      <c r="G1032" s="40">
        <v>0</v>
      </c>
      <c r="H1032" s="40">
        <v>0</v>
      </c>
      <c r="I1032" s="40">
        <v>0</v>
      </c>
      <c r="J1032" s="40">
        <v>0</v>
      </c>
      <c r="K1032" s="40">
        <v>0</v>
      </c>
      <c r="L1032" s="40">
        <v>0</v>
      </c>
      <c r="M1032" s="40" cm="1">
        <f t="array" ref="M1032:N1032">VLOOKUP(B1032,'Fumigation  Room'!B:H,{6,7},0)</f>
        <v>0</v>
      </c>
      <c r="N1032" s="40">
        <v>0</v>
      </c>
      <c r="O1032" s="40">
        <f t="shared" si="33"/>
        <v>0</v>
      </c>
      <c r="P1032" s="40">
        <f t="shared" si="34"/>
        <v>0</v>
      </c>
    </row>
    <row r="1033" spans="1:16" x14ac:dyDescent="0.35">
      <c r="A1033" s="33">
        <v>1030</v>
      </c>
      <c r="B1033" s="34" t="s">
        <v>1391</v>
      </c>
      <c r="C1033" s="33" t="s">
        <v>297</v>
      </c>
      <c r="D1033" s="33" t="s">
        <v>22</v>
      </c>
      <c r="E1033" s="33" t="s">
        <v>1359</v>
      </c>
      <c r="F1033" s="35">
        <v>1</v>
      </c>
      <c r="G1033" s="40">
        <v>0</v>
      </c>
      <c r="H1033" s="40">
        <v>0</v>
      </c>
      <c r="I1033" s="40">
        <v>0</v>
      </c>
      <c r="J1033" s="40">
        <v>0</v>
      </c>
      <c r="K1033" s="40">
        <v>0</v>
      </c>
      <c r="L1033" s="40">
        <v>0</v>
      </c>
      <c r="M1033" s="40" cm="1">
        <f t="array" ref="M1033:N1033">VLOOKUP(B1033,'Fumigation  Room'!B:H,{6,7},0)</f>
        <v>0</v>
      </c>
      <c r="N1033" s="40">
        <v>0</v>
      </c>
      <c r="O1033" s="40">
        <f t="shared" si="33"/>
        <v>0</v>
      </c>
      <c r="P1033" s="40">
        <f t="shared" si="34"/>
        <v>0</v>
      </c>
    </row>
    <row r="1034" spans="1:16" x14ac:dyDescent="0.35">
      <c r="A1034" s="33">
        <v>1031</v>
      </c>
      <c r="B1034" s="34" t="s">
        <v>1392</v>
      </c>
      <c r="C1034" s="33" t="s">
        <v>297</v>
      </c>
      <c r="D1034" s="33" t="s">
        <v>22</v>
      </c>
      <c r="E1034" s="33" t="s">
        <v>1359</v>
      </c>
      <c r="F1034" s="35">
        <v>1</v>
      </c>
      <c r="G1034" s="40">
        <v>0</v>
      </c>
      <c r="H1034" s="40">
        <v>0</v>
      </c>
      <c r="I1034" s="40">
        <v>0</v>
      </c>
      <c r="J1034" s="40">
        <v>0</v>
      </c>
      <c r="K1034" s="40">
        <v>0</v>
      </c>
      <c r="L1034" s="40">
        <v>0</v>
      </c>
      <c r="M1034" s="40" cm="1">
        <f t="array" ref="M1034:N1034">VLOOKUP(B1034,'Fumigation  Room'!B:H,{6,7},0)</f>
        <v>0</v>
      </c>
      <c r="N1034" s="40">
        <v>0</v>
      </c>
      <c r="O1034" s="40">
        <f t="shared" si="33"/>
        <v>0</v>
      </c>
      <c r="P1034" s="40">
        <f t="shared" si="34"/>
        <v>0</v>
      </c>
    </row>
    <row r="1035" spans="1:16" x14ac:dyDescent="0.35">
      <c r="A1035" s="33">
        <v>1032</v>
      </c>
      <c r="B1035" s="34" t="s">
        <v>1393</v>
      </c>
      <c r="C1035" s="33" t="s">
        <v>297</v>
      </c>
      <c r="D1035" s="33" t="s">
        <v>22</v>
      </c>
      <c r="E1035" s="33" t="s">
        <v>1359</v>
      </c>
      <c r="F1035" s="35">
        <v>1</v>
      </c>
      <c r="G1035" s="40">
        <v>0</v>
      </c>
      <c r="H1035" s="40">
        <v>0</v>
      </c>
      <c r="I1035" s="40">
        <v>0</v>
      </c>
      <c r="J1035" s="40">
        <v>0</v>
      </c>
      <c r="K1035" s="40">
        <v>0</v>
      </c>
      <c r="L1035" s="40">
        <v>0</v>
      </c>
      <c r="M1035" s="40" cm="1">
        <f t="array" ref="M1035:N1035">VLOOKUP(B1035,'Fumigation  Room'!B:H,{6,7},0)</f>
        <v>0</v>
      </c>
      <c r="N1035" s="40">
        <v>0</v>
      </c>
      <c r="O1035" s="40">
        <f t="shared" si="33"/>
        <v>0</v>
      </c>
      <c r="P1035" s="40">
        <f t="shared" si="34"/>
        <v>0</v>
      </c>
    </row>
    <row r="1036" spans="1:16" x14ac:dyDescent="0.35">
      <c r="A1036" s="33">
        <v>1033</v>
      </c>
      <c r="B1036" s="34" t="s">
        <v>1394</v>
      </c>
      <c r="C1036" s="33" t="s">
        <v>297</v>
      </c>
      <c r="D1036" s="33" t="s">
        <v>22</v>
      </c>
      <c r="E1036" s="33" t="s">
        <v>1359</v>
      </c>
      <c r="F1036" s="35">
        <v>1</v>
      </c>
      <c r="G1036" s="40">
        <v>0</v>
      </c>
      <c r="H1036" s="40">
        <v>0</v>
      </c>
      <c r="I1036" s="40">
        <v>0</v>
      </c>
      <c r="J1036" s="40">
        <v>0</v>
      </c>
      <c r="K1036" s="40">
        <v>0</v>
      </c>
      <c r="L1036" s="40">
        <v>0</v>
      </c>
      <c r="M1036" s="40" cm="1">
        <f t="array" ref="M1036:N1036">VLOOKUP(B1036,'Fumigation  Room'!B:H,{6,7},0)</f>
        <v>0</v>
      </c>
      <c r="N1036" s="40">
        <v>0</v>
      </c>
      <c r="O1036" s="40">
        <f t="shared" si="33"/>
        <v>0</v>
      </c>
      <c r="P1036" s="40">
        <f t="shared" si="34"/>
        <v>0</v>
      </c>
    </row>
    <row r="1037" spans="1:16" x14ac:dyDescent="0.35">
      <c r="A1037" s="33">
        <v>1034</v>
      </c>
      <c r="B1037" s="34" t="s">
        <v>1395</v>
      </c>
      <c r="C1037" s="33" t="s">
        <v>297</v>
      </c>
      <c r="D1037" s="33" t="s">
        <v>22</v>
      </c>
      <c r="E1037" s="33" t="s">
        <v>1359</v>
      </c>
      <c r="F1037" s="35">
        <v>1</v>
      </c>
      <c r="G1037" s="40">
        <v>0</v>
      </c>
      <c r="H1037" s="40">
        <v>0</v>
      </c>
      <c r="I1037" s="40">
        <v>0</v>
      </c>
      <c r="J1037" s="40">
        <v>0</v>
      </c>
      <c r="K1037" s="40">
        <v>0</v>
      </c>
      <c r="L1037" s="40">
        <v>0</v>
      </c>
      <c r="M1037" s="40" cm="1">
        <f t="array" ref="M1037:N1037">VLOOKUP(B1037,'Fumigation  Room'!B:H,{6,7},0)</f>
        <v>0</v>
      </c>
      <c r="N1037" s="40">
        <v>0</v>
      </c>
      <c r="O1037" s="40">
        <f t="shared" si="33"/>
        <v>0</v>
      </c>
      <c r="P1037" s="40">
        <f t="shared" si="34"/>
        <v>0</v>
      </c>
    </row>
    <row r="1038" spans="1:16" x14ac:dyDescent="0.35">
      <c r="A1038" s="33">
        <v>1035</v>
      </c>
      <c r="B1038" s="34" t="s">
        <v>1396</v>
      </c>
      <c r="C1038" s="33" t="s">
        <v>297</v>
      </c>
      <c r="D1038" s="33" t="s">
        <v>22</v>
      </c>
      <c r="E1038" s="33" t="s">
        <v>1359</v>
      </c>
      <c r="F1038" s="35">
        <v>1</v>
      </c>
      <c r="G1038" s="40">
        <v>0</v>
      </c>
      <c r="H1038" s="40">
        <v>0</v>
      </c>
      <c r="I1038" s="40">
        <v>0</v>
      </c>
      <c r="J1038" s="40">
        <v>0</v>
      </c>
      <c r="K1038" s="40">
        <v>0</v>
      </c>
      <c r="L1038" s="40">
        <v>0</v>
      </c>
      <c r="M1038" s="40" cm="1">
        <f t="array" ref="M1038:N1038">VLOOKUP(B1038,'Fumigation  Room'!B:H,{6,7},0)</f>
        <v>0</v>
      </c>
      <c r="N1038" s="40">
        <v>0</v>
      </c>
      <c r="O1038" s="40">
        <f t="shared" si="33"/>
        <v>0</v>
      </c>
      <c r="P1038" s="40">
        <f t="shared" si="34"/>
        <v>0</v>
      </c>
    </row>
    <row r="1039" spans="1:16" x14ac:dyDescent="0.35">
      <c r="A1039" s="33">
        <v>1036</v>
      </c>
      <c r="B1039" s="34" t="s">
        <v>1397</v>
      </c>
      <c r="C1039" s="33" t="s">
        <v>297</v>
      </c>
      <c r="D1039" s="33" t="s">
        <v>22</v>
      </c>
      <c r="E1039" s="33" t="s">
        <v>1359</v>
      </c>
      <c r="F1039" s="35">
        <v>1</v>
      </c>
      <c r="G1039" s="40">
        <v>0</v>
      </c>
      <c r="H1039" s="40">
        <v>0</v>
      </c>
      <c r="I1039" s="40">
        <v>0</v>
      </c>
      <c r="J1039" s="40">
        <v>0</v>
      </c>
      <c r="K1039" s="40">
        <v>0</v>
      </c>
      <c r="L1039" s="40">
        <v>0</v>
      </c>
      <c r="M1039" s="40" cm="1">
        <f t="array" ref="M1039:N1039">VLOOKUP(B1039,'Fumigation  Room'!B:H,{6,7},0)</f>
        <v>0</v>
      </c>
      <c r="N1039" s="40">
        <v>0</v>
      </c>
      <c r="O1039" s="40">
        <f t="shared" si="33"/>
        <v>0</v>
      </c>
      <c r="P1039" s="40">
        <f t="shared" si="34"/>
        <v>0</v>
      </c>
    </row>
    <row r="1040" spans="1:16" x14ac:dyDescent="0.35">
      <c r="A1040" s="33">
        <v>1037</v>
      </c>
      <c r="B1040" s="34" t="s">
        <v>1398</v>
      </c>
      <c r="C1040" s="33" t="s">
        <v>297</v>
      </c>
      <c r="D1040" s="33" t="s">
        <v>22</v>
      </c>
      <c r="E1040" s="33" t="s">
        <v>1359</v>
      </c>
      <c r="F1040" s="35">
        <v>1</v>
      </c>
      <c r="G1040" s="40">
        <v>0</v>
      </c>
      <c r="H1040" s="40">
        <v>0</v>
      </c>
      <c r="I1040" s="40">
        <v>0</v>
      </c>
      <c r="J1040" s="40">
        <v>0</v>
      </c>
      <c r="K1040" s="40">
        <v>0</v>
      </c>
      <c r="L1040" s="40">
        <v>0</v>
      </c>
      <c r="M1040" s="40" cm="1">
        <f t="array" ref="M1040:N1040">VLOOKUP(B1040,'Fumigation  Room'!B:H,{6,7},0)</f>
        <v>0</v>
      </c>
      <c r="N1040" s="40">
        <v>0</v>
      </c>
      <c r="O1040" s="40">
        <f t="shared" si="33"/>
        <v>0</v>
      </c>
      <c r="P1040" s="40">
        <f t="shared" si="34"/>
        <v>0</v>
      </c>
    </row>
    <row r="1041" spans="1:16" x14ac:dyDescent="0.35">
      <c r="A1041" s="33">
        <v>1038</v>
      </c>
      <c r="B1041" s="34" t="s">
        <v>1399</v>
      </c>
      <c r="C1041" s="33" t="s">
        <v>297</v>
      </c>
      <c r="D1041" s="33" t="s">
        <v>22</v>
      </c>
      <c r="E1041" s="33" t="s">
        <v>1359</v>
      </c>
      <c r="F1041" s="35">
        <v>1</v>
      </c>
      <c r="G1041" s="40">
        <v>0</v>
      </c>
      <c r="H1041" s="40">
        <v>0</v>
      </c>
      <c r="I1041" s="40">
        <v>0</v>
      </c>
      <c r="J1041" s="40">
        <v>0</v>
      </c>
      <c r="K1041" s="40">
        <v>0</v>
      </c>
      <c r="L1041" s="40">
        <v>0</v>
      </c>
      <c r="M1041" s="40" cm="1">
        <f t="array" ref="M1041:N1041">VLOOKUP(B1041,'Fumigation  Room'!B:H,{6,7},0)</f>
        <v>0</v>
      </c>
      <c r="N1041" s="40">
        <v>0</v>
      </c>
      <c r="O1041" s="40">
        <f t="shared" si="33"/>
        <v>0</v>
      </c>
      <c r="P1041" s="40">
        <f t="shared" si="34"/>
        <v>0</v>
      </c>
    </row>
    <row r="1042" spans="1:16" x14ac:dyDescent="0.35">
      <c r="A1042" s="33">
        <v>1039</v>
      </c>
      <c r="B1042" s="34" t="s">
        <v>1400</v>
      </c>
      <c r="C1042" s="33" t="s">
        <v>297</v>
      </c>
      <c r="D1042" s="33" t="s">
        <v>22</v>
      </c>
      <c r="E1042" s="33" t="s">
        <v>1359</v>
      </c>
      <c r="F1042" s="35">
        <v>1</v>
      </c>
      <c r="G1042" s="40">
        <v>0</v>
      </c>
      <c r="H1042" s="40">
        <v>0</v>
      </c>
      <c r="I1042" s="40">
        <v>0</v>
      </c>
      <c r="J1042" s="40">
        <v>0</v>
      </c>
      <c r="K1042" s="40">
        <v>0</v>
      </c>
      <c r="L1042" s="40">
        <v>0</v>
      </c>
      <c r="M1042" s="40" cm="1">
        <f t="array" ref="M1042:N1042">VLOOKUP(B1042,'Fumigation  Room'!B:H,{6,7},0)</f>
        <v>0</v>
      </c>
      <c r="N1042" s="40">
        <v>0</v>
      </c>
      <c r="O1042" s="40">
        <f t="shared" si="33"/>
        <v>0</v>
      </c>
      <c r="P1042" s="40">
        <f t="shared" si="34"/>
        <v>0</v>
      </c>
    </row>
    <row r="1043" spans="1:16" x14ac:dyDescent="0.35">
      <c r="A1043" s="33">
        <v>1040</v>
      </c>
      <c r="B1043" s="34" t="s">
        <v>1401</v>
      </c>
      <c r="C1043" s="33" t="s">
        <v>297</v>
      </c>
      <c r="D1043" s="33" t="s">
        <v>22</v>
      </c>
      <c r="E1043" s="33" t="s">
        <v>1359</v>
      </c>
      <c r="F1043" s="35">
        <v>1</v>
      </c>
      <c r="G1043" s="40">
        <v>0</v>
      </c>
      <c r="H1043" s="40">
        <v>0</v>
      </c>
      <c r="I1043" s="40">
        <v>0</v>
      </c>
      <c r="J1043" s="40">
        <v>0</v>
      </c>
      <c r="K1043" s="40">
        <v>0</v>
      </c>
      <c r="L1043" s="40">
        <v>0</v>
      </c>
      <c r="M1043" s="40" cm="1">
        <f t="array" ref="M1043:N1043">VLOOKUP(B1043,'Fumigation  Room'!B:H,{6,7},0)</f>
        <v>0</v>
      </c>
      <c r="N1043" s="40">
        <v>0</v>
      </c>
      <c r="O1043" s="40">
        <f t="shared" si="33"/>
        <v>0</v>
      </c>
      <c r="P1043" s="40">
        <f t="shared" si="34"/>
        <v>0</v>
      </c>
    </row>
    <row r="1044" spans="1:16" x14ac:dyDescent="0.35">
      <c r="A1044" s="33">
        <v>1041</v>
      </c>
      <c r="B1044" s="34" t="s">
        <v>1402</v>
      </c>
      <c r="C1044" s="33" t="s">
        <v>297</v>
      </c>
      <c r="D1044" s="33" t="s">
        <v>22</v>
      </c>
      <c r="E1044" s="33" t="s">
        <v>1359</v>
      </c>
      <c r="F1044" s="35">
        <v>1</v>
      </c>
      <c r="G1044" s="40">
        <v>0</v>
      </c>
      <c r="H1044" s="40">
        <v>0</v>
      </c>
      <c r="I1044" s="40">
        <v>0</v>
      </c>
      <c r="J1044" s="40">
        <v>0</v>
      </c>
      <c r="K1044" s="40">
        <v>0</v>
      </c>
      <c r="L1044" s="40">
        <v>0</v>
      </c>
      <c r="M1044" s="40" cm="1">
        <f t="array" ref="M1044:N1044">VLOOKUP(B1044,'Fumigation  Room'!B:H,{6,7},0)</f>
        <v>0</v>
      </c>
      <c r="N1044" s="40">
        <v>0</v>
      </c>
      <c r="O1044" s="40">
        <f t="shared" si="33"/>
        <v>0</v>
      </c>
      <c r="P1044" s="40">
        <f t="shared" si="34"/>
        <v>0</v>
      </c>
    </row>
    <row r="1045" spans="1:16" x14ac:dyDescent="0.35">
      <c r="A1045" s="33">
        <v>1042</v>
      </c>
      <c r="B1045" s="34" t="s">
        <v>1403</v>
      </c>
      <c r="C1045" s="33" t="s">
        <v>297</v>
      </c>
      <c r="D1045" s="33" t="s">
        <v>22</v>
      </c>
      <c r="E1045" s="33" t="s">
        <v>1359</v>
      </c>
      <c r="F1045" s="35">
        <v>1</v>
      </c>
      <c r="G1045" s="40">
        <v>0</v>
      </c>
      <c r="H1045" s="40">
        <v>0</v>
      </c>
      <c r="I1045" s="40">
        <v>0</v>
      </c>
      <c r="J1045" s="40">
        <v>0</v>
      </c>
      <c r="K1045" s="40">
        <v>0</v>
      </c>
      <c r="L1045" s="40">
        <v>0</v>
      </c>
      <c r="M1045" s="40" cm="1">
        <f t="array" ref="M1045:N1045">VLOOKUP(B1045,'Fumigation  Room'!B:H,{6,7},0)</f>
        <v>0</v>
      </c>
      <c r="N1045" s="40">
        <v>0</v>
      </c>
      <c r="O1045" s="40">
        <f t="shared" si="33"/>
        <v>0</v>
      </c>
      <c r="P1045" s="40">
        <f t="shared" si="34"/>
        <v>0</v>
      </c>
    </row>
    <row r="1046" spans="1:16" x14ac:dyDescent="0.35">
      <c r="A1046" s="33">
        <v>1043</v>
      </c>
      <c r="B1046" s="34" t="s">
        <v>1404</v>
      </c>
      <c r="C1046" s="33" t="s">
        <v>297</v>
      </c>
      <c r="D1046" s="33" t="s">
        <v>22</v>
      </c>
      <c r="E1046" s="33" t="s">
        <v>1359</v>
      </c>
      <c r="F1046" s="35">
        <v>1</v>
      </c>
      <c r="G1046" s="40">
        <v>0</v>
      </c>
      <c r="H1046" s="40">
        <v>0</v>
      </c>
      <c r="I1046" s="40">
        <v>0</v>
      </c>
      <c r="J1046" s="40">
        <v>0</v>
      </c>
      <c r="K1046" s="40">
        <v>0</v>
      </c>
      <c r="L1046" s="40">
        <v>0</v>
      </c>
      <c r="M1046" s="40" cm="1">
        <f t="array" ref="M1046:N1046">VLOOKUP(B1046,'Fumigation  Room'!B:H,{6,7},0)</f>
        <v>0</v>
      </c>
      <c r="N1046" s="40">
        <v>0</v>
      </c>
      <c r="O1046" s="40">
        <f t="shared" si="33"/>
        <v>0</v>
      </c>
      <c r="P1046" s="40">
        <f t="shared" si="34"/>
        <v>0</v>
      </c>
    </row>
    <row r="1047" spans="1:16" x14ac:dyDescent="0.35">
      <c r="A1047" s="33">
        <v>1044</v>
      </c>
      <c r="B1047" s="34" t="s">
        <v>1405</v>
      </c>
      <c r="C1047" s="33" t="s">
        <v>297</v>
      </c>
      <c r="D1047" s="33" t="s">
        <v>22</v>
      </c>
      <c r="E1047" s="33" t="s">
        <v>1359</v>
      </c>
      <c r="F1047" s="35">
        <v>0.5</v>
      </c>
      <c r="G1047" s="40">
        <v>0</v>
      </c>
      <c r="H1047" s="40">
        <v>0</v>
      </c>
      <c r="I1047" s="40">
        <v>0</v>
      </c>
      <c r="J1047" s="40">
        <v>0</v>
      </c>
      <c r="K1047" s="40">
        <v>0</v>
      </c>
      <c r="L1047" s="40">
        <v>0</v>
      </c>
      <c r="M1047" s="40" cm="1">
        <f t="array" ref="M1047:N1047">VLOOKUP(B1047,'Fumigation  Room'!B:H,{6,7},0)</f>
        <v>0</v>
      </c>
      <c r="N1047" s="40">
        <v>0</v>
      </c>
      <c r="O1047" s="40">
        <f t="shared" si="33"/>
        <v>0</v>
      </c>
      <c r="P1047" s="40">
        <f t="shared" si="34"/>
        <v>0</v>
      </c>
    </row>
    <row r="1048" spans="1:16" x14ac:dyDescent="0.35">
      <c r="A1048" s="33">
        <v>1045</v>
      </c>
      <c r="B1048" s="34" t="s">
        <v>1406</v>
      </c>
      <c r="C1048" s="33" t="s">
        <v>297</v>
      </c>
      <c r="D1048" s="33" t="s">
        <v>22</v>
      </c>
      <c r="E1048" s="33" t="s">
        <v>1359</v>
      </c>
      <c r="F1048" s="35">
        <v>1</v>
      </c>
      <c r="G1048" s="40">
        <v>0</v>
      </c>
      <c r="H1048" s="40">
        <v>0</v>
      </c>
      <c r="I1048" s="40">
        <v>0</v>
      </c>
      <c r="J1048" s="40">
        <v>0</v>
      </c>
      <c r="K1048" s="40">
        <v>0</v>
      </c>
      <c r="L1048" s="40">
        <v>0</v>
      </c>
      <c r="M1048" s="40" cm="1">
        <f t="array" ref="M1048:N1048">VLOOKUP(B1048,'Fumigation  Room'!B:H,{6,7},0)</f>
        <v>0</v>
      </c>
      <c r="N1048" s="40">
        <v>0</v>
      </c>
      <c r="O1048" s="40">
        <f t="shared" si="33"/>
        <v>0</v>
      </c>
      <c r="P1048" s="40">
        <f t="shared" si="34"/>
        <v>0</v>
      </c>
    </row>
    <row r="1049" spans="1:16" x14ac:dyDescent="0.35">
      <c r="A1049" s="33">
        <v>1046</v>
      </c>
      <c r="B1049" s="34" t="s">
        <v>1407</v>
      </c>
      <c r="C1049" s="33" t="s">
        <v>297</v>
      </c>
      <c r="D1049" s="33" t="s">
        <v>22</v>
      </c>
      <c r="E1049" s="33" t="s">
        <v>1359</v>
      </c>
      <c r="F1049" s="35">
        <v>1</v>
      </c>
      <c r="G1049" s="40">
        <v>0</v>
      </c>
      <c r="H1049" s="40">
        <v>0</v>
      </c>
      <c r="I1049" s="40">
        <v>0</v>
      </c>
      <c r="J1049" s="40">
        <v>0</v>
      </c>
      <c r="K1049" s="40">
        <v>0</v>
      </c>
      <c r="L1049" s="40">
        <v>0</v>
      </c>
      <c r="M1049" s="40" cm="1">
        <f t="array" ref="M1049:N1049">VLOOKUP(B1049,'Fumigation  Room'!B:H,{6,7},0)</f>
        <v>0</v>
      </c>
      <c r="N1049" s="40">
        <v>0</v>
      </c>
      <c r="O1049" s="40">
        <f t="shared" si="33"/>
        <v>0</v>
      </c>
      <c r="P1049" s="40">
        <f t="shared" si="34"/>
        <v>0</v>
      </c>
    </row>
    <row r="1050" spans="1:16" x14ac:dyDescent="0.35">
      <c r="A1050" s="33">
        <v>1047</v>
      </c>
      <c r="B1050" s="34" t="s">
        <v>1408</v>
      </c>
      <c r="C1050" s="33" t="s">
        <v>297</v>
      </c>
      <c r="D1050" s="33" t="s">
        <v>22</v>
      </c>
      <c r="E1050" s="33" t="s">
        <v>1359</v>
      </c>
      <c r="F1050" s="35">
        <v>1</v>
      </c>
      <c r="G1050" s="40">
        <v>0</v>
      </c>
      <c r="H1050" s="40">
        <v>0</v>
      </c>
      <c r="I1050" s="40">
        <v>0</v>
      </c>
      <c r="J1050" s="40">
        <v>0</v>
      </c>
      <c r="K1050" s="40">
        <v>0</v>
      </c>
      <c r="L1050" s="40">
        <v>0</v>
      </c>
      <c r="M1050" s="40" cm="1">
        <f t="array" ref="M1050:N1050">VLOOKUP(B1050,'Fumigation  Room'!B:H,{6,7},0)</f>
        <v>0</v>
      </c>
      <c r="N1050" s="40">
        <v>0</v>
      </c>
      <c r="O1050" s="40">
        <f t="shared" si="33"/>
        <v>0</v>
      </c>
      <c r="P1050" s="40">
        <f t="shared" si="34"/>
        <v>0</v>
      </c>
    </row>
    <row r="1051" spans="1:16" x14ac:dyDescent="0.35">
      <c r="A1051" s="33">
        <v>1048</v>
      </c>
      <c r="B1051" s="34" t="s">
        <v>1409</v>
      </c>
      <c r="C1051" s="33" t="s">
        <v>297</v>
      </c>
      <c r="D1051" s="33" t="s">
        <v>22</v>
      </c>
      <c r="E1051" s="33" t="s">
        <v>1359</v>
      </c>
      <c r="F1051" s="35">
        <v>1</v>
      </c>
      <c r="G1051" s="40">
        <v>0</v>
      </c>
      <c r="H1051" s="40">
        <v>0</v>
      </c>
      <c r="I1051" s="40">
        <v>0</v>
      </c>
      <c r="J1051" s="40">
        <v>0</v>
      </c>
      <c r="K1051" s="40">
        <v>0</v>
      </c>
      <c r="L1051" s="40">
        <v>0</v>
      </c>
      <c r="M1051" s="40" cm="1">
        <f t="array" ref="M1051:N1051">VLOOKUP(B1051,'Fumigation  Room'!B:H,{6,7},0)</f>
        <v>0</v>
      </c>
      <c r="N1051" s="40">
        <v>0</v>
      </c>
      <c r="O1051" s="40">
        <f t="shared" si="33"/>
        <v>0</v>
      </c>
      <c r="P1051" s="40">
        <f t="shared" si="34"/>
        <v>0</v>
      </c>
    </row>
    <row r="1052" spans="1:16" x14ac:dyDescent="0.35">
      <c r="A1052" s="33">
        <v>1049</v>
      </c>
      <c r="B1052" s="34" t="s">
        <v>1410</v>
      </c>
      <c r="C1052" s="33" t="s">
        <v>297</v>
      </c>
      <c r="D1052" s="33" t="s">
        <v>22</v>
      </c>
      <c r="E1052" s="33" t="s">
        <v>1359</v>
      </c>
      <c r="F1052" s="35">
        <v>1</v>
      </c>
      <c r="G1052" s="40">
        <v>0</v>
      </c>
      <c r="H1052" s="40">
        <v>0</v>
      </c>
      <c r="I1052" s="40">
        <v>0</v>
      </c>
      <c r="J1052" s="40">
        <v>0</v>
      </c>
      <c r="K1052" s="40">
        <v>0</v>
      </c>
      <c r="L1052" s="40">
        <v>0</v>
      </c>
      <c r="M1052" s="40" cm="1">
        <f t="array" ref="M1052:N1052">VLOOKUP(B1052,'Fumigation  Room'!B:H,{6,7},0)</f>
        <v>0</v>
      </c>
      <c r="N1052" s="40">
        <v>0</v>
      </c>
      <c r="O1052" s="40">
        <f t="shared" si="33"/>
        <v>0</v>
      </c>
      <c r="P1052" s="40">
        <f t="shared" si="34"/>
        <v>0</v>
      </c>
    </row>
    <row r="1053" spans="1:16" x14ac:dyDescent="0.35">
      <c r="A1053" s="33">
        <v>1050</v>
      </c>
      <c r="B1053" s="34" t="s">
        <v>1411</v>
      </c>
      <c r="C1053" s="33" t="s">
        <v>297</v>
      </c>
      <c r="D1053" s="33" t="s">
        <v>22</v>
      </c>
      <c r="E1053" s="33" t="s">
        <v>1359</v>
      </c>
      <c r="F1053" s="35">
        <v>1</v>
      </c>
      <c r="G1053" s="40">
        <v>0</v>
      </c>
      <c r="H1053" s="40">
        <v>0</v>
      </c>
      <c r="I1053" s="40">
        <v>0</v>
      </c>
      <c r="J1053" s="40">
        <v>0</v>
      </c>
      <c r="K1053" s="40">
        <v>0</v>
      </c>
      <c r="L1053" s="40">
        <v>0</v>
      </c>
      <c r="M1053" s="40" cm="1">
        <f t="array" ref="M1053:N1053">VLOOKUP(B1053,'Fumigation  Room'!B:H,{6,7},0)</f>
        <v>0</v>
      </c>
      <c r="N1053" s="40">
        <v>0</v>
      </c>
      <c r="O1053" s="40">
        <f t="shared" si="33"/>
        <v>0</v>
      </c>
      <c r="P1053" s="40">
        <f t="shared" si="34"/>
        <v>0</v>
      </c>
    </row>
    <row r="1054" spans="1:16" x14ac:dyDescent="0.35">
      <c r="A1054" s="33">
        <v>1051</v>
      </c>
      <c r="B1054" s="34" t="s">
        <v>1412</v>
      </c>
      <c r="C1054" s="33" t="s">
        <v>297</v>
      </c>
      <c r="D1054" s="33" t="s">
        <v>22</v>
      </c>
      <c r="E1054" s="33" t="s">
        <v>1359</v>
      </c>
      <c r="F1054" s="35">
        <v>1</v>
      </c>
      <c r="G1054" s="40">
        <v>0</v>
      </c>
      <c r="H1054" s="40">
        <v>0</v>
      </c>
      <c r="I1054" s="40">
        <v>0</v>
      </c>
      <c r="J1054" s="40">
        <v>0</v>
      </c>
      <c r="K1054" s="40">
        <v>0</v>
      </c>
      <c r="L1054" s="40">
        <v>0</v>
      </c>
      <c r="M1054" s="40" cm="1">
        <f t="array" ref="M1054:N1054">VLOOKUP(B1054,'Fumigation  Room'!B:H,{6,7},0)</f>
        <v>0</v>
      </c>
      <c r="N1054" s="40">
        <v>0</v>
      </c>
      <c r="O1054" s="40">
        <f t="shared" si="33"/>
        <v>0</v>
      </c>
      <c r="P1054" s="40">
        <f t="shared" si="34"/>
        <v>0</v>
      </c>
    </row>
    <row r="1055" spans="1:16" x14ac:dyDescent="0.35">
      <c r="A1055" s="33">
        <v>1052</v>
      </c>
      <c r="B1055" s="34" t="s">
        <v>1413</v>
      </c>
      <c r="C1055" s="33" t="s">
        <v>297</v>
      </c>
      <c r="D1055" s="33" t="s">
        <v>22</v>
      </c>
      <c r="E1055" s="33" t="s">
        <v>1359</v>
      </c>
      <c r="F1055" s="35">
        <v>1</v>
      </c>
      <c r="G1055" s="40">
        <v>0</v>
      </c>
      <c r="H1055" s="40">
        <v>0</v>
      </c>
      <c r="I1055" s="40">
        <v>0</v>
      </c>
      <c r="J1055" s="40">
        <v>0</v>
      </c>
      <c r="K1055" s="40">
        <v>0</v>
      </c>
      <c r="L1055" s="40">
        <v>0</v>
      </c>
      <c r="M1055" s="40" cm="1">
        <f t="array" ref="M1055:N1055">VLOOKUP(B1055,'Fumigation  Room'!B:H,{6,7},0)</f>
        <v>0</v>
      </c>
      <c r="N1055" s="40">
        <v>0</v>
      </c>
      <c r="O1055" s="40">
        <f t="shared" si="33"/>
        <v>0</v>
      </c>
      <c r="P1055" s="40">
        <f t="shared" si="34"/>
        <v>0</v>
      </c>
    </row>
    <row r="1056" spans="1:16" x14ac:dyDescent="0.35">
      <c r="A1056" s="33">
        <v>1053</v>
      </c>
      <c r="B1056" s="34" t="s">
        <v>1414</v>
      </c>
      <c r="C1056" s="33" t="s">
        <v>297</v>
      </c>
      <c r="D1056" s="33" t="s">
        <v>22</v>
      </c>
      <c r="E1056" s="33" t="s">
        <v>1359</v>
      </c>
      <c r="F1056" s="35">
        <v>1</v>
      </c>
      <c r="G1056" s="40">
        <v>0</v>
      </c>
      <c r="H1056" s="40">
        <v>0</v>
      </c>
      <c r="I1056" s="40">
        <v>0</v>
      </c>
      <c r="J1056" s="40">
        <v>0</v>
      </c>
      <c r="K1056" s="40">
        <v>0</v>
      </c>
      <c r="L1056" s="40">
        <v>0</v>
      </c>
      <c r="M1056" s="40" cm="1">
        <f t="array" ref="M1056:N1056">VLOOKUP(B1056,'Fumigation  Room'!B:H,{6,7},0)</f>
        <v>0</v>
      </c>
      <c r="N1056" s="40">
        <v>0</v>
      </c>
      <c r="O1056" s="40">
        <f t="shared" si="33"/>
        <v>0</v>
      </c>
      <c r="P1056" s="40">
        <f t="shared" si="34"/>
        <v>0</v>
      </c>
    </row>
    <row r="1057" spans="1:16" x14ac:dyDescent="0.35">
      <c r="A1057" s="33">
        <v>1054</v>
      </c>
      <c r="B1057" s="34" t="s">
        <v>200</v>
      </c>
      <c r="C1057" s="33" t="s">
        <v>297</v>
      </c>
      <c r="D1057" s="33" t="s">
        <v>22</v>
      </c>
      <c r="E1057" s="33" t="s">
        <v>1359</v>
      </c>
      <c r="F1057" s="35">
        <v>1</v>
      </c>
      <c r="G1057" s="40">
        <v>0</v>
      </c>
      <c r="H1057" s="40">
        <v>0</v>
      </c>
      <c r="I1057" s="40">
        <v>0</v>
      </c>
      <c r="J1057" s="40">
        <v>0</v>
      </c>
      <c r="K1057" s="40">
        <v>0</v>
      </c>
      <c r="L1057" s="40">
        <v>0</v>
      </c>
      <c r="M1057" s="40" cm="1">
        <f t="array" ref="M1057:N1057">VLOOKUP(B1057,'Fumigation  Room'!B:H,{6,7},0)</f>
        <v>0</v>
      </c>
      <c r="N1057" s="40">
        <v>0</v>
      </c>
      <c r="O1057" s="40">
        <f t="shared" si="33"/>
        <v>0</v>
      </c>
      <c r="P1057" s="40">
        <f t="shared" si="34"/>
        <v>0</v>
      </c>
    </row>
    <row r="1058" spans="1:16" x14ac:dyDescent="0.35">
      <c r="A1058" s="33">
        <v>1055</v>
      </c>
      <c r="B1058" s="34" t="s">
        <v>1415</v>
      </c>
      <c r="C1058" s="33" t="s">
        <v>297</v>
      </c>
      <c r="D1058" s="33" t="s">
        <v>22</v>
      </c>
      <c r="E1058" s="33" t="s">
        <v>1359</v>
      </c>
      <c r="F1058" s="35">
        <v>1</v>
      </c>
      <c r="G1058" s="40">
        <v>0</v>
      </c>
      <c r="H1058" s="40">
        <v>0</v>
      </c>
      <c r="I1058" s="40">
        <v>0</v>
      </c>
      <c r="J1058" s="40">
        <v>0</v>
      </c>
      <c r="K1058" s="40">
        <v>0</v>
      </c>
      <c r="L1058" s="40">
        <v>0</v>
      </c>
      <c r="M1058" s="40" cm="1">
        <f t="array" ref="M1058:N1058">VLOOKUP(B1058,'Fumigation  Room'!B:H,{6,7},0)</f>
        <v>0</v>
      </c>
      <c r="N1058" s="40">
        <v>0</v>
      </c>
      <c r="O1058" s="40">
        <f t="shared" si="33"/>
        <v>0</v>
      </c>
      <c r="P1058" s="40">
        <f t="shared" si="34"/>
        <v>0</v>
      </c>
    </row>
    <row r="1059" spans="1:16" x14ac:dyDescent="0.35">
      <c r="A1059" s="33">
        <v>1056</v>
      </c>
      <c r="B1059" s="34" t="s">
        <v>1416</v>
      </c>
      <c r="C1059" s="33" t="s">
        <v>297</v>
      </c>
      <c r="D1059" s="33" t="s">
        <v>22</v>
      </c>
      <c r="E1059" s="33" t="s">
        <v>1359</v>
      </c>
      <c r="F1059" s="35">
        <v>1</v>
      </c>
      <c r="G1059" s="40">
        <v>0</v>
      </c>
      <c r="H1059" s="40">
        <v>0</v>
      </c>
      <c r="I1059" s="40">
        <v>0</v>
      </c>
      <c r="J1059" s="40">
        <v>0</v>
      </c>
      <c r="K1059" s="40">
        <v>0</v>
      </c>
      <c r="L1059" s="40">
        <v>0</v>
      </c>
      <c r="M1059" s="40" cm="1">
        <f t="array" ref="M1059:N1059">VLOOKUP(B1059,'Fumigation  Room'!B:H,{6,7},0)</f>
        <v>0</v>
      </c>
      <c r="N1059" s="40">
        <v>0</v>
      </c>
      <c r="O1059" s="40">
        <f t="shared" si="33"/>
        <v>0</v>
      </c>
      <c r="P1059" s="40">
        <f t="shared" si="34"/>
        <v>0</v>
      </c>
    </row>
    <row r="1060" spans="1:16" x14ac:dyDescent="0.35">
      <c r="A1060" s="33">
        <v>1057</v>
      </c>
      <c r="B1060" s="34" t="s">
        <v>1417</v>
      </c>
      <c r="C1060" s="33" t="s">
        <v>297</v>
      </c>
      <c r="D1060" s="33" t="s">
        <v>22</v>
      </c>
      <c r="E1060" s="33" t="s">
        <v>1359</v>
      </c>
      <c r="F1060" s="35">
        <v>1</v>
      </c>
      <c r="G1060" s="40">
        <v>0</v>
      </c>
      <c r="H1060" s="40">
        <v>0</v>
      </c>
      <c r="I1060" s="40">
        <v>0</v>
      </c>
      <c r="J1060" s="40">
        <v>0</v>
      </c>
      <c r="K1060" s="40">
        <v>0</v>
      </c>
      <c r="L1060" s="40">
        <v>0</v>
      </c>
      <c r="M1060" s="40" cm="1">
        <f t="array" ref="M1060:N1060">VLOOKUP(B1060,'Fumigation  Room'!B:H,{6,7},0)</f>
        <v>0</v>
      </c>
      <c r="N1060" s="40">
        <v>0</v>
      </c>
      <c r="O1060" s="40">
        <f t="shared" si="33"/>
        <v>0</v>
      </c>
      <c r="P1060" s="40">
        <f t="shared" si="34"/>
        <v>0</v>
      </c>
    </row>
    <row r="1061" spans="1:16" x14ac:dyDescent="0.35">
      <c r="A1061" s="33">
        <v>1058</v>
      </c>
      <c r="B1061" s="34" t="s">
        <v>1418</v>
      </c>
      <c r="C1061" s="33" t="s">
        <v>297</v>
      </c>
      <c r="D1061" s="33" t="s">
        <v>22</v>
      </c>
      <c r="E1061" s="33" t="s">
        <v>1359</v>
      </c>
      <c r="F1061" s="35">
        <v>1</v>
      </c>
      <c r="G1061" s="40">
        <v>0</v>
      </c>
      <c r="H1061" s="40">
        <v>0</v>
      </c>
      <c r="I1061" s="40">
        <v>0</v>
      </c>
      <c r="J1061" s="40">
        <v>0</v>
      </c>
      <c r="K1061" s="40">
        <v>0</v>
      </c>
      <c r="L1061" s="40">
        <v>0</v>
      </c>
      <c r="M1061" s="40" cm="1">
        <f t="array" ref="M1061:N1061">VLOOKUP(B1061,'Fumigation  Room'!B:H,{6,7},0)</f>
        <v>0</v>
      </c>
      <c r="N1061" s="40">
        <v>0</v>
      </c>
      <c r="O1061" s="40">
        <f t="shared" si="33"/>
        <v>0</v>
      </c>
      <c r="P1061" s="40">
        <f t="shared" si="34"/>
        <v>0</v>
      </c>
    </row>
    <row r="1062" spans="1:16" x14ac:dyDescent="0.35">
      <c r="A1062" s="33">
        <v>1059</v>
      </c>
      <c r="B1062" s="34" t="s">
        <v>1419</v>
      </c>
      <c r="C1062" s="33" t="s">
        <v>297</v>
      </c>
      <c r="D1062" s="33" t="s">
        <v>22</v>
      </c>
      <c r="E1062" s="33" t="s">
        <v>1359</v>
      </c>
      <c r="F1062" s="35">
        <v>1</v>
      </c>
      <c r="G1062" s="40">
        <v>0</v>
      </c>
      <c r="H1062" s="40">
        <v>0</v>
      </c>
      <c r="I1062" s="40">
        <v>0</v>
      </c>
      <c r="J1062" s="40">
        <v>0</v>
      </c>
      <c r="K1062" s="40">
        <v>0</v>
      </c>
      <c r="L1062" s="40">
        <v>0</v>
      </c>
      <c r="M1062" s="40" cm="1">
        <f t="array" ref="M1062:N1062">VLOOKUP(B1062,'Fumigation  Room'!B:H,{6,7},0)</f>
        <v>0</v>
      </c>
      <c r="N1062" s="40">
        <v>0</v>
      </c>
      <c r="O1062" s="40">
        <f t="shared" si="33"/>
        <v>0</v>
      </c>
      <c r="P1062" s="40">
        <f t="shared" si="34"/>
        <v>0</v>
      </c>
    </row>
    <row r="1063" spans="1:16" x14ac:dyDescent="0.35">
      <c r="A1063" s="33">
        <v>1060</v>
      </c>
      <c r="B1063" s="34" t="s">
        <v>1420</v>
      </c>
      <c r="C1063" s="33" t="s">
        <v>297</v>
      </c>
      <c r="D1063" s="33" t="s">
        <v>22</v>
      </c>
      <c r="E1063" s="33" t="s">
        <v>1359</v>
      </c>
      <c r="F1063" s="35">
        <v>1</v>
      </c>
      <c r="G1063" s="40">
        <v>0</v>
      </c>
      <c r="H1063" s="40">
        <v>0</v>
      </c>
      <c r="I1063" s="40">
        <v>0</v>
      </c>
      <c r="J1063" s="40">
        <v>0</v>
      </c>
      <c r="K1063" s="40">
        <v>0</v>
      </c>
      <c r="L1063" s="40">
        <v>0</v>
      </c>
      <c r="M1063" s="40" cm="1">
        <f t="array" ref="M1063:N1063">VLOOKUP(B1063,'Fumigation  Room'!B:H,{6,7},0)</f>
        <v>0</v>
      </c>
      <c r="N1063" s="40">
        <v>0</v>
      </c>
      <c r="O1063" s="40">
        <f t="shared" si="33"/>
        <v>0</v>
      </c>
      <c r="P1063" s="40">
        <f t="shared" si="34"/>
        <v>0</v>
      </c>
    </row>
    <row r="1064" spans="1:16" x14ac:dyDescent="0.35">
      <c r="A1064" s="33">
        <v>1061</v>
      </c>
      <c r="B1064" s="34" t="s">
        <v>1421</v>
      </c>
      <c r="C1064" s="33" t="s">
        <v>297</v>
      </c>
      <c r="D1064" s="33" t="s">
        <v>22</v>
      </c>
      <c r="E1064" s="33" t="s">
        <v>1359</v>
      </c>
      <c r="F1064" s="35">
        <v>1</v>
      </c>
      <c r="G1064" s="40">
        <v>0</v>
      </c>
      <c r="H1064" s="40">
        <v>0</v>
      </c>
      <c r="I1064" s="40">
        <v>0</v>
      </c>
      <c r="J1064" s="40">
        <v>0</v>
      </c>
      <c r="K1064" s="40">
        <v>0</v>
      </c>
      <c r="L1064" s="40">
        <v>0</v>
      </c>
      <c r="M1064" s="40" cm="1">
        <f t="array" ref="M1064:N1064">VLOOKUP(B1064,'Fumigation  Room'!B:H,{6,7},0)</f>
        <v>0</v>
      </c>
      <c r="N1064" s="40">
        <v>0</v>
      </c>
      <c r="O1064" s="40">
        <f t="shared" si="33"/>
        <v>0</v>
      </c>
      <c r="P1064" s="40">
        <f t="shared" si="34"/>
        <v>0</v>
      </c>
    </row>
    <row r="1065" spans="1:16" x14ac:dyDescent="0.35">
      <c r="A1065" s="33">
        <v>1062</v>
      </c>
      <c r="B1065" s="34" t="s">
        <v>1422</v>
      </c>
      <c r="C1065" s="33" t="s">
        <v>297</v>
      </c>
      <c r="D1065" s="33" t="s">
        <v>22</v>
      </c>
      <c r="E1065" s="33" t="s">
        <v>1359</v>
      </c>
      <c r="F1065" s="35">
        <v>1</v>
      </c>
      <c r="G1065" s="40">
        <v>0</v>
      </c>
      <c r="H1065" s="40">
        <v>0</v>
      </c>
      <c r="I1065" s="40">
        <v>0</v>
      </c>
      <c r="J1065" s="40">
        <v>0</v>
      </c>
      <c r="K1065" s="40">
        <v>0</v>
      </c>
      <c r="L1065" s="40">
        <v>0</v>
      </c>
      <c r="M1065" s="40" cm="1">
        <f t="array" ref="M1065:N1065">VLOOKUP(B1065,'Fumigation  Room'!B:H,{6,7},0)</f>
        <v>0</v>
      </c>
      <c r="N1065" s="40">
        <v>0</v>
      </c>
      <c r="O1065" s="40">
        <f t="shared" si="33"/>
        <v>0</v>
      </c>
      <c r="P1065" s="40">
        <f t="shared" si="34"/>
        <v>0</v>
      </c>
    </row>
    <row r="1066" spans="1:16" x14ac:dyDescent="0.35">
      <c r="A1066" s="33">
        <v>1063</v>
      </c>
      <c r="B1066" s="34" t="s">
        <v>1423</v>
      </c>
      <c r="C1066" s="33" t="s">
        <v>297</v>
      </c>
      <c r="D1066" s="33" t="s">
        <v>22</v>
      </c>
      <c r="E1066" s="33" t="s">
        <v>1359</v>
      </c>
      <c r="F1066" s="35">
        <v>0.3</v>
      </c>
      <c r="G1066" s="40">
        <v>0</v>
      </c>
      <c r="H1066" s="40">
        <v>0</v>
      </c>
      <c r="I1066" s="40">
        <v>0</v>
      </c>
      <c r="J1066" s="40">
        <v>0</v>
      </c>
      <c r="K1066" s="40">
        <v>0</v>
      </c>
      <c r="L1066" s="40">
        <v>0</v>
      </c>
      <c r="M1066" s="40" cm="1">
        <f t="array" ref="M1066:N1066">VLOOKUP(B1066,'Fumigation  Room'!B:H,{6,7},0)</f>
        <v>0</v>
      </c>
      <c r="N1066" s="40">
        <v>0</v>
      </c>
      <c r="O1066" s="40">
        <f t="shared" si="33"/>
        <v>0</v>
      </c>
      <c r="P1066" s="40">
        <f t="shared" si="34"/>
        <v>0</v>
      </c>
    </row>
    <row r="1067" spans="1:16" x14ac:dyDescent="0.35">
      <c r="A1067" s="33">
        <v>1064</v>
      </c>
      <c r="B1067" s="34" t="s">
        <v>1424</v>
      </c>
      <c r="C1067" s="33" t="s">
        <v>297</v>
      </c>
      <c r="D1067" s="33" t="s">
        <v>22</v>
      </c>
      <c r="E1067" s="33" t="s">
        <v>1359</v>
      </c>
      <c r="F1067" s="35">
        <v>1</v>
      </c>
      <c r="G1067" s="40">
        <v>0</v>
      </c>
      <c r="H1067" s="40">
        <v>0</v>
      </c>
      <c r="I1067" s="40">
        <v>0</v>
      </c>
      <c r="J1067" s="40">
        <v>0</v>
      </c>
      <c r="K1067" s="40">
        <v>0</v>
      </c>
      <c r="L1067" s="40">
        <v>0</v>
      </c>
      <c r="M1067" s="40" cm="1">
        <f t="array" ref="M1067:N1067">VLOOKUP(B1067,'Fumigation  Room'!B:H,{6,7},0)</f>
        <v>0</v>
      </c>
      <c r="N1067" s="40">
        <v>0</v>
      </c>
      <c r="O1067" s="40">
        <f t="shared" si="33"/>
        <v>0</v>
      </c>
      <c r="P1067" s="40">
        <f t="shared" si="34"/>
        <v>0</v>
      </c>
    </row>
    <row r="1068" spans="1:16" x14ac:dyDescent="0.35">
      <c r="A1068" s="33">
        <v>1065</v>
      </c>
      <c r="B1068" s="34" t="s">
        <v>1425</v>
      </c>
      <c r="C1068" s="33" t="s">
        <v>297</v>
      </c>
      <c r="D1068" s="33" t="s">
        <v>22</v>
      </c>
      <c r="E1068" s="33" t="s">
        <v>1359</v>
      </c>
      <c r="F1068" s="35">
        <v>1</v>
      </c>
      <c r="G1068" s="40">
        <v>0</v>
      </c>
      <c r="H1068" s="40">
        <v>0</v>
      </c>
      <c r="I1068" s="40">
        <v>0</v>
      </c>
      <c r="J1068" s="40">
        <v>0</v>
      </c>
      <c r="K1068" s="40">
        <v>0</v>
      </c>
      <c r="L1068" s="40">
        <v>0</v>
      </c>
      <c r="M1068" s="40" cm="1">
        <f t="array" ref="M1068:N1068">VLOOKUP(B1068,'Fumigation  Room'!B:H,{6,7},0)</f>
        <v>0</v>
      </c>
      <c r="N1068" s="40">
        <v>0</v>
      </c>
      <c r="O1068" s="40">
        <f t="shared" si="33"/>
        <v>0</v>
      </c>
      <c r="P1068" s="40">
        <f t="shared" si="34"/>
        <v>0</v>
      </c>
    </row>
    <row r="1069" spans="1:16" x14ac:dyDescent="0.35">
      <c r="A1069" s="33">
        <v>1066</v>
      </c>
      <c r="B1069" s="34" t="s">
        <v>1426</v>
      </c>
      <c r="C1069" s="33" t="s">
        <v>297</v>
      </c>
      <c r="D1069" s="33" t="s">
        <v>22</v>
      </c>
      <c r="E1069" s="33" t="s">
        <v>1359</v>
      </c>
      <c r="F1069" s="35">
        <v>1</v>
      </c>
      <c r="G1069" s="40">
        <v>0</v>
      </c>
      <c r="H1069" s="40">
        <v>0</v>
      </c>
      <c r="I1069" s="40">
        <v>0</v>
      </c>
      <c r="J1069" s="40">
        <v>0</v>
      </c>
      <c r="K1069" s="40">
        <v>0</v>
      </c>
      <c r="L1069" s="40">
        <v>0</v>
      </c>
      <c r="M1069" s="40" cm="1">
        <f t="array" ref="M1069:N1069">VLOOKUP(B1069,'Fumigation  Room'!B:H,{6,7},0)</f>
        <v>0</v>
      </c>
      <c r="N1069" s="40">
        <v>0</v>
      </c>
      <c r="O1069" s="40">
        <f t="shared" si="33"/>
        <v>0</v>
      </c>
      <c r="P1069" s="40">
        <f t="shared" si="34"/>
        <v>0</v>
      </c>
    </row>
    <row r="1070" spans="1:16" x14ac:dyDescent="0.35">
      <c r="A1070" s="33">
        <v>1067</v>
      </c>
      <c r="B1070" s="34" t="s">
        <v>193</v>
      </c>
      <c r="C1070" s="33" t="s">
        <v>297</v>
      </c>
      <c r="D1070" s="33" t="s">
        <v>22</v>
      </c>
      <c r="E1070" s="33" t="s">
        <v>1359</v>
      </c>
      <c r="F1070" s="35">
        <v>1</v>
      </c>
      <c r="G1070" s="40">
        <v>0</v>
      </c>
      <c r="H1070" s="40">
        <v>0</v>
      </c>
      <c r="I1070" s="40">
        <v>0</v>
      </c>
      <c r="J1070" s="40">
        <v>0</v>
      </c>
      <c r="K1070" s="40">
        <v>0</v>
      </c>
      <c r="L1070" s="40">
        <v>0</v>
      </c>
      <c r="M1070" s="40" cm="1">
        <f t="array" ref="M1070:N1070">VLOOKUP(B1070,'Fumigation  Room'!B:H,{6,7},0)</f>
        <v>0</v>
      </c>
      <c r="N1070" s="40">
        <v>0</v>
      </c>
      <c r="O1070" s="40">
        <f t="shared" si="33"/>
        <v>0</v>
      </c>
      <c r="P1070" s="40">
        <f t="shared" si="34"/>
        <v>0</v>
      </c>
    </row>
    <row r="1071" spans="1:16" x14ac:dyDescent="0.35">
      <c r="A1071" s="33">
        <v>1068</v>
      </c>
      <c r="B1071" s="34" t="s">
        <v>1427</v>
      </c>
      <c r="C1071" s="33" t="s">
        <v>297</v>
      </c>
      <c r="D1071" s="33" t="s">
        <v>22</v>
      </c>
      <c r="E1071" s="33" t="s">
        <v>1359</v>
      </c>
      <c r="F1071" s="35">
        <v>1</v>
      </c>
      <c r="G1071" s="40">
        <v>0</v>
      </c>
      <c r="H1071" s="40">
        <v>0</v>
      </c>
      <c r="I1071" s="40">
        <v>0</v>
      </c>
      <c r="J1071" s="40">
        <v>0</v>
      </c>
      <c r="K1071" s="40">
        <v>0</v>
      </c>
      <c r="L1071" s="40">
        <v>0</v>
      </c>
      <c r="M1071" s="40" cm="1">
        <f t="array" ref="M1071:N1071">VLOOKUP(B1071,'Fumigation  Room'!B:H,{6,7},0)</f>
        <v>0</v>
      </c>
      <c r="N1071" s="40">
        <v>0</v>
      </c>
      <c r="O1071" s="40">
        <f t="shared" si="33"/>
        <v>0</v>
      </c>
      <c r="P1071" s="40">
        <f t="shared" si="34"/>
        <v>0</v>
      </c>
    </row>
    <row r="1072" spans="1:16" x14ac:dyDescent="0.35">
      <c r="A1072" s="33">
        <v>1069</v>
      </c>
      <c r="B1072" s="34" t="s">
        <v>1428</v>
      </c>
      <c r="C1072" s="33" t="s">
        <v>297</v>
      </c>
      <c r="D1072" s="33" t="s">
        <v>22</v>
      </c>
      <c r="E1072" s="33" t="s">
        <v>1359</v>
      </c>
      <c r="F1072" s="35">
        <v>1</v>
      </c>
      <c r="G1072" s="40">
        <v>0</v>
      </c>
      <c r="H1072" s="40">
        <v>0</v>
      </c>
      <c r="I1072" s="40">
        <v>0</v>
      </c>
      <c r="J1072" s="40">
        <v>0</v>
      </c>
      <c r="K1072" s="40">
        <v>0</v>
      </c>
      <c r="L1072" s="40">
        <v>0</v>
      </c>
      <c r="M1072" s="40" cm="1">
        <f t="array" ref="M1072:N1072">VLOOKUP(B1072,'Fumigation  Room'!B:H,{6,7},0)</f>
        <v>0</v>
      </c>
      <c r="N1072" s="40">
        <v>0</v>
      </c>
      <c r="O1072" s="40">
        <f t="shared" si="33"/>
        <v>0</v>
      </c>
      <c r="P1072" s="40">
        <f t="shared" si="34"/>
        <v>0</v>
      </c>
    </row>
    <row r="1073" spans="1:16" x14ac:dyDescent="0.35">
      <c r="A1073" s="33">
        <v>1070</v>
      </c>
      <c r="B1073" s="34" t="s">
        <v>1429</v>
      </c>
      <c r="C1073" s="33" t="s">
        <v>297</v>
      </c>
      <c r="D1073" s="33" t="s">
        <v>22</v>
      </c>
      <c r="E1073" s="33" t="s">
        <v>1359</v>
      </c>
      <c r="F1073" s="35">
        <v>1</v>
      </c>
      <c r="G1073" s="40">
        <v>0</v>
      </c>
      <c r="H1073" s="40">
        <v>0</v>
      </c>
      <c r="I1073" s="40">
        <v>0</v>
      </c>
      <c r="J1073" s="40">
        <v>0</v>
      </c>
      <c r="K1073" s="40">
        <v>0</v>
      </c>
      <c r="L1073" s="40">
        <v>0</v>
      </c>
      <c r="M1073" s="40" cm="1">
        <f t="array" ref="M1073:N1073">VLOOKUP(B1073,'Fumigation  Room'!B:H,{6,7},0)</f>
        <v>0</v>
      </c>
      <c r="N1073" s="40">
        <v>0</v>
      </c>
      <c r="O1073" s="40">
        <f t="shared" si="33"/>
        <v>0</v>
      </c>
      <c r="P1073" s="40">
        <f t="shared" si="34"/>
        <v>0</v>
      </c>
    </row>
    <row r="1074" spans="1:16" x14ac:dyDescent="0.35">
      <c r="A1074" s="33">
        <v>1071</v>
      </c>
      <c r="B1074" s="34" t="s">
        <v>1430</v>
      </c>
      <c r="C1074" s="33" t="s">
        <v>297</v>
      </c>
      <c r="D1074" s="33" t="s">
        <v>22</v>
      </c>
      <c r="E1074" s="33" t="s">
        <v>1359</v>
      </c>
      <c r="F1074" s="35">
        <v>1</v>
      </c>
      <c r="G1074" s="40">
        <v>0</v>
      </c>
      <c r="H1074" s="40">
        <v>0</v>
      </c>
      <c r="I1074" s="40">
        <v>0</v>
      </c>
      <c r="J1074" s="40">
        <v>0</v>
      </c>
      <c r="K1074" s="40">
        <v>0</v>
      </c>
      <c r="L1074" s="40">
        <v>0</v>
      </c>
      <c r="M1074" s="40" cm="1">
        <f t="array" ref="M1074:N1074">VLOOKUP(B1074,'Fumigation  Room'!B:H,{6,7},0)</f>
        <v>0</v>
      </c>
      <c r="N1074" s="40">
        <v>0</v>
      </c>
      <c r="O1074" s="40">
        <f t="shared" si="33"/>
        <v>0</v>
      </c>
      <c r="P1074" s="40">
        <f t="shared" si="34"/>
        <v>0</v>
      </c>
    </row>
    <row r="1075" spans="1:16" x14ac:dyDescent="0.35">
      <c r="A1075" s="33">
        <v>1072</v>
      </c>
      <c r="B1075" s="34" t="s">
        <v>1431</v>
      </c>
      <c r="C1075" s="33" t="s">
        <v>297</v>
      </c>
      <c r="D1075" s="33" t="s">
        <v>22</v>
      </c>
      <c r="E1075" s="33" t="s">
        <v>1359</v>
      </c>
      <c r="F1075" s="35">
        <v>1</v>
      </c>
      <c r="G1075" s="40">
        <v>0</v>
      </c>
      <c r="H1075" s="40">
        <v>0</v>
      </c>
      <c r="I1075" s="40">
        <v>0</v>
      </c>
      <c r="J1075" s="40">
        <v>0</v>
      </c>
      <c r="K1075" s="40">
        <v>0</v>
      </c>
      <c r="L1075" s="40">
        <v>0</v>
      </c>
      <c r="M1075" s="40" cm="1">
        <f t="array" ref="M1075:N1075">VLOOKUP(B1075,'Fumigation  Room'!B:H,{6,7},0)</f>
        <v>0</v>
      </c>
      <c r="N1075" s="40">
        <v>0</v>
      </c>
      <c r="O1075" s="40">
        <f t="shared" si="33"/>
        <v>0</v>
      </c>
      <c r="P1075" s="40">
        <f t="shared" si="34"/>
        <v>0</v>
      </c>
    </row>
    <row r="1076" spans="1:16" x14ac:dyDescent="0.35">
      <c r="A1076" s="33">
        <v>1073</v>
      </c>
      <c r="B1076" s="34" t="s">
        <v>1432</v>
      </c>
      <c r="C1076" s="33" t="s">
        <v>297</v>
      </c>
      <c r="D1076" s="33" t="s">
        <v>22</v>
      </c>
      <c r="E1076" s="33" t="s">
        <v>1359</v>
      </c>
      <c r="F1076" s="35">
        <v>1</v>
      </c>
      <c r="G1076" s="40">
        <v>0</v>
      </c>
      <c r="H1076" s="40">
        <v>0</v>
      </c>
      <c r="I1076" s="40">
        <v>0</v>
      </c>
      <c r="J1076" s="40">
        <v>0</v>
      </c>
      <c r="K1076" s="40">
        <v>0</v>
      </c>
      <c r="L1076" s="40">
        <v>0</v>
      </c>
      <c r="M1076" s="40" cm="1">
        <f t="array" ref="M1076:N1076">VLOOKUP(B1076,'Fumigation  Room'!B:H,{6,7},0)</f>
        <v>0</v>
      </c>
      <c r="N1076" s="40">
        <v>0</v>
      </c>
      <c r="O1076" s="40">
        <f t="shared" si="33"/>
        <v>0</v>
      </c>
      <c r="P1076" s="40">
        <f t="shared" si="34"/>
        <v>0</v>
      </c>
    </row>
    <row r="1077" spans="1:16" x14ac:dyDescent="0.35">
      <c r="A1077" s="33">
        <v>1074</v>
      </c>
      <c r="B1077" s="34" t="s">
        <v>1433</v>
      </c>
      <c r="C1077" s="33" t="s">
        <v>297</v>
      </c>
      <c r="D1077" s="33" t="s">
        <v>22</v>
      </c>
      <c r="E1077" s="33" t="s">
        <v>1359</v>
      </c>
      <c r="F1077" s="35">
        <v>1</v>
      </c>
      <c r="G1077" s="40">
        <v>0</v>
      </c>
      <c r="H1077" s="40">
        <v>0</v>
      </c>
      <c r="I1077" s="40">
        <v>0</v>
      </c>
      <c r="J1077" s="40">
        <v>0</v>
      </c>
      <c r="K1077" s="40">
        <v>0</v>
      </c>
      <c r="L1077" s="40">
        <v>0</v>
      </c>
      <c r="M1077" s="40" cm="1">
        <f t="array" ref="M1077:N1077">VLOOKUP(B1077,'Fumigation  Room'!B:H,{6,7},0)</f>
        <v>0</v>
      </c>
      <c r="N1077" s="40">
        <v>0</v>
      </c>
      <c r="O1077" s="40">
        <f t="shared" si="33"/>
        <v>0</v>
      </c>
      <c r="P1077" s="40">
        <f t="shared" si="34"/>
        <v>0</v>
      </c>
    </row>
    <row r="1078" spans="1:16" x14ac:dyDescent="0.35">
      <c r="A1078" s="33">
        <v>1075</v>
      </c>
      <c r="B1078" s="34" t="s">
        <v>1434</v>
      </c>
      <c r="C1078" s="33" t="s">
        <v>297</v>
      </c>
      <c r="D1078" s="33" t="s">
        <v>22</v>
      </c>
      <c r="E1078" s="33" t="s">
        <v>1359</v>
      </c>
      <c r="F1078" s="35">
        <v>1</v>
      </c>
      <c r="G1078" s="40">
        <v>0</v>
      </c>
      <c r="H1078" s="40">
        <v>0</v>
      </c>
      <c r="I1078" s="40">
        <v>0</v>
      </c>
      <c r="J1078" s="40">
        <v>0</v>
      </c>
      <c r="K1078" s="40">
        <v>0</v>
      </c>
      <c r="L1078" s="40">
        <v>0</v>
      </c>
      <c r="M1078" s="40" cm="1">
        <f t="array" ref="M1078:N1078">VLOOKUP(B1078,'Fumigation  Room'!B:H,{6,7},0)</f>
        <v>0</v>
      </c>
      <c r="N1078" s="40">
        <v>0</v>
      </c>
      <c r="O1078" s="40">
        <f t="shared" si="33"/>
        <v>0</v>
      </c>
      <c r="P1078" s="40">
        <f t="shared" si="34"/>
        <v>0</v>
      </c>
    </row>
    <row r="1079" spans="1:16" x14ac:dyDescent="0.35">
      <c r="A1079" s="33">
        <v>1076</v>
      </c>
      <c r="B1079" s="34" t="s">
        <v>1435</v>
      </c>
      <c r="C1079" s="33" t="s">
        <v>297</v>
      </c>
      <c r="D1079" s="33" t="s">
        <v>22</v>
      </c>
      <c r="E1079" s="33" t="s">
        <v>1359</v>
      </c>
      <c r="F1079" s="35">
        <v>1</v>
      </c>
      <c r="G1079" s="40">
        <v>0</v>
      </c>
      <c r="H1079" s="40">
        <v>0</v>
      </c>
      <c r="I1079" s="40">
        <v>0</v>
      </c>
      <c r="J1079" s="40">
        <v>0</v>
      </c>
      <c r="K1079" s="40">
        <v>0</v>
      </c>
      <c r="L1079" s="40">
        <v>0</v>
      </c>
      <c r="M1079" s="40" cm="1">
        <f t="array" ref="M1079:N1079">VLOOKUP(B1079,'Fumigation  Room'!B:H,{6,7},0)</f>
        <v>0</v>
      </c>
      <c r="N1079" s="40">
        <v>0</v>
      </c>
      <c r="O1079" s="40">
        <f t="shared" si="33"/>
        <v>0</v>
      </c>
      <c r="P1079" s="40">
        <f t="shared" si="34"/>
        <v>0</v>
      </c>
    </row>
    <row r="1080" spans="1:16" x14ac:dyDescent="0.35">
      <c r="A1080" s="33">
        <v>1077</v>
      </c>
      <c r="B1080" s="34" t="s">
        <v>1436</v>
      </c>
      <c r="C1080" s="33" t="s">
        <v>297</v>
      </c>
      <c r="D1080" s="33" t="s">
        <v>22</v>
      </c>
      <c r="E1080" s="33" t="s">
        <v>1359</v>
      </c>
      <c r="F1080" s="35">
        <v>1</v>
      </c>
      <c r="G1080" s="40">
        <v>0</v>
      </c>
      <c r="H1080" s="40">
        <v>0</v>
      </c>
      <c r="I1080" s="40">
        <v>0</v>
      </c>
      <c r="J1080" s="40">
        <v>0</v>
      </c>
      <c r="K1080" s="40">
        <v>0</v>
      </c>
      <c r="L1080" s="40">
        <v>0</v>
      </c>
      <c r="M1080" s="40" cm="1">
        <f t="array" ref="M1080:N1080">VLOOKUP(B1080,'Fumigation  Room'!B:H,{6,7},0)</f>
        <v>0</v>
      </c>
      <c r="N1080" s="40">
        <v>0</v>
      </c>
      <c r="O1080" s="40">
        <f t="shared" si="33"/>
        <v>0</v>
      </c>
      <c r="P1080" s="40">
        <f t="shared" si="34"/>
        <v>0</v>
      </c>
    </row>
    <row r="1081" spans="1:16" x14ac:dyDescent="0.35">
      <c r="A1081" s="33">
        <v>1078</v>
      </c>
      <c r="B1081" s="34" t="s">
        <v>1437</v>
      </c>
      <c r="C1081" s="33" t="s">
        <v>297</v>
      </c>
      <c r="D1081" s="33" t="s">
        <v>22</v>
      </c>
      <c r="E1081" s="33" t="s">
        <v>1359</v>
      </c>
      <c r="F1081" s="35">
        <v>1</v>
      </c>
      <c r="G1081" s="40">
        <v>0</v>
      </c>
      <c r="H1081" s="40">
        <v>0</v>
      </c>
      <c r="I1081" s="40">
        <v>0</v>
      </c>
      <c r="J1081" s="40">
        <v>0</v>
      </c>
      <c r="K1081" s="40">
        <v>0</v>
      </c>
      <c r="L1081" s="40">
        <v>0</v>
      </c>
      <c r="M1081" s="40" cm="1">
        <f t="array" ref="M1081:N1081">VLOOKUP(B1081,'Fumigation  Room'!B:H,{6,7},0)</f>
        <v>0</v>
      </c>
      <c r="N1081" s="40">
        <v>0</v>
      </c>
      <c r="O1081" s="40">
        <f t="shared" si="33"/>
        <v>0</v>
      </c>
      <c r="P1081" s="40">
        <f t="shared" si="34"/>
        <v>0</v>
      </c>
    </row>
    <row r="1082" spans="1:16" x14ac:dyDescent="0.35">
      <c r="A1082" s="33">
        <v>1079</v>
      </c>
      <c r="B1082" s="34" t="s">
        <v>1438</v>
      </c>
      <c r="C1082" s="33" t="s">
        <v>297</v>
      </c>
      <c r="D1082" s="33" t="s">
        <v>22</v>
      </c>
      <c r="E1082" s="33" t="s">
        <v>1359</v>
      </c>
      <c r="F1082" s="35">
        <v>1</v>
      </c>
      <c r="G1082" s="40">
        <v>0</v>
      </c>
      <c r="H1082" s="40">
        <v>0</v>
      </c>
      <c r="I1082" s="40">
        <v>0</v>
      </c>
      <c r="J1082" s="40">
        <v>0</v>
      </c>
      <c r="K1082" s="40">
        <v>0</v>
      </c>
      <c r="L1082" s="40">
        <v>0</v>
      </c>
      <c r="M1082" s="40" cm="1">
        <f t="array" ref="M1082:N1082">VLOOKUP(B1082,'Fumigation  Room'!B:H,{6,7},0)</f>
        <v>0</v>
      </c>
      <c r="N1082" s="40">
        <v>0</v>
      </c>
      <c r="O1082" s="40">
        <f t="shared" si="33"/>
        <v>0</v>
      </c>
      <c r="P1082" s="40">
        <f t="shared" si="34"/>
        <v>0</v>
      </c>
    </row>
    <row r="1083" spans="1:16" x14ac:dyDescent="0.35">
      <c r="A1083" s="33">
        <v>1080</v>
      </c>
      <c r="B1083" s="34" t="s">
        <v>1439</v>
      </c>
      <c r="C1083" s="33" t="s">
        <v>297</v>
      </c>
      <c r="D1083" s="33" t="s">
        <v>22</v>
      </c>
      <c r="E1083" s="33" t="s">
        <v>1359</v>
      </c>
      <c r="F1083" s="35">
        <v>1</v>
      </c>
      <c r="G1083" s="40">
        <v>0</v>
      </c>
      <c r="H1083" s="40">
        <v>0</v>
      </c>
      <c r="I1083" s="40">
        <v>0</v>
      </c>
      <c r="J1083" s="40">
        <v>0</v>
      </c>
      <c r="K1083" s="40">
        <v>0</v>
      </c>
      <c r="L1083" s="40">
        <v>0</v>
      </c>
      <c r="M1083" s="40" cm="1">
        <f t="array" ref="M1083:N1083">VLOOKUP(B1083,'Fumigation  Room'!B:H,{6,7},0)</f>
        <v>0</v>
      </c>
      <c r="N1083" s="40">
        <v>0</v>
      </c>
      <c r="O1083" s="40">
        <f t="shared" si="33"/>
        <v>0</v>
      </c>
      <c r="P1083" s="40">
        <f t="shared" si="34"/>
        <v>0</v>
      </c>
    </row>
    <row r="1084" spans="1:16" x14ac:dyDescent="0.35">
      <c r="A1084" s="33">
        <v>1081</v>
      </c>
      <c r="B1084" s="34" t="s">
        <v>1440</v>
      </c>
      <c r="C1084" s="33" t="s">
        <v>297</v>
      </c>
      <c r="D1084" s="33" t="s">
        <v>22</v>
      </c>
      <c r="E1084" s="33" t="s">
        <v>1359</v>
      </c>
      <c r="F1084" s="35">
        <v>1</v>
      </c>
      <c r="G1084" s="40">
        <v>0</v>
      </c>
      <c r="H1084" s="40">
        <v>0</v>
      </c>
      <c r="I1084" s="40">
        <v>0</v>
      </c>
      <c r="J1084" s="40">
        <v>0</v>
      </c>
      <c r="K1084" s="40">
        <v>0</v>
      </c>
      <c r="L1084" s="40">
        <v>0</v>
      </c>
      <c r="M1084" s="40" cm="1">
        <f t="array" ref="M1084:N1084">VLOOKUP(B1084,'Fumigation  Room'!B:H,{6,7},0)</f>
        <v>0</v>
      </c>
      <c r="N1084" s="40">
        <v>0</v>
      </c>
      <c r="O1084" s="40">
        <f t="shared" si="33"/>
        <v>0</v>
      </c>
      <c r="P1084" s="40">
        <f t="shared" si="34"/>
        <v>0</v>
      </c>
    </row>
    <row r="1085" spans="1:16" x14ac:dyDescent="0.35">
      <c r="A1085" s="33">
        <v>1082</v>
      </c>
      <c r="B1085" s="34" t="s">
        <v>1441</v>
      </c>
      <c r="C1085" s="33" t="s">
        <v>297</v>
      </c>
      <c r="D1085" s="33" t="s">
        <v>22</v>
      </c>
      <c r="E1085" s="33" t="s">
        <v>1359</v>
      </c>
      <c r="F1085" s="35">
        <v>1</v>
      </c>
      <c r="G1085" s="40">
        <v>0</v>
      </c>
      <c r="H1085" s="40">
        <v>0</v>
      </c>
      <c r="I1085" s="40">
        <v>0</v>
      </c>
      <c r="J1085" s="40">
        <v>0</v>
      </c>
      <c r="K1085" s="40">
        <v>0</v>
      </c>
      <c r="L1085" s="40">
        <v>0</v>
      </c>
      <c r="M1085" s="40" cm="1">
        <f t="array" ref="M1085:N1085">VLOOKUP(B1085,'Fumigation  Room'!B:H,{6,7},0)</f>
        <v>0</v>
      </c>
      <c r="N1085" s="40">
        <v>0</v>
      </c>
      <c r="O1085" s="40">
        <f t="shared" si="33"/>
        <v>0</v>
      </c>
      <c r="P1085" s="40">
        <f t="shared" si="34"/>
        <v>0</v>
      </c>
    </row>
    <row r="1086" spans="1:16" x14ac:dyDescent="0.35">
      <c r="A1086" s="33">
        <v>1083</v>
      </c>
      <c r="B1086" s="34" t="s">
        <v>1442</v>
      </c>
      <c r="C1086" s="33" t="s">
        <v>297</v>
      </c>
      <c r="D1086" s="33" t="s">
        <v>22</v>
      </c>
      <c r="E1086" s="33" t="s">
        <v>1359</v>
      </c>
      <c r="F1086" s="35">
        <v>1E-3</v>
      </c>
      <c r="G1086" s="40">
        <v>0</v>
      </c>
      <c r="H1086" s="40">
        <v>0</v>
      </c>
      <c r="I1086" s="40">
        <v>0</v>
      </c>
      <c r="J1086" s="40">
        <v>0</v>
      </c>
      <c r="K1086" s="40">
        <v>0</v>
      </c>
      <c r="L1086" s="40">
        <v>0</v>
      </c>
      <c r="M1086" s="40" cm="1">
        <f t="array" ref="M1086:N1086">VLOOKUP(B1086,'Fumigation  Room'!B:H,{6,7},0)</f>
        <v>0</v>
      </c>
      <c r="N1086" s="40">
        <v>0</v>
      </c>
      <c r="O1086" s="40">
        <f t="shared" si="33"/>
        <v>0</v>
      </c>
      <c r="P1086" s="40">
        <f t="shared" si="34"/>
        <v>0</v>
      </c>
    </row>
    <row r="1087" spans="1:16" x14ac:dyDescent="0.35">
      <c r="A1087" s="33">
        <v>1084</v>
      </c>
      <c r="B1087" s="34" t="s">
        <v>1443</v>
      </c>
      <c r="C1087" s="33" t="s">
        <v>297</v>
      </c>
      <c r="D1087" s="33" t="s">
        <v>22</v>
      </c>
      <c r="E1087" s="33" t="s">
        <v>1359</v>
      </c>
      <c r="F1087" s="35">
        <v>1</v>
      </c>
      <c r="G1087" s="40">
        <v>0</v>
      </c>
      <c r="H1087" s="40">
        <v>0</v>
      </c>
      <c r="I1087" s="40">
        <v>0</v>
      </c>
      <c r="J1087" s="40">
        <v>0</v>
      </c>
      <c r="K1087" s="40">
        <v>0</v>
      </c>
      <c r="L1087" s="40">
        <v>0</v>
      </c>
      <c r="M1087" s="40" cm="1">
        <f t="array" ref="M1087:N1087">VLOOKUP(B1087,'Fumigation  Room'!B:H,{6,7},0)</f>
        <v>0</v>
      </c>
      <c r="N1087" s="40">
        <v>0</v>
      </c>
      <c r="O1087" s="40">
        <f t="shared" si="33"/>
        <v>0</v>
      </c>
      <c r="P1087" s="40">
        <f t="shared" si="34"/>
        <v>0</v>
      </c>
    </row>
    <row r="1088" spans="1:16" x14ac:dyDescent="0.35">
      <c r="A1088" s="33">
        <v>1085</v>
      </c>
      <c r="B1088" s="34" t="s">
        <v>1444</v>
      </c>
      <c r="C1088" s="33" t="s">
        <v>297</v>
      </c>
      <c r="D1088" s="33" t="s">
        <v>22</v>
      </c>
      <c r="E1088" s="33" t="s">
        <v>1359</v>
      </c>
      <c r="F1088" s="35">
        <v>1</v>
      </c>
      <c r="G1088" s="40">
        <v>0</v>
      </c>
      <c r="H1088" s="40">
        <v>0</v>
      </c>
      <c r="I1088" s="40">
        <v>0</v>
      </c>
      <c r="J1088" s="40">
        <v>0</v>
      </c>
      <c r="K1088" s="40">
        <v>0</v>
      </c>
      <c r="L1088" s="40">
        <v>0</v>
      </c>
      <c r="M1088" s="40" cm="1">
        <f t="array" ref="M1088:N1088">VLOOKUP(B1088,'Fumigation  Room'!B:H,{6,7},0)</f>
        <v>0</v>
      </c>
      <c r="N1088" s="40">
        <v>0</v>
      </c>
      <c r="O1088" s="40">
        <f t="shared" si="33"/>
        <v>0</v>
      </c>
      <c r="P1088" s="40">
        <f t="shared" si="34"/>
        <v>0</v>
      </c>
    </row>
    <row r="1089" spans="1:16" x14ac:dyDescent="0.35">
      <c r="A1089" s="33">
        <v>1086</v>
      </c>
      <c r="B1089" s="34" t="s">
        <v>1445</v>
      </c>
      <c r="C1089" s="33" t="s">
        <v>297</v>
      </c>
      <c r="D1089" s="33" t="s">
        <v>22</v>
      </c>
      <c r="E1089" s="33" t="s">
        <v>1359</v>
      </c>
      <c r="F1089" s="35">
        <v>1</v>
      </c>
      <c r="G1089" s="40">
        <v>0</v>
      </c>
      <c r="H1089" s="40">
        <v>0</v>
      </c>
      <c r="I1089" s="40">
        <v>0</v>
      </c>
      <c r="J1089" s="40">
        <v>0</v>
      </c>
      <c r="K1089" s="40">
        <v>0</v>
      </c>
      <c r="L1089" s="40">
        <v>0</v>
      </c>
      <c r="M1089" s="40" cm="1">
        <f t="array" ref="M1089:N1089">VLOOKUP(B1089,'Fumigation  Room'!B:H,{6,7},0)</f>
        <v>0</v>
      </c>
      <c r="N1089" s="40">
        <v>0</v>
      </c>
      <c r="O1089" s="40">
        <f t="shared" si="33"/>
        <v>0</v>
      </c>
      <c r="P1089" s="40">
        <f t="shared" si="34"/>
        <v>0</v>
      </c>
    </row>
    <row r="1090" spans="1:16" x14ac:dyDescent="0.35">
      <c r="A1090" s="33">
        <v>1087</v>
      </c>
      <c r="B1090" s="34" t="s">
        <v>194</v>
      </c>
      <c r="C1090" s="33" t="s">
        <v>297</v>
      </c>
      <c r="D1090" s="33" t="s">
        <v>22</v>
      </c>
      <c r="E1090" s="33" t="s">
        <v>1359</v>
      </c>
      <c r="F1090" s="35">
        <v>1</v>
      </c>
      <c r="G1090" s="40">
        <v>0</v>
      </c>
      <c r="H1090" s="40">
        <v>0</v>
      </c>
      <c r="I1090" s="40">
        <v>0</v>
      </c>
      <c r="J1090" s="40">
        <v>0</v>
      </c>
      <c r="K1090" s="40">
        <v>0</v>
      </c>
      <c r="L1090" s="40">
        <v>0</v>
      </c>
      <c r="M1090" s="40" cm="1">
        <f t="array" ref="M1090:N1090">VLOOKUP(B1090,'Fumigation  Room'!B:H,{6,7},0)</f>
        <v>0</v>
      </c>
      <c r="N1090" s="40">
        <v>0</v>
      </c>
      <c r="O1090" s="40">
        <f t="shared" si="33"/>
        <v>0</v>
      </c>
      <c r="P1090" s="40">
        <f t="shared" si="34"/>
        <v>0</v>
      </c>
    </row>
    <row r="1091" spans="1:16" x14ac:dyDescent="0.35">
      <c r="A1091" s="33">
        <v>1088</v>
      </c>
      <c r="B1091" s="34" t="s">
        <v>1446</v>
      </c>
      <c r="C1091" s="33" t="s">
        <v>297</v>
      </c>
      <c r="D1091" s="33" t="s">
        <v>22</v>
      </c>
      <c r="E1091" s="33" t="s">
        <v>1359</v>
      </c>
      <c r="F1091" s="35">
        <v>1</v>
      </c>
      <c r="G1091" s="40">
        <v>0</v>
      </c>
      <c r="H1091" s="40">
        <v>0</v>
      </c>
      <c r="I1091" s="40">
        <v>0</v>
      </c>
      <c r="J1091" s="40">
        <v>0</v>
      </c>
      <c r="K1091" s="40">
        <v>0</v>
      </c>
      <c r="L1091" s="40">
        <v>0</v>
      </c>
      <c r="M1091" s="40" cm="1">
        <f t="array" ref="M1091:N1091">VLOOKUP(B1091,'Fumigation  Room'!B:H,{6,7},0)</f>
        <v>0</v>
      </c>
      <c r="N1091" s="40">
        <v>0</v>
      </c>
      <c r="O1091" s="40">
        <f t="shared" si="33"/>
        <v>0</v>
      </c>
      <c r="P1091" s="40">
        <f t="shared" si="34"/>
        <v>0</v>
      </c>
    </row>
    <row r="1092" spans="1:16" x14ac:dyDescent="0.35">
      <c r="A1092" s="33">
        <v>1089</v>
      </c>
      <c r="B1092" s="34" t="s">
        <v>1447</v>
      </c>
      <c r="C1092" s="33" t="s">
        <v>297</v>
      </c>
      <c r="D1092" s="33" t="s">
        <v>22</v>
      </c>
      <c r="E1092" s="33" t="s">
        <v>1359</v>
      </c>
      <c r="F1092" s="35">
        <v>1</v>
      </c>
      <c r="G1092" s="40">
        <v>0</v>
      </c>
      <c r="H1092" s="40">
        <v>0</v>
      </c>
      <c r="I1092" s="40">
        <v>0</v>
      </c>
      <c r="J1092" s="40">
        <v>0</v>
      </c>
      <c r="K1092" s="40">
        <v>0</v>
      </c>
      <c r="L1092" s="40">
        <v>0</v>
      </c>
      <c r="M1092" s="40" cm="1">
        <f t="array" ref="M1092:N1092">VLOOKUP(B1092,'Fumigation  Room'!B:H,{6,7},0)</f>
        <v>0</v>
      </c>
      <c r="N1092" s="40">
        <v>0</v>
      </c>
      <c r="O1092" s="40">
        <f t="shared" si="33"/>
        <v>0</v>
      </c>
      <c r="P1092" s="40">
        <f t="shared" si="34"/>
        <v>0</v>
      </c>
    </row>
    <row r="1093" spans="1:16" x14ac:dyDescent="0.35">
      <c r="A1093" s="33">
        <v>1090</v>
      </c>
      <c r="B1093" s="34" t="s">
        <v>1448</v>
      </c>
      <c r="C1093" s="33" t="s">
        <v>297</v>
      </c>
      <c r="D1093" s="33" t="s">
        <v>22</v>
      </c>
      <c r="E1093" s="33" t="s">
        <v>1359</v>
      </c>
      <c r="F1093" s="35">
        <v>1</v>
      </c>
      <c r="G1093" s="40">
        <v>0</v>
      </c>
      <c r="H1093" s="40">
        <v>0</v>
      </c>
      <c r="I1093" s="40">
        <v>0</v>
      </c>
      <c r="J1093" s="40">
        <v>0</v>
      </c>
      <c r="K1093" s="40">
        <v>0</v>
      </c>
      <c r="L1093" s="40">
        <v>0</v>
      </c>
      <c r="M1093" s="40" cm="1">
        <f t="array" ref="M1093:N1093">VLOOKUP(B1093,'Fumigation  Room'!B:H,{6,7},0)</f>
        <v>0</v>
      </c>
      <c r="N1093" s="40">
        <v>0</v>
      </c>
      <c r="O1093" s="40">
        <f t="shared" ref="O1093:O1156" si="35">G1093+I1093+K1093+M1093</f>
        <v>0</v>
      </c>
      <c r="P1093" s="40">
        <f t="shared" ref="P1093:P1156" si="36">H1093+J1093+L1093+N1093</f>
        <v>0</v>
      </c>
    </row>
    <row r="1094" spans="1:16" x14ac:dyDescent="0.35">
      <c r="A1094" s="33">
        <v>1091</v>
      </c>
      <c r="B1094" s="34" t="s">
        <v>1449</v>
      </c>
      <c r="C1094" s="33" t="s">
        <v>297</v>
      </c>
      <c r="D1094" s="33" t="s">
        <v>22</v>
      </c>
      <c r="E1094" s="33" t="s">
        <v>1359</v>
      </c>
      <c r="F1094" s="35">
        <v>1</v>
      </c>
      <c r="G1094" s="40">
        <v>0</v>
      </c>
      <c r="H1094" s="40">
        <v>0</v>
      </c>
      <c r="I1094" s="40">
        <v>0</v>
      </c>
      <c r="J1094" s="40">
        <v>0</v>
      </c>
      <c r="K1094" s="40">
        <v>0</v>
      </c>
      <c r="L1094" s="40">
        <v>0</v>
      </c>
      <c r="M1094" s="40" cm="1">
        <f t="array" ref="M1094:N1094">VLOOKUP(B1094,'Fumigation  Room'!B:H,{6,7},0)</f>
        <v>0</v>
      </c>
      <c r="N1094" s="40">
        <v>0</v>
      </c>
      <c r="O1094" s="40">
        <f t="shared" si="35"/>
        <v>0</v>
      </c>
      <c r="P1094" s="40">
        <f t="shared" si="36"/>
        <v>0</v>
      </c>
    </row>
    <row r="1095" spans="1:16" x14ac:dyDescent="0.35">
      <c r="A1095" s="33">
        <v>1092</v>
      </c>
      <c r="B1095" s="34" t="s">
        <v>1450</v>
      </c>
      <c r="C1095" s="33" t="s">
        <v>297</v>
      </c>
      <c r="D1095" s="33" t="s">
        <v>22</v>
      </c>
      <c r="E1095" s="33" t="s">
        <v>1359</v>
      </c>
      <c r="F1095" s="35">
        <v>1</v>
      </c>
      <c r="G1095" s="40">
        <v>0</v>
      </c>
      <c r="H1095" s="40">
        <v>0</v>
      </c>
      <c r="I1095" s="40">
        <v>0</v>
      </c>
      <c r="J1095" s="40">
        <v>0</v>
      </c>
      <c r="K1095" s="40">
        <v>0</v>
      </c>
      <c r="L1095" s="40">
        <v>0</v>
      </c>
      <c r="M1095" s="40" cm="1">
        <f t="array" ref="M1095:N1095">VLOOKUP(B1095,'Fumigation  Room'!B:H,{6,7},0)</f>
        <v>0</v>
      </c>
      <c r="N1095" s="40">
        <v>0</v>
      </c>
      <c r="O1095" s="40">
        <f t="shared" si="35"/>
        <v>0</v>
      </c>
      <c r="P1095" s="40">
        <f t="shared" si="36"/>
        <v>0</v>
      </c>
    </row>
    <row r="1096" spans="1:16" x14ac:dyDescent="0.35">
      <c r="A1096" s="33">
        <v>1093</v>
      </c>
      <c r="B1096" s="34" t="s">
        <v>1451</v>
      </c>
      <c r="C1096" s="33" t="s">
        <v>297</v>
      </c>
      <c r="D1096" s="33" t="s">
        <v>22</v>
      </c>
      <c r="E1096" s="33" t="s">
        <v>1359</v>
      </c>
      <c r="F1096" s="35">
        <v>1</v>
      </c>
      <c r="G1096" s="40">
        <v>0</v>
      </c>
      <c r="H1096" s="40">
        <v>0</v>
      </c>
      <c r="I1096" s="40">
        <v>0</v>
      </c>
      <c r="J1096" s="40">
        <v>0</v>
      </c>
      <c r="K1096" s="40">
        <v>0</v>
      </c>
      <c r="L1096" s="40">
        <v>0</v>
      </c>
      <c r="M1096" s="40" cm="1">
        <f t="array" ref="M1096:N1096">VLOOKUP(B1096,'Fumigation  Room'!B:H,{6,7},0)</f>
        <v>0</v>
      </c>
      <c r="N1096" s="40">
        <v>0</v>
      </c>
      <c r="O1096" s="40">
        <f t="shared" si="35"/>
        <v>0</v>
      </c>
      <c r="P1096" s="40">
        <f t="shared" si="36"/>
        <v>0</v>
      </c>
    </row>
    <row r="1097" spans="1:16" x14ac:dyDescent="0.35">
      <c r="A1097" s="33">
        <v>1094</v>
      </c>
      <c r="B1097" s="34" t="s">
        <v>1452</v>
      </c>
      <c r="C1097" s="33" t="s">
        <v>297</v>
      </c>
      <c r="D1097" s="33" t="s">
        <v>22</v>
      </c>
      <c r="E1097" s="33" t="s">
        <v>1359</v>
      </c>
      <c r="F1097" s="35">
        <v>1</v>
      </c>
      <c r="G1097" s="40">
        <v>0</v>
      </c>
      <c r="H1097" s="40">
        <v>0</v>
      </c>
      <c r="I1097" s="40">
        <v>0</v>
      </c>
      <c r="J1097" s="40">
        <v>0</v>
      </c>
      <c r="K1097" s="40">
        <v>0</v>
      </c>
      <c r="L1097" s="40">
        <v>0</v>
      </c>
      <c r="M1097" s="40" cm="1">
        <f t="array" ref="M1097:N1097">VLOOKUP(B1097,'Fumigation  Room'!B:H,{6,7},0)</f>
        <v>0</v>
      </c>
      <c r="N1097" s="40">
        <v>0</v>
      </c>
      <c r="O1097" s="40">
        <f t="shared" si="35"/>
        <v>0</v>
      </c>
      <c r="P1097" s="40">
        <f t="shared" si="36"/>
        <v>0</v>
      </c>
    </row>
    <row r="1098" spans="1:16" x14ac:dyDescent="0.35">
      <c r="A1098" s="33">
        <v>1095</v>
      </c>
      <c r="B1098" s="34" t="s">
        <v>1453</v>
      </c>
      <c r="C1098" s="33" t="s">
        <v>297</v>
      </c>
      <c r="D1098" s="33" t="s">
        <v>22</v>
      </c>
      <c r="E1098" s="33" t="s">
        <v>1359</v>
      </c>
      <c r="F1098" s="35">
        <v>1</v>
      </c>
      <c r="G1098" s="40">
        <v>0</v>
      </c>
      <c r="H1098" s="40">
        <v>0</v>
      </c>
      <c r="I1098" s="40">
        <v>0</v>
      </c>
      <c r="J1098" s="40">
        <v>0</v>
      </c>
      <c r="K1098" s="40">
        <v>0</v>
      </c>
      <c r="L1098" s="40">
        <v>0</v>
      </c>
      <c r="M1098" s="40" cm="1">
        <f t="array" ref="M1098:N1098">VLOOKUP(B1098,'Fumigation  Room'!B:H,{6,7},0)</f>
        <v>0</v>
      </c>
      <c r="N1098" s="40">
        <v>0</v>
      </c>
      <c r="O1098" s="40">
        <f t="shared" si="35"/>
        <v>0</v>
      </c>
      <c r="P1098" s="40">
        <f t="shared" si="36"/>
        <v>0</v>
      </c>
    </row>
    <row r="1099" spans="1:16" x14ac:dyDescent="0.35">
      <c r="A1099" s="33">
        <v>1096</v>
      </c>
      <c r="B1099" s="34" t="s">
        <v>1454</v>
      </c>
      <c r="C1099" s="33" t="s">
        <v>297</v>
      </c>
      <c r="D1099" s="33" t="s">
        <v>22</v>
      </c>
      <c r="E1099" s="33" t="s">
        <v>1359</v>
      </c>
      <c r="F1099" s="35">
        <v>1</v>
      </c>
      <c r="G1099" s="40">
        <v>0</v>
      </c>
      <c r="H1099" s="40">
        <v>0</v>
      </c>
      <c r="I1099" s="40">
        <v>0</v>
      </c>
      <c r="J1099" s="40">
        <v>0</v>
      </c>
      <c r="K1099" s="40">
        <v>0</v>
      </c>
      <c r="L1099" s="40">
        <v>0</v>
      </c>
      <c r="M1099" s="40" cm="1">
        <f t="array" ref="M1099:N1099">VLOOKUP(B1099,'Fumigation  Room'!B:H,{6,7},0)</f>
        <v>0</v>
      </c>
      <c r="N1099" s="40">
        <v>0</v>
      </c>
      <c r="O1099" s="40">
        <f t="shared" si="35"/>
        <v>0</v>
      </c>
      <c r="P1099" s="40">
        <f t="shared" si="36"/>
        <v>0</v>
      </c>
    </row>
    <row r="1100" spans="1:16" x14ac:dyDescent="0.35">
      <c r="A1100" s="33">
        <v>1097</v>
      </c>
      <c r="B1100" s="34" t="s">
        <v>1455</v>
      </c>
      <c r="C1100" s="33" t="s">
        <v>297</v>
      </c>
      <c r="D1100" s="33" t="s">
        <v>22</v>
      </c>
      <c r="E1100" s="33" t="s">
        <v>1359</v>
      </c>
      <c r="F1100" s="35">
        <v>1</v>
      </c>
      <c r="G1100" s="40">
        <v>0</v>
      </c>
      <c r="H1100" s="40">
        <v>0</v>
      </c>
      <c r="I1100" s="40">
        <v>0</v>
      </c>
      <c r="J1100" s="40">
        <v>0</v>
      </c>
      <c r="K1100" s="40">
        <v>0</v>
      </c>
      <c r="L1100" s="40">
        <v>0</v>
      </c>
      <c r="M1100" s="40" cm="1">
        <f t="array" ref="M1100:N1100">VLOOKUP(B1100,'Fumigation  Room'!B:H,{6,7},0)</f>
        <v>0</v>
      </c>
      <c r="N1100" s="40">
        <v>0</v>
      </c>
      <c r="O1100" s="40">
        <f t="shared" si="35"/>
        <v>0</v>
      </c>
      <c r="P1100" s="40">
        <f t="shared" si="36"/>
        <v>0</v>
      </c>
    </row>
    <row r="1101" spans="1:16" x14ac:dyDescent="0.35">
      <c r="A1101" s="33">
        <v>1098</v>
      </c>
      <c r="B1101" s="34" t="s">
        <v>63</v>
      </c>
      <c r="C1101" s="33" t="s">
        <v>297</v>
      </c>
      <c r="D1101" s="33" t="s">
        <v>22</v>
      </c>
      <c r="E1101" s="33" t="s">
        <v>1359</v>
      </c>
      <c r="F1101" s="35">
        <v>1</v>
      </c>
      <c r="G1101" s="40">
        <v>0</v>
      </c>
      <c r="H1101" s="40">
        <v>0</v>
      </c>
      <c r="I1101" s="40">
        <v>0</v>
      </c>
      <c r="J1101" s="40">
        <v>0</v>
      </c>
      <c r="K1101" s="40">
        <v>0</v>
      </c>
      <c r="L1101" s="40">
        <v>0</v>
      </c>
      <c r="M1101" s="40" cm="1">
        <f t="array" ref="M1101:N1101">VLOOKUP(B1101,'Fumigation  Room'!B:H,{6,7},0)</f>
        <v>0</v>
      </c>
      <c r="N1101" s="40">
        <v>0</v>
      </c>
      <c r="O1101" s="40">
        <f t="shared" si="35"/>
        <v>0</v>
      </c>
      <c r="P1101" s="40">
        <f t="shared" si="36"/>
        <v>0</v>
      </c>
    </row>
    <row r="1102" spans="1:16" x14ac:dyDescent="0.35">
      <c r="A1102" s="33">
        <v>1099</v>
      </c>
      <c r="B1102" s="34" t="s">
        <v>1456</v>
      </c>
      <c r="C1102" s="33" t="s">
        <v>297</v>
      </c>
      <c r="D1102" s="33" t="s">
        <v>22</v>
      </c>
      <c r="E1102" s="33" t="s">
        <v>1359</v>
      </c>
      <c r="F1102" s="35">
        <v>1</v>
      </c>
      <c r="G1102" s="40">
        <v>0</v>
      </c>
      <c r="H1102" s="40">
        <v>0</v>
      </c>
      <c r="I1102" s="40">
        <v>0</v>
      </c>
      <c r="J1102" s="40">
        <v>0</v>
      </c>
      <c r="K1102" s="40">
        <v>0</v>
      </c>
      <c r="L1102" s="40">
        <v>0</v>
      </c>
      <c r="M1102" s="40" cm="1">
        <f t="array" ref="M1102:N1102">VLOOKUP(B1102,'Fumigation  Room'!B:H,{6,7},0)</f>
        <v>0</v>
      </c>
      <c r="N1102" s="40">
        <v>0</v>
      </c>
      <c r="O1102" s="40">
        <f t="shared" si="35"/>
        <v>0</v>
      </c>
      <c r="P1102" s="40">
        <f t="shared" si="36"/>
        <v>0</v>
      </c>
    </row>
    <row r="1103" spans="1:16" x14ac:dyDescent="0.35">
      <c r="A1103" s="33">
        <v>1100</v>
      </c>
      <c r="B1103" s="34" t="s">
        <v>1457</v>
      </c>
      <c r="C1103" s="33" t="s">
        <v>297</v>
      </c>
      <c r="D1103" s="33" t="s">
        <v>22</v>
      </c>
      <c r="E1103" s="33" t="s">
        <v>1359</v>
      </c>
      <c r="F1103" s="35">
        <v>1</v>
      </c>
      <c r="G1103" s="40">
        <v>0</v>
      </c>
      <c r="H1103" s="40">
        <v>0</v>
      </c>
      <c r="I1103" s="40">
        <v>0</v>
      </c>
      <c r="J1103" s="40">
        <v>0</v>
      </c>
      <c r="K1103" s="40">
        <v>0</v>
      </c>
      <c r="L1103" s="40">
        <v>0</v>
      </c>
      <c r="M1103" s="40" cm="1">
        <f t="array" ref="M1103:N1103">VLOOKUP(B1103,'Fumigation  Room'!B:H,{6,7},0)</f>
        <v>0</v>
      </c>
      <c r="N1103" s="40">
        <v>0</v>
      </c>
      <c r="O1103" s="40">
        <f t="shared" si="35"/>
        <v>0</v>
      </c>
      <c r="P1103" s="40">
        <f t="shared" si="36"/>
        <v>0</v>
      </c>
    </row>
    <row r="1104" spans="1:16" x14ac:dyDescent="0.35">
      <c r="A1104" s="33">
        <v>1101</v>
      </c>
      <c r="B1104" s="34" t="s">
        <v>1458</v>
      </c>
      <c r="C1104" s="33" t="s">
        <v>297</v>
      </c>
      <c r="D1104" s="33" t="s">
        <v>22</v>
      </c>
      <c r="E1104" s="33" t="s">
        <v>1359</v>
      </c>
      <c r="F1104" s="35">
        <v>1</v>
      </c>
      <c r="G1104" s="40">
        <v>0</v>
      </c>
      <c r="H1104" s="40">
        <v>0</v>
      </c>
      <c r="I1104" s="40">
        <v>0</v>
      </c>
      <c r="J1104" s="40">
        <v>0</v>
      </c>
      <c r="K1104" s="40">
        <v>0</v>
      </c>
      <c r="L1104" s="40">
        <v>0</v>
      </c>
      <c r="M1104" s="40" cm="1">
        <f t="array" ref="M1104:N1104">VLOOKUP(B1104,'Fumigation  Room'!B:H,{6,7},0)</f>
        <v>0</v>
      </c>
      <c r="N1104" s="40">
        <v>0</v>
      </c>
      <c r="O1104" s="40">
        <f t="shared" si="35"/>
        <v>0</v>
      </c>
      <c r="P1104" s="40">
        <f t="shared" si="36"/>
        <v>0</v>
      </c>
    </row>
    <row r="1105" spans="1:16" x14ac:dyDescent="0.35">
      <c r="A1105" s="33">
        <v>1102</v>
      </c>
      <c r="B1105" s="34" t="s">
        <v>1459</v>
      </c>
      <c r="C1105" s="33" t="s">
        <v>297</v>
      </c>
      <c r="D1105" s="33" t="s">
        <v>22</v>
      </c>
      <c r="E1105" s="33" t="s">
        <v>1359</v>
      </c>
      <c r="F1105" s="35">
        <v>1</v>
      </c>
      <c r="G1105" s="40">
        <v>0</v>
      </c>
      <c r="H1105" s="40">
        <v>0</v>
      </c>
      <c r="I1105" s="40">
        <v>0</v>
      </c>
      <c r="J1105" s="40">
        <v>0</v>
      </c>
      <c r="K1105" s="40">
        <v>0</v>
      </c>
      <c r="L1105" s="40">
        <v>0</v>
      </c>
      <c r="M1105" s="40" cm="1">
        <f t="array" ref="M1105:N1105">VLOOKUP(B1105,'Fumigation  Room'!B:H,{6,7},0)</f>
        <v>0</v>
      </c>
      <c r="N1105" s="40">
        <v>0</v>
      </c>
      <c r="O1105" s="40">
        <f t="shared" si="35"/>
        <v>0</v>
      </c>
      <c r="P1105" s="40">
        <f t="shared" si="36"/>
        <v>0</v>
      </c>
    </row>
    <row r="1106" spans="1:16" x14ac:dyDescent="0.35">
      <c r="A1106" s="33">
        <v>1103</v>
      </c>
      <c r="B1106" s="34" t="s">
        <v>1460</v>
      </c>
      <c r="C1106" s="33" t="s">
        <v>297</v>
      </c>
      <c r="D1106" s="33" t="s">
        <v>22</v>
      </c>
      <c r="E1106" s="33" t="s">
        <v>1359</v>
      </c>
      <c r="F1106" s="35">
        <v>1</v>
      </c>
      <c r="G1106" s="40">
        <v>0</v>
      </c>
      <c r="H1106" s="40">
        <v>0</v>
      </c>
      <c r="I1106" s="40">
        <v>0</v>
      </c>
      <c r="J1106" s="40">
        <v>0</v>
      </c>
      <c r="K1106" s="40">
        <v>0</v>
      </c>
      <c r="L1106" s="40">
        <v>0</v>
      </c>
      <c r="M1106" s="40" cm="1">
        <f t="array" ref="M1106:N1106">VLOOKUP(B1106,'Fumigation  Room'!B:H,{6,7},0)</f>
        <v>0</v>
      </c>
      <c r="N1106" s="40">
        <v>0</v>
      </c>
      <c r="O1106" s="40">
        <f t="shared" si="35"/>
        <v>0</v>
      </c>
      <c r="P1106" s="40">
        <f t="shared" si="36"/>
        <v>0</v>
      </c>
    </row>
    <row r="1107" spans="1:16" x14ac:dyDescent="0.35">
      <c r="A1107" s="33">
        <v>1104</v>
      </c>
      <c r="B1107" s="34" t="s">
        <v>1461</v>
      </c>
      <c r="C1107" s="33" t="s">
        <v>297</v>
      </c>
      <c r="D1107" s="33" t="s">
        <v>22</v>
      </c>
      <c r="E1107" s="33" t="s">
        <v>1359</v>
      </c>
      <c r="F1107" s="35">
        <v>1</v>
      </c>
      <c r="G1107" s="40">
        <v>0</v>
      </c>
      <c r="H1107" s="40">
        <v>0</v>
      </c>
      <c r="I1107" s="40">
        <v>0</v>
      </c>
      <c r="J1107" s="40">
        <v>0</v>
      </c>
      <c r="K1107" s="40">
        <v>0</v>
      </c>
      <c r="L1107" s="40">
        <v>0</v>
      </c>
      <c r="M1107" s="40" cm="1">
        <f t="array" ref="M1107:N1107">VLOOKUP(B1107,'Fumigation  Room'!B:H,{6,7},0)</f>
        <v>0</v>
      </c>
      <c r="N1107" s="40">
        <v>0</v>
      </c>
      <c r="O1107" s="40">
        <f t="shared" si="35"/>
        <v>0</v>
      </c>
      <c r="P1107" s="40">
        <f t="shared" si="36"/>
        <v>0</v>
      </c>
    </row>
    <row r="1108" spans="1:16" x14ac:dyDescent="0.35">
      <c r="A1108" s="33">
        <v>1105</v>
      </c>
      <c r="B1108" s="34" t="s">
        <v>1462</v>
      </c>
      <c r="C1108" s="33" t="s">
        <v>297</v>
      </c>
      <c r="D1108" s="33" t="s">
        <v>22</v>
      </c>
      <c r="E1108" s="33" t="s">
        <v>1359</v>
      </c>
      <c r="F1108" s="35">
        <v>1</v>
      </c>
      <c r="G1108" s="40">
        <v>0</v>
      </c>
      <c r="H1108" s="40">
        <v>0</v>
      </c>
      <c r="I1108" s="40">
        <v>0</v>
      </c>
      <c r="J1108" s="40">
        <v>0</v>
      </c>
      <c r="K1108" s="40">
        <v>0</v>
      </c>
      <c r="L1108" s="40">
        <v>0</v>
      </c>
      <c r="M1108" s="40" cm="1">
        <f t="array" ref="M1108:N1108">VLOOKUP(B1108,'Fumigation  Room'!B:H,{6,7},0)</f>
        <v>0</v>
      </c>
      <c r="N1108" s="40">
        <v>0</v>
      </c>
      <c r="O1108" s="40">
        <f t="shared" si="35"/>
        <v>0</v>
      </c>
      <c r="P1108" s="40">
        <f t="shared" si="36"/>
        <v>0</v>
      </c>
    </row>
    <row r="1109" spans="1:16" x14ac:dyDescent="0.35">
      <c r="A1109" s="33">
        <v>1106</v>
      </c>
      <c r="B1109" s="34" t="s">
        <v>1463</v>
      </c>
      <c r="C1109" s="33" t="s">
        <v>297</v>
      </c>
      <c r="D1109" s="33" t="s">
        <v>22</v>
      </c>
      <c r="E1109" s="33" t="s">
        <v>1359</v>
      </c>
      <c r="F1109" s="35">
        <v>1</v>
      </c>
      <c r="G1109" s="40">
        <v>0</v>
      </c>
      <c r="H1109" s="40">
        <v>0</v>
      </c>
      <c r="I1109" s="40">
        <v>0</v>
      </c>
      <c r="J1109" s="40">
        <v>0</v>
      </c>
      <c r="K1109" s="40">
        <v>0</v>
      </c>
      <c r="L1109" s="40">
        <v>0</v>
      </c>
      <c r="M1109" s="40" cm="1">
        <f t="array" ref="M1109:N1109">VLOOKUP(B1109,'Fumigation  Room'!B:H,{6,7},0)</f>
        <v>0</v>
      </c>
      <c r="N1109" s="40">
        <v>0</v>
      </c>
      <c r="O1109" s="40">
        <f t="shared" si="35"/>
        <v>0</v>
      </c>
      <c r="P1109" s="40">
        <f t="shared" si="36"/>
        <v>0</v>
      </c>
    </row>
    <row r="1110" spans="1:16" x14ac:dyDescent="0.35">
      <c r="A1110" s="33">
        <v>1107</v>
      </c>
      <c r="B1110" s="34" t="s">
        <v>1464</v>
      </c>
      <c r="C1110" s="33" t="s">
        <v>297</v>
      </c>
      <c r="D1110" s="33" t="s">
        <v>22</v>
      </c>
      <c r="E1110" s="33" t="s">
        <v>1359</v>
      </c>
      <c r="F1110" s="35">
        <v>1</v>
      </c>
      <c r="G1110" s="40">
        <v>0</v>
      </c>
      <c r="H1110" s="40">
        <v>0</v>
      </c>
      <c r="I1110" s="40">
        <v>0</v>
      </c>
      <c r="J1110" s="40">
        <v>0</v>
      </c>
      <c r="K1110" s="40">
        <v>0</v>
      </c>
      <c r="L1110" s="40">
        <v>0</v>
      </c>
      <c r="M1110" s="40" cm="1">
        <f t="array" ref="M1110:N1110">VLOOKUP(B1110,'Fumigation  Room'!B:H,{6,7},0)</f>
        <v>0</v>
      </c>
      <c r="N1110" s="40">
        <v>0</v>
      </c>
      <c r="O1110" s="40">
        <f t="shared" si="35"/>
        <v>0</v>
      </c>
      <c r="P1110" s="40">
        <f t="shared" si="36"/>
        <v>0</v>
      </c>
    </row>
    <row r="1111" spans="1:16" x14ac:dyDescent="0.35">
      <c r="A1111" s="33">
        <v>1108</v>
      </c>
      <c r="B1111" s="34" t="s">
        <v>1465</v>
      </c>
      <c r="C1111" s="33" t="s">
        <v>297</v>
      </c>
      <c r="D1111" s="33" t="s">
        <v>22</v>
      </c>
      <c r="E1111" s="33" t="s">
        <v>1359</v>
      </c>
      <c r="F1111" s="35">
        <v>1</v>
      </c>
      <c r="G1111" s="40">
        <v>0</v>
      </c>
      <c r="H1111" s="40">
        <v>0</v>
      </c>
      <c r="I1111" s="40">
        <v>0</v>
      </c>
      <c r="J1111" s="40">
        <v>0</v>
      </c>
      <c r="K1111" s="40">
        <v>0</v>
      </c>
      <c r="L1111" s="40">
        <v>0</v>
      </c>
      <c r="M1111" s="40" cm="1">
        <f t="array" ref="M1111:N1111">VLOOKUP(B1111,'Fumigation  Room'!B:H,{6,7},0)</f>
        <v>0</v>
      </c>
      <c r="N1111" s="40">
        <v>0</v>
      </c>
      <c r="O1111" s="40">
        <f t="shared" si="35"/>
        <v>0</v>
      </c>
      <c r="P1111" s="40">
        <f t="shared" si="36"/>
        <v>0</v>
      </c>
    </row>
    <row r="1112" spans="1:16" x14ac:dyDescent="0.35">
      <c r="A1112" s="33">
        <v>1109</v>
      </c>
      <c r="B1112" s="34" t="s">
        <v>1466</v>
      </c>
      <c r="C1112" s="33" t="s">
        <v>297</v>
      </c>
      <c r="D1112" s="33" t="s">
        <v>22</v>
      </c>
      <c r="E1112" s="33" t="s">
        <v>1359</v>
      </c>
      <c r="F1112" s="35">
        <v>1</v>
      </c>
      <c r="G1112" s="40">
        <v>0</v>
      </c>
      <c r="H1112" s="40">
        <v>0</v>
      </c>
      <c r="I1112" s="40">
        <v>0</v>
      </c>
      <c r="J1112" s="40">
        <v>0</v>
      </c>
      <c r="K1112" s="40">
        <v>0</v>
      </c>
      <c r="L1112" s="40">
        <v>0</v>
      </c>
      <c r="M1112" s="40" cm="1">
        <f t="array" ref="M1112:N1112">VLOOKUP(B1112,'Fumigation  Room'!B:H,{6,7},0)</f>
        <v>0</v>
      </c>
      <c r="N1112" s="40">
        <v>0</v>
      </c>
      <c r="O1112" s="40">
        <f t="shared" si="35"/>
        <v>0</v>
      </c>
      <c r="P1112" s="40">
        <f t="shared" si="36"/>
        <v>0</v>
      </c>
    </row>
    <row r="1113" spans="1:16" x14ac:dyDescent="0.35">
      <c r="A1113" s="33">
        <v>1110</v>
      </c>
      <c r="B1113" s="34" t="s">
        <v>1467</v>
      </c>
      <c r="C1113" s="33" t="s">
        <v>346</v>
      </c>
      <c r="D1113" s="33" t="s">
        <v>22</v>
      </c>
      <c r="E1113" s="33" t="s">
        <v>1359</v>
      </c>
      <c r="F1113" s="35">
        <v>1</v>
      </c>
      <c r="G1113" s="40">
        <v>0</v>
      </c>
      <c r="H1113" s="40">
        <v>0</v>
      </c>
      <c r="I1113" s="40">
        <v>0</v>
      </c>
      <c r="J1113" s="40">
        <v>0</v>
      </c>
      <c r="K1113" s="40">
        <v>0</v>
      </c>
      <c r="L1113" s="40">
        <v>0</v>
      </c>
      <c r="M1113" s="40" cm="1">
        <f t="array" ref="M1113:N1113">VLOOKUP(B1113,'Fumigation  Room'!B:H,{6,7},0)</f>
        <v>0</v>
      </c>
      <c r="N1113" s="40">
        <v>0</v>
      </c>
      <c r="O1113" s="40">
        <f t="shared" si="35"/>
        <v>0</v>
      </c>
      <c r="P1113" s="40">
        <f t="shared" si="36"/>
        <v>0</v>
      </c>
    </row>
    <row r="1114" spans="1:16" x14ac:dyDescent="0.35">
      <c r="A1114" s="33">
        <v>1111</v>
      </c>
      <c r="B1114" s="34" t="s">
        <v>1468</v>
      </c>
      <c r="C1114" s="33" t="s">
        <v>346</v>
      </c>
      <c r="D1114" s="33" t="s">
        <v>22</v>
      </c>
      <c r="E1114" s="33" t="s">
        <v>1359</v>
      </c>
      <c r="F1114" s="35">
        <v>0.25</v>
      </c>
      <c r="G1114" s="40">
        <v>0</v>
      </c>
      <c r="H1114" s="40">
        <v>0</v>
      </c>
      <c r="I1114" s="40">
        <v>0</v>
      </c>
      <c r="J1114" s="40">
        <v>0</v>
      </c>
      <c r="K1114" s="40">
        <v>0</v>
      </c>
      <c r="L1114" s="40">
        <v>0</v>
      </c>
      <c r="M1114" s="40" cm="1">
        <f t="array" ref="M1114:N1114">VLOOKUP(B1114,'Fumigation  Room'!B:H,{6,7},0)</f>
        <v>0</v>
      </c>
      <c r="N1114" s="40">
        <v>0</v>
      </c>
      <c r="O1114" s="40">
        <f t="shared" si="35"/>
        <v>0</v>
      </c>
      <c r="P1114" s="40">
        <f t="shared" si="36"/>
        <v>0</v>
      </c>
    </row>
    <row r="1115" spans="1:16" x14ac:dyDescent="0.35">
      <c r="A1115" s="33">
        <v>1112</v>
      </c>
      <c r="B1115" s="34" t="s">
        <v>1469</v>
      </c>
      <c r="C1115" s="33" t="s">
        <v>297</v>
      </c>
      <c r="D1115" s="33" t="s">
        <v>208</v>
      </c>
      <c r="E1115" s="33" t="s">
        <v>1469</v>
      </c>
      <c r="F1115" s="35">
        <v>1</v>
      </c>
      <c r="G1115" s="40">
        <v>0</v>
      </c>
      <c r="H1115" s="40">
        <v>0</v>
      </c>
      <c r="I1115" s="40">
        <v>0</v>
      </c>
      <c r="J1115" s="40">
        <v>0</v>
      </c>
      <c r="K1115" s="40">
        <v>0</v>
      </c>
      <c r="L1115" s="40">
        <v>0</v>
      </c>
      <c r="M1115" s="40" cm="1">
        <f t="array" ref="M1115:N1115">VLOOKUP(B1115,'Fumigation  Room'!B:H,{6,7},0)</f>
        <v>0</v>
      </c>
      <c r="N1115" s="40">
        <v>0</v>
      </c>
      <c r="O1115" s="40">
        <f t="shared" si="35"/>
        <v>0</v>
      </c>
      <c r="P1115" s="40">
        <f t="shared" si="36"/>
        <v>0</v>
      </c>
    </row>
    <row r="1116" spans="1:16" x14ac:dyDescent="0.35">
      <c r="A1116" s="33">
        <v>1113</v>
      </c>
      <c r="B1116" s="34" t="s">
        <v>1477</v>
      </c>
      <c r="C1116" s="33" t="s">
        <v>346</v>
      </c>
      <c r="D1116" s="33" t="s">
        <v>208</v>
      </c>
      <c r="E1116" s="33" t="s">
        <v>1478</v>
      </c>
      <c r="F1116" s="35">
        <v>0.06</v>
      </c>
      <c r="G1116" s="40">
        <v>0</v>
      </c>
      <c r="H1116" s="40">
        <v>0</v>
      </c>
      <c r="I1116" s="40">
        <v>0</v>
      </c>
      <c r="J1116" s="40">
        <v>0</v>
      </c>
      <c r="K1116" s="40">
        <v>0</v>
      </c>
      <c r="L1116" s="40">
        <v>0</v>
      </c>
      <c r="M1116" s="40" cm="1">
        <f t="array" ref="M1116:N1116">VLOOKUP(B1116,'Fumigation  Room'!B:H,{6,7},0)</f>
        <v>0</v>
      </c>
      <c r="N1116" s="40">
        <v>0</v>
      </c>
      <c r="O1116" s="40">
        <f t="shared" si="35"/>
        <v>0</v>
      </c>
      <c r="P1116" s="40">
        <f t="shared" si="36"/>
        <v>0</v>
      </c>
    </row>
    <row r="1117" spans="1:16" x14ac:dyDescent="0.35">
      <c r="A1117" s="33">
        <v>1114</v>
      </c>
      <c r="B1117" s="34" t="s">
        <v>1479</v>
      </c>
      <c r="C1117" s="33" t="s">
        <v>346</v>
      </c>
      <c r="D1117" s="33" t="s">
        <v>208</v>
      </c>
      <c r="E1117" s="33" t="s">
        <v>1478</v>
      </c>
      <c r="F1117" s="35">
        <v>0.06</v>
      </c>
      <c r="G1117" s="40">
        <v>0</v>
      </c>
      <c r="H1117" s="40">
        <v>0</v>
      </c>
      <c r="I1117" s="40">
        <v>0</v>
      </c>
      <c r="J1117" s="40">
        <v>0</v>
      </c>
      <c r="K1117" s="40">
        <v>0</v>
      </c>
      <c r="L1117" s="40">
        <v>0</v>
      </c>
      <c r="M1117" s="40" cm="1">
        <f t="array" ref="M1117:N1117">VLOOKUP(B1117,'Fumigation  Room'!B:H,{6,7},0)</f>
        <v>0</v>
      </c>
      <c r="N1117" s="40">
        <v>0</v>
      </c>
      <c r="O1117" s="40">
        <f t="shared" si="35"/>
        <v>0</v>
      </c>
      <c r="P1117" s="40">
        <f t="shared" si="36"/>
        <v>0</v>
      </c>
    </row>
    <row r="1118" spans="1:16" x14ac:dyDescent="0.35">
      <c r="A1118" s="33">
        <v>1115</v>
      </c>
      <c r="B1118" s="34" t="s">
        <v>1480</v>
      </c>
      <c r="C1118" s="33" t="s">
        <v>346</v>
      </c>
      <c r="D1118" s="33" t="s">
        <v>208</v>
      </c>
      <c r="E1118" s="33" t="s">
        <v>1478</v>
      </c>
      <c r="F1118" s="35">
        <v>0.06</v>
      </c>
      <c r="G1118" s="40">
        <v>0</v>
      </c>
      <c r="H1118" s="40">
        <v>0</v>
      </c>
      <c r="I1118" s="40">
        <v>0</v>
      </c>
      <c r="J1118" s="40">
        <v>0</v>
      </c>
      <c r="K1118" s="40">
        <v>0</v>
      </c>
      <c r="L1118" s="40">
        <v>0</v>
      </c>
      <c r="M1118" s="40" cm="1">
        <f t="array" ref="M1118:N1118">VLOOKUP(B1118,'Fumigation  Room'!B:H,{6,7},0)</f>
        <v>0</v>
      </c>
      <c r="N1118" s="40">
        <v>0</v>
      </c>
      <c r="O1118" s="40">
        <f t="shared" si="35"/>
        <v>0</v>
      </c>
      <c r="P1118" s="40">
        <f t="shared" si="36"/>
        <v>0</v>
      </c>
    </row>
    <row r="1119" spans="1:16" x14ac:dyDescent="0.35">
      <c r="A1119" s="33">
        <v>1116</v>
      </c>
      <c r="B1119" s="34" t="s">
        <v>1481</v>
      </c>
      <c r="C1119" s="33" t="s">
        <v>346</v>
      </c>
      <c r="D1119" s="33" t="s">
        <v>208</v>
      </c>
      <c r="E1119" s="33" t="s">
        <v>1478</v>
      </c>
      <c r="F1119" s="35">
        <v>1</v>
      </c>
      <c r="G1119" s="40">
        <v>0</v>
      </c>
      <c r="H1119" s="40">
        <v>0</v>
      </c>
      <c r="I1119" s="40">
        <v>0</v>
      </c>
      <c r="J1119" s="40">
        <v>0</v>
      </c>
      <c r="K1119" s="40">
        <v>0</v>
      </c>
      <c r="L1119" s="40">
        <v>0</v>
      </c>
      <c r="M1119" s="40" cm="1">
        <f t="array" ref="M1119:N1119">VLOOKUP(B1119,'Fumigation  Room'!B:H,{6,7},0)</f>
        <v>0</v>
      </c>
      <c r="N1119" s="40">
        <v>10.45</v>
      </c>
      <c r="O1119" s="40">
        <f t="shared" si="35"/>
        <v>0</v>
      </c>
      <c r="P1119" s="40">
        <f t="shared" si="36"/>
        <v>10.45</v>
      </c>
    </row>
    <row r="1120" spans="1:16" x14ac:dyDescent="0.35">
      <c r="A1120" s="33">
        <v>1117</v>
      </c>
      <c r="B1120" s="34" t="s">
        <v>1482</v>
      </c>
      <c r="C1120" s="33" t="s">
        <v>346</v>
      </c>
      <c r="D1120" s="33" t="s">
        <v>208</v>
      </c>
      <c r="E1120" s="33" t="s">
        <v>1478</v>
      </c>
      <c r="F1120" s="35">
        <v>3.5000000000000003E-2</v>
      </c>
      <c r="G1120" s="40">
        <v>0</v>
      </c>
      <c r="H1120" s="40">
        <v>0</v>
      </c>
      <c r="I1120" s="40">
        <v>0</v>
      </c>
      <c r="J1120" s="40">
        <v>0</v>
      </c>
      <c r="K1120" s="40">
        <v>0</v>
      </c>
      <c r="L1120" s="40">
        <v>0</v>
      </c>
      <c r="M1120" s="40" cm="1">
        <f t="array" ref="M1120:N1120">VLOOKUP(B1120,'Fumigation  Room'!B:H,{6,7},0)</f>
        <v>0</v>
      </c>
      <c r="N1120" s="40">
        <v>0</v>
      </c>
      <c r="O1120" s="40">
        <f t="shared" si="35"/>
        <v>0</v>
      </c>
      <c r="P1120" s="40">
        <f t="shared" si="36"/>
        <v>0</v>
      </c>
    </row>
    <row r="1121" spans="1:16" x14ac:dyDescent="0.35">
      <c r="A1121" s="33">
        <v>1118</v>
      </c>
      <c r="B1121" s="34" t="s">
        <v>1483</v>
      </c>
      <c r="C1121" s="33" t="s">
        <v>346</v>
      </c>
      <c r="D1121" s="33" t="s">
        <v>208</v>
      </c>
      <c r="E1121" s="33" t="s">
        <v>1478</v>
      </c>
      <c r="F1121" s="35">
        <v>0.06</v>
      </c>
      <c r="G1121" s="40">
        <v>0</v>
      </c>
      <c r="H1121" s="40">
        <v>0</v>
      </c>
      <c r="I1121" s="40">
        <v>0</v>
      </c>
      <c r="J1121" s="40">
        <v>0</v>
      </c>
      <c r="K1121" s="40">
        <v>0</v>
      </c>
      <c r="L1121" s="40">
        <v>0</v>
      </c>
      <c r="M1121" s="40" cm="1">
        <f t="array" ref="M1121:N1121">VLOOKUP(B1121,'Fumigation  Room'!B:H,{6,7},0)</f>
        <v>0</v>
      </c>
      <c r="N1121" s="40">
        <v>0</v>
      </c>
      <c r="O1121" s="40">
        <f t="shared" si="35"/>
        <v>0</v>
      </c>
      <c r="P1121" s="40">
        <f t="shared" si="36"/>
        <v>0</v>
      </c>
    </row>
    <row r="1122" spans="1:16" x14ac:dyDescent="0.35">
      <c r="A1122" s="33">
        <v>1119</v>
      </c>
      <c r="B1122" s="34" t="s">
        <v>1484</v>
      </c>
      <c r="C1122" s="33" t="s">
        <v>346</v>
      </c>
      <c r="D1122" s="33" t="s">
        <v>208</v>
      </c>
      <c r="E1122" s="33" t="s">
        <v>1478</v>
      </c>
      <c r="F1122" s="35">
        <v>0.2</v>
      </c>
      <c r="G1122" s="40">
        <v>0</v>
      </c>
      <c r="H1122" s="40">
        <v>0</v>
      </c>
      <c r="I1122" s="40">
        <v>0</v>
      </c>
      <c r="J1122" s="40">
        <v>0</v>
      </c>
      <c r="K1122" s="40">
        <v>0</v>
      </c>
      <c r="L1122" s="40">
        <v>0</v>
      </c>
      <c r="M1122" s="40" cm="1">
        <f t="array" ref="M1122:N1122">VLOOKUP(B1122,'Fumigation  Room'!B:H,{6,7},0)</f>
        <v>0</v>
      </c>
      <c r="N1122" s="40">
        <v>0</v>
      </c>
      <c r="O1122" s="40">
        <f t="shared" si="35"/>
        <v>0</v>
      </c>
      <c r="P1122" s="40">
        <f t="shared" si="36"/>
        <v>0</v>
      </c>
    </row>
    <row r="1123" spans="1:16" x14ac:dyDescent="0.35">
      <c r="A1123" s="33">
        <v>1120</v>
      </c>
      <c r="B1123" s="34" t="s">
        <v>1485</v>
      </c>
      <c r="C1123" s="33" t="s">
        <v>346</v>
      </c>
      <c r="D1123" s="33" t="s">
        <v>208</v>
      </c>
      <c r="E1123" s="33" t="s">
        <v>1478</v>
      </c>
      <c r="F1123" s="35">
        <v>7.0000000000000007E-2</v>
      </c>
      <c r="G1123" s="40">
        <v>0</v>
      </c>
      <c r="H1123" s="40">
        <v>0</v>
      </c>
      <c r="I1123" s="40">
        <v>0</v>
      </c>
      <c r="J1123" s="40">
        <v>0</v>
      </c>
      <c r="K1123" s="40">
        <v>0</v>
      </c>
      <c r="L1123" s="40">
        <v>0</v>
      </c>
      <c r="M1123" s="40" cm="1">
        <f t="array" ref="M1123:N1123">VLOOKUP(B1123,'Fumigation  Room'!B:H,{6,7},0)</f>
        <v>0</v>
      </c>
      <c r="N1123" s="40">
        <v>0</v>
      </c>
      <c r="O1123" s="40">
        <f t="shared" si="35"/>
        <v>0</v>
      </c>
      <c r="P1123" s="40">
        <f t="shared" si="36"/>
        <v>0</v>
      </c>
    </row>
    <row r="1124" spans="1:16" x14ac:dyDescent="0.35">
      <c r="A1124" s="33">
        <v>1121</v>
      </c>
      <c r="B1124" s="34" t="s">
        <v>1486</v>
      </c>
      <c r="C1124" s="33" t="s">
        <v>346</v>
      </c>
      <c r="D1124" s="33" t="s">
        <v>208</v>
      </c>
      <c r="E1124" s="33" t="s">
        <v>1478</v>
      </c>
      <c r="F1124" s="35">
        <v>1</v>
      </c>
      <c r="G1124" s="40">
        <v>0</v>
      </c>
      <c r="H1124" s="40">
        <v>0</v>
      </c>
      <c r="I1124" s="40">
        <v>0</v>
      </c>
      <c r="J1124" s="40">
        <v>25</v>
      </c>
      <c r="K1124" s="40">
        <v>0</v>
      </c>
      <c r="L1124" s="40">
        <v>0</v>
      </c>
      <c r="M1124" s="40" cm="1">
        <f t="array" ref="M1124:N1124">VLOOKUP(B1124,'Fumigation  Room'!B:H,{6,7},0)</f>
        <v>0</v>
      </c>
      <c r="N1124" s="40">
        <v>111.89999999999999</v>
      </c>
      <c r="O1124" s="40">
        <f t="shared" si="35"/>
        <v>0</v>
      </c>
      <c r="P1124" s="40">
        <f t="shared" si="36"/>
        <v>136.89999999999998</v>
      </c>
    </row>
    <row r="1125" spans="1:16" x14ac:dyDescent="0.35">
      <c r="A1125" s="33">
        <v>1122</v>
      </c>
      <c r="B1125" s="34" t="s">
        <v>1487</v>
      </c>
      <c r="C1125" s="33" t="s">
        <v>346</v>
      </c>
      <c r="D1125" s="33" t="s">
        <v>208</v>
      </c>
      <c r="E1125" s="33" t="s">
        <v>1478</v>
      </c>
      <c r="F1125" s="35">
        <v>1</v>
      </c>
      <c r="G1125" s="40">
        <v>0</v>
      </c>
      <c r="H1125" s="40">
        <v>0</v>
      </c>
      <c r="I1125" s="40">
        <v>0</v>
      </c>
      <c r="J1125" s="40">
        <v>0</v>
      </c>
      <c r="K1125" s="40">
        <v>0</v>
      </c>
      <c r="L1125" s="40">
        <v>0</v>
      </c>
      <c r="M1125" s="40" cm="1">
        <f t="array" ref="M1125:N1125">VLOOKUP(B1125,'Fumigation  Room'!B:H,{6,7},0)</f>
        <v>0</v>
      </c>
      <c r="N1125" s="40">
        <v>48.89</v>
      </c>
      <c r="O1125" s="40">
        <f t="shared" si="35"/>
        <v>0</v>
      </c>
      <c r="P1125" s="40">
        <f t="shared" si="36"/>
        <v>48.89</v>
      </c>
    </row>
    <row r="1126" spans="1:16" x14ac:dyDescent="0.35">
      <c r="A1126" s="33">
        <v>1123</v>
      </c>
      <c r="B1126" s="34" t="s">
        <v>1488</v>
      </c>
      <c r="C1126" s="33" t="s">
        <v>346</v>
      </c>
      <c r="D1126" s="33" t="s">
        <v>208</v>
      </c>
      <c r="E1126" s="33" t="s">
        <v>1478</v>
      </c>
      <c r="F1126" s="35">
        <v>1</v>
      </c>
      <c r="G1126" s="40">
        <v>0</v>
      </c>
      <c r="H1126" s="40">
        <v>0</v>
      </c>
      <c r="I1126" s="40">
        <v>0</v>
      </c>
      <c r="J1126" s="40">
        <v>0</v>
      </c>
      <c r="K1126" s="40">
        <v>0</v>
      </c>
      <c r="L1126" s="40">
        <v>0</v>
      </c>
      <c r="M1126" s="40" cm="1">
        <f t="array" ref="M1126:N1126">VLOOKUP(B1126,'Fumigation  Room'!B:H,{6,7},0)</f>
        <v>0</v>
      </c>
      <c r="N1126" s="40">
        <v>0</v>
      </c>
      <c r="O1126" s="40">
        <f t="shared" si="35"/>
        <v>0</v>
      </c>
      <c r="P1126" s="40">
        <f t="shared" si="36"/>
        <v>0</v>
      </c>
    </row>
    <row r="1127" spans="1:16" x14ac:dyDescent="0.35">
      <c r="A1127" s="33">
        <v>1124</v>
      </c>
      <c r="B1127" s="34" t="s">
        <v>1489</v>
      </c>
      <c r="C1127" s="33" t="s">
        <v>346</v>
      </c>
      <c r="D1127" s="33" t="s">
        <v>208</v>
      </c>
      <c r="E1127" s="33" t="s">
        <v>1478</v>
      </c>
      <c r="F1127" s="35">
        <v>1</v>
      </c>
      <c r="G1127" s="40">
        <v>0</v>
      </c>
      <c r="H1127" s="40">
        <v>0</v>
      </c>
      <c r="I1127" s="40">
        <v>0</v>
      </c>
      <c r="J1127" s="40">
        <v>0</v>
      </c>
      <c r="K1127" s="40">
        <v>0</v>
      </c>
      <c r="L1127" s="40">
        <v>0</v>
      </c>
      <c r="M1127" s="40" cm="1">
        <f t="array" ref="M1127:N1127">VLOOKUP(B1127,'Fumigation  Room'!B:H,{6,7},0)</f>
        <v>0</v>
      </c>
      <c r="N1127" s="40">
        <v>0</v>
      </c>
      <c r="O1127" s="40">
        <f t="shared" si="35"/>
        <v>0</v>
      </c>
      <c r="P1127" s="40">
        <f t="shared" si="36"/>
        <v>0</v>
      </c>
    </row>
    <row r="1128" spans="1:16" x14ac:dyDescent="0.35">
      <c r="A1128" s="33">
        <v>1125</v>
      </c>
      <c r="B1128" s="34" t="s">
        <v>1490</v>
      </c>
      <c r="C1128" s="33" t="s">
        <v>346</v>
      </c>
      <c r="D1128" s="33" t="s">
        <v>208</v>
      </c>
      <c r="E1128" s="33" t="s">
        <v>1478</v>
      </c>
      <c r="F1128" s="35">
        <v>0.11</v>
      </c>
      <c r="G1128" s="40">
        <v>0</v>
      </c>
      <c r="H1128" s="40">
        <v>0</v>
      </c>
      <c r="I1128" s="40">
        <v>0</v>
      </c>
      <c r="J1128" s="40">
        <v>0</v>
      </c>
      <c r="K1128" s="40">
        <v>0</v>
      </c>
      <c r="L1128" s="40">
        <v>0</v>
      </c>
      <c r="M1128" s="40" cm="1">
        <f t="array" ref="M1128:N1128">VLOOKUP(B1128,'Fumigation  Room'!B:H,{6,7},0)</f>
        <v>0</v>
      </c>
      <c r="N1128" s="40">
        <v>0</v>
      </c>
      <c r="O1128" s="40">
        <f t="shared" si="35"/>
        <v>0</v>
      </c>
      <c r="P1128" s="40">
        <f t="shared" si="36"/>
        <v>0</v>
      </c>
    </row>
    <row r="1129" spans="1:16" x14ac:dyDescent="0.35">
      <c r="A1129" s="33">
        <v>1126</v>
      </c>
      <c r="B1129" s="34" t="s">
        <v>1491</v>
      </c>
      <c r="C1129" s="33" t="s">
        <v>346</v>
      </c>
      <c r="D1129" s="33" t="s">
        <v>208</v>
      </c>
      <c r="E1129" s="33" t="s">
        <v>1478</v>
      </c>
      <c r="F1129" s="35">
        <v>0.1</v>
      </c>
      <c r="G1129" s="40">
        <v>0</v>
      </c>
      <c r="H1129" s="40">
        <v>0</v>
      </c>
      <c r="I1129" s="40">
        <v>0</v>
      </c>
      <c r="J1129" s="40">
        <v>0</v>
      </c>
      <c r="K1129" s="40">
        <v>0</v>
      </c>
      <c r="L1129" s="40">
        <v>0</v>
      </c>
      <c r="M1129" s="40" cm="1">
        <f t="array" ref="M1129:N1129">VLOOKUP(B1129,'Fumigation  Room'!B:H,{6,7},0)</f>
        <v>0</v>
      </c>
      <c r="N1129" s="40">
        <v>0</v>
      </c>
      <c r="O1129" s="40">
        <f t="shared" si="35"/>
        <v>0</v>
      </c>
      <c r="P1129" s="40">
        <f t="shared" si="36"/>
        <v>0</v>
      </c>
    </row>
    <row r="1130" spans="1:16" x14ac:dyDescent="0.35">
      <c r="A1130" s="33">
        <v>1127</v>
      </c>
      <c r="B1130" s="34" t="s">
        <v>1492</v>
      </c>
      <c r="C1130" s="33" t="s">
        <v>346</v>
      </c>
      <c r="D1130" s="33" t="s">
        <v>208</v>
      </c>
      <c r="E1130" s="33" t="s">
        <v>1478</v>
      </c>
      <c r="F1130" s="35">
        <v>2.5000000000000001E-2</v>
      </c>
      <c r="G1130" s="40">
        <v>0</v>
      </c>
      <c r="H1130" s="40">
        <v>0</v>
      </c>
      <c r="I1130" s="40">
        <v>0</v>
      </c>
      <c r="J1130" s="40">
        <v>0</v>
      </c>
      <c r="K1130" s="40">
        <v>0</v>
      </c>
      <c r="L1130" s="40">
        <v>0</v>
      </c>
      <c r="M1130" s="40" cm="1">
        <f t="array" ref="M1130:N1130">VLOOKUP(B1130,'Fumigation  Room'!B:H,{6,7},0)</f>
        <v>0</v>
      </c>
      <c r="N1130" s="40">
        <v>0</v>
      </c>
      <c r="O1130" s="40">
        <f t="shared" si="35"/>
        <v>0</v>
      </c>
      <c r="P1130" s="40">
        <f t="shared" si="36"/>
        <v>0</v>
      </c>
    </row>
    <row r="1131" spans="1:16" x14ac:dyDescent="0.35">
      <c r="A1131" s="33">
        <v>1128</v>
      </c>
      <c r="B1131" s="34" t="s">
        <v>1493</v>
      </c>
      <c r="C1131" s="33" t="s">
        <v>346</v>
      </c>
      <c r="D1131" s="33" t="s">
        <v>208</v>
      </c>
      <c r="E1131" s="33" t="s">
        <v>1478</v>
      </c>
      <c r="F1131" s="35">
        <v>2.5000000000000001E-2</v>
      </c>
      <c r="G1131" s="40">
        <v>0</v>
      </c>
      <c r="H1131" s="40">
        <v>0</v>
      </c>
      <c r="I1131" s="40">
        <v>0</v>
      </c>
      <c r="J1131" s="40">
        <v>0</v>
      </c>
      <c r="K1131" s="40">
        <v>0</v>
      </c>
      <c r="L1131" s="40">
        <v>0</v>
      </c>
      <c r="M1131" s="40" cm="1">
        <f t="array" ref="M1131:N1131">VLOOKUP(B1131,'Fumigation  Room'!B:H,{6,7},0)</f>
        <v>0</v>
      </c>
      <c r="N1131" s="40">
        <v>0</v>
      </c>
      <c r="O1131" s="40">
        <f t="shared" si="35"/>
        <v>0</v>
      </c>
      <c r="P1131" s="40">
        <f t="shared" si="36"/>
        <v>0</v>
      </c>
    </row>
    <row r="1132" spans="1:16" x14ac:dyDescent="0.35">
      <c r="A1132" s="33">
        <v>1129</v>
      </c>
      <c r="B1132" s="34" t="s">
        <v>1494</v>
      </c>
      <c r="C1132" s="33" t="s">
        <v>346</v>
      </c>
      <c r="D1132" s="33" t="s">
        <v>208</v>
      </c>
      <c r="E1132" s="33" t="s">
        <v>1478</v>
      </c>
      <c r="F1132" s="35">
        <v>1</v>
      </c>
      <c r="G1132" s="40">
        <v>0</v>
      </c>
      <c r="H1132" s="40">
        <v>0</v>
      </c>
      <c r="I1132" s="40">
        <v>0</v>
      </c>
      <c r="J1132" s="40">
        <v>7</v>
      </c>
      <c r="K1132" s="40">
        <v>0</v>
      </c>
      <c r="L1132" s="40">
        <v>0</v>
      </c>
      <c r="M1132" s="40" cm="1">
        <f t="array" ref="M1132:N1132">VLOOKUP(B1132,'Fumigation  Room'!B:H,{6,7},0)</f>
        <v>0</v>
      </c>
      <c r="N1132" s="40">
        <v>2.4</v>
      </c>
      <c r="O1132" s="40">
        <f t="shared" si="35"/>
        <v>0</v>
      </c>
      <c r="P1132" s="40">
        <f t="shared" si="36"/>
        <v>9.4</v>
      </c>
    </row>
    <row r="1133" spans="1:16" x14ac:dyDescent="0.35">
      <c r="A1133" s="33">
        <v>1130</v>
      </c>
      <c r="B1133" s="34" t="s">
        <v>1495</v>
      </c>
      <c r="C1133" s="33" t="s">
        <v>346</v>
      </c>
      <c r="D1133" s="33" t="s">
        <v>208</v>
      </c>
      <c r="E1133" s="33" t="s">
        <v>1478</v>
      </c>
      <c r="F1133" s="35">
        <v>1</v>
      </c>
      <c r="G1133" s="40">
        <v>0</v>
      </c>
      <c r="H1133" s="40">
        <v>0</v>
      </c>
      <c r="I1133" s="40">
        <v>0</v>
      </c>
      <c r="J1133" s="40">
        <v>0</v>
      </c>
      <c r="K1133" s="40">
        <v>0</v>
      </c>
      <c r="L1133" s="40">
        <v>0</v>
      </c>
      <c r="M1133" s="40" cm="1">
        <f t="array" ref="M1133:N1133">VLOOKUP(B1133,'Fumigation  Room'!B:H,{6,7},0)</f>
        <v>0</v>
      </c>
      <c r="N1133" s="40">
        <v>5.4499999999999993</v>
      </c>
      <c r="O1133" s="40">
        <f t="shared" si="35"/>
        <v>0</v>
      </c>
      <c r="P1133" s="40">
        <f t="shared" si="36"/>
        <v>5.4499999999999993</v>
      </c>
    </row>
    <row r="1134" spans="1:16" x14ac:dyDescent="0.35">
      <c r="A1134" s="33">
        <v>1131</v>
      </c>
      <c r="B1134" s="34" t="s">
        <v>1496</v>
      </c>
      <c r="C1134" s="33" t="s">
        <v>346</v>
      </c>
      <c r="D1134" s="33" t="s">
        <v>208</v>
      </c>
      <c r="E1134" s="33" t="s">
        <v>1478</v>
      </c>
      <c r="F1134" s="35">
        <v>0.1</v>
      </c>
      <c r="G1134" s="40">
        <v>0</v>
      </c>
      <c r="H1134" s="40">
        <v>0</v>
      </c>
      <c r="I1134" s="40">
        <v>0</v>
      </c>
      <c r="J1134" s="40">
        <v>0</v>
      </c>
      <c r="K1134" s="40">
        <v>0</v>
      </c>
      <c r="L1134" s="40">
        <v>0</v>
      </c>
      <c r="M1134" s="40" cm="1">
        <f t="array" ref="M1134:N1134">VLOOKUP(B1134,'Fumigation  Room'!B:H,{6,7},0)</f>
        <v>0</v>
      </c>
      <c r="N1134" s="40">
        <v>0</v>
      </c>
      <c r="O1134" s="40">
        <f t="shared" si="35"/>
        <v>0</v>
      </c>
      <c r="P1134" s="40">
        <f t="shared" si="36"/>
        <v>0</v>
      </c>
    </row>
    <row r="1135" spans="1:16" x14ac:dyDescent="0.35">
      <c r="A1135" s="33">
        <v>1132</v>
      </c>
      <c r="B1135" s="34" t="s">
        <v>1497</v>
      </c>
      <c r="C1135" s="33" t="s">
        <v>346</v>
      </c>
      <c r="D1135" s="33" t="s">
        <v>208</v>
      </c>
      <c r="E1135" s="33" t="s">
        <v>1478</v>
      </c>
      <c r="F1135" s="35">
        <v>0.11</v>
      </c>
      <c r="G1135" s="40">
        <v>0</v>
      </c>
      <c r="H1135" s="40">
        <v>0</v>
      </c>
      <c r="I1135" s="40">
        <v>0</v>
      </c>
      <c r="J1135" s="40">
        <v>0</v>
      </c>
      <c r="K1135" s="40">
        <v>0</v>
      </c>
      <c r="L1135" s="40">
        <v>0</v>
      </c>
      <c r="M1135" s="40" cm="1">
        <f t="array" ref="M1135:N1135">VLOOKUP(B1135,'Fumigation  Room'!B:H,{6,7},0)</f>
        <v>0</v>
      </c>
      <c r="N1135" s="40">
        <v>0</v>
      </c>
      <c r="O1135" s="40">
        <f t="shared" si="35"/>
        <v>0</v>
      </c>
      <c r="P1135" s="40">
        <f t="shared" si="36"/>
        <v>0</v>
      </c>
    </row>
    <row r="1136" spans="1:16" x14ac:dyDescent="0.35">
      <c r="A1136" s="33">
        <v>1133</v>
      </c>
      <c r="B1136" s="34" t="s">
        <v>1498</v>
      </c>
      <c r="C1136" s="33" t="s">
        <v>346</v>
      </c>
      <c r="D1136" s="33" t="s">
        <v>208</v>
      </c>
      <c r="E1136" s="33" t="s">
        <v>1478</v>
      </c>
      <c r="F1136" s="35">
        <v>0.16</v>
      </c>
      <c r="G1136" s="40">
        <v>0</v>
      </c>
      <c r="H1136" s="40">
        <v>0</v>
      </c>
      <c r="I1136" s="40">
        <v>0</v>
      </c>
      <c r="J1136" s="40">
        <v>0</v>
      </c>
      <c r="K1136" s="40">
        <v>0</v>
      </c>
      <c r="L1136" s="40">
        <v>0</v>
      </c>
      <c r="M1136" s="40" cm="1">
        <f t="array" ref="M1136:N1136">VLOOKUP(B1136,'Fumigation  Room'!B:H,{6,7},0)</f>
        <v>0</v>
      </c>
      <c r="N1136" s="40">
        <v>0</v>
      </c>
      <c r="O1136" s="40">
        <f t="shared" si="35"/>
        <v>0</v>
      </c>
      <c r="P1136" s="40">
        <f t="shared" si="36"/>
        <v>0</v>
      </c>
    </row>
    <row r="1137" spans="1:16" x14ac:dyDescent="0.35">
      <c r="A1137" s="33">
        <v>1134</v>
      </c>
      <c r="B1137" s="34" t="s">
        <v>1499</v>
      </c>
      <c r="C1137" s="33" t="s">
        <v>346</v>
      </c>
      <c r="D1137" s="33" t="s">
        <v>208</v>
      </c>
      <c r="E1137" s="33" t="s">
        <v>1478</v>
      </c>
      <c r="F1137" s="35">
        <v>2.5000000000000001E-2</v>
      </c>
      <c r="G1137" s="40">
        <v>0</v>
      </c>
      <c r="H1137" s="40">
        <v>0</v>
      </c>
      <c r="I1137" s="40">
        <v>0</v>
      </c>
      <c r="J1137" s="40">
        <v>0</v>
      </c>
      <c r="K1137" s="40">
        <v>0</v>
      </c>
      <c r="L1137" s="40">
        <v>0</v>
      </c>
      <c r="M1137" s="40" cm="1">
        <f t="array" ref="M1137:N1137">VLOOKUP(B1137,'Fumigation  Room'!B:H,{6,7},0)</f>
        <v>0</v>
      </c>
      <c r="N1137" s="40">
        <v>0</v>
      </c>
      <c r="O1137" s="40">
        <f t="shared" si="35"/>
        <v>0</v>
      </c>
      <c r="P1137" s="40">
        <f t="shared" si="36"/>
        <v>0</v>
      </c>
    </row>
    <row r="1138" spans="1:16" x14ac:dyDescent="0.35">
      <c r="A1138" s="33">
        <v>1135</v>
      </c>
      <c r="B1138" s="34" t="s">
        <v>1500</v>
      </c>
      <c r="C1138" s="33" t="s">
        <v>346</v>
      </c>
      <c r="D1138" s="33" t="s">
        <v>208</v>
      </c>
      <c r="E1138" s="33" t="s">
        <v>1478</v>
      </c>
      <c r="F1138" s="35">
        <v>2.5000000000000001E-2</v>
      </c>
      <c r="G1138" s="40">
        <v>0</v>
      </c>
      <c r="H1138" s="40">
        <v>0</v>
      </c>
      <c r="I1138" s="40">
        <v>0</v>
      </c>
      <c r="J1138" s="40">
        <v>0</v>
      </c>
      <c r="K1138" s="40">
        <v>0</v>
      </c>
      <c r="L1138" s="40">
        <v>0</v>
      </c>
      <c r="M1138" s="40" cm="1">
        <f t="array" ref="M1138:N1138">VLOOKUP(B1138,'Fumigation  Room'!B:H,{6,7},0)</f>
        <v>0</v>
      </c>
      <c r="N1138" s="40">
        <v>0</v>
      </c>
      <c r="O1138" s="40">
        <f t="shared" si="35"/>
        <v>0</v>
      </c>
      <c r="P1138" s="40">
        <f t="shared" si="36"/>
        <v>0</v>
      </c>
    </row>
    <row r="1139" spans="1:16" x14ac:dyDescent="0.35">
      <c r="A1139" s="33">
        <v>1136</v>
      </c>
      <c r="B1139" s="34" t="s">
        <v>1501</v>
      </c>
      <c r="C1139" s="33" t="s">
        <v>346</v>
      </c>
      <c r="D1139" s="33" t="s">
        <v>208</v>
      </c>
      <c r="E1139" s="33" t="s">
        <v>1478</v>
      </c>
      <c r="F1139" s="35">
        <v>0.11</v>
      </c>
      <c r="G1139" s="40">
        <v>0</v>
      </c>
      <c r="H1139" s="40">
        <v>0</v>
      </c>
      <c r="I1139" s="40">
        <v>0</v>
      </c>
      <c r="J1139" s="40">
        <v>0</v>
      </c>
      <c r="K1139" s="40">
        <v>0</v>
      </c>
      <c r="L1139" s="40">
        <v>0</v>
      </c>
      <c r="M1139" s="40" cm="1">
        <f t="array" ref="M1139:N1139">VLOOKUP(B1139,'Fumigation  Room'!B:H,{6,7},0)</f>
        <v>0</v>
      </c>
      <c r="N1139" s="40">
        <v>0</v>
      </c>
      <c r="O1139" s="40">
        <f t="shared" si="35"/>
        <v>0</v>
      </c>
      <c r="P1139" s="40">
        <f t="shared" si="36"/>
        <v>0</v>
      </c>
    </row>
    <row r="1140" spans="1:16" x14ac:dyDescent="0.35">
      <c r="A1140" s="33">
        <v>1137</v>
      </c>
      <c r="B1140" s="34" t="s">
        <v>1502</v>
      </c>
      <c r="C1140" s="33" t="s">
        <v>346</v>
      </c>
      <c r="D1140" s="33" t="s">
        <v>208</v>
      </c>
      <c r="E1140" s="33" t="s">
        <v>1478</v>
      </c>
      <c r="F1140" s="35">
        <v>0.16</v>
      </c>
      <c r="G1140" s="40">
        <v>0</v>
      </c>
      <c r="H1140" s="40">
        <v>0</v>
      </c>
      <c r="I1140" s="40">
        <v>0</v>
      </c>
      <c r="J1140" s="40">
        <v>0</v>
      </c>
      <c r="K1140" s="40">
        <v>0</v>
      </c>
      <c r="L1140" s="40">
        <v>0</v>
      </c>
      <c r="M1140" s="40" cm="1">
        <f t="array" ref="M1140:N1140">VLOOKUP(B1140,'Fumigation  Room'!B:H,{6,7},0)</f>
        <v>0</v>
      </c>
      <c r="N1140" s="40">
        <v>0</v>
      </c>
      <c r="O1140" s="40">
        <f t="shared" si="35"/>
        <v>0</v>
      </c>
      <c r="P1140" s="40">
        <f t="shared" si="36"/>
        <v>0</v>
      </c>
    </row>
    <row r="1141" spans="1:16" x14ac:dyDescent="0.35">
      <c r="A1141" s="33">
        <v>1138</v>
      </c>
      <c r="B1141" s="34" t="s">
        <v>1503</v>
      </c>
      <c r="C1141" s="33" t="s">
        <v>346</v>
      </c>
      <c r="D1141" s="33" t="s">
        <v>208</v>
      </c>
      <c r="E1141" s="33" t="s">
        <v>1478</v>
      </c>
      <c r="F1141" s="35">
        <v>1</v>
      </c>
      <c r="G1141" s="40">
        <v>0</v>
      </c>
      <c r="H1141" s="40">
        <v>0</v>
      </c>
      <c r="I1141" s="40">
        <v>0</v>
      </c>
      <c r="J1141" s="40">
        <v>0</v>
      </c>
      <c r="K1141" s="40">
        <v>0</v>
      </c>
      <c r="L1141" s="40">
        <v>0</v>
      </c>
      <c r="M1141" s="40" cm="1">
        <f t="array" ref="M1141:N1141">VLOOKUP(B1141,'Fumigation  Room'!B:H,{6,7},0)</f>
        <v>0</v>
      </c>
      <c r="N1141" s="40">
        <v>17.3</v>
      </c>
      <c r="O1141" s="40">
        <f t="shared" si="35"/>
        <v>0</v>
      </c>
      <c r="P1141" s="40">
        <f t="shared" si="36"/>
        <v>17.3</v>
      </c>
    </row>
    <row r="1142" spans="1:16" x14ac:dyDescent="0.35">
      <c r="A1142" s="33">
        <v>1139</v>
      </c>
      <c r="B1142" s="34" t="s">
        <v>1504</v>
      </c>
      <c r="C1142" s="33" t="s">
        <v>346</v>
      </c>
      <c r="D1142" s="33" t="s">
        <v>208</v>
      </c>
      <c r="E1142" s="33" t="s">
        <v>1478</v>
      </c>
      <c r="F1142" s="35">
        <v>0.11</v>
      </c>
      <c r="G1142" s="40">
        <v>0</v>
      </c>
      <c r="H1142" s="40">
        <v>0</v>
      </c>
      <c r="I1142" s="40">
        <v>0</v>
      </c>
      <c r="J1142" s="40">
        <v>0</v>
      </c>
      <c r="K1142" s="40">
        <v>0</v>
      </c>
      <c r="L1142" s="40">
        <v>0</v>
      </c>
      <c r="M1142" s="40" cm="1">
        <f t="array" ref="M1142:N1142">VLOOKUP(B1142,'Fumigation  Room'!B:H,{6,7},0)</f>
        <v>0</v>
      </c>
      <c r="N1142" s="40">
        <v>0</v>
      </c>
      <c r="O1142" s="40">
        <f t="shared" si="35"/>
        <v>0</v>
      </c>
      <c r="P1142" s="40">
        <f t="shared" si="36"/>
        <v>0</v>
      </c>
    </row>
    <row r="1143" spans="1:16" x14ac:dyDescent="0.35">
      <c r="A1143" s="33">
        <v>1140</v>
      </c>
      <c r="B1143" s="34" t="s">
        <v>1505</v>
      </c>
      <c r="C1143" s="33" t="s">
        <v>346</v>
      </c>
      <c r="D1143" s="33" t="s">
        <v>208</v>
      </c>
      <c r="E1143" s="33" t="s">
        <v>1478</v>
      </c>
      <c r="F1143" s="35">
        <v>0.16</v>
      </c>
      <c r="G1143" s="40">
        <v>0</v>
      </c>
      <c r="H1143" s="40">
        <v>0</v>
      </c>
      <c r="I1143" s="40">
        <v>0</v>
      </c>
      <c r="J1143" s="40">
        <v>0</v>
      </c>
      <c r="K1143" s="40">
        <v>0</v>
      </c>
      <c r="L1143" s="40">
        <v>0</v>
      </c>
      <c r="M1143" s="40" cm="1">
        <f t="array" ref="M1143:N1143">VLOOKUP(B1143,'Fumigation  Room'!B:H,{6,7},0)</f>
        <v>0</v>
      </c>
      <c r="N1143" s="40">
        <v>0</v>
      </c>
      <c r="O1143" s="40">
        <f t="shared" si="35"/>
        <v>0</v>
      </c>
      <c r="P1143" s="40">
        <f t="shared" si="36"/>
        <v>0</v>
      </c>
    </row>
    <row r="1144" spans="1:16" x14ac:dyDescent="0.35">
      <c r="A1144" s="33">
        <v>1141</v>
      </c>
      <c r="B1144" s="34" t="s">
        <v>1506</v>
      </c>
      <c r="C1144" s="33" t="s">
        <v>346</v>
      </c>
      <c r="D1144" s="33" t="s">
        <v>208</v>
      </c>
      <c r="E1144" s="33" t="s">
        <v>1478</v>
      </c>
      <c r="F1144" s="35">
        <v>0.06</v>
      </c>
      <c r="G1144" s="40">
        <v>0</v>
      </c>
      <c r="H1144" s="40">
        <v>0</v>
      </c>
      <c r="I1144" s="40">
        <v>0</v>
      </c>
      <c r="J1144" s="40">
        <v>0</v>
      </c>
      <c r="K1144" s="40">
        <v>0</v>
      </c>
      <c r="L1144" s="40">
        <v>0</v>
      </c>
      <c r="M1144" s="40" cm="1">
        <f t="array" ref="M1144:N1144">VLOOKUP(B1144,'Fumigation  Room'!B:H,{6,7},0)</f>
        <v>0</v>
      </c>
      <c r="N1144" s="40">
        <v>0</v>
      </c>
      <c r="O1144" s="40">
        <f t="shared" si="35"/>
        <v>0</v>
      </c>
      <c r="P1144" s="40">
        <f t="shared" si="36"/>
        <v>0</v>
      </c>
    </row>
    <row r="1145" spans="1:16" x14ac:dyDescent="0.35">
      <c r="A1145" s="33">
        <v>1142</v>
      </c>
      <c r="B1145" s="34" t="s">
        <v>1507</v>
      </c>
      <c r="C1145" s="33" t="s">
        <v>346</v>
      </c>
      <c r="D1145" s="33" t="s">
        <v>208</v>
      </c>
      <c r="E1145" s="33" t="s">
        <v>1478</v>
      </c>
      <c r="F1145" s="35">
        <v>0.06</v>
      </c>
      <c r="G1145" s="40">
        <v>0</v>
      </c>
      <c r="H1145" s="40">
        <v>0</v>
      </c>
      <c r="I1145" s="40">
        <v>0</v>
      </c>
      <c r="J1145" s="40">
        <v>0</v>
      </c>
      <c r="K1145" s="40">
        <v>0</v>
      </c>
      <c r="L1145" s="40">
        <v>0</v>
      </c>
      <c r="M1145" s="40" cm="1">
        <f t="array" ref="M1145:N1145">VLOOKUP(B1145,'Fumigation  Room'!B:H,{6,7},0)</f>
        <v>0</v>
      </c>
      <c r="N1145" s="40">
        <v>0</v>
      </c>
      <c r="O1145" s="40">
        <f t="shared" si="35"/>
        <v>0</v>
      </c>
      <c r="P1145" s="40">
        <f t="shared" si="36"/>
        <v>0</v>
      </c>
    </row>
    <row r="1146" spans="1:16" x14ac:dyDescent="0.35">
      <c r="A1146" s="33">
        <v>1143</v>
      </c>
      <c r="B1146" s="34" t="s">
        <v>1508</v>
      </c>
      <c r="C1146" s="33" t="s">
        <v>346</v>
      </c>
      <c r="D1146" s="33" t="s">
        <v>208</v>
      </c>
      <c r="E1146" s="33" t="s">
        <v>1478</v>
      </c>
      <c r="F1146" s="35">
        <v>1</v>
      </c>
      <c r="G1146" s="40">
        <v>0</v>
      </c>
      <c r="H1146" s="40">
        <v>0</v>
      </c>
      <c r="I1146" s="40">
        <v>0</v>
      </c>
      <c r="J1146" s="40">
        <v>0</v>
      </c>
      <c r="K1146" s="40">
        <v>0</v>
      </c>
      <c r="L1146" s="40">
        <v>0</v>
      </c>
      <c r="M1146" s="40" cm="1">
        <f t="array" ref="M1146:N1146">VLOOKUP(B1146,'Fumigation  Room'!B:H,{6,7},0)</f>
        <v>0</v>
      </c>
      <c r="N1146" s="40">
        <v>0</v>
      </c>
      <c r="O1146" s="40">
        <f t="shared" si="35"/>
        <v>0</v>
      </c>
      <c r="P1146" s="40">
        <f t="shared" si="36"/>
        <v>0</v>
      </c>
    </row>
    <row r="1147" spans="1:16" x14ac:dyDescent="0.35">
      <c r="A1147" s="33">
        <v>1144</v>
      </c>
      <c r="B1147" s="34" t="s">
        <v>1509</v>
      </c>
      <c r="C1147" s="33" t="s">
        <v>346</v>
      </c>
      <c r="D1147" s="33" t="s">
        <v>208</v>
      </c>
      <c r="E1147" s="33" t="s">
        <v>1478</v>
      </c>
      <c r="F1147" s="35">
        <v>3.5000000000000003E-2</v>
      </c>
      <c r="G1147" s="40">
        <v>0</v>
      </c>
      <c r="H1147" s="40">
        <v>0</v>
      </c>
      <c r="I1147" s="40">
        <v>0</v>
      </c>
      <c r="J1147" s="40">
        <v>0</v>
      </c>
      <c r="K1147" s="40">
        <v>0</v>
      </c>
      <c r="L1147" s="40">
        <v>0</v>
      </c>
      <c r="M1147" s="40" cm="1">
        <f t="array" ref="M1147:N1147">VLOOKUP(B1147,'Fumigation  Room'!B:H,{6,7},0)</f>
        <v>0</v>
      </c>
      <c r="N1147" s="40">
        <v>0</v>
      </c>
      <c r="O1147" s="40">
        <f t="shared" si="35"/>
        <v>0</v>
      </c>
      <c r="P1147" s="40">
        <f t="shared" si="36"/>
        <v>0</v>
      </c>
    </row>
    <row r="1148" spans="1:16" x14ac:dyDescent="0.35">
      <c r="A1148" s="33">
        <v>1145</v>
      </c>
      <c r="B1148" s="34" t="s">
        <v>1510</v>
      </c>
      <c r="C1148" s="33" t="s">
        <v>346</v>
      </c>
      <c r="D1148" s="33" t="s">
        <v>208</v>
      </c>
      <c r="E1148" s="33" t="s">
        <v>1478</v>
      </c>
      <c r="F1148" s="35">
        <v>1</v>
      </c>
      <c r="G1148" s="40">
        <v>0</v>
      </c>
      <c r="H1148" s="40">
        <v>0</v>
      </c>
      <c r="I1148" s="40">
        <v>0</v>
      </c>
      <c r="J1148" s="40">
        <v>0</v>
      </c>
      <c r="K1148" s="40">
        <v>0</v>
      </c>
      <c r="L1148" s="40">
        <v>0</v>
      </c>
      <c r="M1148" s="40" cm="1">
        <f t="array" ref="M1148:N1148">VLOOKUP(B1148,'Fumigation  Room'!B:H,{6,7},0)</f>
        <v>0</v>
      </c>
      <c r="N1148" s="40">
        <v>0</v>
      </c>
      <c r="O1148" s="40">
        <f t="shared" si="35"/>
        <v>0</v>
      </c>
      <c r="P1148" s="40">
        <f t="shared" si="36"/>
        <v>0</v>
      </c>
    </row>
    <row r="1149" spans="1:16" x14ac:dyDescent="0.35">
      <c r="A1149" s="33">
        <v>1146</v>
      </c>
      <c r="B1149" s="34" t="s">
        <v>2323</v>
      </c>
      <c r="C1149" s="33" t="s">
        <v>346</v>
      </c>
      <c r="D1149" s="33" t="s">
        <v>208</v>
      </c>
      <c r="E1149" s="33" t="s">
        <v>1478</v>
      </c>
      <c r="F1149" s="35">
        <v>1</v>
      </c>
      <c r="G1149" s="40">
        <v>0</v>
      </c>
      <c r="H1149" s="40">
        <v>0</v>
      </c>
      <c r="I1149" s="40">
        <v>0</v>
      </c>
      <c r="J1149" s="40">
        <v>0</v>
      </c>
      <c r="K1149" s="40">
        <v>0</v>
      </c>
      <c r="L1149" s="40">
        <v>0</v>
      </c>
      <c r="M1149" s="40">
        <v>0</v>
      </c>
      <c r="N1149" s="40">
        <v>0</v>
      </c>
      <c r="O1149" s="40">
        <f t="shared" si="35"/>
        <v>0</v>
      </c>
      <c r="P1149" s="40">
        <f t="shared" si="36"/>
        <v>0</v>
      </c>
    </row>
    <row r="1150" spans="1:16" x14ac:dyDescent="0.35">
      <c r="A1150" s="33">
        <v>1147</v>
      </c>
      <c r="B1150" s="34" t="s">
        <v>2324</v>
      </c>
      <c r="C1150" s="33" t="s">
        <v>346</v>
      </c>
      <c r="D1150" s="33" t="s">
        <v>208</v>
      </c>
      <c r="E1150" s="33" t="s">
        <v>1478</v>
      </c>
      <c r="F1150" s="35">
        <v>1</v>
      </c>
      <c r="G1150" s="40">
        <v>0</v>
      </c>
      <c r="H1150" s="40">
        <v>0</v>
      </c>
      <c r="I1150" s="40">
        <v>0</v>
      </c>
      <c r="J1150" s="40">
        <v>0</v>
      </c>
      <c r="K1150" s="40">
        <v>0</v>
      </c>
      <c r="L1150" s="40">
        <v>0</v>
      </c>
      <c r="M1150" s="40">
        <v>0</v>
      </c>
      <c r="N1150" s="40">
        <v>0</v>
      </c>
      <c r="O1150" s="40">
        <f t="shared" si="35"/>
        <v>0</v>
      </c>
      <c r="P1150" s="40">
        <f t="shared" si="36"/>
        <v>0</v>
      </c>
    </row>
    <row r="1151" spans="1:16" x14ac:dyDescent="0.35">
      <c r="A1151" s="33">
        <v>1148</v>
      </c>
      <c r="B1151" s="34" t="s">
        <v>1511</v>
      </c>
      <c r="C1151" s="33" t="s">
        <v>346</v>
      </c>
      <c r="D1151" s="33" t="s">
        <v>208</v>
      </c>
      <c r="E1151" s="33" t="s">
        <v>1478</v>
      </c>
      <c r="F1151" s="35">
        <v>1</v>
      </c>
      <c r="G1151" s="40">
        <v>0</v>
      </c>
      <c r="H1151" s="40">
        <v>0</v>
      </c>
      <c r="I1151" s="40">
        <v>0</v>
      </c>
      <c r="J1151" s="40">
        <v>0</v>
      </c>
      <c r="K1151" s="40">
        <v>0</v>
      </c>
      <c r="L1151" s="40">
        <v>0</v>
      </c>
      <c r="M1151" s="40" cm="1">
        <f t="array" ref="M1151:N1151">VLOOKUP(B1151,'Fumigation  Room'!B:H,{6,7},0)</f>
        <v>0</v>
      </c>
      <c r="N1151" s="40">
        <v>3.6</v>
      </c>
      <c r="O1151" s="40">
        <f t="shared" si="35"/>
        <v>0</v>
      </c>
      <c r="P1151" s="40">
        <f t="shared" si="36"/>
        <v>3.6</v>
      </c>
    </row>
    <row r="1152" spans="1:16" x14ac:dyDescent="0.35">
      <c r="A1152" s="33">
        <v>1149</v>
      </c>
      <c r="B1152" s="34" t="s">
        <v>1512</v>
      </c>
      <c r="C1152" s="33" t="s">
        <v>346</v>
      </c>
      <c r="D1152" s="33" t="s">
        <v>208</v>
      </c>
      <c r="E1152" s="33" t="s">
        <v>1478</v>
      </c>
      <c r="F1152" s="35">
        <v>0.06</v>
      </c>
      <c r="G1152" s="40">
        <v>0</v>
      </c>
      <c r="H1152" s="40">
        <v>0</v>
      </c>
      <c r="I1152" s="40">
        <v>0</v>
      </c>
      <c r="J1152" s="40">
        <v>0</v>
      </c>
      <c r="K1152" s="40">
        <v>0</v>
      </c>
      <c r="L1152" s="40">
        <v>0</v>
      </c>
      <c r="M1152" s="40" cm="1">
        <f t="array" ref="M1152:N1152">VLOOKUP(B1152,'Fumigation  Room'!B:H,{6,7},0)</f>
        <v>0</v>
      </c>
      <c r="N1152" s="40">
        <v>0</v>
      </c>
      <c r="O1152" s="40">
        <f t="shared" si="35"/>
        <v>0</v>
      </c>
      <c r="P1152" s="40">
        <f t="shared" si="36"/>
        <v>0</v>
      </c>
    </row>
    <row r="1153" spans="1:16" x14ac:dyDescent="0.35">
      <c r="A1153" s="33">
        <v>1150</v>
      </c>
      <c r="B1153" s="34" t="s">
        <v>1513</v>
      </c>
      <c r="C1153" s="33" t="s">
        <v>346</v>
      </c>
      <c r="D1153" s="33" t="s">
        <v>208</v>
      </c>
      <c r="E1153" s="33" t="s">
        <v>1478</v>
      </c>
      <c r="F1153" s="35">
        <v>1</v>
      </c>
      <c r="G1153" s="40">
        <v>0</v>
      </c>
      <c r="H1153" s="40">
        <v>0</v>
      </c>
      <c r="I1153" s="40">
        <v>0</v>
      </c>
      <c r="J1153" s="40">
        <v>0</v>
      </c>
      <c r="K1153" s="40">
        <v>0</v>
      </c>
      <c r="L1153" s="40">
        <v>0</v>
      </c>
      <c r="M1153" s="40" cm="1">
        <f t="array" ref="M1153:N1153">VLOOKUP(B1153,'Fumigation  Room'!B:H,{6,7},0)</f>
        <v>0</v>
      </c>
      <c r="N1153" s="40">
        <v>0</v>
      </c>
      <c r="O1153" s="40">
        <f t="shared" si="35"/>
        <v>0</v>
      </c>
      <c r="P1153" s="40">
        <f t="shared" si="36"/>
        <v>0</v>
      </c>
    </row>
    <row r="1154" spans="1:16" x14ac:dyDescent="0.35">
      <c r="A1154" s="33">
        <v>1151</v>
      </c>
      <c r="B1154" s="34" t="s">
        <v>1514</v>
      </c>
      <c r="C1154" s="33" t="s">
        <v>346</v>
      </c>
      <c r="D1154" s="33" t="s">
        <v>208</v>
      </c>
      <c r="E1154" s="33" t="s">
        <v>1478</v>
      </c>
      <c r="F1154" s="35">
        <v>3.5000000000000003E-2</v>
      </c>
      <c r="G1154" s="40">
        <v>0</v>
      </c>
      <c r="H1154" s="40">
        <v>0</v>
      </c>
      <c r="I1154" s="40">
        <v>0</v>
      </c>
      <c r="J1154" s="40">
        <v>0</v>
      </c>
      <c r="K1154" s="40">
        <v>0</v>
      </c>
      <c r="L1154" s="40">
        <v>0</v>
      </c>
      <c r="M1154" s="40" cm="1">
        <f t="array" ref="M1154:N1154">VLOOKUP(B1154,'Fumigation  Room'!B:H,{6,7},0)</f>
        <v>0</v>
      </c>
      <c r="N1154" s="40">
        <v>0</v>
      </c>
      <c r="O1154" s="40">
        <f t="shared" si="35"/>
        <v>0</v>
      </c>
      <c r="P1154" s="40">
        <f t="shared" si="36"/>
        <v>0</v>
      </c>
    </row>
    <row r="1155" spans="1:16" x14ac:dyDescent="0.35">
      <c r="A1155" s="33">
        <v>1152</v>
      </c>
      <c r="B1155" s="34" t="s">
        <v>1515</v>
      </c>
      <c r="C1155" s="33" t="s">
        <v>346</v>
      </c>
      <c r="D1155" s="33" t="s">
        <v>208</v>
      </c>
      <c r="E1155" s="33" t="s">
        <v>1478</v>
      </c>
      <c r="F1155" s="35">
        <v>1</v>
      </c>
      <c r="G1155" s="40">
        <v>0</v>
      </c>
      <c r="H1155" s="40">
        <v>0</v>
      </c>
      <c r="I1155" s="40">
        <v>0</v>
      </c>
      <c r="J1155" s="40">
        <v>0</v>
      </c>
      <c r="K1155" s="40">
        <v>0</v>
      </c>
      <c r="L1155" s="40">
        <f>VLOOKUP(B1155,'Packing Off Grade'!I:J,2,0)</f>
        <v>269.56</v>
      </c>
      <c r="M1155" s="40" cm="1">
        <f t="array" ref="M1155:N1155">VLOOKUP(B1155,'Fumigation  Room'!B:H,{6,7},0)</f>
        <v>0</v>
      </c>
      <c r="N1155" s="40">
        <v>0</v>
      </c>
      <c r="O1155" s="40">
        <f t="shared" si="35"/>
        <v>0</v>
      </c>
      <c r="P1155" s="40">
        <f t="shared" si="36"/>
        <v>269.56</v>
      </c>
    </row>
    <row r="1156" spans="1:16" x14ac:dyDescent="0.35">
      <c r="A1156" s="33">
        <v>1153</v>
      </c>
      <c r="B1156" s="34" t="s">
        <v>1516</v>
      </c>
      <c r="C1156" s="33" t="s">
        <v>346</v>
      </c>
      <c r="D1156" s="33" t="s">
        <v>208</v>
      </c>
      <c r="E1156" s="33" t="s">
        <v>1478</v>
      </c>
      <c r="F1156" s="35">
        <v>0.2</v>
      </c>
      <c r="G1156" s="40">
        <v>0</v>
      </c>
      <c r="H1156" s="40">
        <v>0</v>
      </c>
      <c r="I1156" s="40">
        <v>0</v>
      </c>
      <c r="J1156" s="40">
        <v>0</v>
      </c>
      <c r="K1156" s="40">
        <v>0</v>
      </c>
      <c r="L1156" s="40">
        <v>0</v>
      </c>
      <c r="M1156" s="40" cm="1">
        <f t="array" ref="M1156:N1156">VLOOKUP(B1156,'Fumigation  Room'!B:H,{6,7},0)</f>
        <v>0</v>
      </c>
      <c r="N1156" s="40">
        <v>0</v>
      </c>
      <c r="O1156" s="40">
        <f t="shared" si="35"/>
        <v>0</v>
      </c>
      <c r="P1156" s="40">
        <f t="shared" si="36"/>
        <v>0</v>
      </c>
    </row>
    <row r="1157" spans="1:16" x14ac:dyDescent="0.35">
      <c r="A1157" s="33">
        <v>1154</v>
      </c>
      <c r="B1157" s="34" t="s">
        <v>1517</v>
      </c>
      <c r="C1157" s="33" t="s">
        <v>346</v>
      </c>
      <c r="D1157" s="33" t="s">
        <v>208</v>
      </c>
      <c r="E1157" s="33" t="s">
        <v>1478</v>
      </c>
      <c r="F1157" s="35">
        <v>7.0000000000000007E-2</v>
      </c>
      <c r="G1157" s="40">
        <v>0</v>
      </c>
      <c r="H1157" s="40">
        <v>0</v>
      </c>
      <c r="I1157" s="40">
        <v>0</v>
      </c>
      <c r="J1157" s="40">
        <v>0</v>
      </c>
      <c r="K1157" s="40">
        <v>0</v>
      </c>
      <c r="L1157" s="40">
        <v>0</v>
      </c>
      <c r="M1157" s="40" cm="1">
        <f t="array" ref="M1157:N1157">VLOOKUP(B1157,'Fumigation  Room'!B:H,{6,7},0)</f>
        <v>0</v>
      </c>
      <c r="N1157" s="40">
        <v>0</v>
      </c>
      <c r="O1157" s="40">
        <f t="shared" ref="O1157:O1220" si="37">G1157+I1157+K1157+M1157</f>
        <v>0</v>
      </c>
      <c r="P1157" s="40">
        <f t="shared" ref="P1157:P1220" si="38">H1157+J1157+L1157+N1157</f>
        <v>0</v>
      </c>
    </row>
    <row r="1158" spans="1:16" x14ac:dyDescent="0.35">
      <c r="A1158" s="33">
        <v>1155</v>
      </c>
      <c r="B1158" s="34" t="s">
        <v>1518</v>
      </c>
      <c r="C1158" s="33" t="s">
        <v>346</v>
      </c>
      <c r="D1158" s="33" t="s">
        <v>208</v>
      </c>
      <c r="E1158" s="33" t="s">
        <v>1478</v>
      </c>
      <c r="F1158" s="35">
        <v>0.1</v>
      </c>
      <c r="G1158" s="40">
        <v>0</v>
      </c>
      <c r="H1158" s="40">
        <v>0</v>
      </c>
      <c r="I1158" s="40">
        <v>0</v>
      </c>
      <c r="J1158" s="40">
        <v>0</v>
      </c>
      <c r="K1158" s="40">
        <v>0</v>
      </c>
      <c r="L1158" s="40">
        <v>0</v>
      </c>
      <c r="M1158" s="40" cm="1">
        <f t="array" ref="M1158:N1158">VLOOKUP(B1158,'Fumigation  Room'!B:H,{6,7},0)</f>
        <v>0</v>
      </c>
      <c r="N1158" s="40">
        <v>0</v>
      </c>
      <c r="O1158" s="40">
        <f t="shared" si="37"/>
        <v>0</v>
      </c>
      <c r="P1158" s="40">
        <f t="shared" si="38"/>
        <v>0</v>
      </c>
    </row>
    <row r="1159" spans="1:16" x14ac:dyDescent="0.35">
      <c r="A1159" s="33">
        <v>1156</v>
      </c>
      <c r="B1159" s="34" t="s">
        <v>1519</v>
      </c>
      <c r="C1159" s="33" t="s">
        <v>346</v>
      </c>
      <c r="D1159" s="33" t="s">
        <v>208</v>
      </c>
      <c r="E1159" s="33" t="s">
        <v>1478</v>
      </c>
      <c r="F1159" s="35">
        <v>2.5000000000000001E-2</v>
      </c>
      <c r="G1159" s="40">
        <v>0</v>
      </c>
      <c r="H1159" s="40">
        <v>0</v>
      </c>
      <c r="I1159" s="40">
        <v>0</v>
      </c>
      <c r="J1159" s="40">
        <v>0</v>
      </c>
      <c r="K1159" s="40">
        <v>0</v>
      </c>
      <c r="L1159" s="40">
        <v>0</v>
      </c>
      <c r="M1159" s="40" cm="1">
        <f t="array" ref="M1159:N1159">VLOOKUP(B1159,'Fumigation  Room'!B:H,{6,7},0)</f>
        <v>0</v>
      </c>
      <c r="N1159" s="40">
        <v>0</v>
      </c>
      <c r="O1159" s="40">
        <f t="shared" si="37"/>
        <v>0</v>
      </c>
      <c r="P1159" s="40">
        <f t="shared" si="38"/>
        <v>0</v>
      </c>
    </row>
    <row r="1160" spans="1:16" x14ac:dyDescent="0.35">
      <c r="A1160" s="33">
        <v>1157</v>
      </c>
      <c r="B1160" s="34" t="s">
        <v>1520</v>
      </c>
      <c r="C1160" s="33" t="s">
        <v>346</v>
      </c>
      <c r="D1160" s="33" t="s">
        <v>208</v>
      </c>
      <c r="E1160" s="33" t="s">
        <v>1478</v>
      </c>
      <c r="F1160" s="35">
        <v>2.5000000000000001E-2</v>
      </c>
      <c r="G1160" s="40">
        <v>0</v>
      </c>
      <c r="H1160" s="40">
        <v>0</v>
      </c>
      <c r="I1160" s="40">
        <v>0</v>
      </c>
      <c r="J1160" s="40">
        <v>0</v>
      </c>
      <c r="K1160" s="40">
        <v>0</v>
      </c>
      <c r="L1160" s="40">
        <v>0</v>
      </c>
      <c r="M1160" s="40" cm="1">
        <f t="array" ref="M1160:N1160">VLOOKUP(B1160,'Fumigation  Room'!B:H,{6,7},0)</f>
        <v>0</v>
      </c>
      <c r="N1160" s="40">
        <v>0</v>
      </c>
      <c r="O1160" s="40">
        <f t="shared" si="37"/>
        <v>0</v>
      </c>
      <c r="P1160" s="40">
        <f t="shared" si="38"/>
        <v>0</v>
      </c>
    </row>
    <row r="1161" spans="1:16" x14ac:dyDescent="0.35">
      <c r="A1161" s="33">
        <v>1158</v>
      </c>
      <c r="B1161" s="34" t="s">
        <v>1521</v>
      </c>
      <c r="C1161" s="33" t="s">
        <v>346</v>
      </c>
      <c r="D1161" s="33" t="s">
        <v>208</v>
      </c>
      <c r="E1161" s="33" t="s">
        <v>1478</v>
      </c>
      <c r="F1161" s="35">
        <v>2.5000000000000001E-2</v>
      </c>
      <c r="G1161" s="40">
        <v>0</v>
      </c>
      <c r="H1161" s="40">
        <v>0</v>
      </c>
      <c r="I1161" s="40">
        <v>0</v>
      </c>
      <c r="J1161" s="40">
        <v>0</v>
      </c>
      <c r="K1161" s="40">
        <v>0</v>
      </c>
      <c r="L1161" s="40">
        <v>0</v>
      </c>
      <c r="M1161" s="40" cm="1">
        <f t="array" ref="M1161:N1161">VLOOKUP(B1161,'Fumigation  Room'!B:H,{6,7},0)</f>
        <v>0</v>
      </c>
      <c r="N1161" s="40">
        <v>0</v>
      </c>
      <c r="O1161" s="40">
        <f t="shared" si="37"/>
        <v>0</v>
      </c>
      <c r="P1161" s="40">
        <f t="shared" si="38"/>
        <v>0</v>
      </c>
    </row>
    <row r="1162" spans="1:16" x14ac:dyDescent="0.35">
      <c r="A1162" s="33">
        <v>1159</v>
      </c>
      <c r="B1162" s="34" t="s">
        <v>1522</v>
      </c>
      <c r="C1162" s="33" t="s">
        <v>346</v>
      </c>
      <c r="D1162" s="33" t="s">
        <v>208</v>
      </c>
      <c r="E1162" s="33" t="s">
        <v>1478</v>
      </c>
      <c r="F1162" s="35">
        <v>0.06</v>
      </c>
      <c r="G1162" s="40">
        <v>0</v>
      </c>
      <c r="H1162" s="40">
        <v>0</v>
      </c>
      <c r="I1162" s="40">
        <v>0</v>
      </c>
      <c r="J1162" s="40">
        <v>0</v>
      </c>
      <c r="K1162" s="40">
        <v>0</v>
      </c>
      <c r="L1162" s="40">
        <v>0</v>
      </c>
      <c r="M1162" s="40" cm="1">
        <f t="array" ref="M1162:N1162">VLOOKUP(B1162,'Fumigation  Room'!B:H,{6,7},0)</f>
        <v>0</v>
      </c>
      <c r="N1162" s="40">
        <v>0</v>
      </c>
      <c r="O1162" s="40">
        <f t="shared" si="37"/>
        <v>0</v>
      </c>
      <c r="P1162" s="40">
        <f t="shared" si="38"/>
        <v>0</v>
      </c>
    </row>
    <row r="1163" spans="1:16" x14ac:dyDescent="0.35">
      <c r="A1163" s="33">
        <v>1160</v>
      </c>
      <c r="B1163" s="34" t="s">
        <v>1523</v>
      </c>
      <c r="C1163" s="33" t="s">
        <v>346</v>
      </c>
      <c r="D1163" s="33" t="s">
        <v>208</v>
      </c>
      <c r="E1163" s="33" t="s">
        <v>1478</v>
      </c>
      <c r="F1163" s="35">
        <v>0.15</v>
      </c>
      <c r="G1163" s="40">
        <v>0</v>
      </c>
      <c r="H1163" s="40">
        <v>0</v>
      </c>
      <c r="I1163" s="40">
        <v>0</v>
      </c>
      <c r="J1163" s="40">
        <v>0</v>
      </c>
      <c r="K1163" s="40">
        <v>0</v>
      </c>
      <c r="L1163" s="40">
        <v>0</v>
      </c>
      <c r="M1163" s="40" cm="1">
        <f t="array" ref="M1163:N1163">VLOOKUP(B1163,'Fumigation  Room'!B:H,{6,7},0)</f>
        <v>0</v>
      </c>
      <c r="N1163" s="40">
        <v>0</v>
      </c>
      <c r="O1163" s="40">
        <f t="shared" si="37"/>
        <v>0</v>
      </c>
      <c r="P1163" s="40">
        <f t="shared" si="38"/>
        <v>0</v>
      </c>
    </row>
    <row r="1164" spans="1:16" x14ac:dyDescent="0.35">
      <c r="A1164" s="33">
        <v>1161</v>
      </c>
      <c r="B1164" s="34" t="s">
        <v>1524</v>
      </c>
      <c r="C1164" s="33" t="s">
        <v>346</v>
      </c>
      <c r="D1164" s="33" t="s">
        <v>208</v>
      </c>
      <c r="E1164" s="33" t="s">
        <v>1478</v>
      </c>
      <c r="F1164" s="35">
        <v>0.15</v>
      </c>
      <c r="G1164" s="40">
        <v>0</v>
      </c>
      <c r="H1164" s="40">
        <v>0</v>
      </c>
      <c r="I1164" s="40">
        <v>0</v>
      </c>
      <c r="J1164" s="40">
        <v>0</v>
      </c>
      <c r="K1164" s="40">
        <v>0</v>
      </c>
      <c r="L1164" s="40">
        <v>0</v>
      </c>
      <c r="M1164" s="40" cm="1">
        <f t="array" ref="M1164:N1164">VLOOKUP(B1164,'Fumigation  Room'!B:H,{6,7},0)</f>
        <v>0</v>
      </c>
      <c r="N1164" s="40">
        <v>0</v>
      </c>
      <c r="O1164" s="40">
        <f t="shared" si="37"/>
        <v>0</v>
      </c>
      <c r="P1164" s="40">
        <f t="shared" si="38"/>
        <v>0</v>
      </c>
    </row>
    <row r="1165" spans="1:16" x14ac:dyDescent="0.35">
      <c r="A1165" s="33">
        <v>1162</v>
      </c>
      <c r="B1165" s="34" t="s">
        <v>1525</v>
      </c>
      <c r="C1165" s="33" t="s">
        <v>346</v>
      </c>
      <c r="D1165" s="33" t="s">
        <v>208</v>
      </c>
      <c r="E1165" s="33" t="s">
        <v>1478</v>
      </c>
      <c r="F1165" s="35">
        <v>0.15</v>
      </c>
      <c r="G1165" s="40">
        <v>0</v>
      </c>
      <c r="H1165" s="40">
        <v>0</v>
      </c>
      <c r="I1165" s="40">
        <v>0</v>
      </c>
      <c r="J1165" s="40">
        <v>0</v>
      </c>
      <c r="K1165" s="40">
        <v>0</v>
      </c>
      <c r="L1165" s="40">
        <v>0</v>
      </c>
      <c r="M1165" s="40" cm="1">
        <f t="array" ref="M1165:N1165">VLOOKUP(B1165,'Fumigation  Room'!B:H,{6,7},0)</f>
        <v>0</v>
      </c>
      <c r="N1165" s="40">
        <v>0</v>
      </c>
      <c r="O1165" s="40">
        <f t="shared" si="37"/>
        <v>0</v>
      </c>
      <c r="P1165" s="40">
        <f t="shared" si="38"/>
        <v>0</v>
      </c>
    </row>
    <row r="1166" spans="1:16" x14ac:dyDescent="0.35">
      <c r="A1166" s="33">
        <v>1163</v>
      </c>
      <c r="B1166" s="34" t="s">
        <v>1526</v>
      </c>
      <c r="C1166" s="33" t="s">
        <v>346</v>
      </c>
      <c r="D1166" s="33" t="s">
        <v>208</v>
      </c>
      <c r="E1166" s="33" t="s">
        <v>1478</v>
      </c>
      <c r="F1166" s="35">
        <v>0.15</v>
      </c>
      <c r="G1166" s="40">
        <v>0</v>
      </c>
      <c r="H1166" s="40">
        <v>0</v>
      </c>
      <c r="I1166" s="40">
        <v>0</v>
      </c>
      <c r="J1166" s="40">
        <v>0</v>
      </c>
      <c r="K1166" s="40">
        <v>0</v>
      </c>
      <c r="L1166" s="40">
        <v>0</v>
      </c>
      <c r="M1166" s="40" cm="1">
        <f t="array" ref="M1166:N1166">VLOOKUP(B1166,'Fumigation  Room'!B:H,{6,7},0)</f>
        <v>0</v>
      </c>
      <c r="N1166" s="40">
        <v>0</v>
      </c>
      <c r="O1166" s="40">
        <f t="shared" si="37"/>
        <v>0</v>
      </c>
      <c r="P1166" s="40">
        <f t="shared" si="38"/>
        <v>0</v>
      </c>
    </row>
    <row r="1167" spans="1:16" x14ac:dyDescent="0.35">
      <c r="A1167" s="33">
        <v>1164</v>
      </c>
      <c r="B1167" s="34" t="s">
        <v>1470</v>
      </c>
      <c r="C1167" s="33" t="s">
        <v>297</v>
      </c>
      <c r="D1167" s="33" t="s">
        <v>208</v>
      </c>
      <c r="E1167" s="33" t="s">
        <v>1471</v>
      </c>
      <c r="F1167" s="35">
        <v>1</v>
      </c>
      <c r="G1167" s="40">
        <v>0</v>
      </c>
      <c r="H1167" s="40">
        <v>0</v>
      </c>
      <c r="I1167" s="40">
        <v>0</v>
      </c>
      <c r="J1167" s="40">
        <v>0</v>
      </c>
      <c r="K1167" s="40">
        <v>0</v>
      </c>
      <c r="L1167" s="40">
        <v>0</v>
      </c>
      <c r="M1167" s="40" cm="1">
        <f t="array" ref="M1167:N1167">VLOOKUP(B1167,'Fumigation  Room'!B:H,{6,7},0)</f>
        <v>0</v>
      </c>
      <c r="N1167" s="40">
        <v>0</v>
      </c>
      <c r="O1167" s="40">
        <f t="shared" si="37"/>
        <v>0</v>
      </c>
      <c r="P1167" s="40">
        <f t="shared" si="38"/>
        <v>0</v>
      </c>
    </row>
    <row r="1168" spans="1:16" x14ac:dyDescent="0.35">
      <c r="A1168" s="33">
        <v>1165</v>
      </c>
      <c r="B1168" s="34" t="s">
        <v>1472</v>
      </c>
      <c r="C1168" s="33" t="s">
        <v>297</v>
      </c>
      <c r="D1168" s="33" t="s">
        <v>208</v>
      </c>
      <c r="E1168" s="33" t="s">
        <v>1471</v>
      </c>
      <c r="F1168" s="35">
        <v>1</v>
      </c>
      <c r="G1168" s="40">
        <v>0</v>
      </c>
      <c r="H1168" s="40">
        <v>0</v>
      </c>
      <c r="I1168" s="40">
        <v>0</v>
      </c>
      <c r="J1168" s="40">
        <v>0</v>
      </c>
      <c r="K1168" s="40">
        <v>0</v>
      </c>
      <c r="L1168" s="40">
        <v>0</v>
      </c>
      <c r="M1168" s="40" cm="1">
        <f t="array" ref="M1168:N1168">VLOOKUP(B1168,'Fumigation  Room'!B:H,{6,7},0)</f>
        <v>0</v>
      </c>
      <c r="N1168" s="40">
        <v>0</v>
      </c>
      <c r="O1168" s="40">
        <f t="shared" si="37"/>
        <v>0</v>
      </c>
      <c r="P1168" s="40">
        <f t="shared" si="38"/>
        <v>0</v>
      </c>
    </row>
    <row r="1169" spans="1:16" x14ac:dyDescent="0.35">
      <c r="A1169" s="33">
        <v>1166</v>
      </c>
      <c r="B1169" s="34" t="s">
        <v>1527</v>
      </c>
      <c r="C1169" s="33" t="s">
        <v>346</v>
      </c>
      <c r="D1169" s="33" t="s">
        <v>208</v>
      </c>
      <c r="E1169" s="33" t="s">
        <v>1471</v>
      </c>
      <c r="F1169" s="35">
        <v>1</v>
      </c>
      <c r="G1169" s="40">
        <v>0</v>
      </c>
      <c r="H1169" s="40">
        <v>0</v>
      </c>
      <c r="I1169" s="40">
        <v>0</v>
      </c>
      <c r="J1169" s="40">
        <v>0</v>
      </c>
      <c r="K1169" s="40">
        <v>0</v>
      </c>
      <c r="L1169" s="40">
        <v>0</v>
      </c>
      <c r="M1169" s="40" cm="1">
        <f t="array" ref="M1169:N1169">VLOOKUP(B1169,'Fumigation  Room'!B:H,{6,7},0)</f>
        <v>0</v>
      </c>
      <c r="N1169" s="40">
        <v>0</v>
      </c>
      <c r="O1169" s="40">
        <f t="shared" si="37"/>
        <v>0</v>
      </c>
      <c r="P1169" s="40">
        <f t="shared" si="38"/>
        <v>0</v>
      </c>
    </row>
    <row r="1170" spans="1:16" x14ac:dyDescent="0.35">
      <c r="A1170" s="33">
        <v>1167</v>
      </c>
      <c r="B1170" s="34" t="s">
        <v>1473</v>
      </c>
      <c r="C1170" s="33" t="s">
        <v>297</v>
      </c>
      <c r="D1170" s="33" t="s">
        <v>208</v>
      </c>
      <c r="E1170" s="33" t="s">
        <v>1474</v>
      </c>
      <c r="F1170" s="35">
        <v>1</v>
      </c>
      <c r="G1170" s="40">
        <v>0</v>
      </c>
      <c r="H1170" s="40">
        <v>0</v>
      </c>
      <c r="I1170" s="40">
        <v>0</v>
      </c>
      <c r="J1170" s="40">
        <v>0</v>
      </c>
      <c r="K1170" s="40">
        <v>0</v>
      </c>
      <c r="L1170" s="40">
        <v>0</v>
      </c>
      <c r="M1170" s="40" cm="1">
        <f t="array" ref="M1170:N1170">VLOOKUP(B1170,'Fumigation  Room'!B:H,{6,7},0)</f>
        <v>0</v>
      </c>
      <c r="N1170" s="40">
        <v>0</v>
      </c>
      <c r="O1170" s="40">
        <f t="shared" si="37"/>
        <v>0</v>
      </c>
      <c r="P1170" s="40">
        <f t="shared" si="38"/>
        <v>0</v>
      </c>
    </row>
    <row r="1171" spans="1:16" x14ac:dyDescent="0.35">
      <c r="A1171" s="33">
        <v>1168</v>
      </c>
      <c r="B1171" s="34" t="s">
        <v>1475</v>
      </c>
      <c r="C1171" s="33" t="s">
        <v>297</v>
      </c>
      <c r="D1171" s="33" t="s">
        <v>208</v>
      </c>
      <c r="E1171" s="33" t="s">
        <v>1474</v>
      </c>
      <c r="F1171" s="35">
        <v>1</v>
      </c>
      <c r="G1171" s="40">
        <v>0</v>
      </c>
      <c r="H1171" s="40">
        <v>0</v>
      </c>
      <c r="I1171" s="40">
        <v>0</v>
      </c>
      <c r="J1171" s="40">
        <v>0</v>
      </c>
      <c r="K1171" s="40">
        <v>0</v>
      </c>
      <c r="L1171" s="40">
        <v>0</v>
      </c>
      <c r="M1171" s="40" cm="1">
        <f t="array" ref="M1171:N1171">VLOOKUP(B1171,'Fumigation  Room'!B:H,{6,7},0)</f>
        <v>0</v>
      </c>
      <c r="N1171" s="40">
        <v>0</v>
      </c>
      <c r="O1171" s="40">
        <f t="shared" si="37"/>
        <v>0</v>
      </c>
      <c r="P1171" s="40">
        <f t="shared" si="38"/>
        <v>0</v>
      </c>
    </row>
    <row r="1172" spans="1:16" x14ac:dyDescent="0.35">
      <c r="A1172" s="33">
        <v>1169</v>
      </c>
      <c r="B1172" s="34" t="s">
        <v>210</v>
      </c>
      <c r="C1172" s="33" t="s">
        <v>297</v>
      </c>
      <c r="D1172" s="33" t="s">
        <v>208</v>
      </c>
      <c r="E1172" s="33" t="s">
        <v>1474</v>
      </c>
      <c r="F1172" s="35">
        <v>1</v>
      </c>
      <c r="G1172" s="40">
        <v>0</v>
      </c>
      <c r="H1172" s="40">
        <v>0</v>
      </c>
      <c r="I1172" s="40">
        <v>0</v>
      </c>
      <c r="J1172" s="40">
        <v>0</v>
      </c>
      <c r="K1172" s="40">
        <v>0</v>
      </c>
      <c r="L1172" s="40">
        <v>0</v>
      </c>
      <c r="M1172" s="40" cm="1">
        <f t="array" ref="M1172:N1172">VLOOKUP(B1172,'Fumigation  Room'!B:H,{6,7},0)</f>
        <v>0</v>
      </c>
      <c r="N1172" s="40">
        <v>0</v>
      </c>
      <c r="O1172" s="40">
        <f t="shared" si="37"/>
        <v>0</v>
      </c>
      <c r="P1172" s="40">
        <f t="shared" si="38"/>
        <v>0</v>
      </c>
    </row>
    <row r="1173" spans="1:16" x14ac:dyDescent="0.35">
      <c r="A1173" s="33">
        <v>1170</v>
      </c>
      <c r="B1173" s="34" t="s">
        <v>1476</v>
      </c>
      <c r="C1173" s="33" t="s">
        <v>297</v>
      </c>
      <c r="D1173" s="33" t="s">
        <v>208</v>
      </c>
      <c r="E1173" s="33" t="s">
        <v>1474</v>
      </c>
      <c r="F1173" s="35">
        <v>1</v>
      </c>
      <c r="G1173" s="40">
        <v>0</v>
      </c>
      <c r="H1173" s="40">
        <v>0</v>
      </c>
      <c r="I1173" s="40">
        <v>0</v>
      </c>
      <c r="J1173" s="40">
        <v>0</v>
      </c>
      <c r="K1173" s="40">
        <v>0</v>
      </c>
      <c r="L1173" s="40">
        <v>0</v>
      </c>
      <c r="M1173" s="40" cm="1">
        <f t="array" ref="M1173:N1173">VLOOKUP(B1173,'Fumigation  Room'!B:H,{6,7},0)</f>
        <v>0</v>
      </c>
      <c r="N1173" s="40">
        <v>0</v>
      </c>
      <c r="O1173" s="40">
        <f t="shared" si="37"/>
        <v>0</v>
      </c>
      <c r="P1173" s="40">
        <f t="shared" si="38"/>
        <v>0</v>
      </c>
    </row>
    <row r="1174" spans="1:16" x14ac:dyDescent="0.35">
      <c r="A1174" s="33">
        <v>1171</v>
      </c>
      <c r="B1174" s="34" t="s">
        <v>1528</v>
      </c>
      <c r="C1174" s="33" t="s">
        <v>346</v>
      </c>
      <c r="D1174" s="33" t="s">
        <v>208</v>
      </c>
      <c r="E1174" s="33" t="s">
        <v>1474</v>
      </c>
      <c r="F1174" s="35">
        <v>0.2</v>
      </c>
      <c r="G1174" s="40">
        <v>0</v>
      </c>
      <c r="H1174" s="40">
        <v>0</v>
      </c>
      <c r="I1174" s="40">
        <v>0</v>
      </c>
      <c r="J1174" s="40">
        <v>0</v>
      </c>
      <c r="K1174" s="40">
        <v>0</v>
      </c>
      <c r="L1174" s="40">
        <v>0</v>
      </c>
      <c r="M1174" s="40" cm="1">
        <f t="array" ref="M1174:N1174">VLOOKUP(B1174,'Fumigation  Room'!B:H,{6,7},0)</f>
        <v>0</v>
      </c>
      <c r="N1174" s="40">
        <v>0</v>
      </c>
      <c r="O1174" s="40">
        <f t="shared" si="37"/>
        <v>0</v>
      </c>
      <c r="P1174" s="40">
        <f t="shared" si="38"/>
        <v>0</v>
      </c>
    </row>
    <row r="1175" spans="1:16" x14ac:dyDescent="0.35">
      <c r="A1175" s="33">
        <v>1172</v>
      </c>
      <c r="B1175" s="34" t="s">
        <v>1529</v>
      </c>
      <c r="C1175" s="33" t="s">
        <v>346</v>
      </c>
      <c r="D1175" s="33" t="s">
        <v>208</v>
      </c>
      <c r="E1175" s="33" t="s">
        <v>1474</v>
      </c>
      <c r="F1175" s="35">
        <v>0.2</v>
      </c>
      <c r="G1175" s="40">
        <v>0</v>
      </c>
      <c r="H1175" s="40">
        <v>0</v>
      </c>
      <c r="I1175" s="40">
        <v>0</v>
      </c>
      <c r="J1175" s="40">
        <v>0</v>
      </c>
      <c r="K1175" s="40">
        <v>0</v>
      </c>
      <c r="L1175" s="40">
        <v>0</v>
      </c>
      <c r="M1175" s="40" cm="1">
        <f t="array" ref="M1175:N1175">VLOOKUP(B1175,'Fumigation  Room'!B:H,{6,7},0)</f>
        <v>0</v>
      </c>
      <c r="N1175" s="40">
        <v>0</v>
      </c>
      <c r="O1175" s="40">
        <f t="shared" si="37"/>
        <v>0</v>
      </c>
      <c r="P1175" s="40">
        <f t="shared" si="38"/>
        <v>0</v>
      </c>
    </row>
    <row r="1176" spans="1:16" x14ac:dyDescent="0.35">
      <c r="A1176" s="33">
        <v>1173</v>
      </c>
      <c r="B1176" s="34" t="s">
        <v>1530</v>
      </c>
      <c r="C1176" s="33" t="s">
        <v>297</v>
      </c>
      <c r="D1176" s="33" t="s">
        <v>40</v>
      </c>
      <c r="E1176" s="33" t="s">
        <v>1530</v>
      </c>
      <c r="F1176" s="35">
        <v>1</v>
      </c>
      <c r="G1176" s="40">
        <v>0</v>
      </c>
      <c r="H1176" s="40">
        <v>0</v>
      </c>
      <c r="I1176" s="40">
        <v>0</v>
      </c>
      <c r="J1176" s="40">
        <v>0</v>
      </c>
      <c r="K1176" s="40">
        <v>0</v>
      </c>
      <c r="L1176" s="40">
        <v>0</v>
      </c>
      <c r="M1176" s="40" cm="1">
        <f t="array" ref="M1176:N1176">VLOOKUP(B1176,'Fumigation  Room'!B:H,{6,7},0)</f>
        <v>0</v>
      </c>
      <c r="N1176" s="40">
        <v>0</v>
      </c>
      <c r="O1176" s="40">
        <f t="shared" si="37"/>
        <v>0</v>
      </c>
      <c r="P1176" s="40">
        <f t="shared" si="38"/>
        <v>0</v>
      </c>
    </row>
    <row r="1177" spans="1:16" x14ac:dyDescent="0.35">
      <c r="A1177" s="33">
        <v>1174</v>
      </c>
      <c r="B1177" s="34" t="s">
        <v>1531</v>
      </c>
      <c r="C1177" s="33" t="s">
        <v>297</v>
      </c>
      <c r="D1177" s="33" t="s">
        <v>40</v>
      </c>
      <c r="E1177" s="33" t="s">
        <v>1532</v>
      </c>
      <c r="F1177" s="35">
        <v>1</v>
      </c>
      <c r="G1177" s="40">
        <v>0</v>
      </c>
      <c r="H1177" s="40">
        <v>0</v>
      </c>
      <c r="I1177" s="40">
        <v>0</v>
      </c>
      <c r="J1177" s="40">
        <v>0</v>
      </c>
      <c r="K1177" s="40">
        <v>0</v>
      </c>
      <c r="L1177" s="40">
        <v>0</v>
      </c>
      <c r="M1177" s="40" cm="1">
        <f t="array" ref="M1177:N1177">VLOOKUP(B1177,'Fumigation  Room'!B:H,{6,7},0)</f>
        <v>0</v>
      </c>
      <c r="N1177" s="40">
        <v>0</v>
      </c>
      <c r="O1177" s="40">
        <f t="shared" si="37"/>
        <v>0</v>
      </c>
      <c r="P1177" s="40">
        <f t="shared" si="38"/>
        <v>0</v>
      </c>
    </row>
    <row r="1178" spans="1:16" x14ac:dyDescent="0.35">
      <c r="A1178" s="33">
        <v>1175</v>
      </c>
      <c r="B1178" s="34" t="s">
        <v>1533</v>
      </c>
      <c r="C1178" s="33" t="s">
        <v>297</v>
      </c>
      <c r="D1178" s="33" t="s">
        <v>40</v>
      </c>
      <c r="E1178" s="33" t="s">
        <v>1532</v>
      </c>
      <c r="F1178" s="35">
        <v>1</v>
      </c>
      <c r="G1178" s="40">
        <v>0</v>
      </c>
      <c r="H1178" s="40">
        <v>0</v>
      </c>
      <c r="I1178" s="40">
        <v>0</v>
      </c>
      <c r="J1178" s="40">
        <v>0</v>
      </c>
      <c r="K1178" s="40">
        <v>0</v>
      </c>
      <c r="L1178" s="40">
        <v>0</v>
      </c>
      <c r="M1178" s="40" cm="1">
        <f t="array" ref="M1178:N1178">VLOOKUP(B1178,'Fumigation  Room'!B:H,{6,7},0)</f>
        <v>0</v>
      </c>
      <c r="N1178" s="40">
        <v>0</v>
      </c>
      <c r="O1178" s="40">
        <f t="shared" si="37"/>
        <v>0</v>
      </c>
      <c r="P1178" s="40">
        <f t="shared" si="38"/>
        <v>0</v>
      </c>
    </row>
    <row r="1179" spans="1:16" x14ac:dyDescent="0.35">
      <c r="A1179" s="33">
        <v>1176</v>
      </c>
      <c r="B1179" s="34" t="s">
        <v>1554</v>
      </c>
      <c r="C1179" s="33" t="s">
        <v>346</v>
      </c>
      <c r="D1179" s="33" t="s">
        <v>40</v>
      </c>
      <c r="E1179" s="33" t="s">
        <v>1532</v>
      </c>
      <c r="F1179" s="35">
        <v>0.25</v>
      </c>
      <c r="G1179" s="40">
        <v>0</v>
      </c>
      <c r="H1179" s="40">
        <v>0</v>
      </c>
      <c r="I1179" s="40">
        <v>0</v>
      </c>
      <c r="J1179" s="40">
        <v>0</v>
      </c>
      <c r="K1179" s="40">
        <v>0</v>
      </c>
      <c r="L1179" s="40">
        <v>0</v>
      </c>
      <c r="M1179" s="40" cm="1">
        <f t="array" ref="M1179:N1179">VLOOKUP(B1179,'Fumigation  Room'!B:H,{6,7},0)</f>
        <v>0</v>
      </c>
      <c r="N1179" s="40">
        <v>0</v>
      </c>
      <c r="O1179" s="40">
        <f t="shared" si="37"/>
        <v>0</v>
      </c>
      <c r="P1179" s="40">
        <f t="shared" si="38"/>
        <v>0</v>
      </c>
    </row>
    <row r="1180" spans="1:16" x14ac:dyDescent="0.35">
      <c r="A1180" s="33">
        <v>1177</v>
      </c>
      <c r="B1180" s="34" t="s">
        <v>1555</v>
      </c>
      <c r="C1180" s="33" t="s">
        <v>346</v>
      </c>
      <c r="D1180" s="33" t="s">
        <v>40</v>
      </c>
      <c r="E1180" s="33" t="s">
        <v>1532</v>
      </c>
      <c r="F1180" s="35">
        <v>0.55000000000000004</v>
      </c>
      <c r="G1180" s="40">
        <v>0</v>
      </c>
      <c r="H1180" s="40">
        <v>0</v>
      </c>
      <c r="I1180" s="40">
        <v>0</v>
      </c>
      <c r="J1180" s="40">
        <v>0</v>
      </c>
      <c r="K1180" s="40">
        <v>0</v>
      </c>
      <c r="L1180" s="40">
        <v>0</v>
      </c>
      <c r="M1180" s="40" cm="1">
        <f t="array" ref="M1180:N1180">VLOOKUP(B1180,'Fumigation  Room'!B:H,{6,7},0)</f>
        <v>0</v>
      </c>
      <c r="N1180" s="40">
        <v>0</v>
      </c>
      <c r="O1180" s="40">
        <f t="shared" si="37"/>
        <v>0</v>
      </c>
      <c r="P1180" s="40">
        <f t="shared" si="38"/>
        <v>0</v>
      </c>
    </row>
    <row r="1181" spans="1:16" x14ac:dyDescent="0.35">
      <c r="A1181" s="33">
        <v>1178</v>
      </c>
      <c r="B1181" s="34" t="s">
        <v>1556</v>
      </c>
      <c r="C1181" s="33" t="s">
        <v>346</v>
      </c>
      <c r="D1181" s="33" t="s">
        <v>40</v>
      </c>
      <c r="E1181" s="33" t="s">
        <v>1532</v>
      </c>
      <c r="F1181" s="35">
        <v>1</v>
      </c>
      <c r="G1181" s="40">
        <v>0</v>
      </c>
      <c r="H1181" s="40">
        <v>0</v>
      </c>
      <c r="I1181" s="40">
        <v>0</v>
      </c>
      <c r="J1181" s="40">
        <v>0</v>
      </c>
      <c r="K1181" s="40">
        <v>0</v>
      </c>
      <c r="L1181" s="40">
        <v>0</v>
      </c>
      <c r="M1181" s="40" cm="1">
        <f t="array" ref="M1181:N1181">VLOOKUP(B1181,'Fumigation  Room'!B:H,{6,7},0)</f>
        <v>0</v>
      </c>
      <c r="N1181" s="40">
        <v>0</v>
      </c>
      <c r="O1181" s="40">
        <f t="shared" si="37"/>
        <v>0</v>
      </c>
      <c r="P1181" s="40">
        <f t="shared" si="38"/>
        <v>0</v>
      </c>
    </row>
    <row r="1182" spans="1:16" x14ac:dyDescent="0.35">
      <c r="A1182" s="33">
        <v>1179</v>
      </c>
      <c r="B1182" s="34" t="s">
        <v>1557</v>
      </c>
      <c r="C1182" s="33" t="s">
        <v>346</v>
      </c>
      <c r="D1182" s="33" t="s">
        <v>40</v>
      </c>
      <c r="E1182" s="33" t="s">
        <v>1532</v>
      </c>
      <c r="F1182" s="35">
        <v>0.2</v>
      </c>
      <c r="G1182" s="40">
        <v>0</v>
      </c>
      <c r="H1182" s="40">
        <v>0</v>
      </c>
      <c r="I1182" s="40">
        <v>0</v>
      </c>
      <c r="J1182" s="40">
        <v>0</v>
      </c>
      <c r="K1182" s="40">
        <v>0</v>
      </c>
      <c r="L1182" s="40">
        <v>0</v>
      </c>
      <c r="M1182" s="40" cm="1">
        <f t="array" ref="M1182:N1182">VLOOKUP(B1182,'Fumigation  Room'!B:H,{6,7},0)</f>
        <v>0</v>
      </c>
      <c r="N1182" s="40">
        <v>0</v>
      </c>
      <c r="O1182" s="40">
        <f t="shared" si="37"/>
        <v>0</v>
      </c>
      <c r="P1182" s="40">
        <f t="shared" si="38"/>
        <v>0</v>
      </c>
    </row>
    <row r="1183" spans="1:16" x14ac:dyDescent="0.35">
      <c r="A1183" s="33">
        <v>1180</v>
      </c>
      <c r="B1183" s="34" t="s">
        <v>1558</v>
      </c>
      <c r="C1183" s="33" t="s">
        <v>346</v>
      </c>
      <c r="D1183" s="33" t="s">
        <v>40</v>
      </c>
      <c r="E1183" s="33" t="s">
        <v>1532</v>
      </c>
      <c r="F1183" s="35">
        <v>1</v>
      </c>
      <c r="G1183" s="40">
        <v>0</v>
      </c>
      <c r="H1183" s="40">
        <v>0</v>
      </c>
      <c r="I1183" s="40">
        <v>0</v>
      </c>
      <c r="J1183" s="40">
        <v>0</v>
      </c>
      <c r="K1183" s="40">
        <v>0</v>
      </c>
      <c r="L1183" s="40">
        <v>0</v>
      </c>
      <c r="M1183" s="40" cm="1">
        <f t="array" ref="M1183:N1183">VLOOKUP(B1183,'Fumigation  Room'!B:H,{6,7},0)</f>
        <v>0</v>
      </c>
      <c r="N1183" s="40">
        <v>0</v>
      </c>
      <c r="O1183" s="40">
        <f t="shared" si="37"/>
        <v>0</v>
      </c>
      <c r="P1183" s="40">
        <f t="shared" si="38"/>
        <v>0</v>
      </c>
    </row>
    <row r="1184" spans="1:16" x14ac:dyDescent="0.35">
      <c r="A1184" s="33">
        <v>1181</v>
      </c>
      <c r="B1184" s="34" t="s">
        <v>1534</v>
      </c>
      <c r="C1184" s="33" t="s">
        <v>297</v>
      </c>
      <c r="D1184" s="33" t="s">
        <v>40</v>
      </c>
      <c r="E1184" s="33" t="s">
        <v>1535</v>
      </c>
      <c r="F1184" s="35">
        <v>1</v>
      </c>
      <c r="G1184" s="40">
        <v>0</v>
      </c>
      <c r="H1184" s="40">
        <v>1376.18</v>
      </c>
      <c r="I1184" s="40">
        <v>0</v>
      </c>
      <c r="J1184" s="40">
        <v>0</v>
      </c>
      <c r="K1184" s="40">
        <v>0</v>
      </c>
      <c r="L1184" s="40">
        <f>VLOOKUP(B1184,'Packing Off Grade'!I:J,2,0)</f>
        <v>127.4</v>
      </c>
      <c r="M1184" s="40" cm="1">
        <f t="array" ref="M1184:N1184">VLOOKUP(B1184,'Fumigation  Room'!B:H,{6,7},0)</f>
        <v>0</v>
      </c>
      <c r="N1184" s="40">
        <v>8.5</v>
      </c>
      <c r="O1184" s="40">
        <f t="shared" si="37"/>
        <v>0</v>
      </c>
      <c r="P1184" s="40">
        <f t="shared" si="38"/>
        <v>1512.0800000000002</v>
      </c>
    </row>
    <row r="1185" spans="1:16" x14ac:dyDescent="0.35">
      <c r="A1185" s="33">
        <v>1182</v>
      </c>
      <c r="B1185" s="34" t="s">
        <v>1536</v>
      </c>
      <c r="C1185" s="33" t="s">
        <v>297</v>
      </c>
      <c r="D1185" s="33" t="s">
        <v>40</v>
      </c>
      <c r="E1185" s="33" t="s">
        <v>1535</v>
      </c>
      <c r="F1185" s="35">
        <v>1</v>
      </c>
      <c r="G1185" s="40">
        <v>0</v>
      </c>
      <c r="H1185" s="40">
        <v>0</v>
      </c>
      <c r="I1185" s="40">
        <v>0</v>
      </c>
      <c r="J1185" s="40">
        <v>0</v>
      </c>
      <c r="K1185" s="40">
        <v>0</v>
      </c>
      <c r="L1185" s="40">
        <v>0</v>
      </c>
      <c r="M1185" s="40" cm="1">
        <f t="array" ref="M1185:N1185">VLOOKUP(B1185,'Fumigation  Room'!B:H,{6,7},0)</f>
        <v>0</v>
      </c>
      <c r="N1185" s="40">
        <v>0</v>
      </c>
      <c r="O1185" s="40">
        <f t="shared" si="37"/>
        <v>0</v>
      </c>
      <c r="P1185" s="40">
        <f t="shared" si="38"/>
        <v>0</v>
      </c>
    </row>
    <row r="1186" spans="1:16" x14ac:dyDescent="0.35">
      <c r="A1186" s="33">
        <v>1183</v>
      </c>
      <c r="B1186" s="34" t="s">
        <v>1559</v>
      </c>
      <c r="C1186" s="33" t="s">
        <v>346</v>
      </c>
      <c r="D1186" s="33" t="s">
        <v>40</v>
      </c>
      <c r="E1186" s="33" t="s">
        <v>1535</v>
      </c>
      <c r="F1186" s="35">
        <v>0.25</v>
      </c>
      <c r="G1186" s="40">
        <v>0</v>
      </c>
      <c r="H1186" s="40">
        <v>0</v>
      </c>
      <c r="I1186" s="40">
        <v>0</v>
      </c>
      <c r="J1186" s="40">
        <v>0</v>
      </c>
      <c r="K1186" s="40">
        <v>0</v>
      </c>
      <c r="L1186" s="40">
        <v>0</v>
      </c>
      <c r="M1186" s="40" cm="1">
        <f t="array" ref="M1186:N1186">VLOOKUP(B1186,'Fumigation  Room'!B:H,{6,7},0)</f>
        <v>0</v>
      </c>
      <c r="N1186" s="40">
        <v>0</v>
      </c>
      <c r="O1186" s="40">
        <f t="shared" si="37"/>
        <v>0</v>
      </c>
      <c r="P1186" s="40">
        <f t="shared" si="38"/>
        <v>0</v>
      </c>
    </row>
    <row r="1187" spans="1:16" x14ac:dyDescent="0.35">
      <c r="A1187" s="33">
        <v>1184</v>
      </c>
      <c r="B1187" s="34" t="s">
        <v>1560</v>
      </c>
      <c r="C1187" s="33" t="s">
        <v>346</v>
      </c>
      <c r="D1187" s="33" t="s">
        <v>40</v>
      </c>
      <c r="E1187" s="33" t="s">
        <v>1535</v>
      </c>
      <c r="F1187" s="35">
        <v>0.25</v>
      </c>
      <c r="G1187" s="40">
        <v>0</v>
      </c>
      <c r="H1187" s="40">
        <v>0</v>
      </c>
      <c r="I1187" s="40">
        <v>0</v>
      </c>
      <c r="J1187" s="40">
        <v>0</v>
      </c>
      <c r="K1187" s="40">
        <v>0</v>
      </c>
      <c r="L1187" s="40">
        <v>0</v>
      </c>
      <c r="M1187" s="40" cm="1">
        <f t="array" ref="M1187:N1187">VLOOKUP(B1187,'Fumigation  Room'!B:H,{6,7},0)</f>
        <v>0</v>
      </c>
      <c r="N1187" s="40">
        <v>0</v>
      </c>
      <c r="O1187" s="40">
        <f t="shared" si="37"/>
        <v>0</v>
      </c>
      <c r="P1187" s="40">
        <f t="shared" si="38"/>
        <v>0</v>
      </c>
    </row>
    <row r="1188" spans="1:16" x14ac:dyDescent="0.35">
      <c r="A1188" s="33">
        <v>1185</v>
      </c>
      <c r="B1188" s="34" t="s">
        <v>1561</v>
      </c>
      <c r="C1188" s="33" t="s">
        <v>346</v>
      </c>
      <c r="D1188" s="33" t="s">
        <v>40</v>
      </c>
      <c r="E1188" s="33" t="s">
        <v>1535</v>
      </c>
      <c r="F1188" s="35">
        <v>0.25</v>
      </c>
      <c r="G1188" s="40">
        <v>0</v>
      </c>
      <c r="H1188" s="40">
        <v>0</v>
      </c>
      <c r="I1188" s="40">
        <v>0</v>
      </c>
      <c r="J1188" s="40">
        <v>0</v>
      </c>
      <c r="K1188" s="40">
        <v>0</v>
      </c>
      <c r="L1188" s="40">
        <v>0</v>
      </c>
      <c r="M1188" s="40" cm="1">
        <f t="array" ref="M1188:N1188">VLOOKUP(B1188,'Fumigation  Room'!B:H,{6,7},0)</f>
        <v>0</v>
      </c>
      <c r="N1188" s="40">
        <v>0</v>
      </c>
      <c r="O1188" s="40">
        <f t="shared" si="37"/>
        <v>0</v>
      </c>
      <c r="P1188" s="40">
        <f t="shared" si="38"/>
        <v>0</v>
      </c>
    </row>
    <row r="1189" spans="1:16" x14ac:dyDescent="0.35">
      <c r="A1189" s="33">
        <v>1186</v>
      </c>
      <c r="B1189" s="34" t="s">
        <v>1562</v>
      </c>
      <c r="C1189" s="33" t="s">
        <v>346</v>
      </c>
      <c r="D1189" s="33" t="s">
        <v>40</v>
      </c>
      <c r="E1189" s="33" t="s">
        <v>1535</v>
      </c>
      <c r="F1189" s="35">
        <v>1</v>
      </c>
      <c r="G1189" s="40">
        <v>0</v>
      </c>
      <c r="H1189" s="40">
        <v>0</v>
      </c>
      <c r="I1189" s="40">
        <v>0</v>
      </c>
      <c r="J1189" s="40">
        <v>0</v>
      </c>
      <c r="K1189" s="40">
        <v>0</v>
      </c>
      <c r="L1189" s="40">
        <v>0</v>
      </c>
      <c r="M1189" s="40" cm="1">
        <f t="array" ref="M1189:N1189">VLOOKUP(B1189,'Fumigation  Room'!B:H,{6,7},0)</f>
        <v>0</v>
      </c>
      <c r="N1189" s="40">
        <v>0</v>
      </c>
      <c r="O1189" s="40">
        <f t="shared" si="37"/>
        <v>0</v>
      </c>
      <c r="P1189" s="40">
        <f t="shared" si="38"/>
        <v>0</v>
      </c>
    </row>
    <row r="1190" spans="1:16" x14ac:dyDescent="0.35">
      <c r="A1190" s="33">
        <v>1187</v>
      </c>
      <c r="B1190" s="34" t="s">
        <v>1563</v>
      </c>
      <c r="C1190" s="33" t="s">
        <v>346</v>
      </c>
      <c r="D1190" s="33" t="s">
        <v>40</v>
      </c>
      <c r="E1190" s="33" t="s">
        <v>1535</v>
      </c>
      <c r="F1190" s="35">
        <v>1</v>
      </c>
      <c r="G1190" s="40">
        <v>0</v>
      </c>
      <c r="H1190" s="40">
        <v>0</v>
      </c>
      <c r="I1190" s="40">
        <v>0</v>
      </c>
      <c r="J1190" s="40">
        <v>0</v>
      </c>
      <c r="K1190" s="40">
        <v>0</v>
      </c>
      <c r="L1190" s="40">
        <v>0</v>
      </c>
      <c r="M1190" s="40" cm="1">
        <f t="array" ref="M1190:N1190">VLOOKUP(B1190,'Fumigation  Room'!B:H,{6,7},0)</f>
        <v>0</v>
      </c>
      <c r="N1190" s="40">
        <v>0</v>
      </c>
      <c r="O1190" s="40">
        <f t="shared" si="37"/>
        <v>0</v>
      </c>
      <c r="P1190" s="40">
        <f t="shared" si="38"/>
        <v>0</v>
      </c>
    </row>
    <row r="1191" spans="1:16" x14ac:dyDescent="0.35">
      <c r="A1191" s="33">
        <v>1188</v>
      </c>
      <c r="B1191" s="34" t="s">
        <v>1564</v>
      </c>
      <c r="C1191" s="33" t="s">
        <v>346</v>
      </c>
      <c r="D1191" s="33" t="s">
        <v>40</v>
      </c>
      <c r="E1191" s="33" t="s">
        <v>1535</v>
      </c>
      <c r="F1191" s="35">
        <v>1</v>
      </c>
      <c r="G1191" s="40">
        <v>0</v>
      </c>
      <c r="H1191" s="40">
        <v>1594.72</v>
      </c>
      <c r="I1191" s="40">
        <v>0</v>
      </c>
      <c r="J1191" s="40">
        <v>0</v>
      </c>
      <c r="K1191" s="40">
        <v>0</v>
      </c>
      <c r="L1191" s="40">
        <f>VLOOKUP(B1191,'Packing Off Grade'!I:J,2,0)</f>
        <v>21</v>
      </c>
      <c r="M1191" s="40" cm="1">
        <f t="array" ref="M1191:N1191">VLOOKUP(B1191,'Fumigation  Room'!B:H,{6,7},0)</f>
        <v>0</v>
      </c>
      <c r="N1191" s="40">
        <v>0</v>
      </c>
      <c r="O1191" s="40">
        <f t="shared" si="37"/>
        <v>0</v>
      </c>
      <c r="P1191" s="40">
        <f t="shared" si="38"/>
        <v>1615.72</v>
      </c>
    </row>
    <row r="1192" spans="1:16" x14ac:dyDescent="0.35">
      <c r="A1192" s="33">
        <v>1189</v>
      </c>
      <c r="B1192" s="34" t="s">
        <v>1565</v>
      </c>
      <c r="C1192" s="33" t="s">
        <v>346</v>
      </c>
      <c r="D1192" s="33" t="s">
        <v>40</v>
      </c>
      <c r="E1192" s="33" t="s">
        <v>1535</v>
      </c>
      <c r="F1192" s="35">
        <v>7.4999999999999997E-2</v>
      </c>
      <c r="G1192" s="40">
        <v>0</v>
      </c>
      <c r="H1192" s="40">
        <v>0</v>
      </c>
      <c r="I1192" s="40">
        <v>0</v>
      </c>
      <c r="J1192" s="40">
        <v>0</v>
      </c>
      <c r="K1192" s="40">
        <v>0</v>
      </c>
      <c r="L1192" s="40">
        <v>0</v>
      </c>
      <c r="M1192" s="40" cm="1">
        <f t="array" ref="M1192:N1192">VLOOKUP(B1192,'Fumigation  Room'!B:H,{6,7},0)</f>
        <v>0</v>
      </c>
      <c r="N1192" s="40">
        <v>0</v>
      </c>
      <c r="O1192" s="40">
        <f t="shared" si="37"/>
        <v>0</v>
      </c>
      <c r="P1192" s="40">
        <f t="shared" si="38"/>
        <v>0</v>
      </c>
    </row>
    <row r="1193" spans="1:16" x14ac:dyDescent="0.35">
      <c r="A1193" s="33">
        <v>1190</v>
      </c>
      <c r="B1193" s="34" t="s">
        <v>1566</v>
      </c>
      <c r="C1193" s="33" t="s">
        <v>346</v>
      </c>
      <c r="D1193" s="33" t="s">
        <v>40</v>
      </c>
      <c r="E1193" s="33" t="s">
        <v>1535</v>
      </c>
      <c r="F1193" s="35">
        <v>0.08</v>
      </c>
      <c r="G1193" s="40">
        <v>0</v>
      </c>
      <c r="H1193" s="40">
        <v>0</v>
      </c>
      <c r="I1193" s="40">
        <v>0</v>
      </c>
      <c r="J1193" s="40">
        <v>0</v>
      </c>
      <c r="K1193" s="40">
        <v>0</v>
      </c>
      <c r="L1193" s="40">
        <v>0</v>
      </c>
      <c r="M1193" s="40" cm="1">
        <f t="array" ref="M1193:N1193">VLOOKUP(B1193,'Fumigation  Room'!B:H,{6,7},0)</f>
        <v>0</v>
      </c>
      <c r="N1193" s="40">
        <v>0</v>
      </c>
      <c r="O1193" s="40">
        <f t="shared" si="37"/>
        <v>0</v>
      </c>
      <c r="P1193" s="40">
        <f t="shared" si="38"/>
        <v>0</v>
      </c>
    </row>
    <row r="1194" spans="1:16" x14ac:dyDescent="0.35">
      <c r="A1194" s="33">
        <v>1191</v>
      </c>
      <c r="B1194" s="34" t="s">
        <v>1567</v>
      </c>
      <c r="C1194" s="33" t="s">
        <v>346</v>
      </c>
      <c r="D1194" s="33" t="s">
        <v>40</v>
      </c>
      <c r="E1194" s="33" t="s">
        <v>1535</v>
      </c>
      <c r="F1194" s="35">
        <v>0.8</v>
      </c>
      <c r="G1194" s="40">
        <v>0</v>
      </c>
      <c r="H1194" s="40">
        <v>0</v>
      </c>
      <c r="I1194" s="40">
        <v>0</v>
      </c>
      <c r="J1194" s="40">
        <v>0</v>
      </c>
      <c r="K1194" s="40">
        <v>0</v>
      </c>
      <c r="L1194" s="40">
        <v>0</v>
      </c>
      <c r="M1194" s="40" cm="1">
        <f t="array" ref="M1194:N1194">VLOOKUP(B1194,'Fumigation  Room'!B:H,{6,7},0)</f>
        <v>0</v>
      </c>
      <c r="N1194" s="40">
        <v>0</v>
      </c>
      <c r="O1194" s="40">
        <f t="shared" si="37"/>
        <v>0</v>
      </c>
      <c r="P1194" s="40">
        <f t="shared" si="38"/>
        <v>0</v>
      </c>
    </row>
    <row r="1195" spans="1:16" x14ac:dyDescent="0.35">
      <c r="A1195" s="33">
        <v>1192</v>
      </c>
      <c r="B1195" s="34" t="s">
        <v>1568</v>
      </c>
      <c r="C1195" s="33" t="s">
        <v>346</v>
      </c>
      <c r="D1195" s="33" t="s">
        <v>40</v>
      </c>
      <c r="E1195" s="33" t="s">
        <v>1535</v>
      </c>
      <c r="F1195" s="35">
        <v>0.2</v>
      </c>
      <c r="G1195" s="40">
        <v>0</v>
      </c>
      <c r="H1195" s="40">
        <v>0</v>
      </c>
      <c r="I1195" s="40">
        <v>0</v>
      </c>
      <c r="J1195" s="40">
        <v>0</v>
      </c>
      <c r="K1195" s="40">
        <v>0</v>
      </c>
      <c r="L1195" s="40">
        <v>0</v>
      </c>
      <c r="M1195" s="40" cm="1">
        <f t="array" ref="M1195:N1195">VLOOKUP(B1195,'Fumigation  Room'!B:H,{6,7},0)</f>
        <v>0</v>
      </c>
      <c r="N1195" s="40">
        <v>0</v>
      </c>
      <c r="O1195" s="40">
        <f t="shared" si="37"/>
        <v>0</v>
      </c>
      <c r="P1195" s="40">
        <f t="shared" si="38"/>
        <v>0</v>
      </c>
    </row>
    <row r="1196" spans="1:16" x14ac:dyDescent="0.35">
      <c r="A1196" s="33">
        <v>1193</v>
      </c>
      <c r="B1196" s="34" t="s">
        <v>1569</v>
      </c>
      <c r="C1196" s="33" t="s">
        <v>346</v>
      </c>
      <c r="D1196" s="33" t="s">
        <v>40</v>
      </c>
      <c r="E1196" s="33" t="s">
        <v>1535</v>
      </c>
      <c r="F1196" s="35">
        <v>0.1</v>
      </c>
      <c r="G1196" s="40">
        <v>0</v>
      </c>
      <c r="H1196" s="40">
        <v>0</v>
      </c>
      <c r="I1196" s="40">
        <v>0</v>
      </c>
      <c r="J1196" s="40">
        <v>0</v>
      </c>
      <c r="K1196" s="40">
        <v>0</v>
      </c>
      <c r="L1196" s="40">
        <v>0</v>
      </c>
      <c r="M1196" s="40" cm="1">
        <f t="array" ref="M1196:N1196">VLOOKUP(B1196,'Fumigation  Room'!B:H,{6,7},0)</f>
        <v>0</v>
      </c>
      <c r="N1196" s="40">
        <v>0</v>
      </c>
      <c r="O1196" s="40">
        <f t="shared" si="37"/>
        <v>0</v>
      </c>
      <c r="P1196" s="40">
        <f t="shared" si="38"/>
        <v>0</v>
      </c>
    </row>
    <row r="1197" spans="1:16" x14ac:dyDescent="0.35">
      <c r="A1197" s="33">
        <v>1194</v>
      </c>
      <c r="B1197" s="34" t="s">
        <v>1570</v>
      </c>
      <c r="C1197" s="33" t="s">
        <v>346</v>
      </c>
      <c r="D1197" s="33" t="s">
        <v>40</v>
      </c>
      <c r="E1197" s="33" t="s">
        <v>1535</v>
      </c>
      <c r="F1197" s="35">
        <v>0.125</v>
      </c>
      <c r="G1197" s="40">
        <v>0</v>
      </c>
      <c r="H1197" s="40">
        <v>0</v>
      </c>
      <c r="I1197" s="40">
        <v>0</v>
      </c>
      <c r="J1197" s="40">
        <v>0</v>
      </c>
      <c r="K1197" s="40">
        <v>0</v>
      </c>
      <c r="L1197" s="40">
        <v>0</v>
      </c>
      <c r="M1197" s="40" cm="1">
        <f t="array" ref="M1197:N1197">VLOOKUP(B1197,'Fumigation  Room'!B:H,{6,7},0)</f>
        <v>0</v>
      </c>
      <c r="N1197" s="40">
        <v>0</v>
      </c>
      <c r="O1197" s="40">
        <f t="shared" si="37"/>
        <v>0</v>
      </c>
      <c r="P1197" s="40">
        <f t="shared" si="38"/>
        <v>0</v>
      </c>
    </row>
    <row r="1198" spans="1:16" x14ac:dyDescent="0.35">
      <c r="A1198" s="33">
        <v>1195</v>
      </c>
      <c r="B1198" s="34" t="s">
        <v>1571</v>
      </c>
      <c r="C1198" s="33" t="s">
        <v>346</v>
      </c>
      <c r="D1198" s="33" t="s">
        <v>40</v>
      </c>
      <c r="E1198" s="33" t="s">
        <v>1535</v>
      </c>
      <c r="F1198" s="35">
        <v>0.15</v>
      </c>
      <c r="G1198" s="40">
        <v>0</v>
      </c>
      <c r="H1198" s="40">
        <v>0</v>
      </c>
      <c r="I1198" s="40">
        <v>0</v>
      </c>
      <c r="J1198" s="40">
        <v>0</v>
      </c>
      <c r="K1198" s="40">
        <v>0</v>
      </c>
      <c r="L1198" s="40">
        <v>0</v>
      </c>
      <c r="M1198" s="40" cm="1">
        <f t="array" ref="M1198:N1198">VLOOKUP(B1198,'Fumigation  Room'!B:H,{6,7},0)</f>
        <v>0</v>
      </c>
      <c r="N1198" s="40">
        <v>0</v>
      </c>
      <c r="O1198" s="40">
        <f t="shared" si="37"/>
        <v>0</v>
      </c>
      <c r="P1198" s="40">
        <f t="shared" si="38"/>
        <v>0</v>
      </c>
    </row>
    <row r="1199" spans="1:16" x14ac:dyDescent="0.35">
      <c r="A1199" s="33">
        <v>1196</v>
      </c>
      <c r="B1199" s="34" t="s">
        <v>1572</v>
      </c>
      <c r="C1199" s="33" t="s">
        <v>346</v>
      </c>
      <c r="D1199" s="33" t="s">
        <v>40</v>
      </c>
      <c r="E1199" s="33" t="s">
        <v>1535</v>
      </c>
      <c r="F1199" s="35">
        <v>0.2</v>
      </c>
      <c r="G1199" s="40">
        <v>0</v>
      </c>
      <c r="H1199" s="40">
        <v>0</v>
      </c>
      <c r="I1199" s="40">
        <v>0</v>
      </c>
      <c r="J1199" s="40">
        <v>0</v>
      </c>
      <c r="K1199" s="40">
        <v>0</v>
      </c>
      <c r="L1199" s="40">
        <v>0</v>
      </c>
      <c r="M1199" s="40" cm="1">
        <f t="array" ref="M1199:N1199">VLOOKUP(B1199,'Fumigation  Room'!B:H,{6,7},0)</f>
        <v>0</v>
      </c>
      <c r="N1199" s="40">
        <v>0</v>
      </c>
      <c r="O1199" s="40">
        <f t="shared" si="37"/>
        <v>0</v>
      </c>
      <c r="P1199" s="40">
        <f t="shared" si="38"/>
        <v>0</v>
      </c>
    </row>
    <row r="1200" spans="1:16" x14ac:dyDescent="0.35">
      <c r="A1200" s="33">
        <v>1197</v>
      </c>
      <c r="B1200" s="34" t="s">
        <v>1573</v>
      </c>
      <c r="C1200" s="33" t="s">
        <v>346</v>
      </c>
      <c r="D1200" s="33" t="s">
        <v>40</v>
      </c>
      <c r="E1200" s="33" t="s">
        <v>1535</v>
      </c>
      <c r="F1200" s="35">
        <v>0.08</v>
      </c>
      <c r="G1200" s="40">
        <v>0</v>
      </c>
      <c r="H1200" s="40">
        <v>0</v>
      </c>
      <c r="I1200" s="40">
        <v>0</v>
      </c>
      <c r="J1200" s="40">
        <v>0</v>
      </c>
      <c r="K1200" s="40">
        <v>0</v>
      </c>
      <c r="L1200" s="40">
        <v>0</v>
      </c>
      <c r="M1200" s="40" cm="1">
        <f t="array" ref="M1200:N1200">VLOOKUP(B1200,'Fumigation  Room'!B:H,{6,7},0)</f>
        <v>0</v>
      </c>
      <c r="N1200" s="40">
        <v>0</v>
      </c>
      <c r="O1200" s="40">
        <f t="shared" si="37"/>
        <v>0</v>
      </c>
      <c r="P1200" s="40">
        <f t="shared" si="38"/>
        <v>0</v>
      </c>
    </row>
    <row r="1201" spans="1:16" x14ac:dyDescent="0.35">
      <c r="A1201" s="33">
        <v>1198</v>
      </c>
      <c r="B1201" s="34" t="s">
        <v>1574</v>
      </c>
      <c r="C1201" s="33" t="s">
        <v>346</v>
      </c>
      <c r="D1201" s="33" t="s">
        <v>40</v>
      </c>
      <c r="E1201" s="33" t="s">
        <v>1535</v>
      </c>
      <c r="F1201" s="35">
        <v>0.2</v>
      </c>
      <c r="G1201" s="40">
        <v>0</v>
      </c>
      <c r="H1201" s="40">
        <v>0</v>
      </c>
      <c r="I1201" s="40">
        <v>0</v>
      </c>
      <c r="J1201" s="40">
        <v>0</v>
      </c>
      <c r="K1201" s="40">
        <v>0</v>
      </c>
      <c r="L1201" s="40">
        <v>0</v>
      </c>
      <c r="M1201" s="40" cm="1">
        <f t="array" ref="M1201:N1201">VLOOKUP(B1201,'Fumigation  Room'!B:H,{6,7},0)</f>
        <v>0</v>
      </c>
      <c r="N1201" s="40">
        <v>0</v>
      </c>
      <c r="O1201" s="40">
        <f t="shared" si="37"/>
        <v>0</v>
      </c>
      <c r="P1201" s="40">
        <f t="shared" si="38"/>
        <v>0</v>
      </c>
    </row>
    <row r="1202" spans="1:16" x14ac:dyDescent="0.35">
      <c r="A1202" s="33">
        <v>1199</v>
      </c>
      <c r="B1202" s="34" t="s">
        <v>1575</v>
      </c>
      <c r="C1202" s="33" t="s">
        <v>346</v>
      </c>
      <c r="D1202" s="33" t="s">
        <v>40</v>
      </c>
      <c r="E1202" s="33" t="s">
        <v>1535</v>
      </c>
      <c r="F1202" s="35">
        <v>2.5000000000000001E-2</v>
      </c>
      <c r="G1202" s="40">
        <v>0</v>
      </c>
      <c r="H1202" s="40">
        <v>0</v>
      </c>
      <c r="I1202" s="40">
        <v>0</v>
      </c>
      <c r="J1202" s="40">
        <v>0</v>
      </c>
      <c r="K1202" s="40">
        <v>0</v>
      </c>
      <c r="L1202" s="40">
        <v>0</v>
      </c>
      <c r="M1202" s="40" cm="1">
        <f t="array" ref="M1202:N1202">VLOOKUP(B1202,'Fumigation  Room'!B:H,{6,7},0)</f>
        <v>0</v>
      </c>
      <c r="N1202" s="40">
        <v>0</v>
      </c>
      <c r="O1202" s="40">
        <f t="shared" si="37"/>
        <v>0</v>
      </c>
      <c r="P1202" s="40">
        <f t="shared" si="38"/>
        <v>0</v>
      </c>
    </row>
    <row r="1203" spans="1:16" x14ac:dyDescent="0.35">
      <c r="A1203" s="33">
        <v>1200</v>
      </c>
      <c r="B1203" s="34" t="s">
        <v>1576</v>
      </c>
      <c r="C1203" s="33" t="s">
        <v>346</v>
      </c>
      <c r="D1203" s="33" t="s">
        <v>40</v>
      </c>
      <c r="E1203" s="33" t="s">
        <v>1535</v>
      </c>
      <c r="F1203" s="35">
        <v>0.2</v>
      </c>
      <c r="G1203" s="40">
        <v>0</v>
      </c>
      <c r="H1203" s="40">
        <v>0</v>
      </c>
      <c r="I1203" s="40">
        <v>0</v>
      </c>
      <c r="J1203" s="40">
        <v>0</v>
      </c>
      <c r="K1203" s="40">
        <v>0</v>
      </c>
      <c r="L1203" s="40">
        <v>0</v>
      </c>
      <c r="M1203" s="40" cm="1">
        <f t="array" ref="M1203:N1203">VLOOKUP(B1203,'Fumigation  Room'!B:H,{6,7},0)</f>
        <v>0</v>
      </c>
      <c r="N1203" s="40">
        <v>0</v>
      </c>
      <c r="O1203" s="40">
        <f t="shared" si="37"/>
        <v>0</v>
      </c>
      <c r="P1203" s="40">
        <f t="shared" si="38"/>
        <v>0</v>
      </c>
    </row>
    <row r="1204" spans="1:16" x14ac:dyDescent="0.35">
      <c r="A1204" s="33">
        <v>1201</v>
      </c>
      <c r="B1204" s="34" t="s">
        <v>1577</v>
      </c>
      <c r="C1204" s="33" t="s">
        <v>346</v>
      </c>
      <c r="D1204" s="33" t="s">
        <v>40</v>
      </c>
      <c r="E1204" s="33" t="s">
        <v>1535</v>
      </c>
      <c r="F1204" s="35">
        <v>0.1</v>
      </c>
      <c r="G1204" s="40">
        <v>0</v>
      </c>
      <c r="H1204" s="40">
        <v>0</v>
      </c>
      <c r="I1204" s="40">
        <v>0</v>
      </c>
      <c r="J1204" s="40">
        <v>0</v>
      </c>
      <c r="K1204" s="40">
        <v>0</v>
      </c>
      <c r="L1204" s="40">
        <v>0</v>
      </c>
      <c r="M1204" s="40" cm="1">
        <f t="array" ref="M1204:N1204">VLOOKUP(B1204,'Fumigation  Room'!B:H,{6,7},0)</f>
        <v>0</v>
      </c>
      <c r="N1204" s="40">
        <v>0</v>
      </c>
      <c r="O1204" s="40">
        <f t="shared" si="37"/>
        <v>0</v>
      </c>
      <c r="P1204" s="40">
        <f t="shared" si="38"/>
        <v>0</v>
      </c>
    </row>
    <row r="1205" spans="1:16" x14ac:dyDescent="0.35">
      <c r="A1205" s="33">
        <v>1202</v>
      </c>
      <c r="B1205" s="34" t="s">
        <v>1578</v>
      </c>
      <c r="C1205" s="33" t="s">
        <v>346</v>
      </c>
      <c r="D1205" s="33" t="s">
        <v>40</v>
      </c>
      <c r="E1205" s="33" t="s">
        <v>1535</v>
      </c>
      <c r="F1205" s="35">
        <v>0.2</v>
      </c>
      <c r="G1205" s="40">
        <v>0</v>
      </c>
      <c r="H1205" s="40">
        <v>0</v>
      </c>
      <c r="I1205" s="40">
        <v>0</v>
      </c>
      <c r="J1205" s="40">
        <v>0</v>
      </c>
      <c r="K1205" s="40">
        <v>0</v>
      </c>
      <c r="L1205" s="40">
        <v>0</v>
      </c>
      <c r="M1205" s="40" cm="1">
        <f t="array" ref="M1205:N1205">VLOOKUP(B1205,'Fumigation  Room'!B:H,{6,7},0)</f>
        <v>0</v>
      </c>
      <c r="N1205" s="40">
        <v>0</v>
      </c>
      <c r="O1205" s="40">
        <f t="shared" si="37"/>
        <v>0</v>
      </c>
      <c r="P1205" s="40">
        <f t="shared" si="38"/>
        <v>0</v>
      </c>
    </row>
    <row r="1206" spans="1:16" x14ac:dyDescent="0.35">
      <c r="A1206" s="33">
        <v>1203</v>
      </c>
      <c r="B1206" s="34" t="s">
        <v>1579</v>
      </c>
      <c r="C1206" s="33" t="s">
        <v>346</v>
      </c>
      <c r="D1206" s="33" t="s">
        <v>40</v>
      </c>
      <c r="E1206" s="33" t="s">
        <v>1535</v>
      </c>
      <c r="F1206" s="35">
        <v>0.25</v>
      </c>
      <c r="G1206" s="40">
        <v>0</v>
      </c>
      <c r="H1206" s="40">
        <v>0</v>
      </c>
      <c r="I1206" s="40">
        <v>0</v>
      </c>
      <c r="J1206" s="40">
        <v>0</v>
      </c>
      <c r="K1206" s="40">
        <v>0</v>
      </c>
      <c r="L1206" s="40">
        <v>0</v>
      </c>
      <c r="M1206" s="40" cm="1">
        <f t="array" ref="M1206:N1206">VLOOKUP(B1206,'Fumigation  Room'!B:H,{6,7},0)</f>
        <v>0</v>
      </c>
      <c r="N1206" s="40">
        <v>0</v>
      </c>
      <c r="O1206" s="40">
        <f t="shared" si="37"/>
        <v>0</v>
      </c>
      <c r="P1206" s="40">
        <f t="shared" si="38"/>
        <v>0</v>
      </c>
    </row>
    <row r="1207" spans="1:16" x14ac:dyDescent="0.35">
      <c r="A1207" s="33">
        <v>1204</v>
      </c>
      <c r="B1207" s="34" t="s">
        <v>1580</v>
      </c>
      <c r="C1207" s="33" t="s">
        <v>346</v>
      </c>
      <c r="D1207" s="33" t="s">
        <v>40</v>
      </c>
      <c r="E1207" s="33" t="s">
        <v>1535</v>
      </c>
      <c r="F1207" s="35">
        <v>0.3</v>
      </c>
      <c r="G1207" s="40">
        <v>0</v>
      </c>
      <c r="H1207" s="40">
        <v>0</v>
      </c>
      <c r="I1207" s="40">
        <v>0</v>
      </c>
      <c r="J1207" s="40">
        <v>0</v>
      </c>
      <c r="K1207" s="40">
        <v>0</v>
      </c>
      <c r="L1207" s="40">
        <v>0</v>
      </c>
      <c r="M1207" s="40" cm="1">
        <f t="array" ref="M1207:N1207">VLOOKUP(B1207,'Fumigation  Room'!B:H,{6,7},0)</f>
        <v>0</v>
      </c>
      <c r="N1207" s="40">
        <v>0</v>
      </c>
      <c r="O1207" s="40">
        <f t="shared" si="37"/>
        <v>0</v>
      </c>
      <c r="P1207" s="40">
        <f t="shared" si="38"/>
        <v>0</v>
      </c>
    </row>
    <row r="1208" spans="1:16" x14ac:dyDescent="0.35">
      <c r="A1208" s="33">
        <v>1205</v>
      </c>
      <c r="B1208" s="34" t="s">
        <v>1581</v>
      </c>
      <c r="C1208" s="33" t="s">
        <v>346</v>
      </c>
      <c r="D1208" s="33" t="s">
        <v>40</v>
      </c>
      <c r="E1208" s="33" t="s">
        <v>1535</v>
      </c>
      <c r="F1208" s="35">
        <v>1</v>
      </c>
      <c r="G1208" s="40">
        <v>0</v>
      </c>
      <c r="H1208" s="40">
        <v>0</v>
      </c>
      <c r="I1208" s="40">
        <v>0</v>
      </c>
      <c r="J1208" s="40">
        <v>0</v>
      </c>
      <c r="K1208" s="40">
        <v>0</v>
      </c>
      <c r="L1208" s="40">
        <v>0</v>
      </c>
      <c r="M1208" s="40" cm="1">
        <f t="array" ref="M1208:N1208">VLOOKUP(B1208,'Fumigation  Room'!B:H,{6,7},0)</f>
        <v>0</v>
      </c>
      <c r="N1208" s="40">
        <v>0</v>
      </c>
      <c r="O1208" s="40">
        <f t="shared" si="37"/>
        <v>0</v>
      </c>
      <c r="P1208" s="40">
        <f t="shared" si="38"/>
        <v>0</v>
      </c>
    </row>
    <row r="1209" spans="1:16" x14ac:dyDescent="0.35">
      <c r="A1209" s="33">
        <v>1206</v>
      </c>
      <c r="B1209" s="34" t="s">
        <v>1582</v>
      </c>
      <c r="C1209" s="33" t="s">
        <v>346</v>
      </c>
      <c r="D1209" s="33" t="s">
        <v>40</v>
      </c>
      <c r="E1209" s="33" t="s">
        <v>1535</v>
      </c>
      <c r="F1209" s="35">
        <v>0.2</v>
      </c>
      <c r="G1209" s="40">
        <v>0</v>
      </c>
      <c r="H1209" s="40">
        <v>0</v>
      </c>
      <c r="I1209" s="40">
        <v>0</v>
      </c>
      <c r="J1209" s="40">
        <v>0</v>
      </c>
      <c r="K1209" s="40">
        <v>0</v>
      </c>
      <c r="L1209" s="40">
        <v>0</v>
      </c>
      <c r="M1209" s="40" cm="1">
        <f t="array" ref="M1209:N1209">VLOOKUP(B1209,'Fumigation  Room'!B:H,{6,7},0)</f>
        <v>0</v>
      </c>
      <c r="N1209" s="40">
        <v>0</v>
      </c>
      <c r="O1209" s="40">
        <f t="shared" si="37"/>
        <v>0</v>
      </c>
      <c r="P1209" s="40">
        <f t="shared" si="38"/>
        <v>0</v>
      </c>
    </row>
    <row r="1210" spans="1:16" x14ac:dyDescent="0.35">
      <c r="A1210" s="33">
        <v>1207</v>
      </c>
      <c r="B1210" s="34" t="s">
        <v>1583</v>
      </c>
      <c r="C1210" s="33" t="s">
        <v>346</v>
      </c>
      <c r="D1210" s="33" t="s">
        <v>40</v>
      </c>
      <c r="E1210" s="33" t="s">
        <v>1535</v>
      </c>
      <c r="F1210" s="35">
        <v>0.05</v>
      </c>
      <c r="G1210" s="40">
        <v>0</v>
      </c>
      <c r="H1210" s="40">
        <v>0</v>
      </c>
      <c r="I1210" s="40">
        <v>0</v>
      </c>
      <c r="J1210" s="40">
        <v>0</v>
      </c>
      <c r="K1210" s="40">
        <v>0</v>
      </c>
      <c r="L1210" s="40">
        <v>0</v>
      </c>
      <c r="M1210" s="40" cm="1">
        <f t="array" ref="M1210:N1210">VLOOKUP(B1210,'Fumigation  Room'!B:H,{6,7},0)</f>
        <v>0</v>
      </c>
      <c r="N1210" s="40">
        <v>0</v>
      </c>
      <c r="O1210" s="40">
        <f t="shared" si="37"/>
        <v>0</v>
      </c>
      <c r="P1210" s="40">
        <f t="shared" si="38"/>
        <v>0</v>
      </c>
    </row>
    <row r="1211" spans="1:16" x14ac:dyDescent="0.35">
      <c r="A1211" s="33">
        <v>1208</v>
      </c>
      <c r="B1211" s="34" t="s">
        <v>1584</v>
      </c>
      <c r="C1211" s="33" t="s">
        <v>346</v>
      </c>
      <c r="D1211" s="33" t="s">
        <v>40</v>
      </c>
      <c r="E1211" s="33" t="s">
        <v>1535</v>
      </c>
      <c r="F1211" s="35">
        <v>0.5</v>
      </c>
      <c r="G1211" s="40">
        <v>0</v>
      </c>
      <c r="H1211" s="40">
        <v>0</v>
      </c>
      <c r="I1211" s="40">
        <v>0</v>
      </c>
      <c r="J1211" s="40">
        <v>0</v>
      </c>
      <c r="K1211" s="40">
        <v>0</v>
      </c>
      <c r="L1211" s="40">
        <v>0</v>
      </c>
      <c r="M1211" s="40" cm="1">
        <f t="array" ref="M1211:N1211">VLOOKUP(B1211,'Fumigation  Room'!B:H,{6,7},0)</f>
        <v>0</v>
      </c>
      <c r="N1211" s="40">
        <v>0</v>
      </c>
      <c r="O1211" s="40">
        <f t="shared" si="37"/>
        <v>0</v>
      </c>
      <c r="P1211" s="40">
        <f t="shared" si="38"/>
        <v>0</v>
      </c>
    </row>
    <row r="1212" spans="1:16" x14ac:dyDescent="0.35">
      <c r="A1212" s="33">
        <v>1209</v>
      </c>
      <c r="B1212" s="34" t="s">
        <v>1585</v>
      </c>
      <c r="C1212" s="33" t="s">
        <v>346</v>
      </c>
      <c r="D1212" s="33" t="s">
        <v>40</v>
      </c>
      <c r="E1212" s="33" t="s">
        <v>1535</v>
      </c>
      <c r="F1212" s="35">
        <v>0.2</v>
      </c>
      <c r="G1212" s="40">
        <v>0</v>
      </c>
      <c r="H1212" s="40">
        <v>0</v>
      </c>
      <c r="I1212" s="40">
        <v>0</v>
      </c>
      <c r="J1212" s="40">
        <v>0</v>
      </c>
      <c r="K1212" s="40">
        <v>0</v>
      </c>
      <c r="L1212" s="40">
        <v>0</v>
      </c>
      <c r="M1212" s="40" cm="1">
        <f t="array" ref="M1212:N1212">VLOOKUP(B1212,'Fumigation  Room'!B:H,{6,7},0)</f>
        <v>0</v>
      </c>
      <c r="N1212" s="40">
        <v>0</v>
      </c>
      <c r="O1212" s="40">
        <f t="shared" si="37"/>
        <v>0</v>
      </c>
      <c r="P1212" s="40">
        <f t="shared" si="38"/>
        <v>0</v>
      </c>
    </row>
    <row r="1213" spans="1:16" x14ac:dyDescent="0.35">
      <c r="A1213" s="33">
        <v>1210</v>
      </c>
      <c r="B1213" s="34" t="s">
        <v>1586</v>
      </c>
      <c r="C1213" s="33" t="s">
        <v>346</v>
      </c>
      <c r="D1213" s="33" t="s">
        <v>40</v>
      </c>
      <c r="E1213" s="33" t="s">
        <v>1535</v>
      </c>
      <c r="F1213" s="35">
        <v>0.2</v>
      </c>
      <c r="G1213" s="40">
        <v>0</v>
      </c>
      <c r="H1213" s="40">
        <v>0</v>
      </c>
      <c r="I1213" s="40">
        <v>0</v>
      </c>
      <c r="J1213" s="40">
        <v>0</v>
      </c>
      <c r="K1213" s="40">
        <v>0</v>
      </c>
      <c r="L1213" s="40">
        <v>0</v>
      </c>
      <c r="M1213" s="40" cm="1">
        <f t="array" ref="M1213:N1213">VLOOKUP(B1213,'Fumigation  Room'!B:H,{6,7},0)</f>
        <v>0</v>
      </c>
      <c r="N1213" s="40">
        <v>0</v>
      </c>
      <c r="O1213" s="40">
        <f t="shared" si="37"/>
        <v>0</v>
      </c>
      <c r="P1213" s="40">
        <f t="shared" si="38"/>
        <v>0</v>
      </c>
    </row>
    <row r="1214" spans="1:16" x14ac:dyDescent="0.35">
      <c r="A1214" s="33">
        <v>1211</v>
      </c>
      <c r="B1214" s="34" t="s">
        <v>1587</v>
      </c>
      <c r="C1214" s="33" t="s">
        <v>346</v>
      </c>
      <c r="D1214" s="33" t="s">
        <v>40</v>
      </c>
      <c r="E1214" s="33" t="s">
        <v>1535</v>
      </c>
      <c r="F1214" s="35">
        <v>0.2</v>
      </c>
      <c r="G1214" s="40">
        <v>0</v>
      </c>
      <c r="H1214" s="40">
        <v>0</v>
      </c>
      <c r="I1214" s="40">
        <v>0</v>
      </c>
      <c r="J1214" s="40">
        <v>0</v>
      </c>
      <c r="K1214" s="40">
        <v>0</v>
      </c>
      <c r="L1214" s="40">
        <v>0</v>
      </c>
      <c r="M1214" s="40" cm="1">
        <f t="array" ref="M1214:N1214">VLOOKUP(B1214,'Fumigation  Room'!B:H,{6,7},0)</f>
        <v>0</v>
      </c>
      <c r="N1214" s="40">
        <v>0</v>
      </c>
      <c r="O1214" s="40">
        <f t="shared" si="37"/>
        <v>0</v>
      </c>
      <c r="P1214" s="40">
        <f t="shared" si="38"/>
        <v>0</v>
      </c>
    </row>
    <row r="1215" spans="1:16" x14ac:dyDescent="0.35">
      <c r="A1215" s="33">
        <v>1212</v>
      </c>
      <c r="B1215" s="34" t="s">
        <v>1588</v>
      </c>
      <c r="C1215" s="33" t="s">
        <v>346</v>
      </c>
      <c r="D1215" s="33" t="s">
        <v>40</v>
      </c>
      <c r="E1215" s="33" t="s">
        <v>1535</v>
      </c>
      <c r="F1215" s="35">
        <v>1</v>
      </c>
      <c r="G1215" s="40">
        <v>0</v>
      </c>
      <c r="H1215" s="40">
        <v>0</v>
      </c>
      <c r="I1215" s="40">
        <v>0</v>
      </c>
      <c r="J1215" s="40">
        <v>0</v>
      </c>
      <c r="K1215" s="40">
        <v>0</v>
      </c>
      <c r="L1215" s="40">
        <v>0</v>
      </c>
      <c r="M1215" s="40" cm="1">
        <f t="array" ref="M1215:N1215">VLOOKUP(B1215,'Fumigation  Room'!B:H,{6,7},0)</f>
        <v>0</v>
      </c>
      <c r="N1215" s="40">
        <v>0</v>
      </c>
      <c r="O1215" s="40">
        <f t="shared" si="37"/>
        <v>0</v>
      </c>
      <c r="P1215" s="40">
        <f t="shared" si="38"/>
        <v>0</v>
      </c>
    </row>
    <row r="1216" spans="1:16" x14ac:dyDescent="0.35">
      <c r="A1216" s="33">
        <v>1213</v>
      </c>
      <c r="B1216" s="34" t="s">
        <v>1589</v>
      </c>
      <c r="C1216" s="33" t="s">
        <v>346</v>
      </c>
      <c r="D1216" s="33" t="s">
        <v>40</v>
      </c>
      <c r="E1216" s="33" t="s">
        <v>1535</v>
      </c>
      <c r="F1216" s="35">
        <v>0.1</v>
      </c>
      <c r="G1216" s="40">
        <v>0</v>
      </c>
      <c r="H1216" s="40">
        <v>0</v>
      </c>
      <c r="I1216" s="40">
        <v>0</v>
      </c>
      <c r="J1216" s="40">
        <v>0</v>
      </c>
      <c r="K1216" s="40">
        <v>0</v>
      </c>
      <c r="L1216" s="40">
        <v>0</v>
      </c>
      <c r="M1216" s="40" cm="1">
        <f t="array" ref="M1216:N1216">VLOOKUP(B1216,'Fumigation  Room'!B:H,{6,7},0)</f>
        <v>0</v>
      </c>
      <c r="N1216" s="40">
        <v>0</v>
      </c>
      <c r="O1216" s="40">
        <f t="shared" si="37"/>
        <v>0</v>
      </c>
      <c r="P1216" s="40">
        <f t="shared" si="38"/>
        <v>0</v>
      </c>
    </row>
    <row r="1217" spans="1:16" x14ac:dyDescent="0.35">
      <c r="A1217" s="33">
        <v>1214</v>
      </c>
      <c r="B1217" s="34" t="s">
        <v>1590</v>
      </c>
      <c r="C1217" s="33" t="s">
        <v>346</v>
      </c>
      <c r="D1217" s="33" t="s">
        <v>40</v>
      </c>
      <c r="E1217" s="33" t="s">
        <v>1535</v>
      </c>
      <c r="F1217" s="35">
        <v>1</v>
      </c>
      <c r="G1217" s="40">
        <v>0</v>
      </c>
      <c r="H1217" s="40">
        <v>0</v>
      </c>
      <c r="I1217" s="40">
        <v>0</v>
      </c>
      <c r="J1217" s="40">
        <v>0</v>
      </c>
      <c r="K1217" s="40">
        <v>0</v>
      </c>
      <c r="L1217" s="40">
        <v>0</v>
      </c>
      <c r="M1217" s="40" cm="1">
        <f t="array" ref="M1217:N1217">VLOOKUP(B1217,'Fumigation  Room'!B:H,{6,7},0)</f>
        <v>0</v>
      </c>
      <c r="N1217" s="40">
        <v>0</v>
      </c>
      <c r="O1217" s="40">
        <f t="shared" si="37"/>
        <v>0</v>
      </c>
      <c r="P1217" s="40">
        <f t="shared" si="38"/>
        <v>0</v>
      </c>
    </row>
    <row r="1218" spans="1:16" x14ac:dyDescent="0.35">
      <c r="A1218" s="33">
        <v>1215</v>
      </c>
      <c r="B1218" s="34" t="s">
        <v>1591</v>
      </c>
      <c r="C1218" s="33" t="s">
        <v>346</v>
      </c>
      <c r="D1218" s="33" t="s">
        <v>40</v>
      </c>
      <c r="E1218" s="33" t="s">
        <v>1535</v>
      </c>
      <c r="F1218" s="35">
        <v>0.09</v>
      </c>
      <c r="G1218" s="40">
        <v>0</v>
      </c>
      <c r="H1218" s="40">
        <v>0</v>
      </c>
      <c r="I1218" s="40">
        <v>0</v>
      </c>
      <c r="J1218" s="40">
        <v>0</v>
      </c>
      <c r="K1218" s="40">
        <v>0</v>
      </c>
      <c r="L1218" s="40">
        <v>0</v>
      </c>
      <c r="M1218" s="40" cm="1">
        <f t="array" ref="M1218:N1218">VLOOKUP(B1218,'Fumigation  Room'!B:H,{6,7},0)</f>
        <v>0</v>
      </c>
      <c r="N1218" s="40">
        <v>0</v>
      </c>
      <c r="O1218" s="40">
        <f t="shared" si="37"/>
        <v>0</v>
      </c>
      <c r="P1218" s="40">
        <f t="shared" si="38"/>
        <v>0</v>
      </c>
    </row>
    <row r="1219" spans="1:16" x14ac:dyDescent="0.35">
      <c r="A1219" s="33">
        <v>1216</v>
      </c>
      <c r="B1219" s="34" t="s">
        <v>1592</v>
      </c>
      <c r="C1219" s="33" t="s">
        <v>346</v>
      </c>
      <c r="D1219" s="33" t="s">
        <v>40</v>
      </c>
      <c r="E1219" s="33" t="s">
        <v>1535</v>
      </c>
      <c r="F1219" s="35">
        <v>1</v>
      </c>
      <c r="G1219" s="40">
        <v>0</v>
      </c>
      <c r="H1219" s="40">
        <v>0</v>
      </c>
      <c r="I1219" s="40">
        <v>0</v>
      </c>
      <c r="J1219" s="40">
        <v>0</v>
      </c>
      <c r="K1219" s="40">
        <v>0</v>
      </c>
      <c r="L1219" s="40">
        <v>0</v>
      </c>
      <c r="M1219" s="40" cm="1">
        <f t="array" ref="M1219:N1219">VLOOKUP(B1219,'Fumigation  Room'!B:H,{6,7},0)</f>
        <v>0</v>
      </c>
      <c r="N1219" s="40">
        <v>0</v>
      </c>
      <c r="O1219" s="40">
        <f t="shared" si="37"/>
        <v>0</v>
      </c>
      <c r="P1219" s="40">
        <f t="shared" si="38"/>
        <v>0</v>
      </c>
    </row>
    <row r="1220" spans="1:16" x14ac:dyDescent="0.35">
      <c r="A1220" s="33">
        <v>1217</v>
      </c>
      <c r="B1220" s="34" t="s">
        <v>1593</v>
      </c>
      <c r="C1220" s="33" t="s">
        <v>346</v>
      </c>
      <c r="D1220" s="33" t="s">
        <v>40</v>
      </c>
      <c r="E1220" s="33" t="s">
        <v>1535</v>
      </c>
      <c r="F1220" s="35">
        <v>0.23</v>
      </c>
      <c r="G1220" s="40">
        <v>0</v>
      </c>
      <c r="H1220" s="40">
        <v>0</v>
      </c>
      <c r="I1220" s="40">
        <v>0</v>
      </c>
      <c r="J1220" s="40">
        <v>0</v>
      </c>
      <c r="K1220" s="40">
        <v>0</v>
      </c>
      <c r="L1220" s="40">
        <v>0</v>
      </c>
      <c r="M1220" s="40" cm="1">
        <f t="array" ref="M1220:N1220">VLOOKUP(B1220,'Fumigation  Room'!B:H,{6,7},0)</f>
        <v>0</v>
      </c>
      <c r="N1220" s="40">
        <v>0</v>
      </c>
      <c r="O1220" s="40">
        <f t="shared" si="37"/>
        <v>0</v>
      </c>
      <c r="P1220" s="40">
        <f t="shared" si="38"/>
        <v>0</v>
      </c>
    </row>
    <row r="1221" spans="1:16" x14ac:dyDescent="0.35">
      <c r="A1221" s="33">
        <v>1218</v>
      </c>
      <c r="B1221" s="34" t="s">
        <v>1594</v>
      </c>
      <c r="C1221" s="33" t="s">
        <v>346</v>
      </c>
      <c r="D1221" s="33" t="s">
        <v>40</v>
      </c>
      <c r="E1221" s="33" t="s">
        <v>1535</v>
      </c>
      <c r="F1221" s="35">
        <v>7.4999999999999997E-2</v>
      </c>
      <c r="G1221" s="40">
        <v>0</v>
      </c>
      <c r="H1221" s="40">
        <v>0</v>
      </c>
      <c r="I1221" s="40">
        <v>0</v>
      </c>
      <c r="J1221" s="40">
        <v>0</v>
      </c>
      <c r="K1221" s="40">
        <v>0</v>
      </c>
      <c r="L1221" s="40">
        <v>0</v>
      </c>
      <c r="M1221" s="40" cm="1">
        <f t="array" ref="M1221:N1221">VLOOKUP(B1221,'Fumigation  Room'!B:H,{6,7},0)</f>
        <v>0</v>
      </c>
      <c r="N1221" s="40">
        <v>0</v>
      </c>
      <c r="O1221" s="40">
        <f t="shared" ref="O1221:O1284" si="39">G1221+I1221+K1221+M1221</f>
        <v>0</v>
      </c>
      <c r="P1221" s="40">
        <f t="shared" ref="P1221:P1284" si="40">H1221+J1221+L1221+N1221</f>
        <v>0</v>
      </c>
    </row>
    <row r="1222" spans="1:16" x14ac:dyDescent="0.35">
      <c r="A1222" s="33">
        <v>1219</v>
      </c>
      <c r="B1222" s="34" t="s">
        <v>1595</v>
      </c>
      <c r="C1222" s="33" t="s">
        <v>346</v>
      </c>
      <c r="D1222" s="33" t="s">
        <v>40</v>
      </c>
      <c r="E1222" s="33" t="s">
        <v>1535</v>
      </c>
      <c r="F1222" s="35">
        <v>0.17</v>
      </c>
      <c r="G1222" s="40">
        <v>0</v>
      </c>
      <c r="H1222" s="40">
        <v>0</v>
      </c>
      <c r="I1222" s="40">
        <v>0</v>
      </c>
      <c r="J1222" s="40">
        <v>0</v>
      </c>
      <c r="K1222" s="40">
        <v>0</v>
      </c>
      <c r="L1222" s="40">
        <v>0</v>
      </c>
      <c r="M1222" s="40" cm="1">
        <f t="array" ref="M1222:N1222">VLOOKUP(B1222,'Fumigation  Room'!B:H,{6,7},0)</f>
        <v>0</v>
      </c>
      <c r="N1222" s="40">
        <v>0</v>
      </c>
      <c r="O1222" s="40">
        <f t="shared" si="39"/>
        <v>0</v>
      </c>
      <c r="P1222" s="40">
        <f t="shared" si="40"/>
        <v>0</v>
      </c>
    </row>
    <row r="1223" spans="1:16" x14ac:dyDescent="0.35">
      <c r="A1223" s="33">
        <v>1220</v>
      </c>
      <c r="B1223" s="34" t="s">
        <v>1596</v>
      </c>
      <c r="C1223" s="33" t="s">
        <v>346</v>
      </c>
      <c r="D1223" s="33" t="s">
        <v>40</v>
      </c>
      <c r="E1223" s="33" t="s">
        <v>1535</v>
      </c>
      <c r="F1223" s="35">
        <v>0.23</v>
      </c>
      <c r="G1223" s="40">
        <v>0</v>
      </c>
      <c r="H1223" s="40">
        <v>0</v>
      </c>
      <c r="I1223" s="40">
        <v>0</v>
      </c>
      <c r="J1223" s="40">
        <v>0</v>
      </c>
      <c r="K1223" s="40">
        <v>0</v>
      </c>
      <c r="L1223" s="40">
        <v>0</v>
      </c>
      <c r="M1223" s="40" cm="1">
        <f t="array" ref="M1223:N1223">VLOOKUP(B1223,'Fumigation  Room'!B:H,{6,7},0)</f>
        <v>0</v>
      </c>
      <c r="N1223" s="40">
        <v>0</v>
      </c>
      <c r="O1223" s="40">
        <f t="shared" si="39"/>
        <v>0</v>
      </c>
      <c r="P1223" s="40">
        <f t="shared" si="40"/>
        <v>0</v>
      </c>
    </row>
    <row r="1224" spans="1:16" x14ac:dyDescent="0.35">
      <c r="A1224" s="33">
        <v>1221</v>
      </c>
      <c r="B1224" s="34" t="s">
        <v>1597</v>
      </c>
      <c r="C1224" s="33" t="s">
        <v>346</v>
      </c>
      <c r="D1224" s="33" t="s">
        <v>40</v>
      </c>
      <c r="E1224" s="33" t="s">
        <v>1535</v>
      </c>
      <c r="F1224" s="35">
        <v>0.23</v>
      </c>
      <c r="G1224" s="40">
        <v>0</v>
      </c>
      <c r="H1224" s="40">
        <v>0</v>
      </c>
      <c r="I1224" s="40">
        <v>0</v>
      </c>
      <c r="J1224" s="40">
        <v>0</v>
      </c>
      <c r="K1224" s="40">
        <v>0</v>
      </c>
      <c r="L1224" s="40">
        <v>0</v>
      </c>
      <c r="M1224" s="40" cm="1">
        <f t="array" ref="M1224:N1224">VLOOKUP(B1224,'Fumigation  Room'!B:H,{6,7},0)</f>
        <v>0</v>
      </c>
      <c r="N1224" s="40">
        <v>0</v>
      </c>
      <c r="O1224" s="40">
        <f t="shared" si="39"/>
        <v>0</v>
      </c>
      <c r="P1224" s="40">
        <f t="shared" si="40"/>
        <v>0</v>
      </c>
    </row>
    <row r="1225" spans="1:16" x14ac:dyDescent="0.35">
      <c r="A1225" s="33">
        <v>1222</v>
      </c>
      <c r="B1225" s="34" t="s">
        <v>1598</v>
      </c>
      <c r="C1225" s="33" t="s">
        <v>346</v>
      </c>
      <c r="D1225" s="33" t="s">
        <v>40</v>
      </c>
      <c r="E1225" s="33" t="s">
        <v>1535</v>
      </c>
      <c r="F1225" s="35">
        <v>7.4999999999999997E-2</v>
      </c>
      <c r="G1225" s="40">
        <v>0</v>
      </c>
      <c r="H1225" s="40">
        <v>0</v>
      </c>
      <c r="I1225" s="40">
        <v>0</v>
      </c>
      <c r="J1225" s="40">
        <v>0</v>
      </c>
      <c r="K1225" s="40">
        <v>0</v>
      </c>
      <c r="L1225" s="40">
        <v>0</v>
      </c>
      <c r="M1225" s="40" cm="1">
        <f t="array" ref="M1225:N1225">VLOOKUP(B1225,'Fumigation  Room'!B:H,{6,7},0)</f>
        <v>0</v>
      </c>
      <c r="N1225" s="40">
        <v>0</v>
      </c>
      <c r="O1225" s="40">
        <f t="shared" si="39"/>
        <v>0</v>
      </c>
      <c r="P1225" s="40">
        <f t="shared" si="40"/>
        <v>0</v>
      </c>
    </row>
    <row r="1226" spans="1:16" x14ac:dyDescent="0.35">
      <c r="A1226" s="33">
        <v>1223</v>
      </c>
      <c r="B1226" s="34" t="s">
        <v>1599</v>
      </c>
      <c r="C1226" s="33" t="s">
        <v>346</v>
      </c>
      <c r="D1226" s="33" t="s">
        <v>40</v>
      </c>
      <c r="E1226" s="33" t="s">
        <v>1535</v>
      </c>
      <c r="F1226" s="35">
        <v>0.5</v>
      </c>
      <c r="G1226" s="40">
        <v>0</v>
      </c>
      <c r="H1226" s="40">
        <v>0</v>
      </c>
      <c r="I1226" s="40">
        <v>0</v>
      </c>
      <c r="J1226" s="40">
        <v>0</v>
      </c>
      <c r="K1226" s="40">
        <v>0</v>
      </c>
      <c r="L1226" s="40">
        <v>0</v>
      </c>
      <c r="M1226" s="40" cm="1">
        <f t="array" ref="M1226:N1226">VLOOKUP(B1226,'Fumigation  Room'!B:H,{6,7},0)</f>
        <v>0</v>
      </c>
      <c r="N1226" s="40">
        <v>0</v>
      </c>
      <c r="O1226" s="40">
        <f t="shared" si="39"/>
        <v>0</v>
      </c>
      <c r="P1226" s="40">
        <f t="shared" si="40"/>
        <v>0</v>
      </c>
    </row>
    <row r="1227" spans="1:16" x14ac:dyDescent="0.35">
      <c r="A1227" s="33">
        <v>1224</v>
      </c>
      <c r="B1227" s="34" t="s">
        <v>1537</v>
      </c>
      <c r="C1227" s="33" t="s">
        <v>297</v>
      </c>
      <c r="D1227" s="33" t="s">
        <v>40</v>
      </c>
      <c r="E1227" s="33" t="s">
        <v>1538</v>
      </c>
      <c r="F1227" s="35">
        <v>1</v>
      </c>
      <c r="G1227" s="40">
        <v>0</v>
      </c>
      <c r="H1227" s="40">
        <v>0</v>
      </c>
      <c r="I1227" s="40">
        <v>0</v>
      </c>
      <c r="J1227" s="40">
        <v>0</v>
      </c>
      <c r="K1227" s="40">
        <v>0</v>
      </c>
      <c r="L1227" s="40">
        <v>0</v>
      </c>
      <c r="M1227" s="40" cm="1">
        <f t="array" ref="M1227:N1227">VLOOKUP(B1227,'Fumigation  Room'!B:H,{6,7},0)</f>
        <v>0</v>
      </c>
      <c r="N1227" s="40">
        <v>0</v>
      </c>
      <c r="O1227" s="40">
        <f t="shared" si="39"/>
        <v>0</v>
      </c>
      <c r="P1227" s="40">
        <f t="shared" si="40"/>
        <v>0</v>
      </c>
    </row>
    <row r="1228" spans="1:16" x14ac:dyDescent="0.35">
      <c r="A1228" s="33">
        <v>1225</v>
      </c>
      <c r="B1228" s="34" t="s">
        <v>1539</v>
      </c>
      <c r="C1228" s="33" t="s">
        <v>297</v>
      </c>
      <c r="D1228" s="33" t="s">
        <v>40</v>
      </c>
      <c r="E1228" s="33" t="s">
        <v>1538</v>
      </c>
      <c r="F1228" s="35">
        <v>1</v>
      </c>
      <c r="G1228" s="40">
        <v>0</v>
      </c>
      <c r="H1228" s="40">
        <v>0</v>
      </c>
      <c r="I1228" s="40">
        <v>0</v>
      </c>
      <c r="J1228" s="40">
        <v>0</v>
      </c>
      <c r="K1228" s="40">
        <v>0</v>
      </c>
      <c r="L1228" s="40">
        <v>0</v>
      </c>
      <c r="M1228" s="40" cm="1">
        <f t="array" ref="M1228:N1228">VLOOKUP(B1228,'Fumigation  Room'!B:H,{6,7},0)</f>
        <v>0</v>
      </c>
      <c r="N1228" s="40">
        <v>0</v>
      </c>
      <c r="O1228" s="40">
        <f t="shared" si="39"/>
        <v>0</v>
      </c>
      <c r="P1228" s="40">
        <f t="shared" si="40"/>
        <v>0</v>
      </c>
    </row>
    <row r="1229" spans="1:16" x14ac:dyDescent="0.35">
      <c r="A1229" s="33">
        <v>1226</v>
      </c>
      <c r="B1229" s="34" t="s">
        <v>1540</v>
      </c>
      <c r="C1229" s="33" t="s">
        <v>297</v>
      </c>
      <c r="D1229" s="33" t="s">
        <v>40</v>
      </c>
      <c r="E1229" s="33" t="s">
        <v>1538</v>
      </c>
      <c r="F1229" s="35">
        <v>1</v>
      </c>
      <c r="G1229" s="40">
        <v>0</v>
      </c>
      <c r="H1229" s="40">
        <v>0</v>
      </c>
      <c r="I1229" s="40">
        <v>0</v>
      </c>
      <c r="J1229" s="40">
        <v>0</v>
      </c>
      <c r="K1229" s="40">
        <v>0</v>
      </c>
      <c r="L1229" s="40">
        <v>0</v>
      </c>
      <c r="M1229" s="40" cm="1">
        <f t="array" ref="M1229:N1229">VLOOKUP(B1229,'Fumigation  Room'!B:H,{6,7},0)</f>
        <v>0</v>
      </c>
      <c r="N1229" s="40">
        <v>0</v>
      </c>
      <c r="O1229" s="40">
        <f t="shared" si="39"/>
        <v>0</v>
      </c>
      <c r="P1229" s="40">
        <f t="shared" si="40"/>
        <v>0</v>
      </c>
    </row>
    <row r="1230" spans="1:16" x14ac:dyDescent="0.35">
      <c r="A1230" s="33">
        <v>1227</v>
      </c>
      <c r="B1230" s="34" t="s">
        <v>1541</v>
      </c>
      <c r="C1230" s="33" t="s">
        <v>297</v>
      </c>
      <c r="D1230" s="33" t="s">
        <v>40</v>
      </c>
      <c r="E1230" s="33" t="s">
        <v>1538</v>
      </c>
      <c r="F1230" s="35">
        <v>1</v>
      </c>
      <c r="G1230" s="40">
        <v>0</v>
      </c>
      <c r="H1230" s="40">
        <v>0</v>
      </c>
      <c r="I1230" s="40">
        <v>0</v>
      </c>
      <c r="J1230" s="40">
        <v>0</v>
      </c>
      <c r="K1230" s="40">
        <v>0</v>
      </c>
      <c r="L1230" s="40">
        <v>0</v>
      </c>
      <c r="M1230" s="40" cm="1">
        <f t="array" ref="M1230:N1230">VLOOKUP(B1230,'Fumigation  Room'!B:H,{6,7},0)</f>
        <v>0</v>
      </c>
      <c r="N1230" s="40">
        <v>0</v>
      </c>
      <c r="O1230" s="40">
        <f t="shared" si="39"/>
        <v>0</v>
      </c>
      <c r="P1230" s="40">
        <f t="shared" si="40"/>
        <v>0</v>
      </c>
    </row>
    <row r="1231" spans="1:16" x14ac:dyDescent="0.35">
      <c r="A1231" s="33">
        <v>1228</v>
      </c>
      <c r="B1231" s="34" t="s">
        <v>1542</v>
      </c>
      <c r="C1231" s="33" t="s">
        <v>297</v>
      </c>
      <c r="D1231" s="33" t="s">
        <v>40</v>
      </c>
      <c r="E1231" s="33" t="s">
        <v>1538</v>
      </c>
      <c r="F1231" s="35">
        <v>1</v>
      </c>
      <c r="G1231" s="40">
        <v>0</v>
      </c>
      <c r="H1231" s="40">
        <v>0</v>
      </c>
      <c r="I1231" s="40">
        <v>0</v>
      </c>
      <c r="J1231" s="40">
        <v>0</v>
      </c>
      <c r="K1231" s="40">
        <v>0</v>
      </c>
      <c r="L1231" s="40">
        <v>0</v>
      </c>
      <c r="M1231" s="40" cm="1">
        <f t="array" ref="M1231:N1231">VLOOKUP(B1231,'Fumigation  Room'!B:H,{6,7},0)</f>
        <v>0</v>
      </c>
      <c r="N1231" s="40">
        <v>0</v>
      </c>
      <c r="O1231" s="40">
        <f t="shared" si="39"/>
        <v>0</v>
      </c>
      <c r="P1231" s="40">
        <f t="shared" si="40"/>
        <v>0</v>
      </c>
    </row>
    <row r="1232" spans="1:16" x14ac:dyDescent="0.35">
      <c r="A1232" s="33">
        <v>1229</v>
      </c>
      <c r="B1232" s="34" t="s">
        <v>1600</v>
      </c>
      <c r="C1232" s="33" t="s">
        <v>346</v>
      </c>
      <c r="D1232" s="33" t="s">
        <v>40</v>
      </c>
      <c r="E1232" s="33" t="s">
        <v>1538</v>
      </c>
      <c r="F1232" s="35">
        <v>0.15</v>
      </c>
      <c r="G1232" s="40">
        <v>0</v>
      </c>
      <c r="H1232" s="40">
        <v>0</v>
      </c>
      <c r="I1232" s="40">
        <v>0</v>
      </c>
      <c r="J1232" s="40">
        <v>0</v>
      </c>
      <c r="K1232" s="40">
        <v>0</v>
      </c>
      <c r="L1232" s="40">
        <v>0</v>
      </c>
      <c r="M1232" s="40" cm="1">
        <f t="array" ref="M1232:N1232">VLOOKUP(B1232,'Fumigation  Room'!B:H,{6,7},0)</f>
        <v>0</v>
      </c>
      <c r="N1232" s="40">
        <v>0</v>
      </c>
      <c r="O1232" s="40">
        <f t="shared" si="39"/>
        <v>0</v>
      </c>
      <c r="P1232" s="40">
        <f t="shared" si="40"/>
        <v>0</v>
      </c>
    </row>
    <row r="1233" spans="1:16" x14ac:dyDescent="0.35">
      <c r="A1233" s="33">
        <v>1230</v>
      </c>
      <c r="B1233" s="34" t="s">
        <v>1601</v>
      </c>
      <c r="C1233" s="33" t="s">
        <v>346</v>
      </c>
      <c r="D1233" s="33" t="s">
        <v>40</v>
      </c>
      <c r="E1233" s="33" t="s">
        <v>1538</v>
      </c>
      <c r="F1233" s="35">
        <v>0.08</v>
      </c>
      <c r="G1233" s="40">
        <v>0</v>
      </c>
      <c r="H1233" s="40">
        <v>0</v>
      </c>
      <c r="I1233" s="40">
        <v>0</v>
      </c>
      <c r="J1233" s="40">
        <v>0</v>
      </c>
      <c r="K1233" s="40">
        <v>0</v>
      </c>
      <c r="L1233" s="40">
        <v>0</v>
      </c>
      <c r="M1233" s="40" cm="1">
        <f t="array" ref="M1233:N1233">VLOOKUP(B1233,'Fumigation  Room'!B:H,{6,7},0)</f>
        <v>0</v>
      </c>
      <c r="N1233" s="40">
        <v>0</v>
      </c>
      <c r="O1233" s="40">
        <f t="shared" si="39"/>
        <v>0</v>
      </c>
      <c r="P1233" s="40">
        <f t="shared" si="40"/>
        <v>0</v>
      </c>
    </row>
    <row r="1234" spans="1:16" x14ac:dyDescent="0.35">
      <c r="A1234" s="33">
        <v>1231</v>
      </c>
      <c r="B1234" s="34" t="s">
        <v>1602</v>
      </c>
      <c r="C1234" s="33" t="s">
        <v>346</v>
      </c>
      <c r="D1234" s="33" t="s">
        <v>40</v>
      </c>
      <c r="E1234" s="33" t="s">
        <v>1538</v>
      </c>
      <c r="F1234" s="35">
        <v>0.25</v>
      </c>
      <c r="G1234" s="40">
        <v>0</v>
      </c>
      <c r="H1234" s="40">
        <v>0</v>
      </c>
      <c r="I1234" s="40">
        <v>0</v>
      </c>
      <c r="J1234" s="40">
        <v>0</v>
      </c>
      <c r="K1234" s="40">
        <v>0</v>
      </c>
      <c r="L1234" s="40">
        <v>0</v>
      </c>
      <c r="M1234" s="40" cm="1">
        <f t="array" ref="M1234:N1234">VLOOKUP(B1234,'Fumigation  Room'!B:H,{6,7},0)</f>
        <v>0</v>
      </c>
      <c r="N1234" s="40">
        <v>0</v>
      </c>
      <c r="O1234" s="40">
        <f t="shared" si="39"/>
        <v>0</v>
      </c>
      <c r="P1234" s="40">
        <f t="shared" si="40"/>
        <v>0</v>
      </c>
    </row>
    <row r="1235" spans="1:16" x14ac:dyDescent="0.35">
      <c r="A1235" s="33">
        <v>1232</v>
      </c>
      <c r="B1235" s="34" t="s">
        <v>1603</v>
      </c>
      <c r="C1235" s="33" t="s">
        <v>346</v>
      </c>
      <c r="D1235" s="33" t="s">
        <v>40</v>
      </c>
      <c r="E1235" s="33" t="s">
        <v>1538</v>
      </c>
      <c r="F1235" s="35">
        <v>0.25</v>
      </c>
      <c r="G1235" s="40">
        <v>0</v>
      </c>
      <c r="H1235" s="40">
        <v>0</v>
      </c>
      <c r="I1235" s="40">
        <v>0</v>
      </c>
      <c r="J1235" s="40">
        <v>0</v>
      </c>
      <c r="K1235" s="40">
        <v>0</v>
      </c>
      <c r="L1235" s="40">
        <v>0</v>
      </c>
      <c r="M1235" s="40" cm="1">
        <f t="array" ref="M1235:N1235">VLOOKUP(B1235,'Fumigation  Room'!B:H,{6,7},0)</f>
        <v>0</v>
      </c>
      <c r="N1235" s="40">
        <v>0</v>
      </c>
      <c r="O1235" s="40">
        <f t="shared" si="39"/>
        <v>0</v>
      </c>
      <c r="P1235" s="40">
        <f t="shared" si="40"/>
        <v>0</v>
      </c>
    </row>
    <row r="1236" spans="1:16" x14ac:dyDescent="0.35">
      <c r="A1236" s="33">
        <v>1233</v>
      </c>
      <c r="B1236" s="34" t="s">
        <v>1604</v>
      </c>
      <c r="C1236" s="33" t="s">
        <v>346</v>
      </c>
      <c r="D1236" s="33" t="s">
        <v>40</v>
      </c>
      <c r="E1236" s="33" t="s">
        <v>1538</v>
      </c>
      <c r="F1236" s="35">
        <v>1</v>
      </c>
      <c r="G1236" s="40">
        <v>0</v>
      </c>
      <c r="H1236" s="40">
        <v>0</v>
      </c>
      <c r="I1236" s="40">
        <v>0</v>
      </c>
      <c r="J1236" s="40">
        <v>0</v>
      </c>
      <c r="K1236" s="40">
        <v>0</v>
      </c>
      <c r="L1236" s="40">
        <v>0</v>
      </c>
      <c r="M1236" s="40" cm="1">
        <f t="array" ref="M1236:N1236">VLOOKUP(B1236,'Fumigation  Room'!B:H,{6,7},0)</f>
        <v>0</v>
      </c>
      <c r="N1236" s="40">
        <v>0</v>
      </c>
      <c r="O1236" s="40">
        <f t="shared" si="39"/>
        <v>0</v>
      </c>
      <c r="P1236" s="40">
        <f t="shared" si="40"/>
        <v>0</v>
      </c>
    </row>
    <row r="1237" spans="1:16" x14ac:dyDescent="0.35">
      <c r="A1237" s="33">
        <v>1234</v>
      </c>
      <c r="B1237" s="34" t="s">
        <v>1605</v>
      </c>
      <c r="C1237" s="33" t="s">
        <v>346</v>
      </c>
      <c r="D1237" s="33" t="s">
        <v>40</v>
      </c>
      <c r="E1237" s="33" t="s">
        <v>1538</v>
      </c>
      <c r="F1237" s="35">
        <v>0.1</v>
      </c>
      <c r="G1237" s="40">
        <v>0</v>
      </c>
      <c r="H1237" s="40">
        <v>0</v>
      </c>
      <c r="I1237" s="40">
        <v>0</v>
      </c>
      <c r="J1237" s="40">
        <v>0</v>
      </c>
      <c r="K1237" s="40">
        <v>0</v>
      </c>
      <c r="L1237" s="40">
        <v>0</v>
      </c>
      <c r="M1237" s="40" cm="1">
        <f t="array" ref="M1237:N1237">VLOOKUP(B1237,'Fumigation  Room'!B:H,{6,7},0)</f>
        <v>0</v>
      </c>
      <c r="N1237" s="40">
        <v>0</v>
      </c>
      <c r="O1237" s="40">
        <f t="shared" si="39"/>
        <v>0</v>
      </c>
      <c r="P1237" s="40">
        <f t="shared" si="40"/>
        <v>0</v>
      </c>
    </row>
    <row r="1238" spans="1:16" x14ac:dyDescent="0.35">
      <c r="A1238" s="33">
        <v>1235</v>
      </c>
      <c r="B1238" s="34" t="s">
        <v>1606</v>
      </c>
      <c r="C1238" s="33" t="s">
        <v>346</v>
      </c>
      <c r="D1238" s="33" t="s">
        <v>40</v>
      </c>
      <c r="E1238" s="33" t="s">
        <v>1538</v>
      </c>
      <c r="F1238" s="35">
        <v>0.25</v>
      </c>
      <c r="G1238" s="40">
        <v>0</v>
      </c>
      <c r="H1238" s="40">
        <v>0</v>
      </c>
      <c r="I1238" s="40">
        <v>0</v>
      </c>
      <c r="J1238" s="40">
        <v>0</v>
      </c>
      <c r="K1238" s="40">
        <v>0</v>
      </c>
      <c r="L1238" s="40">
        <v>0</v>
      </c>
      <c r="M1238" s="40" cm="1">
        <f t="array" ref="M1238:N1238">VLOOKUP(B1238,'Fumigation  Room'!B:H,{6,7},0)</f>
        <v>0</v>
      </c>
      <c r="N1238" s="40">
        <v>0</v>
      </c>
      <c r="O1238" s="40">
        <f t="shared" si="39"/>
        <v>0</v>
      </c>
      <c r="P1238" s="40">
        <f t="shared" si="40"/>
        <v>0</v>
      </c>
    </row>
    <row r="1239" spans="1:16" x14ac:dyDescent="0.35">
      <c r="A1239" s="33">
        <v>1236</v>
      </c>
      <c r="B1239" s="34" t="s">
        <v>1607</v>
      </c>
      <c r="C1239" s="33" t="s">
        <v>346</v>
      </c>
      <c r="D1239" s="33" t="s">
        <v>40</v>
      </c>
      <c r="E1239" s="33" t="s">
        <v>1538</v>
      </c>
      <c r="F1239" s="35">
        <v>0.5</v>
      </c>
      <c r="G1239" s="40">
        <v>0</v>
      </c>
      <c r="H1239" s="40">
        <v>0</v>
      </c>
      <c r="I1239" s="40">
        <v>0</v>
      </c>
      <c r="J1239" s="40">
        <v>0</v>
      </c>
      <c r="K1239" s="40">
        <v>0</v>
      </c>
      <c r="L1239" s="40">
        <v>0</v>
      </c>
      <c r="M1239" s="40" cm="1">
        <f t="array" ref="M1239:N1239">VLOOKUP(B1239,'Fumigation  Room'!B:H,{6,7},0)</f>
        <v>0</v>
      </c>
      <c r="N1239" s="40">
        <v>0</v>
      </c>
      <c r="O1239" s="40">
        <f t="shared" si="39"/>
        <v>0</v>
      </c>
      <c r="P1239" s="40">
        <f t="shared" si="40"/>
        <v>0</v>
      </c>
    </row>
    <row r="1240" spans="1:16" x14ac:dyDescent="0.35">
      <c r="A1240" s="33">
        <v>1237</v>
      </c>
      <c r="B1240" s="34" t="s">
        <v>1608</v>
      </c>
      <c r="C1240" s="33" t="s">
        <v>346</v>
      </c>
      <c r="D1240" s="33" t="s">
        <v>40</v>
      </c>
      <c r="E1240" s="33" t="s">
        <v>1538</v>
      </c>
      <c r="F1240" s="35">
        <v>1</v>
      </c>
      <c r="G1240" s="40">
        <v>0</v>
      </c>
      <c r="H1240" s="40">
        <v>0</v>
      </c>
      <c r="I1240" s="40">
        <v>0</v>
      </c>
      <c r="J1240" s="40">
        <v>0</v>
      </c>
      <c r="K1240" s="40">
        <v>0</v>
      </c>
      <c r="L1240" s="40">
        <v>0</v>
      </c>
      <c r="M1240" s="40" cm="1">
        <f t="array" ref="M1240:N1240">VLOOKUP(B1240,'Fumigation  Room'!B:H,{6,7},0)</f>
        <v>0</v>
      </c>
      <c r="N1240" s="40">
        <v>0</v>
      </c>
      <c r="O1240" s="40">
        <f t="shared" si="39"/>
        <v>0</v>
      </c>
      <c r="P1240" s="40">
        <f t="shared" si="40"/>
        <v>0</v>
      </c>
    </row>
    <row r="1241" spans="1:16" x14ac:dyDescent="0.35">
      <c r="A1241" s="33">
        <v>1238</v>
      </c>
      <c r="B1241" s="34" t="s">
        <v>1609</v>
      </c>
      <c r="C1241" s="33" t="s">
        <v>346</v>
      </c>
      <c r="D1241" s="33" t="s">
        <v>40</v>
      </c>
      <c r="E1241" s="33" t="s">
        <v>1538</v>
      </c>
      <c r="F1241" s="35">
        <v>1</v>
      </c>
      <c r="G1241" s="40">
        <v>0</v>
      </c>
      <c r="H1241" s="40">
        <v>0</v>
      </c>
      <c r="I1241" s="40">
        <v>0</v>
      </c>
      <c r="J1241" s="40">
        <v>0</v>
      </c>
      <c r="K1241" s="40">
        <v>0</v>
      </c>
      <c r="L1241" s="40">
        <v>0</v>
      </c>
      <c r="M1241" s="40" cm="1">
        <f t="array" ref="M1241:N1241">VLOOKUP(B1241,'Fumigation  Room'!B:H,{6,7},0)</f>
        <v>0</v>
      </c>
      <c r="N1241" s="40">
        <v>0</v>
      </c>
      <c r="O1241" s="40">
        <f t="shared" si="39"/>
        <v>0</v>
      </c>
      <c r="P1241" s="40">
        <f t="shared" si="40"/>
        <v>0</v>
      </c>
    </row>
    <row r="1242" spans="1:16" x14ac:dyDescent="0.35">
      <c r="A1242" s="33">
        <v>1239</v>
      </c>
      <c r="B1242" s="34" t="s">
        <v>1610</v>
      </c>
      <c r="C1242" s="33" t="s">
        <v>346</v>
      </c>
      <c r="D1242" s="33" t="s">
        <v>40</v>
      </c>
      <c r="E1242" s="33" t="s">
        <v>1538</v>
      </c>
      <c r="F1242" s="35">
        <v>1</v>
      </c>
      <c r="G1242" s="40">
        <v>0</v>
      </c>
      <c r="H1242" s="40">
        <v>0</v>
      </c>
      <c r="I1242" s="40">
        <v>0</v>
      </c>
      <c r="J1242" s="40">
        <v>0</v>
      </c>
      <c r="K1242" s="40">
        <v>0</v>
      </c>
      <c r="L1242" s="40">
        <v>0</v>
      </c>
      <c r="M1242" s="40" cm="1">
        <f t="array" ref="M1242:N1242">VLOOKUP(B1242,'Fumigation  Room'!B:H,{6,7},0)</f>
        <v>0</v>
      </c>
      <c r="N1242" s="40">
        <v>0</v>
      </c>
      <c r="O1242" s="40">
        <f t="shared" si="39"/>
        <v>0</v>
      </c>
      <c r="P1242" s="40">
        <f t="shared" si="40"/>
        <v>0</v>
      </c>
    </row>
    <row r="1243" spans="1:16" x14ac:dyDescent="0.35">
      <c r="A1243" s="33">
        <v>1240</v>
      </c>
      <c r="B1243" s="34" t="s">
        <v>1543</v>
      </c>
      <c r="C1243" s="33" t="s">
        <v>297</v>
      </c>
      <c r="D1243" s="33" t="s">
        <v>40</v>
      </c>
      <c r="E1243" s="33" t="s">
        <v>1544</v>
      </c>
      <c r="F1243" s="35">
        <v>1</v>
      </c>
      <c r="G1243" s="40">
        <v>0</v>
      </c>
      <c r="H1243" s="40">
        <v>0</v>
      </c>
      <c r="I1243" s="40">
        <v>0</v>
      </c>
      <c r="J1243" s="40">
        <v>0</v>
      </c>
      <c r="K1243" s="40">
        <v>0</v>
      </c>
      <c r="L1243" s="40">
        <v>0</v>
      </c>
      <c r="M1243" s="40" cm="1">
        <f t="array" ref="M1243:N1243">VLOOKUP(B1243,'Fumigation  Room'!B:H,{6,7},0)</f>
        <v>0</v>
      </c>
      <c r="N1243" s="40">
        <v>0</v>
      </c>
      <c r="O1243" s="40">
        <f t="shared" si="39"/>
        <v>0</v>
      </c>
      <c r="P1243" s="40">
        <f t="shared" si="40"/>
        <v>0</v>
      </c>
    </row>
    <row r="1244" spans="1:16" x14ac:dyDescent="0.35">
      <c r="A1244" s="33">
        <v>1241</v>
      </c>
      <c r="B1244" s="34" t="s">
        <v>1545</v>
      </c>
      <c r="C1244" s="33" t="s">
        <v>297</v>
      </c>
      <c r="D1244" s="33" t="s">
        <v>40</v>
      </c>
      <c r="E1244" s="33" t="s">
        <v>1544</v>
      </c>
      <c r="F1244" s="35">
        <v>1</v>
      </c>
      <c r="G1244" s="40">
        <v>0</v>
      </c>
      <c r="H1244" s="40">
        <v>0</v>
      </c>
      <c r="I1244" s="40">
        <v>0</v>
      </c>
      <c r="J1244" s="40">
        <v>0</v>
      </c>
      <c r="K1244" s="40">
        <v>0</v>
      </c>
      <c r="L1244" s="40">
        <v>0</v>
      </c>
      <c r="M1244" s="40" cm="1">
        <f t="array" ref="M1244:N1244">VLOOKUP(B1244,'Fumigation  Room'!B:H,{6,7},0)</f>
        <v>0</v>
      </c>
      <c r="N1244" s="40">
        <v>0</v>
      </c>
      <c r="O1244" s="40">
        <f t="shared" si="39"/>
        <v>0</v>
      </c>
      <c r="P1244" s="40">
        <f t="shared" si="40"/>
        <v>0</v>
      </c>
    </row>
    <row r="1245" spans="1:16" x14ac:dyDescent="0.35">
      <c r="A1245" s="33">
        <v>1242</v>
      </c>
      <c r="B1245" s="34" t="s">
        <v>1546</v>
      </c>
      <c r="C1245" s="33" t="s">
        <v>297</v>
      </c>
      <c r="D1245" s="33" t="s">
        <v>40</v>
      </c>
      <c r="E1245" s="33" t="s">
        <v>1544</v>
      </c>
      <c r="F1245" s="35">
        <v>1</v>
      </c>
      <c r="G1245" s="40">
        <v>0</v>
      </c>
      <c r="H1245" s="40">
        <v>0</v>
      </c>
      <c r="I1245" s="40">
        <v>0</v>
      </c>
      <c r="J1245" s="40">
        <v>0</v>
      </c>
      <c r="K1245" s="40">
        <v>0</v>
      </c>
      <c r="L1245" s="40">
        <f>VLOOKUP(B1245,'Packing Off Grade'!I:J,2,0)</f>
        <v>2.1</v>
      </c>
      <c r="M1245" s="40" cm="1">
        <f t="array" ref="M1245:N1245">VLOOKUP(B1245,'Fumigation  Room'!B:H,{6,7},0)</f>
        <v>0</v>
      </c>
      <c r="N1245" s="40">
        <v>0</v>
      </c>
      <c r="O1245" s="40">
        <f t="shared" si="39"/>
        <v>0</v>
      </c>
      <c r="P1245" s="40">
        <f t="shared" si="40"/>
        <v>2.1</v>
      </c>
    </row>
    <row r="1246" spans="1:16" x14ac:dyDescent="0.35">
      <c r="A1246" s="33">
        <v>1243</v>
      </c>
      <c r="B1246" s="34" t="s">
        <v>1547</v>
      </c>
      <c r="C1246" s="33" t="s">
        <v>297</v>
      </c>
      <c r="D1246" s="33" t="s">
        <v>40</v>
      </c>
      <c r="E1246" s="33" t="s">
        <v>1544</v>
      </c>
      <c r="F1246" s="35">
        <v>1</v>
      </c>
      <c r="G1246" s="40">
        <v>0</v>
      </c>
      <c r="H1246" s="40">
        <v>0</v>
      </c>
      <c r="I1246" s="40">
        <v>0</v>
      </c>
      <c r="J1246" s="40">
        <v>0</v>
      </c>
      <c r="K1246" s="40">
        <v>0</v>
      </c>
      <c r="L1246" s="40">
        <v>0</v>
      </c>
      <c r="M1246" s="40" cm="1">
        <f t="array" ref="M1246:N1246">VLOOKUP(B1246,'Fumigation  Room'!B:H,{6,7},0)</f>
        <v>0</v>
      </c>
      <c r="N1246" s="40">
        <v>0</v>
      </c>
      <c r="O1246" s="40">
        <f t="shared" si="39"/>
        <v>0</v>
      </c>
      <c r="P1246" s="40">
        <f t="shared" si="40"/>
        <v>0</v>
      </c>
    </row>
    <row r="1247" spans="1:16" x14ac:dyDescent="0.35">
      <c r="A1247" s="33">
        <v>1244</v>
      </c>
      <c r="B1247" s="34" t="s">
        <v>1548</v>
      </c>
      <c r="C1247" s="33" t="s">
        <v>297</v>
      </c>
      <c r="D1247" s="33" t="s">
        <v>40</v>
      </c>
      <c r="E1247" s="33" t="s">
        <v>1544</v>
      </c>
      <c r="F1247" s="35">
        <v>1</v>
      </c>
      <c r="G1247" s="40">
        <v>0</v>
      </c>
      <c r="H1247" s="40">
        <v>0</v>
      </c>
      <c r="I1247" s="40">
        <v>0</v>
      </c>
      <c r="J1247" s="40">
        <v>0</v>
      </c>
      <c r="K1247" s="40">
        <v>0</v>
      </c>
      <c r="L1247" s="40">
        <v>0</v>
      </c>
      <c r="M1247" s="40" cm="1">
        <f t="array" ref="M1247:N1247">VLOOKUP(B1247,'Fumigation  Room'!B:H,{6,7},0)</f>
        <v>0</v>
      </c>
      <c r="N1247" s="40">
        <v>0</v>
      </c>
      <c r="O1247" s="40">
        <f t="shared" si="39"/>
        <v>0</v>
      </c>
      <c r="P1247" s="40">
        <f t="shared" si="40"/>
        <v>0</v>
      </c>
    </row>
    <row r="1248" spans="1:16" x14ac:dyDescent="0.35">
      <c r="A1248" s="33">
        <v>1245</v>
      </c>
      <c r="B1248" s="34" t="s">
        <v>1549</v>
      </c>
      <c r="C1248" s="33" t="s">
        <v>297</v>
      </c>
      <c r="D1248" s="33" t="s">
        <v>40</v>
      </c>
      <c r="E1248" s="33" t="s">
        <v>1544</v>
      </c>
      <c r="F1248" s="35">
        <v>1</v>
      </c>
      <c r="G1248" s="40">
        <v>0</v>
      </c>
      <c r="H1248" s="40">
        <v>0</v>
      </c>
      <c r="I1248" s="40">
        <v>0</v>
      </c>
      <c r="J1248" s="40">
        <v>0</v>
      </c>
      <c r="K1248" s="40">
        <v>0</v>
      </c>
      <c r="L1248" s="40">
        <f>VLOOKUP(B1248,'Packing Off Grade'!I:J,2,0)</f>
        <v>14.6</v>
      </c>
      <c r="M1248" s="40" cm="1">
        <f t="array" ref="M1248:N1248">VLOOKUP(B1248,'Fumigation  Room'!B:H,{6,7},0)</f>
        <v>0</v>
      </c>
      <c r="N1248" s="40">
        <v>0</v>
      </c>
      <c r="O1248" s="40">
        <f t="shared" si="39"/>
        <v>0</v>
      </c>
      <c r="P1248" s="40">
        <f t="shared" si="40"/>
        <v>14.6</v>
      </c>
    </row>
    <row r="1249" spans="1:16" x14ac:dyDescent="0.35">
      <c r="A1249" s="33">
        <v>1246</v>
      </c>
      <c r="B1249" s="34" t="s">
        <v>1550</v>
      </c>
      <c r="C1249" s="33" t="s">
        <v>297</v>
      </c>
      <c r="D1249" s="33" t="s">
        <v>40</v>
      </c>
      <c r="E1249" s="33" t="s">
        <v>1544</v>
      </c>
      <c r="F1249" s="35">
        <v>1</v>
      </c>
      <c r="G1249" s="40">
        <v>0</v>
      </c>
      <c r="H1249" s="40">
        <v>0</v>
      </c>
      <c r="I1249" s="40">
        <v>0</v>
      </c>
      <c r="J1249" s="40">
        <v>0</v>
      </c>
      <c r="K1249" s="40">
        <v>0</v>
      </c>
      <c r="L1249" s="40">
        <v>0</v>
      </c>
      <c r="M1249" s="40" cm="1">
        <f t="array" ref="M1249:N1249">VLOOKUP(B1249,'Fumigation  Room'!B:H,{6,7},0)</f>
        <v>0</v>
      </c>
      <c r="N1249" s="40">
        <v>0</v>
      </c>
      <c r="O1249" s="40">
        <f t="shared" si="39"/>
        <v>0</v>
      </c>
      <c r="P1249" s="40">
        <f t="shared" si="40"/>
        <v>0</v>
      </c>
    </row>
    <row r="1250" spans="1:16" x14ac:dyDescent="0.35">
      <c r="A1250" s="33">
        <v>1247</v>
      </c>
      <c r="B1250" s="34" t="s">
        <v>1551</v>
      </c>
      <c r="C1250" s="33" t="s">
        <v>297</v>
      </c>
      <c r="D1250" s="33" t="s">
        <v>40</v>
      </c>
      <c r="E1250" s="33" t="s">
        <v>1544</v>
      </c>
      <c r="F1250" s="35">
        <v>1</v>
      </c>
      <c r="G1250" s="40">
        <v>0</v>
      </c>
      <c r="H1250" s="40">
        <v>0</v>
      </c>
      <c r="I1250" s="40">
        <v>0</v>
      </c>
      <c r="J1250" s="40">
        <v>0</v>
      </c>
      <c r="K1250" s="40">
        <v>0</v>
      </c>
      <c r="L1250" s="40">
        <v>0</v>
      </c>
      <c r="M1250" s="40" cm="1">
        <f t="array" ref="M1250:N1250">VLOOKUP(B1250,'Fumigation  Room'!B:H,{6,7},0)</f>
        <v>0</v>
      </c>
      <c r="N1250" s="40">
        <v>0</v>
      </c>
      <c r="O1250" s="40">
        <f t="shared" si="39"/>
        <v>0</v>
      </c>
      <c r="P1250" s="40">
        <f t="shared" si="40"/>
        <v>0</v>
      </c>
    </row>
    <row r="1251" spans="1:16" x14ac:dyDescent="0.35">
      <c r="A1251" s="33">
        <v>1248</v>
      </c>
      <c r="B1251" s="34" t="s">
        <v>1611</v>
      </c>
      <c r="C1251" s="33" t="s">
        <v>346</v>
      </c>
      <c r="D1251" s="33" t="s">
        <v>40</v>
      </c>
      <c r="E1251" s="33" t="s">
        <v>1544</v>
      </c>
      <c r="F1251" s="35">
        <v>1</v>
      </c>
      <c r="G1251" s="40">
        <v>0</v>
      </c>
      <c r="H1251" s="40">
        <v>0</v>
      </c>
      <c r="I1251" s="40">
        <v>0</v>
      </c>
      <c r="J1251" s="40">
        <v>0</v>
      </c>
      <c r="K1251" s="40">
        <v>0</v>
      </c>
      <c r="L1251" s="40">
        <v>0</v>
      </c>
      <c r="M1251" s="40" cm="1">
        <f t="array" ref="M1251:N1251">VLOOKUP(B1251,'Fumigation  Room'!B:H,{6,7},0)</f>
        <v>0</v>
      </c>
      <c r="N1251" s="40">
        <v>0</v>
      </c>
      <c r="O1251" s="40">
        <f t="shared" si="39"/>
        <v>0</v>
      </c>
      <c r="P1251" s="40">
        <f t="shared" si="40"/>
        <v>0</v>
      </c>
    </row>
    <row r="1252" spans="1:16" x14ac:dyDescent="0.35">
      <c r="A1252" s="33">
        <v>1249</v>
      </c>
      <c r="B1252" s="34" t="s">
        <v>1612</v>
      </c>
      <c r="C1252" s="33" t="s">
        <v>346</v>
      </c>
      <c r="D1252" s="33" t="s">
        <v>40</v>
      </c>
      <c r="E1252" s="33" t="s">
        <v>1544</v>
      </c>
      <c r="F1252" s="35">
        <v>1</v>
      </c>
      <c r="G1252" s="40">
        <v>0</v>
      </c>
      <c r="H1252" s="40">
        <v>0</v>
      </c>
      <c r="I1252" s="40">
        <v>0</v>
      </c>
      <c r="J1252" s="40">
        <v>0</v>
      </c>
      <c r="K1252" s="40">
        <v>0</v>
      </c>
      <c r="L1252" s="40">
        <v>0</v>
      </c>
      <c r="M1252" s="40" cm="1">
        <f t="array" ref="M1252:N1252">VLOOKUP(B1252,'Fumigation  Room'!B:H,{6,7},0)</f>
        <v>0</v>
      </c>
      <c r="N1252" s="40">
        <v>0</v>
      </c>
      <c r="O1252" s="40">
        <f t="shared" si="39"/>
        <v>0</v>
      </c>
      <c r="P1252" s="40">
        <f t="shared" si="40"/>
        <v>0</v>
      </c>
    </row>
    <row r="1253" spans="1:16" x14ac:dyDescent="0.35">
      <c r="A1253" s="33">
        <v>1250</v>
      </c>
      <c r="B1253" s="34" t="s">
        <v>1613</v>
      </c>
      <c r="C1253" s="33" t="s">
        <v>346</v>
      </c>
      <c r="D1253" s="33" t="s">
        <v>40</v>
      </c>
      <c r="E1253" s="33" t="s">
        <v>1544</v>
      </c>
      <c r="F1253" s="35">
        <v>1</v>
      </c>
      <c r="G1253" s="40">
        <v>0</v>
      </c>
      <c r="H1253" s="40">
        <v>0</v>
      </c>
      <c r="I1253" s="40">
        <v>0</v>
      </c>
      <c r="J1253" s="40">
        <v>0</v>
      </c>
      <c r="K1253" s="40">
        <v>0</v>
      </c>
      <c r="L1253" s="40">
        <f>VLOOKUP(B1253,'Packing Off Grade'!I:J,2,0)</f>
        <v>14.52</v>
      </c>
      <c r="M1253" s="40" cm="1">
        <f t="array" ref="M1253:N1253">VLOOKUP(B1253,'Fumigation  Room'!B:H,{6,7},0)</f>
        <v>0</v>
      </c>
      <c r="N1253" s="40">
        <v>0</v>
      </c>
      <c r="O1253" s="40">
        <f t="shared" si="39"/>
        <v>0</v>
      </c>
      <c r="P1253" s="40">
        <f t="shared" si="40"/>
        <v>14.52</v>
      </c>
    </row>
    <row r="1254" spans="1:16" x14ac:dyDescent="0.35">
      <c r="A1254" s="33">
        <v>1251</v>
      </c>
      <c r="B1254" s="34" t="s">
        <v>1614</v>
      </c>
      <c r="C1254" s="33" t="s">
        <v>346</v>
      </c>
      <c r="D1254" s="33" t="s">
        <v>40</v>
      </c>
      <c r="E1254" s="33" t="s">
        <v>1544</v>
      </c>
      <c r="F1254" s="35">
        <v>0.25</v>
      </c>
      <c r="G1254" s="40">
        <v>0</v>
      </c>
      <c r="H1254" s="40">
        <v>0</v>
      </c>
      <c r="I1254" s="40">
        <v>0</v>
      </c>
      <c r="J1254" s="40">
        <v>0</v>
      </c>
      <c r="K1254" s="40">
        <v>0</v>
      </c>
      <c r="L1254" s="40">
        <v>0</v>
      </c>
      <c r="M1254" s="40" cm="1">
        <f t="array" ref="M1254:N1254">VLOOKUP(B1254,'Fumigation  Room'!B:H,{6,7},0)</f>
        <v>0</v>
      </c>
      <c r="N1254" s="40">
        <v>0</v>
      </c>
      <c r="O1254" s="40">
        <f t="shared" si="39"/>
        <v>0</v>
      </c>
      <c r="P1254" s="40">
        <f t="shared" si="40"/>
        <v>0</v>
      </c>
    </row>
    <row r="1255" spans="1:16" x14ac:dyDescent="0.35">
      <c r="A1255" s="33">
        <v>1252</v>
      </c>
      <c r="B1255" s="34" t="s">
        <v>1615</v>
      </c>
      <c r="C1255" s="33" t="s">
        <v>346</v>
      </c>
      <c r="D1255" s="33" t="s">
        <v>40</v>
      </c>
      <c r="E1255" s="33" t="s">
        <v>1544</v>
      </c>
      <c r="F1255" s="35">
        <v>0.5</v>
      </c>
      <c r="G1255" s="40">
        <v>0</v>
      </c>
      <c r="H1255" s="40">
        <v>0</v>
      </c>
      <c r="I1255" s="40">
        <v>0</v>
      </c>
      <c r="J1255" s="40">
        <v>0</v>
      </c>
      <c r="K1255" s="40">
        <v>0</v>
      </c>
      <c r="L1255" s="40">
        <v>0</v>
      </c>
      <c r="M1255" s="40" cm="1">
        <f t="array" ref="M1255:N1255">VLOOKUP(B1255,'Fumigation  Room'!B:H,{6,7},0)</f>
        <v>0</v>
      </c>
      <c r="N1255" s="40">
        <v>0</v>
      </c>
      <c r="O1255" s="40">
        <f t="shared" si="39"/>
        <v>0</v>
      </c>
      <c r="P1255" s="40">
        <f t="shared" si="40"/>
        <v>0</v>
      </c>
    </row>
    <row r="1256" spans="1:16" x14ac:dyDescent="0.35">
      <c r="A1256" s="33">
        <v>1253</v>
      </c>
      <c r="B1256" s="34" t="s">
        <v>1552</v>
      </c>
      <c r="C1256" s="33" t="s">
        <v>297</v>
      </c>
      <c r="D1256" s="33" t="s">
        <v>40</v>
      </c>
      <c r="E1256" s="33" t="s">
        <v>1553</v>
      </c>
      <c r="F1256" s="35">
        <v>1</v>
      </c>
      <c r="G1256" s="40">
        <v>0</v>
      </c>
      <c r="H1256" s="40">
        <v>0</v>
      </c>
      <c r="I1256" s="40">
        <v>0</v>
      </c>
      <c r="J1256" s="40">
        <v>0</v>
      </c>
      <c r="K1256" s="40">
        <v>0</v>
      </c>
      <c r="L1256" s="40">
        <v>0</v>
      </c>
      <c r="M1256" s="40" cm="1">
        <f t="array" ref="M1256:N1256">VLOOKUP(B1256,'Fumigation  Room'!B:H,{6,7},0)</f>
        <v>0</v>
      </c>
      <c r="N1256" s="40">
        <v>0</v>
      </c>
      <c r="O1256" s="40">
        <f t="shared" si="39"/>
        <v>0</v>
      </c>
      <c r="P1256" s="40">
        <f t="shared" si="40"/>
        <v>0</v>
      </c>
    </row>
    <row r="1257" spans="1:16" x14ac:dyDescent="0.35">
      <c r="A1257" s="33">
        <v>1254</v>
      </c>
      <c r="B1257" s="34" t="s">
        <v>1616</v>
      </c>
      <c r="C1257" s="33" t="s">
        <v>346</v>
      </c>
      <c r="D1257" s="33" t="s">
        <v>40</v>
      </c>
      <c r="E1257" s="33" t="s">
        <v>1553</v>
      </c>
      <c r="F1257" s="35">
        <v>0.2</v>
      </c>
      <c r="G1257" s="40">
        <v>0</v>
      </c>
      <c r="H1257" s="40">
        <v>0</v>
      </c>
      <c r="I1257" s="40">
        <v>0</v>
      </c>
      <c r="J1257" s="40">
        <v>0</v>
      </c>
      <c r="K1257" s="40">
        <v>0</v>
      </c>
      <c r="L1257" s="40">
        <v>0</v>
      </c>
      <c r="M1257" s="40" cm="1">
        <f t="array" ref="M1257:N1257">VLOOKUP(B1257,'Fumigation  Room'!B:H,{6,7},0)</f>
        <v>0</v>
      </c>
      <c r="N1257" s="40">
        <v>0</v>
      </c>
      <c r="O1257" s="40">
        <f t="shared" si="39"/>
        <v>0</v>
      </c>
      <c r="P1257" s="40">
        <f t="shared" si="40"/>
        <v>0</v>
      </c>
    </row>
    <row r="1258" spans="1:16" x14ac:dyDescent="0.35">
      <c r="A1258" s="33">
        <v>1255</v>
      </c>
      <c r="B1258" s="34" t="s">
        <v>1617</v>
      </c>
      <c r="C1258" s="33" t="s">
        <v>297</v>
      </c>
      <c r="D1258" s="33" t="s">
        <v>100</v>
      </c>
      <c r="E1258" s="33" t="s">
        <v>1617</v>
      </c>
      <c r="F1258" s="35">
        <v>1</v>
      </c>
      <c r="G1258" s="40">
        <v>0</v>
      </c>
      <c r="H1258" s="40">
        <v>0</v>
      </c>
      <c r="I1258" s="40">
        <v>0</v>
      </c>
      <c r="J1258" s="40">
        <v>0</v>
      </c>
      <c r="K1258" s="40">
        <v>0</v>
      </c>
      <c r="L1258" s="40">
        <v>0</v>
      </c>
      <c r="M1258" s="40" cm="1">
        <f t="array" ref="M1258:N1258">VLOOKUP(B1258,'Fumigation  Room'!B:H,{6,7},0)</f>
        <v>0</v>
      </c>
      <c r="N1258" s="40">
        <v>0</v>
      </c>
      <c r="O1258" s="40">
        <f t="shared" si="39"/>
        <v>0</v>
      </c>
      <c r="P1258" s="40">
        <f t="shared" si="40"/>
        <v>0</v>
      </c>
    </row>
    <row r="1259" spans="1:16" x14ac:dyDescent="0.35">
      <c r="A1259" s="33">
        <v>1256</v>
      </c>
      <c r="B1259" s="34" t="s">
        <v>1648</v>
      </c>
      <c r="C1259" s="33" t="s">
        <v>346</v>
      </c>
      <c r="D1259" s="33" t="s">
        <v>100</v>
      </c>
      <c r="E1259" s="33" t="s">
        <v>1617</v>
      </c>
      <c r="F1259" s="35">
        <v>0.25</v>
      </c>
      <c r="G1259" s="40">
        <v>0</v>
      </c>
      <c r="H1259" s="40">
        <v>0</v>
      </c>
      <c r="I1259" s="40">
        <v>0</v>
      </c>
      <c r="J1259" s="40">
        <v>0</v>
      </c>
      <c r="K1259" s="40">
        <v>0</v>
      </c>
      <c r="L1259" s="40">
        <v>0</v>
      </c>
      <c r="M1259" s="40" cm="1">
        <f t="array" ref="M1259:N1259">VLOOKUP(B1259,'Fumigation  Room'!B:H,{6,7},0)</f>
        <v>0</v>
      </c>
      <c r="N1259" s="40">
        <v>0</v>
      </c>
      <c r="O1259" s="40">
        <f t="shared" si="39"/>
        <v>0</v>
      </c>
      <c r="P1259" s="40">
        <f t="shared" si="40"/>
        <v>0</v>
      </c>
    </row>
    <row r="1260" spans="1:16" x14ac:dyDescent="0.35">
      <c r="A1260" s="33">
        <v>1257</v>
      </c>
      <c r="B1260" s="34" t="s">
        <v>1649</v>
      </c>
      <c r="C1260" s="33" t="s">
        <v>346</v>
      </c>
      <c r="D1260" s="33" t="s">
        <v>100</v>
      </c>
      <c r="E1260" s="33" t="s">
        <v>1617</v>
      </c>
      <c r="F1260" s="35">
        <v>0.25</v>
      </c>
      <c r="G1260" s="40">
        <v>0</v>
      </c>
      <c r="H1260" s="40">
        <v>0</v>
      </c>
      <c r="I1260" s="40">
        <v>0</v>
      </c>
      <c r="J1260" s="40">
        <v>0</v>
      </c>
      <c r="K1260" s="40">
        <v>0</v>
      </c>
      <c r="L1260" s="40">
        <v>0</v>
      </c>
      <c r="M1260" s="40" cm="1">
        <f t="array" ref="M1260:N1260">VLOOKUP(B1260,'Fumigation  Room'!B:H,{6,7},0)</f>
        <v>0</v>
      </c>
      <c r="N1260" s="40">
        <v>0</v>
      </c>
      <c r="O1260" s="40">
        <f t="shared" si="39"/>
        <v>0</v>
      </c>
      <c r="P1260" s="40">
        <f t="shared" si="40"/>
        <v>0</v>
      </c>
    </row>
    <row r="1261" spans="1:16" x14ac:dyDescent="0.35">
      <c r="A1261" s="33">
        <v>1258</v>
      </c>
      <c r="B1261" s="34" t="s">
        <v>1650</v>
      </c>
      <c r="C1261" s="33" t="s">
        <v>346</v>
      </c>
      <c r="D1261" s="33" t="s">
        <v>100</v>
      </c>
      <c r="E1261" s="33" t="s">
        <v>1617</v>
      </c>
      <c r="F1261" s="35">
        <v>0.2</v>
      </c>
      <c r="G1261" s="40">
        <v>0</v>
      </c>
      <c r="H1261" s="40">
        <v>0</v>
      </c>
      <c r="I1261" s="40">
        <v>0</v>
      </c>
      <c r="J1261" s="40">
        <v>0</v>
      </c>
      <c r="K1261" s="40">
        <v>0</v>
      </c>
      <c r="L1261" s="40">
        <v>0</v>
      </c>
      <c r="M1261" s="40" cm="1">
        <f t="array" ref="M1261:N1261">VLOOKUP(B1261,'Fumigation  Room'!B:H,{6,7},0)</f>
        <v>0</v>
      </c>
      <c r="N1261" s="40">
        <v>0</v>
      </c>
      <c r="O1261" s="40">
        <f t="shared" si="39"/>
        <v>0</v>
      </c>
      <c r="P1261" s="40">
        <f t="shared" si="40"/>
        <v>0</v>
      </c>
    </row>
    <row r="1262" spans="1:16" x14ac:dyDescent="0.35">
      <c r="A1262" s="33">
        <v>1259</v>
      </c>
      <c r="B1262" s="34" t="s">
        <v>1651</v>
      </c>
      <c r="C1262" s="33" t="s">
        <v>346</v>
      </c>
      <c r="D1262" s="33" t="s">
        <v>100</v>
      </c>
      <c r="E1262" s="33" t="s">
        <v>1617</v>
      </c>
      <c r="F1262" s="35">
        <v>1</v>
      </c>
      <c r="G1262" s="40">
        <v>0</v>
      </c>
      <c r="H1262" s="40">
        <v>0</v>
      </c>
      <c r="I1262" s="40">
        <v>0</v>
      </c>
      <c r="J1262" s="40">
        <v>0</v>
      </c>
      <c r="K1262" s="40">
        <v>0</v>
      </c>
      <c r="L1262" s="40">
        <v>0</v>
      </c>
      <c r="M1262" s="40" cm="1">
        <f t="array" ref="M1262:N1262">VLOOKUP(B1262,'Fumigation  Room'!B:H,{6,7},0)</f>
        <v>0</v>
      </c>
      <c r="N1262" s="40">
        <v>0</v>
      </c>
      <c r="O1262" s="40">
        <f t="shared" si="39"/>
        <v>0</v>
      </c>
      <c r="P1262" s="40">
        <f t="shared" si="40"/>
        <v>0</v>
      </c>
    </row>
    <row r="1263" spans="1:16" x14ac:dyDescent="0.35">
      <c r="A1263" s="33">
        <v>1260</v>
      </c>
      <c r="B1263" s="34" t="s">
        <v>1652</v>
      </c>
      <c r="C1263" s="33" t="s">
        <v>346</v>
      </c>
      <c r="D1263" s="33" t="s">
        <v>100</v>
      </c>
      <c r="E1263" s="33" t="s">
        <v>1617</v>
      </c>
      <c r="F1263" s="35">
        <v>0.05</v>
      </c>
      <c r="G1263" s="40">
        <v>0</v>
      </c>
      <c r="H1263" s="40">
        <v>0</v>
      </c>
      <c r="I1263" s="40">
        <v>0</v>
      </c>
      <c r="J1263" s="40">
        <v>0</v>
      </c>
      <c r="K1263" s="40">
        <v>0</v>
      </c>
      <c r="L1263" s="40">
        <v>0</v>
      </c>
      <c r="M1263" s="40" cm="1">
        <f t="array" ref="M1263:N1263">VLOOKUP(B1263,'Fumigation  Room'!B:H,{6,7},0)</f>
        <v>0</v>
      </c>
      <c r="N1263" s="40">
        <v>0</v>
      </c>
      <c r="O1263" s="40">
        <f t="shared" si="39"/>
        <v>0</v>
      </c>
      <c r="P1263" s="40">
        <f t="shared" si="40"/>
        <v>0</v>
      </c>
    </row>
    <row r="1264" spans="1:16" x14ac:dyDescent="0.35">
      <c r="A1264" s="33">
        <v>1261</v>
      </c>
      <c r="B1264" s="34" t="s">
        <v>1618</v>
      </c>
      <c r="C1264" s="33" t="s">
        <v>297</v>
      </c>
      <c r="D1264" s="33" t="s">
        <v>100</v>
      </c>
      <c r="E1264" s="33" t="s">
        <v>1619</v>
      </c>
      <c r="F1264" s="35">
        <v>1</v>
      </c>
      <c r="G1264" s="40">
        <v>0</v>
      </c>
      <c r="H1264" s="40">
        <v>0</v>
      </c>
      <c r="I1264" s="40">
        <v>0</v>
      </c>
      <c r="J1264" s="40">
        <v>0</v>
      </c>
      <c r="K1264" s="40">
        <v>0</v>
      </c>
      <c r="L1264" s="40">
        <v>0</v>
      </c>
      <c r="M1264" s="40" cm="1">
        <f t="array" ref="M1264:N1264">VLOOKUP(B1264,'Fumigation  Room'!B:H,{6,7},0)</f>
        <v>0</v>
      </c>
      <c r="N1264" s="40">
        <v>0</v>
      </c>
      <c r="O1264" s="40">
        <f t="shared" si="39"/>
        <v>0</v>
      </c>
      <c r="P1264" s="40">
        <f t="shared" si="40"/>
        <v>0</v>
      </c>
    </row>
    <row r="1265" spans="1:16" x14ac:dyDescent="0.35">
      <c r="A1265" s="33">
        <v>1262</v>
      </c>
      <c r="B1265" s="34" t="s">
        <v>1620</v>
      </c>
      <c r="C1265" s="33" t="s">
        <v>297</v>
      </c>
      <c r="D1265" s="33" t="s">
        <v>100</v>
      </c>
      <c r="E1265" s="33" t="s">
        <v>1619</v>
      </c>
      <c r="F1265" s="35">
        <v>1</v>
      </c>
      <c r="G1265" s="40">
        <v>0</v>
      </c>
      <c r="H1265" s="40">
        <v>0</v>
      </c>
      <c r="I1265" s="40">
        <v>0</v>
      </c>
      <c r="J1265" s="40">
        <v>0</v>
      </c>
      <c r="K1265" s="40">
        <v>0</v>
      </c>
      <c r="L1265" s="40">
        <v>0</v>
      </c>
      <c r="M1265" s="40" cm="1">
        <f t="array" ref="M1265:N1265">VLOOKUP(B1265,'Fumigation  Room'!B:H,{6,7},0)</f>
        <v>0</v>
      </c>
      <c r="N1265" s="40">
        <v>0</v>
      </c>
      <c r="O1265" s="40">
        <f t="shared" si="39"/>
        <v>0</v>
      </c>
      <c r="P1265" s="40">
        <f t="shared" si="40"/>
        <v>0</v>
      </c>
    </row>
    <row r="1266" spans="1:16" x14ac:dyDescent="0.35">
      <c r="A1266" s="33">
        <v>1263</v>
      </c>
      <c r="B1266" s="34" t="s">
        <v>1621</v>
      </c>
      <c r="C1266" s="33" t="s">
        <v>297</v>
      </c>
      <c r="D1266" s="33" t="s">
        <v>100</v>
      </c>
      <c r="E1266" s="33" t="s">
        <v>1619</v>
      </c>
      <c r="F1266" s="35">
        <v>1</v>
      </c>
      <c r="G1266" s="40">
        <v>0</v>
      </c>
      <c r="H1266" s="40">
        <v>0</v>
      </c>
      <c r="I1266" s="40">
        <v>0</v>
      </c>
      <c r="J1266" s="40">
        <v>0</v>
      </c>
      <c r="K1266" s="40">
        <v>0</v>
      </c>
      <c r="L1266" s="40">
        <v>0</v>
      </c>
      <c r="M1266" s="40" cm="1">
        <f t="array" ref="M1266:N1266">VLOOKUP(B1266,'Fumigation  Room'!B:H,{6,7},0)</f>
        <v>0</v>
      </c>
      <c r="N1266" s="40">
        <v>0</v>
      </c>
      <c r="O1266" s="40">
        <f t="shared" si="39"/>
        <v>0</v>
      </c>
      <c r="P1266" s="40">
        <f t="shared" si="40"/>
        <v>0</v>
      </c>
    </row>
    <row r="1267" spans="1:16" x14ac:dyDescent="0.35">
      <c r="A1267" s="33">
        <v>1264</v>
      </c>
      <c r="B1267" s="34" t="s">
        <v>1653</v>
      </c>
      <c r="C1267" s="33" t="s">
        <v>346</v>
      </c>
      <c r="D1267" s="33" t="s">
        <v>100</v>
      </c>
      <c r="E1267" s="33" t="s">
        <v>1619</v>
      </c>
      <c r="F1267" s="35">
        <v>0.25</v>
      </c>
      <c r="G1267" s="40">
        <v>0</v>
      </c>
      <c r="H1267" s="40">
        <v>0</v>
      </c>
      <c r="I1267" s="40">
        <v>0</v>
      </c>
      <c r="J1267" s="40">
        <v>0</v>
      </c>
      <c r="K1267" s="40">
        <v>0</v>
      </c>
      <c r="L1267" s="40">
        <v>0</v>
      </c>
      <c r="M1267" s="40" cm="1">
        <f t="array" ref="M1267:N1267">VLOOKUP(B1267,'Fumigation  Room'!B:H,{6,7},0)</f>
        <v>0</v>
      </c>
      <c r="N1267" s="40">
        <v>0</v>
      </c>
      <c r="O1267" s="40">
        <f t="shared" si="39"/>
        <v>0</v>
      </c>
      <c r="P1267" s="40">
        <f t="shared" si="40"/>
        <v>0</v>
      </c>
    </row>
    <row r="1268" spans="1:16" x14ac:dyDescent="0.35">
      <c r="A1268" s="33">
        <v>1265</v>
      </c>
      <c r="B1268" s="34" t="s">
        <v>1654</v>
      </c>
      <c r="C1268" s="33" t="s">
        <v>346</v>
      </c>
      <c r="D1268" s="33" t="s">
        <v>100</v>
      </c>
      <c r="E1268" s="33" t="s">
        <v>1619</v>
      </c>
      <c r="F1268" s="35">
        <v>0.25</v>
      </c>
      <c r="G1268" s="40">
        <v>0</v>
      </c>
      <c r="H1268" s="40">
        <v>0</v>
      </c>
      <c r="I1268" s="40">
        <v>0</v>
      </c>
      <c r="J1268" s="40">
        <v>0</v>
      </c>
      <c r="K1268" s="40">
        <v>0</v>
      </c>
      <c r="L1268" s="40">
        <v>0</v>
      </c>
      <c r="M1268" s="40" cm="1">
        <f t="array" ref="M1268:N1268">VLOOKUP(B1268,'Fumigation  Room'!B:H,{6,7},0)</f>
        <v>0</v>
      </c>
      <c r="N1268" s="40">
        <v>0</v>
      </c>
      <c r="O1268" s="40">
        <f t="shared" si="39"/>
        <v>0</v>
      </c>
      <c r="P1268" s="40">
        <f t="shared" si="40"/>
        <v>0</v>
      </c>
    </row>
    <row r="1269" spans="1:16" x14ac:dyDescent="0.35">
      <c r="A1269" s="33">
        <v>1266</v>
      </c>
      <c r="B1269" s="34" t="s">
        <v>1655</v>
      </c>
      <c r="C1269" s="33" t="s">
        <v>346</v>
      </c>
      <c r="D1269" s="33" t="s">
        <v>100</v>
      </c>
      <c r="E1269" s="33" t="s">
        <v>1619</v>
      </c>
      <c r="F1269" s="35">
        <v>1</v>
      </c>
      <c r="G1269" s="40">
        <v>0</v>
      </c>
      <c r="H1269" s="40">
        <v>0</v>
      </c>
      <c r="I1269" s="40">
        <v>0</v>
      </c>
      <c r="J1269" s="40">
        <v>0</v>
      </c>
      <c r="K1269" s="40">
        <v>0</v>
      </c>
      <c r="L1269" s="40">
        <v>0</v>
      </c>
      <c r="M1269" s="40" cm="1">
        <f t="array" ref="M1269:N1269">VLOOKUP(B1269,'Fumigation  Room'!B:H,{6,7},0)</f>
        <v>0</v>
      </c>
      <c r="N1269" s="40">
        <v>0</v>
      </c>
      <c r="O1269" s="40">
        <f t="shared" si="39"/>
        <v>0</v>
      </c>
      <c r="P1269" s="40">
        <f t="shared" si="40"/>
        <v>0</v>
      </c>
    </row>
    <row r="1270" spans="1:16" x14ac:dyDescent="0.35">
      <c r="A1270" s="33">
        <v>1267</v>
      </c>
      <c r="B1270" s="34" t="s">
        <v>1656</v>
      </c>
      <c r="C1270" s="33" t="s">
        <v>346</v>
      </c>
      <c r="D1270" s="33" t="s">
        <v>100</v>
      </c>
      <c r="E1270" s="33" t="s">
        <v>1619</v>
      </c>
      <c r="F1270" s="35">
        <v>0.2</v>
      </c>
      <c r="G1270" s="40">
        <v>0</v>
      </c>
      <c r="H1270" s="40">
        <v>0</v>
      </c>
      <c r="I1270" s="40">
        <v>0</v>
      </c>
      <c r="J1270" s="40">
        <v>0</v>
      </c>
      <c r="K1270" s="40">
        <v>0</v>
      </c>
      <c r="L1270" s="40">
        <v>0</v>
      </c>
      <c r="M1270" s="40" cm="1">
        <f t="array" ref="M1270:N1270">VLOOKUP(B1270,'Fumigation  Room'!B:H,{6,7},0)</f>
        <v>0</v>
      </c>
      <c r="N1270" s="40">
        <v>0</v>
      </c>
      <c r="O1270" s="40">
        <f t="shared" si="39"/>
        <v>0</v>
      </c>
      <c r="P1270" s="40">
        <f t="shared" si="40"/>
        <v>0</v>
      </c>
    </row>
    <row r="1271" spans="1:16" x14ac:dyDescent="0.35">
      <c r="A1271" s="33">
        <v>1268</v>
      </c>
      <c r="B1271" s="34" t="s">
        <v>1657</v>
      </c>
      <c r="C1271" s="33" t="s">
        <v>346</v>
      </c>
      <c r="D1271" s="33" t="s">
        <v>100</v>
      </c>
      <c r="E1271" s="33" t="s">
        <v>1619</v>
      </c>
      <c r="F1271" s="35">
        <v>0.25</v>
      </c>
      <c r="G1271" s="40">
        <v>0</v>
      </c>
      <c r="H1271" s="40">
        <v>0</v>
      </c>
      <c r="I1271" s="40">
        <v>0</v>
      </c>
      <c r="J1271" s="40">
        <v>0</v>
      </c>
      <c r="K1271" s="40">
        <v>0</v>
      </c>
      <c r="L1271" s="40">
        <v>0</v>
      </c>
      <c r="M1271" s="40" cm="1">
        <f t="array" ref="M1271:N1271">VLOOKUP(B1271,'Fumigation  Room'!B:H,{6,7},0)</f>
        <v>0</v>
      </c>
      <c r="N1271" s="40">
        <v>0</v>
      </c>
      <c r="O1271" s="40">
        <f t="shared" si="39"/>
        <v>0</v>
      </c>
      <c r="P1271" s="40">
        <f t="shared" si="40"/>
        <v>0</v>
      </c>
    </row>
    <row r="1272" spans="1:16" x14ac:dyDescent="0.35">
      <c r="A1272" s="33">
        <v>1269</v>
      </c>
      <c r="B1272" s="34" t="s">
        <v>1658</v>
      </c>
      <c r="C1272" s="33" t="s">
        <v>346</v>
      </c>
      <c r="D1272" s="33" t="s">
        <v>100</v>
      </c>
      <c r="E1272" s="33" t="s">
        <v>1619</v>
      </c>
      <c r="F1272" s="35">
        <v>0.55000000000000004</v>
      </c>
      <c r="G1272" s="40">
        <v>0</v>
      </c>
      <c r="H1272" s="40">
        <v>0</v>
      </c>
      <c r="I1272" s="40">
        <v>0</v>
      </c>
      <c r="J1272" s="40">
        <v>0</v>
      </c>
      <c r="K1272" s="40">
        <v>0</v>
      </c>
      <c r="L1272" s="40">
        <v>0</v>
      </c>
      <c r="M1272" s="40" cm="1">
        <f t="array" ref="M1272:N1272">VLOOKUP(B1272,'Fumigation  Room'!B:H,{6,7},0)</f>
        <v>0</v>
      </c>
      <c r="N1272" s="40">
        <v>0</v>
      </c>
      <c r="O1272" s="40">
        <f t="shared" si="39"/>
        <v>0</v>
      </c>
      <c r="P1272" s="40">
        <f t="shared" si="40"/>
        <v>0</v>
      </c>
    </row>
    <row r="1273" spans="1:16" x14ac:dyDescent="0.35">
      <c r="A1273" s="33">
        <v>1270</v>
      </c>
      <c r="B1273" s="34" t="s">
        <v>1659</v>
      </c>
      <c r="C1273" s="33" t="s">
        <v>346</v>
      </c>
      <c r="D1273" s="33" t="s">
        <v>100</v>
      </c>
      <c r="E1273" s="33" t="s">
        <v>1619</v>
      </c>
      <c r="F1273" s="35">
        <v>0.25</v>
      </c>
      <c r="G1273" s="40">
        <v>0</v>
      </c>
      <c r="H1273" s="40">
        <v>0</v>
      </c>
      <c r="I1273" s="40">
        <v>0</v>
      </c>
      <c r="J1273" s="40">
        <v>0</v>
      </c>
      <c r="K1273" s="40">
        <v>0</v>
      </c>
      <c r="L1273" s="40">
        <v>0</v>
      </c>
      <c r="M1273" s="40" cm="1">
        <f t="array" ref="M1273:N1273">VLOOKUP(B1273,'Fumigation  Room'!B:H,{6,7},0)</f>
        <v>0</v>
      </c>
      <c r="N1273" s="40">
        <v>0</v>
      </c>
      <c r="O1273" s="40">
        <f t="shared" si="39"/>
        <v>0</v>
      </c>
      <c r="P1273" s="40">
        <f t="shared" si="40"/>
        <v>0</v>
      </c>
    </row>
    <row r="1274" spans="1:16" x14ac:dyDescent="0.35">
      <c r="A1274" s="33">
        <v>1271</v>
      </c>
      <c r="B1274" s="34" t="s">
        <v>1660</v>
      </c>
      <c r="C1274" s="33" t="s">
        <v>346</v>
      </c>
      <c r="D1274" s="33" t="s">
        <v>100</v>
      </c>
      <c r="E1274" s="33" t="s">
        <v>1619</v>
      </c>
      <c r="F1274" s="35">
        <v>1</v>
      </c>
      <c r="G1274" s="40">
        <v>0</v>
      </c>
      <c r="H1274" s="40">
        <v>0</v>
      </c>
      <c r="I1274" s="40">
        <v>0</v>
      </c>
      <c r="J1274" s="40">
        <v>0</v>
      </c>
      <c r="K1274" s="40">
        <v>0</v>
      </c>
      <c r="L1274" s="40">
        <v>0</v>
      </c>
      <c r="M1274" s="40" cm="1">
        <f t="array" ref="M1274:N1274">VLOOKUP(B1274,'Fumigation  Room'!B:H,{6,7},0)</f>
        <v>0</v>
      </c>
      <c r="N1274" s="40">
        <v>0</v>
      </c>
      <c r="O1274" s="40">
        <f t="shared" si="39"/>
        <v>0</v>
      </c>
      <c r="P1274" s="40">
        <f t="shared" si="40"/>
        <v>0</v>
      </c>
    </row>
    <row r="1275" spans="1:16" x14ac:dyDescent="0.35">
      <c r="A1275" s="33">
        <v>1272</v>
      </c>
      <c r="B1275" s="34" t="s">
        <v>1661</v>
      </c>
      <c r="C1275" s="33" t="s">
        <v>346</v>
      </c>
      <c r="D1275" s="33" t="s">
        <v>100</v>
      </c>
      <c r="E1275" s="33" t="s">
        <v>1619</v>
      </c>
      <c r="F1275" s="35">
        <v>0.25</v>
      </c>
      <c r="G1275" s="40">
        <v>0</v>
      </c>
      <c r="H1275" s="40">
        <v>0</v>
      </c>
      <c r="I1275" s="40">
        <v>0</v>
      </c>
      <c r="J1275" s="40">
        <v>0</v>
      </c>
      <c r="K1275" s="40">
        <v>0</v>
      </c>
      <c r="L1275" s="40">
        <v>0</v>
      </c>
      <c r="M1275" s="40" cm="1">
        <f t="array" ref="M1275:N1275">VLOOKUP(B1275,'Fumigation  Room'!B:H,{6,7},0)</f>
        <v>0</v>
      </c>
      <c r="N1275" s="40">
        <v>0</v>
      </c>
      <c r="O1275" s="40">
        <f t="shared" si="39"/>
        <v>0</v>
      </c>
      <c r="P1275" s="40">
        <f t="shared" si="40"/>
        <v>0</v>
      </c>
    </row>
    <row r="1276" spans="1:16" x14ac:dyDescent="0.35">
      <c r="A1276" s="33">
        <v>1273</v>
      </c>
      <c r="B1276" s="34" t="s">
        <v>1662</v>
      </c>
      <c r="C1276" s="33" t="s">
        <v>346</v>
      </c>
      <c r="D1276" s="33" t="s">
        <v>100</v>
      </c>
      <c r="E1276" s="33" t="s">
        <v>1619</v>
      </c>
      <c r="F1276" s="35">
        <v>0.05</v>
      </c>
      <c r="G1276" s="40">
        <v>0</v>
      </c>
      <c r="H1276" s="40">
        <v>0</v>
      </c>
      <c r="I1276" s="40">
        <v>0</v>
      </c>
      <c r="J1276" s="40">
        <v>0</v>
      </c>
      <c r="K1276" s="40">
        <v>0</v>
      </c>
      <c r="L1276" s="40">
        <v>0</v>
      </c>
      <c r="M1276" s="40" cm="1">
        <f t="array" ref="M1276:N1276">VLOOKUP(B1276,'Fumigation  Room'!B:H,{6,7},0)</f>
        <v>0</v>
      </c>
      <c r="N1276" s="40">
        <v>0</v>
      </c>
      <c r="O1276" s="40">
        <f t="shared" si="39"/>
        <v>0</v>
      </c>
      <c r="P1276" s="40">
        <f t="shared" si="40"/>
        <v>0</v>
      </c>
    </row>
    <row r="1277" spans="1:16" x14ac:dyDescent="0.35">
      <c r="A1277" s="33">
        <v>1274</v>
      </c>
      <c r="B1277" s="34" t="s">
        <v>1622</v>
      </c>
      <c r="C1277" s="33" t="s">
        <v>297</v>
      </c>
      <c r="D1277" s="33" t="s">
        <v>100</v>
      </c>
      <c r="E1277" s="33" t="s">
        <v>1623</v>
      </c>
      <c r="F1277" s="35">
        <v>1</v>
      </c>
      <c r="G1277" s="40">
        <v>0</v>
      </c>
      <c r="H1277" s="40">
        <v>0</v>
      </c>
      <c r="I1277" s="40">
        <v>0</v>
      </c>
      <c r="J1277" s="40">
        <v>0</v>
      </c>
      <c r="K1277" s="40">
        <v>0</v>
      </c>
      <c r="L1277" s="40">
        <v>0</v>
      </c>
      <c r="M1277" s="40" cm="1">
        <f t="array" ref="M1277:N1277">VLOOKUP(B1277,'Fumigation  Room'!B:H,{6,7},0)</f>
        <v>0</v>
      </c>
      <c r="N1277" s="40">
        <v>0</v>
      </c>
      <c r="O1277" s="40">
        <f t="shared" si="39"/>
        <v>0</v>
      </c>
      <c r="P1277" s="40">
        <f t="shared" si="40"/>
        <v>0</v>
      </c>
    </row>
    <row r="1278" spans="1:16" x14ac:dyDescent="0.35">
      <c r="A1278" s="33">
        <v>1275</v>
      </c>
      <c r="B1278" s="34" t="s">
        <v>1624</v>
      </c>
      <c r="C1278" s="33" t="s">
        <v>297</v>
      </c>
      <c r="D1278" s="33" t="s">
        <v>100</v>
      </c>
      <c r="E1278" s="33" t="s">
        <v>1623</v>
      </c>
      <c r="F1278" s="35">
        <v>1</v>
      </c>
      <c r="G1278" s="40">
        <v>0</v>
      </c>
      <c r="H1278" s="40">
        <v>0</v>
      </c>
      <c r="I1278" s="40">
        <v>0</v>
      </c>
      <c r="J1278" s="40">
        <v>0</v>
      </c>
      <c r="K1278" s="40">
        <v>0</v>
      </c>
      <c r="L1278" s="40">
        <v>0</v>
      </c>
      <c r="M1278" s="40" cm="1">
        <f t="array" ref="M1278:N1278">VLOOKUP(B1278,'Fumigation  Room'!B:H,{6,7},0)</f>
        <v>0</v>
      </c>
      <c r="N1278" s="40">
        <v>0</v>
      </c>
      <c r="O1278" s="40">
        <f t="shared" si="39"/>
        <v>0</v>
      </c>
      <c r="P1278" s="40">
        <f t="shared" si="40"/>
        <v>0</v>
      </c>
    </row>
    <row r="1279" spans="1:16" x14ac:dyDescent="0.35">
      <c r="A1279" s="33">
        <v>1276</v>
      </c>
      <c r="B1279" s="34" t="s">
        <v>1625</v>
      </c>
      <c r="C1279" s="33" t="s">
        <v>297</v>
      </c>
      <c r="D1279" s="33" t="s">
        <v>100</v>
      </c>
      <c r="E1279" s="33" t="s">
        <v>1623</v>
      </c>
      <c r="F1279" s="35">
        <v>1</v>
      </c>
      <c r="G1279" s="40">
        <v>0</v>
      </c>
      <c r="H1279" s="40">
        <v>0</v>
      </c>
      <c r="I1279" s="40">
        <v>0</v>
      </c>
      <c r="J1279" s="40">
        <v>0</v>
      </c>
      <c r="K1279" s="40">
        <v>0</v>
      </c>
      <c r="L1279" s="40">
        <v>0</v>
      </c>
      <c r="M1279" s="40" cm="1">
        <f t="array" ref="M1279:N1279">VLOOKUP(B1279,'Fumigation  Room'!B:H,{6,7},0)</f>
        <v>0</v>
      </c>
      <c r="N1279" s="40">
        <v>0</v>
      </c>
      <c r="O1279" s="40">
        <f t="shared" si="39"/>
        <v>0</v>
      </c>
      <c r="P1279" s="40">
        <f t="shared" si="40"/>
        <v>0</v>
      </c>
    </row>
    <row r="1280" spans="1:16" x14ac:dyDescent="0.35">
      <c r="A1280" s="33">
        <v>1277</v>
      </c>
      <c r="B1280" s="34" t="s">
        <v>1626</v>
      </c>
      <c r="C1280" s="33" t="s">
        <v>297</v>
      </c>
      <c r="D1280" s="33" t="s">
        <v>100</v>
      </c>
      <c r="E1280" s="33" t="s">
        <v>1623</v>
      </c>
      <c r="F1280" s="35">
        <v>1</v>
      </c>
      <c r="G1280" s="40">
        <v>0</v>
      </c>
      <c r="H1280" s="40">
        <v>0</v>
      </c>
      <c r="I1280" s="40">
        <v>0</v>
      </c>
      <c r="J1280" s="40">
        <v>0</v>
      </c>
      <c r="K1280" s="40">
        <v>0</v>
      </c>
      <c r="L1280" s="40">
        <v>0</v>
      </c>
      <c r="M1280" s="40" cm="1">
        <f t="array" ref="M1280:N1280">VLOOKUP(B1280,'Fumigation  Room'!B:H,{6,7},0)</f>
        <v>0</v>
      </c>
      <c r="N1280" s="40">
        <v>0</v>
      </c>
      <c r="O1280" s="40">
        <f t="shared" si="39"/>
        <v>0</v>
      </c>
      <c r="P1280" s="40">
        <f t="shared" si="40"/>
        <v>0</v>
      </c>
    </row>
    <row r="1281" spans="1:16" x14ac:dyDescent="0.35">
      <c r="A1281" s="33">
        <v>1278</v>
      </c>
      <c r="B1281" s="34" t="s">
        <v>1627</v>
      </c>
      <c r="C1281" s="33" t="s">
        <v>297</v>
      </c>
      <c r="D1281" s="33" t="s">
        <v>100</v>
      </c>
      <c r="E1281" s="33" t="s">
        <v>1623</v>
      </c>
      <c r="F1281" s="35">
        <v>1</v>
      </c>
      <c r="G1281" s="40">
        <v>0</v>
      </c>
      <c r="H1281" s="40">
        <v>0</v>
      </c>
      <c r="I1281" s="40">
        <v>0</v>
      </c>
      <c r="J1281" s="40">
        <v>0</v>
      </c>
      <c r="K1281" s="40">
        <v>0</v>
      </c>
      <c r="L1281" s="40">
        <v>0</v>
      </c>
      <c r="M1281" s="40" cm="1">
        <f t="array" ref="M1281:N1281">VLOOKUP(B1281,'Fumigation  Room'!B:H,{6,7},0)</f>
        <v>0</v>
      </c>
      <c r="N1281" s="40">
        <v>0</v>
      </c>
      <c r="O1281" s="40">
        <f t="shared" si="39"/>
        <v>0</v>
      </c>
      <c r="P1281" s="40">
        <f t="shared" si="40"/>
        <v>0</v>
      </c>
    </row>
    <row r="1282" spans="1:16" x14ac:dyDescent="0.35">
      <c r="A1282" s="33">
        <v>1279</v>
      </c>
      <c r="B1282" s="34" t="s">
        <v>1628</v>
      </c>
      <c r="C1282" s="33" t="s">
        <v>297</v>
      </c>
      <c r="D1282" s="33" t="s">
        <v>100</v>
      </c>
      <c r="E1282" s="33" t="s">
        <v>1623</v>
      </c>
      <c r="F1282" s="35">
        <v>1</v>
      </c>
      <c r="G1282" s="40">
        <v>0</v>
      </c>
      <c r="H1282" s="40">
        <v>0</v>
      </c>
      <c r="I1282" s="40">
        <v>0</v>
      </c>
      <c r="J1282" s="40">
        <v>0</v>
      </c>
      <c r="K1282" s="40">
        <v>0</v>
      </c>
      <c r="L1282" s="40">
        <v>0</v>
      </c>
      <c r="M1282" s="40" cm="1">
        <f t="array" ref="M1282:N1282">VLOOKUP(B1282,'Fumigation  Room'!B:H,{6,7},0)</f>
        <v>0</v>
      </c>
      <c r="N1282" s="40">
        <v>0</v>
      </c>
      <c r="O1282" s="40">
        <f t="shared" si="39"/>
        <v>0</v>
      </c>
      <c r="P1282" s="40">
        <f t="shared" si="40"/>
        <v>0</v>
      </c>
    </row>
    <row r="1283" spans="1:16" x14ac:dyDescent="0.35">
      <c r="A1283" s="33">
        <v>1280</v>
      </c>
      <c r="B1283" s="34" t="s">
        <v>1629</v>
      </c>
      <c r="C1283" s="33" t="s">
        <v>297</v>
      </c>
      <c r="D1283" s="33" t="s">
        <v>100</v>
      </c>
      <c r="E1283" s="33" t="s">
        <v>1623</v>
      </c>
      <c r="F1283" s="35">
        <v>1</v>
      </c>
      <c r="G1283" s="40">
        <v>0</v>
      </c>
      <c r="H1283" s="40">
        <v>0</v>
      </c>
      <c r="I1283" s="40">
        <v>0</v>
      </c>
      <c r="J1283" s="40">
        <v>0</v>
      </c>
      <c r="K1283" s="40">
        <v>0</v>
      </c>
      <c r="L1283" s="40">
        <v>0</v>
      </c>
      <c r="M1283" s="40" cm="1">
        <f t="array" ref="M1283:N1283">VLOOKUP(B1283,'Fumigation  Room'!B:H,{6,7},0)</f>
        <v>0</v>
      </c>
      <c r="N1283" s="40">
        <v>0</v>
      </c>
      <c r="O1283" s="40">
        <f t="shared" si="39"/>
        <v>0</v>
      </c>
      <c r="P1283" s="40">
        <f t="shared" si="40"/>
        <v>0</v>
      </c>
    </row>
    <row r="1284" spans="1:16" x14ac:dyDescent="0.35">
      <c r="A1284" s="33">
        <v>1281</v>
      </c>
      <c r="B1284" s="34" t="s">
        <v>1630</v>
      </c>
      <c r="C1284" s="33" t="s">
        <v>297</v>
      </c>
      <c r="D1284" s="33" t="s">
        <v>100</v>
      </c>
      <c r="E1284" s="33" t="s">
        <v>1623</v>
      </c>
      <c r="F1284" s="35">
        <v>1</v>
      </c>
      <c r="G1284" s="40">
        <v>0</v>
      </c>
      <c r="H1284" s="40">
        <v>0</v>
      </c>
      <c r="I1284" s="40">
        <v>0</v>
      </c>
      <c r="J1284" s="40">
        <v>0</v>
      </c>
      <c r="K1284" s="40">
        <v>0</v>
      </c>
      <c r="L1284" s="40">
        <v>0</v>
      </c>
      <c r="M1284" s="40" cm="1">
        <f t="array" ref="M1284:N1284">VLOOKUP(B1284,'Fumigation  Room'!B:H,{6,7},0)</f>
        <v>0</v>
      </c>
      <c r="N1284" s="40">
        <v>0</v>
      </c>
      <c r="O1284" s="40">
        <f t="shared" si="39"/>
        <v>0</v>
      </c>
      <c r="P1284" s="40">
        <f t="shared" si="40"/>
        <v>0</v>
      </c>
    </row>
    <row r="1285" spans="1:16" x14ac:dyDescent="0.35">
      <c r="A1285" s="33">
        <v>1282</v>
      </c>
      <c r="B1285" s="34" t="s">
        <v>1631</v>
      </c>
      <c r="C1285" s="33" t="s">
        <v>297</v>
      </c>
      <c r="D1285" s="33" t="s">
        <v>100</v>
      </c>
      <c r="E1285" s="33" t="s">
        <v>1623</v>
      </c>
      <c r="F1285" s="35">
        <v>1</v>
      </c>
      <c r="G1285" s="40">
        <v>0</v>
      </c>
      <c r="H1285" s="40">
        <v>0</v>
      </c>
      <c r="I1285" s="40">
        <v>0</v>
      </c>
      <c r="J1285" s="40">
        <v>0</v>
      </c>
      <c r="K1285" s="40">
        <v>0</v>
      </c>
      <c r="L1285" s="40">
        <v>0</v>
      </c>
      <c r="M1285" s="40" cm="1">
        <f t="array" ref="M1285:N1285">VLOOKUP(B1285,'Fumigation  Room'!B:H,{6,7},0)</f>
        <v>0</v>
      </c>
      <c r="N1285" s="40">
        <v>0</v>
      </c>
      <c r="O1285" s="40">
        <f t="shared" ref="O1285:O1348" si="41">G1285+I1285+K1285+M1285</f>
        <v>0</v>
      </c>
      <c r="P1285" s="40">
        <f t="shared" ref="P1285:P1348" si="42">H1285+J1285+L1285+N1285</f>
        <v>0</v>
      </c>
    </row>
    <row r="1286" spans="1:16" x14ac:dyDescent="0.35">
      <c r="A1286" s="33">
        <v>1283</v>
      </c>
      <c r="B1286" s="34" t="s">
        <v>1632</v>
      </c>
      <c r="C1286" s="33" t="s">
        <v>297</v>
      </c>
      <c r="D1286" s="33" t="s">
        <v>100</v>
      </c>
      <c r="E1286" s="33" t="s">
        <v>1623</v>
      </c>
      <c r="F1286" s="35">
        <v>1</v>
      </c>
      <c r="G1286" s="40">
        <v>0</v>
      </c>
      <c r="H1286" s="40">
        <v>0</v>
      </c>
      <c r="I1286" s="40">
        <v>0</v>
      </c>
      <c r="J1286" s="40">
        <v>0</v>
      </c>
      <c r="K1286" s="40">
        <v>0</v>
      </c>
      <c r="L1286" s="40">
        <v>0</v>
      </c>
      <c r="M1286" s="40" cm="1">
        <f t="array" ref="M1286:N1286">VLOOKUP(B1286,'Fumigation  Room'!B:H,{6,7},0)</f>
        <v>0</v>
      </c>
      <c r="N1286" s="40">
        <v>0</v>
      </c>
      <c r="O1286" s="40">
        <f t="shared" si="41"/>
        <v>0</v>
      </c>
      <c r="P1286" s="40">
        <f t="shared" si="42"/>
        <v>0</v>
      </c>
    </row>
    <row r="1287" spans="1:16" x14ac:dyDescent="0.35">
      <c r="A1287" s="33">
        <v>1284</v>
      </c>
      <c r="B1287" s="34" t="s">
        <v>1633</v>
      </c>
      <c r="C1287" s="33" t="s">
        <v>297</v>
      </c>
      <c r="D1287" s="33" t="s">
        <v>100</v>
      </c>
      <c r="E1287" s="33" t="s">
        <v>1623</v>
      </c>
      <c r="F1287" s="35">
        <v>1</v>
      </c>
      <c r="G1287" s="40">
        <v>0</v>
      </c>
      <c r="H1287" s="40">
        <v>0</v>
      </c>
      <c r="I1287" s="40">
        <v>0</v>
      </c>
      <c r="J1287" s="40">
        <v>0</v>
      </c>
      <c r="K1287" s="40">
        <v>0</v>
      </c>
      <c r="L1287" s="40">
        <v>0</v>
      </c>
      <c r="M1287" s="40" cm="1">
        <f t="array" ref="M1287:N1287">VLOOKUP(B1287,'Fumigation  Room'!B:H,{6,7},0)</f>
        <v>0</v>
      </c>
      <c r="N1287" s="40">
        <v>0</v>
      </c>
      <c r="O1287" s="40">
        <f t="shared" si="41"/>
        <v>0</v>
      </c>
      <c r="P1287" s="40">
        <f t="shared" si="42"/>
        <v>0</v>
      </c>
    </row>
    <row r="1288" spans="1:16" x14ac:dyDescent="0.35">
      <c r="A1288" s="33">
        <v>1285</v>
      </c>
      <c r="B1288" s="34" t="s">
        <v>1634</v>
      </c>
      <c r="C1288" s="33" t="s">
        <v>297</v>
      </c>
      <c r="D1288" s="33" t="s">
        <v>100</v>
      </c>
      <c r="E1288" s="33" t="s">
        <v>1623</v>
      </c>
      <c r="F1288" s="35">
        <v>1</v>
      </c>
      <c r="G1288" s="40">
        <v>0</v>
      </c>
      <c r="H1288" s="40">
        <v>0</v>
      </c>
      <c r="I1288" s="40">
        <v>0</v>
      </c>
      <c r="J1288" s="40">
        <v>0</v>
      </c>
      <c r="K1288" s="40">
        <v>0</v>
      </c>
      <c r="L1288" s="40">
        <v>0</v>
      </c>
      <c r="M1288" s="40" cm="1">
        <f t="array" ref="M1288:N1288">VLOOKUP(B1288,'Fumigation  Room'!B:H,{6,7},0)</f>
        <v>0</v>
      </c>
      <c r="N1288" s="40">
        <v>0</v>
      </c>
      <c r="O1288" s="40">
        <f t="shared" si="41"/>
        <v>0</v>
      </c>
      <c r="P1288" s="40">
        <f t="shared" si="42"/>
        <v>0</v>
      </c>
    </row>
    <row r="1289" spans="1:16" x14ac:dyDescent="0.35">
      <c r="A1289" s="33">
        <v>1286</v>
      </c>
      <c r="B1289" s="34" t="s">
        <v>1635</v>
      </c>
      <c r="C1289" s="33" t="s">
        <v>297</v>
      </c>
      <c r="D1289" s="33" t="s">
        <v>100</v>
      </c>
      <c r="E1289" s="33" t="s">
        <v>1623</v>
      </c>
      <c r="F1289" s="35">
        <v>1</v>
      </c>
      <c r="G1289" s="40">
        <v>0</v>
      </c>
      <c r="H1289" s="40">
        <v>0</v>
      </c>
      <c r="I1289" s="40">
        <v>0</v>
      </c>
      <c r="J1289" s="40">
        <v>0</v>
      </c>
      <c r="K1289" s="40">
        <v>0</v>
      </c>
      <c r="L1289" s="40">
        <v>0</v>
      </c>
      <c r="M1289" s="40" cm="1">
        <f t="array" ref="M1289:N1289">VLOOKUP(B1289,'Fumigation  Room'!B:H,{6,7},0)</f>
        <v>0</v>
      </c>
      <c r="N1289" s="40">
        <v>0</v>
      </c>
      <c r="O1289" s="40">
        <f t="shared" si="41"/>
        <v>0</v>
      </c>
      <c r="P1289" s="40">
        <f t="shared" si="42"/>
        <v>0</v>
      </c>
    </row>
    <row r="1290" spans="1:16" x14ac:dyDescent="0.35">
      <c r="A1290" s="33">
        <v>1287</v>
      </c>
      <c r="B1290" s="34" t="s">
        <v>1636</v>
      </c>
      <c r="C1290" s="33" t="s">
        <v>297</v>
      </c>
      <c r="D1290" s="33" t="s">
        <v>100</v>
      </c>
      <c r="E1290" s="33" t="s">
        <v>1623</v>
      </c>
      <c r="F1290" s="35">
        <v>1</v>
      </c>
      <c r="G1290" s="40">
        <v>0</v>
      </c>
      <c r="H1290" s="40">
        <v>0</v>
      </c>
      <c r="I1290" s="40">
        <v>0</v>
      </c>
      <c r="J1290" s="40">
        <v>0</v>
      </c>
      <c r="K1290" s="40">
        <v>0</v>
      </c>
      <c r="L1290" s="40">
        <v>0</v>
      </c>
      <c r="M1290" s="40" cm="1">
        <f t="array" ref="M1290:N1290">VLOOKUP(B1290,'Fumigation  Room'!B:H,{6,7},0)</f>
        <v>0</v>
      </c>
      <c r="N1290" s="40">
        <v>0</v>
      </c>
      <c r="O1290" s="40">
        <f t="shared" si="41"/>
        <v>0</v>
      </c>
      <c r="P1290" s="40">
        <f t="shared" si="42"/>
        <v>0</v>
      </c>
    </row>
    <row r="1291" spans="1:16" x14ac:dyDescent="0.35">
      <c r="A1291" s="33">
        <v>1288</v>
      </c>
      <c r="B1291" s="34" t="s">
        <v>1637</v>
      </c>
      <c r="C1291" s="33" t="s">
        <v>297</v>
      </c>
      <c r="D1291" s="33" t="s">
        <v>100</v>
      </c>
      <c r="E1291" s="33" t="s">
        <v>1623</v>
      </c>
      <c r="F1291" s="35">
        <v>1</v>
      </c>
      <c r="G1291" s="40">
        <v>0</v>
      </c>
      <c r="H1291" s="40">
        <v>0</v>
      </c>
      <c r="I1291" s="40">
        <v>0</v>
      </c>
      <c r="J1291" s="40">
        <v>0</v>
      </c>
      <c r="K1291" s="40">
        <v>0</v>
      </c>
      <c r="L1291" s="40">
        <v>0</v>
      </c>
      <c r="M1291" s="40" cm="1">
        <f t="array" ref="M1291:N1291">VLOOKUP(B1291,'Fumigation  Room'!B:H,{6,7},0)</f>
        <v>0</v>
      </c>
      <c r="N1291" s="40">
        <v>0</v>
      </c>
      <c r="O1291" s="40">
        <f t="shared" si="41"/>
        <v>0</v>
      </c>
      <c r="P1291" s="40">
        <f t="shared" si="42"/>
        <v>0</v>
      </c>
    </row>
    <row r="1292" spans="1:16" x14ac:dyDescent="0.35">
      <c r="A1292" s="33">
        <v>1289</v>
      </c>
      <c r="B1292" s="34" t="s">
        <v>1638</v>
      </c>
      <c r="C1292" s="33" t="s">
        <v>297</v>
      </c>
      <c r="D1292" s="33" t="s">
        <v>100</v>
      </c>
      <c r="E1292" s="33" t="s">
        <v>1623</v>
      </c>
      <c r="F1292" s="35">
        <v>1</v>
      </c>
      <c r="G1292" s="40">
        <v>0</v>
      </c>
      <c r="H1292" s="40">
        <v>0</v>
      </c>
      <c r="I1292" s="40">
        <v>0</v>
      </c>
      <c r="J1292" s="40">
        <v>0</v>
      </c>
      <c r="K1292" s="40">
        <v>0</v>
      </c>
      <c r="L1292" s="40">
        <v>0</v>
      </c>
      <c r="M1292" s="40" cm="1">
        <f t="array" ref="M1292:N1292">VLOOKUP(B1292,'Fumigation  Room'!B:H,{6,7},0)</f>
        <v>0</v>
      </c>
      <c r="N1292" s="40">
        <v>0</v>
      </c>
      <c r="O1292" s="40">
        <f t="shared" si="41"/>
        <v>0</v>
      </c>
      <c r="P1292" s="40">
        <f t="shared" si="42"/>
        <v>0</v>
      </c>
    </row>
    <row r="1293" spans="1:16" x14ac:dyDescent="0.35">
      <c r="A1293" s="33">
        <v>1290</v>
      </c>
      <c r="B1293" s="34" t="s">
        <v>1639</v>
      </c>
      <c r="C1293" s="33" t="s">
        <v>297</v>
      </c>
      <c r="D1293" s="33" t="s">
        <v>100</v>
      </c>
      <c r="E1293" s="33" t="s">
        <v>1623</v>
      </c>
      <c r="F1293" s="35">
        <v>1</v>
      </c>
      <c r="G1293" s="40">
        <v>0</v>
      </c>
      <c r="H1293" s="40">
        <v>0</v>
      </c>
      <c r="I1293" s="40">
        <v>0</v>
      </c>
      <c r="J1293" s="40">
        <v>0</v>
      </c>
      <c r="K1293" s="40">
        <v>0</v>
      </c>
      <c r="L1293" s="40">
        <v>0</v>
      </c>
      <c r="M1293" s="40" cm="1">
        <f t="array" ref="M1293:N1293">VLOOKUP(B1293,'Fumigation  Room'!B:H,{6,7},0)</f>
        <v>0</v>
      </c>
      <c r="N1293" s="40">
        <v>0</v>
      </c>
      <c r="O1293" s="40">
        <f t="shared" si="41"/>
        <v>0</v>
      </c>
      <c r="P1293" s="40">
        <f t="shared" si="42"/>
        <v>0</v>
      </c>
    </row>
    <row r="1294" spans="1:16" x14ac:dyDescent="0.35">
      <c r="A1294" s="33">
        <v>1291</v>
      </c>
      <c r="B1294" s="34" t="s">
        <v>1640</v>
      </c>
      <c r="C1294" s="33" t="s">
        <v>297</v>
      </c>
      <c r="D1294" s="33" t="s">
        <v>100</v>
      </c>
      <c r="E1294" s="33" t="s">
        <v>1623</v>
      </c>
      <c r="F1294" s="35">
        <v>1</v>
      </c>
      <c r="G1294" s="40">
        <v>0</v>
      </c>
      <c r="H1294" s="40">
        <v>0</v>
      </c>
      <c r="I1294" s="40">
        <v>0</v>
      </c>
      <c r="J1294" s="40">
        <v>0</v>
      </c>
      <c r="K1294" s="40">
        <v>0</v>
      </c>
      <c r="L1294" s="40">
        <v>0</v>
      </c>
      <c r="M1294" s="40" cm="1">
        <f t="array" ref="M1294:N1294">VLOOKUP(B1294,'Fumigation  Room'!B:H,{6,7},0)</f>
        <v>0</v>
      </c>
      <c r="N1294" s="40">
        <v>0</v>
      </c>
      <c r="O1294" s="40">
        <f t="shared" si="41"/>
        <v>0</v>
      </c>
      <c r="P1294" s="40">
        <f t="shared" si="42"/>
        <v>0</v>
      </c>
    </row>
    <row r="1295" spans="1:16" x14ac:dyDescent="0.35">
      <c r="A1295" s="33">
        <v>1292</v>
      </c>
      <c r="B1295" s="34" t="s">
        <v>1663</v>
      </c>
      <c r="C1295" s="33" t="s">
        <v>346</v>
      </c>
      <c r="D1295" s="33" t="s">
        <v>100</v>
      </c>
      <c r="E1295" s="33" t="s">
        <v>1623</v>
      </c>
      <c r="F1295" s="35">
        <v>0.1</v>
      </c>
      <c r="G1295" s="40">
        <v>0</v>
      </c>
      <c r="H1295" s="40">
        <v>0</v>
      </c>
      <c r="I1295" s="40">
        <v>0</v>
      </c>
      <c r="J1295" s="40">
        <v>0</v>
      </c>
      <c r="K1295" s="40">
        <v>0</v>
      </c>
      <c r="L1295" s="40">
        <v>0</v>
      </c>
      <c r="M1295" s="40" cm="1">
        <f t="array" ref="M1295:N1295">VLOOKUP(B1295,'Fumigation  Room'!B:H,{6,7},0)</f>
        <v>0</v>
      </c>
      <c r="N1295" s="40">
        <v>0</v>
      </c>
      <c r="O1295" s="40">
        <f t="shared" si="41"/>
        <v>0</v>
      </c>
      <c r="P1295" s="40">
        <f t="shared" si="42"/>
        <v>0</v>
      </c>
    </row>
    <row r="1296" spans="1:16" x14ac:dyDescent="0.35">
      <c r="A1296" s="33">
        <v>1293</v>
      </c>
      <c r="B1296" s="34" t="s">
        <v>1664</v>
      </c>
      <c r="C1296" s="33" t="s">
        <v>346</v>
      </c>
      <c r="D1296" s="33" t="s">
        <v>100</v>
      </c>
      <c r="E1296" s="33" t="s">
        <v>1623</v>
      </c>
      <c r="F1296" s="35">
        <v>0.1</v>
      </c>
      <c r="G1296" s="40">
        <v>0</v>
      </c>
      <c r="H1296" s="40">
        <v>0</v>
      </c>
      <c r="I1296" s="40">
        <v>0</v>
      </c>
      <c r="J1296" s="40">
        <v>0</v>
      </c>
      <c r="K1296" s="40">
        <v>0</v>
      </c>
      <c r="L1296" s="40">
        <v>0</v>
      </c>
      <c r="M1296" s="40" cm="1">
        <f t="array" ref="M1296:N1296">VLOOKUP(B1296,'Fumigation  Room'!B:H,{6,7},0)</f>
        <v>0</v>
      </c>
      <c r="N1296" s="40">
        <v>0</v>
      </c>
      <c r="O1296" s="40">
        <f t="shared" si="41"/>
        <v>0</v>
      </c>
      <c r="P1296" s="40">
        <f t="shared" si="42"/>
        <v>0</v>
      </c>
    </row>
    <row r="1297" spans="1:16" x14ac:dyDescent="0.35">
      <c r="A1297" s="33">
        <v>1294</v>
      </c>
      <c r="B1297" s="34" t="s">
        <v>1665</v>
      </c>
      <c r="C1297" s="33" t="s">
        <v>346</v>
      </c>
      <c r="D1297" s="33" t="s">
        <v>100</v>
      </c>
      <c r="E1297" s="33" t="s">
        <v>1623</v>
      </c>
      <c r="F1297" s="35">
        <v>0.1</v>
      </c>
      <c r="G1297" s="40">
        <v>0</v>
      </c>
      <c r="H1297" s="40">
        <v>0</v>
      </c>
      <c r="I1297" s="40">
        <v>0</v>
      </c>
      <c r="J1297" s="40">
        <v>0</v>
      </c>
      <c r="K1297" s="40">
        <v>0</v>
      </c>
      <c r="L1297" s="40">
        <v>0</v>
      </c>
      <c r="M1297" s="40" cm="1">
        <f t="array" ref="M1297:N1297">VLOOKUP(B1297,'Fumigation  Room'!B:H,{6,7},0)</f>
        <v>0</v>
      </c>
      <c r="N1297" s="40">
        <v>0</v>
      </c>
      <c r="O1297" s="40">
        <f t="shared" si="41"/>
        <v>0</v>
      </c>
      <c r="P1297" s="40">
        <f t="shared" si="42"/>
        <v>0</v>
      </c>
    </row>
    <row r="1298" spans="1:16" x14ac:dyDescent="0.35">
      <c r="A1298" s="33">
        <v>1295</v>
      </c>
      <c r="B1298" s="34" t="s">
        <v>1666</v>
      </c>
      <c r="C1298" s="33" t="s">
        <v>346</v>
      </c>
      <c r="D1298" s="33" t="s">
        <v>100</v>
      </c>
      <c r="E1298" s="33" t="s">
        <v>1623</v>
      </c>
      <c r="F1298" s="35">
        <v>0.1</v>
      </c>
      <c r="G1298" s="40">
        <v>0</v>
      </c>
      <c r="H1298" s="40">
        <v>0</v>
      </c>
      <c r="I1298" s="40">
        <v>0</v>
      </c>
      <c r="J1298" s="40">
        <v>0</v>
      </c>
      <c r="K1298" s="40">
        <v>0</v>
      </c>
      <c r="L1298" s="40">
        <v>0</v>
      </c>
      <c r="M1298" s="40" cm="1">
        <f t="array" ref="M1298:N1298">VLOOKUP(B1298,'Fumigation  Room'!B:H,{6,7},0)</f>
        <v>0</v>
      </c>
      <c r="N1298" s="40">
        <v>0</v>
      </c>
      <c r="O1298" s="40">
        <f t="shared" si="41"/>
        <v>0</v>
      </c>
      <c r="P1298" s="40">
        <f t="shared" si="42"/>
        <v>0</v>
      </c>
    </row>
    <row r="1299" spans="1:16" x14ac:dyDescent="0.35">
      <c r="A1299" s="33">
        <v>1296</v>
      </c>
      <c r="B1299" s="34" t="s">
        <v>1667</v>
      </c>
      <c r="C1299" s="33" t="s">
        <v>346</v>
      </c>
      <c r="D1299" s="33" t="s">
        <v>100</v>
      </c>
      <c r="E1299" s="33" t="s">
        <v>1623</v>
      </c>
      <c r="F1299" s="35">
        <v>1</v>
      </c>
      <c r="G1299" s="40">
        <v>0</v>
      </c>
      <c r="H1299" s="40">
        <v>0</v>
      </c>
      <c r="I1299" s="40">
        <v>0</v>
      </c>
      <c r="J1299" s="40">
        <v>0</v>
      </c>
      <c r="K1299" s="40">
        <v>0</v>
      </c>
      <c r="L1299" s="40">
        <v>0</v>
      </c>
      <c r="M1299" s="40" cm="1">
        <f t="array" ref="M1299:N1299">VLOOKUP(B1299,'Fumigation  Room'!B:H,{6,7},0)</f>
        <v>0</v>
      </c>
      <c r="N1299" s="40">
        <v>0</v>
      </c>
      <c r="O1299" s="40">
        <f t="shared" si="41"/>
        <v>0</v>
      </c>
      <c r="P1299" s="40">
        <f t="shared" si="42"/>
        <v>0</v>
      </c>
    </row>
    <row r="1300" spans="1:16" x14ac:dyDescent="0.35">
      <c r="A1300" s="33">
        <v>1297</v>
      </c>
      <c r="B1300" s="34" t="s">
        <v>1668</v>
      </c>
      <c r="C1300" s="33" t="s">
        <v>346</v>
      </c>
      <c r="D1300" s="33" t="s">
        <v>100</v>
      </c>
      <c r="E1300" s="33" t="s">
        <v>1623</v>
      </c>
      <c r="F1300" s="35">
        <v>1</v>
      </c>
      <c r="G1300" s="40">
        <v>0</v>
      </c>
      <c r="H1300" s="40">
        <v>0</v>
      </c>
      <c r="I1300" s="40">
        <v>0</v>
      </c>
      <c r="J1300" s="40">
        <v>0</v>
      </c>
      <c r="K1300" s="40">
        <v>0</v>
      </c>
      <c r="L1300" s="40">
        <v>0</v>
      </c>
      <c r="M1300" s="40" cm="1">
        <f t="array" ref="M1300:N1300">VLOOKUP(B1300,'Fumigation  Room'!B:H,{6,7},0)</f>
        <v>0</v>
      </c>
      <c r="N1300" s="40">
        <v>0</v>
      </c>
      <c r="O1300" s="40">
        <f t="shared" si="41"/>
        <v>0</v>
      </c>
      <c r="P1300" s="40">
        <f t="shared" si="42"/>
        <v>0</v>
      </c>
    </row>
    <row r="1301" spans="1:16" x14ac:dyDescent="0.35">
      <c r="A1301" s="33">
        <v>1298</v>
      </c>
      <c r="B1301" s="34" t="s">
        <v>1669</v>
      </c>
      <c r="C1301" s="33" t="s">
        <v>346</v>
      </c>
      <c r="D1301" s="33" t="s">
        <v>100</v>
      </c>
      <c r="E1301" s="33" t="s">
        <v>1623</v>
      </c>
      <c r="F1301" s="35">
        <v>0.25</v>
      </c>
      <c r="G1301" s="40">
        <v>0</v>
      </c>
      <c r="H1301" s="40">
        <v>0</v>
      </c>
      <c r="I1301" s="40">
        <v>0</v>
      </c>
      <c r="J1301" s="40">
        <v>0</v>
      </c>
      <c r="K1301" s="40">
        <v>0</v>
      </c>
      <c r="L1301" s="40">
        <v>0</v>
      </c>
      <c r="M1301" s="40" cm="1">
        <f t="array" ref="M1301:N1301">VLOOKUP(B1301,'Fumigation  Room'!B:H,{6,7},0)</f>
        <v>0</v>
      </c>
      <c r="N1301" s="40">
        <v>0</v>
      </c>
      <c r="O1301" s="40">
        <f t="shared" si="41"/>
        <v>0</v>
      </c>
      <c r="P1301" s="40">
        <f t="shared" si="42"/>
        <v>0</v>
      </c>
    </row>
    <row r="1302" spans="1:16" x14ac:dyDescent="0.35">
      <c r="A1302" s="33">
        <v>1299</v>
      </c>
      <c r="B1302" s="34" t="s">
        <v>1670</v>
      </c>
      <c r="C1302" s="33" t="s">
        <v>346</v>
      </c>
      <c r="D1302" s="33" t="s">
        <v>100</v>
      </c>
      <c r="E1302" s="33" t="s">
        <v>1623</v>
      </c>
      <c r="F1302" s="35">
        <v>0.2</v>
      </c>
      <c r="G1302" s="40">
        <v>0</v>
      </c>
      <c r="H1302" s="40">
        <v>0</v>
      </c>
      <c r="I1302" s="40">
        <v>0</v>
      </c>
      <c r="J1302" s="40">
        <v>0</v>
      </c>
      <c r="K1302" s="40">
        <v>0</v>
      </c>
      <c r="L1302" s="40">
        <v>0</v>
      </c>
      <c r="M1302" s="40" cm="1">
        <f t="array" ref="M1302:N1302">VLOOKUP(B1302,'Fumigation  Room'!B:H,{6,7},0)</f>
        <v>0</v>
      </c>
      <c r="N1302" s="40">
        <v>0</v>
      </c>
      <c r="O1302" s="40">
        <f t="shared" si="41"/>
        <v>0</v>
      </c>
      <c r="P1302" s="40">
        <f t="shared" si="42"/>
        <v>0</v>
      </c>
    </row>
    <row r="1303" spans="1:16" x14ac:dyDescent="0.35">
      <c r="A1303" s="33">
        <v>1300</v>
      </c>
      <c r="B1303" s="34" t="s">
        <v>1671</v>
      </c>
      <c r="C1303" s="33" t="s">
        <v>346</v>
      </c>
      <c r="D1303" s="33" t="s">
        <v>100</v>
      </c>
      <c r="E1303" s="33" t="s">
        <v>1623</v>
      </c>
      <c r="F1303" s="35">
        <v>0.25</v>
      </c>
      <c r="G1303" s="40">
        <v>0</v>
      </c>
      <c r="H1303" s="40">
        <v>0</v>
      </c>
      <c r="I1303" s="40">
        <v>0</v>
      </c>
      <c r="J1303" s="40">
        <v>0</v>
      </c>
      <c r="K1303" s="40">
        <v>0</v>
      </c>
      <c r="L1303" s="40">
        <v>0</v>
      </c>
      <c r="M1303" s="40" cm="1">
        <f t="array" ref="M1303:N1303">VLOOKUP(B1303,'Fumigation  Room'!B:H,{6,7},0)</f>
        <v>0</v>
      </c>
      <c r="N1303" s="40">
        <v>0</v>
      </c>
      <c r="O1303" s="40">
        <f t="shared" si="41"/>
        <v>0</v>
      </c>
      <c r="P1303" s="40">
        <f t="shared" si="42"/>
        <v>0</v>
      </c>
    </row>
    <row r="1304" spans="1:16" x14ac:dyDescent="0.35">
      <c r="A1304" s="33">
        <v>1301</v>
      </c>
      <c r="B1304" s="34" t="s">
        <v>1672</v>
      </c>
      <c r="C1304" s="33" t="s">
        <v>346</v>
      </c>
      <c r="D1304" s="33" t="s">
        <v>100</v>
      </c>
      <c r="E1304" s="33" t="s">
        <v>1623</v>
      </c>
      <c r="F1304" s="35">
        <v>0.1</v>
      </c>
      <c r="G1304" s="40">
        <v>0</v>
      </c>
      <c r="H1304" s="40">
        <v>0</v>
      </c>
      <c r="I1304" s="40">
        <v>0</v>
      </c>
      <c r="J1304" s="40">
        <v>0</v>
      </c>
      <c r="K1304" s="40">
        <v>0</v>
      </c>
      <c r="L1304" s="40">
        <v>0</v>
      </c>
      <c r="M1304" s="40" cm="1">
        <f t="array" ref="M1304:N1304">VLOOKUP(B1304,'Fumigation  Room'!B:H,{6,7},0)</f>
        <v>0</v>
      </c>
      <c r="N1304" s="40">
        <v>0</v>
      </c>
      <c r="O1304" s="40">
        <f t="shared" si="41"/>
        <v>0</v>
      </c>
      <c r="P1304" s="40">
        <f t="shared" si="42"/>
        <v>0</v>
      </c>
    </row>
    <row r="1305" spans="1:16" x14ac:dyDescent="0.35">
      <c r="A1305" s="33">
        <v>1302</v>
      </c>
      <c r="B1305" s="34" t="s">
        <v>1673</v>
      </c>
      <c r="C1305" s="33" t="s">
        <v>346</v>
      </c>
      <c r="D1305" s="33" t="s">
        <v>100</v>
      </c>
      <c r="E1305" s="33" t="s">
        <v>1623</v>
      </c>
      <c r="F1305" s="35">
        <v>0.25</v>
      </c>
      <c r="G1305" s="40">
        <v>0</v>
      </c>
      <c r="H1305" s="40">
        <v>0</v>
      </c>
      <c r="I1305" s="40">
        <v>0</v>
      </c>
      <c r="J1305" s="40">
        <v>0</v>
      </c>
      <c r="K1305" s="40">
        <v>0</v>
      </c>
      <c r="L1305" s="40">
        <v>0</v>
      </c>
      <c r="M1305" s="40" cm="1">
        <f t="array" ref="M1305:N1305">VLOOKUP(B1305,'Fumigation  Room'!B:H,{6,7},0)</f>
        <v>0</v>
      </c>
      <c r="N1305" s="40">
        <v>0</v>
      </c>
      <c r="O1305" s="40">
        <f t="shared" si="41"/>
        <v>0</v>
      </c>
      <c r="P1305" s="40">
        <f t="shared" si="42"/>
        <v>0</v>
      </c>
    </row>
    <row r="1306" spans="1:16" x14ac:dyDescent="0.35">
      <c r="A1306" s="33">
        <v>1303</v>
      </c>
      <c r="B1306" s="34" t="s">
        <v>1674</v>
      </c>
      <c r="C1306" s="33" t="s">
        <v>346</v>
      </c>
      <c r="D1306" s="33" t="s">
        <v>100</v>
      </c>
      <c r="E1306" s="33" t="s">
        <v>1623</v>
      </c>
      <c r="F1306" s="35">
        <v>0.25</v>
      </c>
      <c r="G1306" s="40">
        <v>0</v>
      </c>
      <c r="H1306" s="40">
        <v>0</v>
      </c>
      <c r="I1306" s="40">
        <v>0</v>
      </c>
      <c r="J1306" s="40">
        <v>0</v>
      </c>
      <c r="K1306" s="40">
        <v>0</v>
      </c>
      <c r="L1306" s="40">
        <v>0</v>
      </c>
      <c r="M1306" s="40" cm="1">
        <f t="array" ref="M1306:N1306">VLOOKUP(B1306,'Fumigation  Room'!B:H,{6,7},0)</f>
        <v>0</v>
      </c>
      <c r="N1306" s="40">
        <v>0</v>
      </c>
      <c r="O1306" s="40">
        <f t="shared" si="41"/>
        <v>0</v>
      </c>
      <c r="P1306" s="40">
        <f t="shared" si="42"/>
        <v>0</v>
      </c>
    </row>
    <row r="1307" spans="1:16" x14ac:dyDescent="0.35">
      <c r="A1307" s="33">
        <v>1304</v>
      </c>
      <c r="B1307" s="34" t="s">
        <v>1675</v>
      </c>
      <c r="C1307" s="33" t="s">
        <v>346</v>
      </c>
      <c r="D1307" s="33" t="s">
        <v>100</v>
      </c>
      <c r="E1307" s="33" t="s">
        <v>1623</v>
      </c>
      <c r="F1307" s="35">
        <v>0.2</v>
      </c>
      <c r="G1307" s="40">
        <v>0</v>
      </c>
      <c r="H1307" s="40">
        <v>0</v>
      </c>
      <c r="I1307" s="40">
        <v>0</v>
      </c>
      <c r="J1307" s="40">
        <v>0</v>
      </c>
      <c r="K1307" s="40">
        <v>0</v>
      </c>
      <c r="L1307" s="40">
        <v>0</v>
      </c>
      <c r="M1307" s="40" cm="1">
        <f t="array" ref="M1307:N1307">VLOOKUP(B1307,'Fumigation  Room'!B:H,{6,7},0)</f>
        <v>0</v>
      </c>
      <c r="N1307" s="40">
        <v>0</v>
      </c>
      <c r="O1307" s="40">
        <f t="shared" si="41"/>
        <v>0</v>
      </c>
      <c r="P1307" s="40">
        <f t="shared" si="42"/>
        <v>0</v>
      </c>
    </row>
    <row r="1308" spans="1:16" x14ac:dyDescent="0.35">
      <c r="A1308" s="33">
        <v>1305</v>
      </c>
      <c r="B1308" s="34" t="s">
        <v>1676</v>
      </c>
      <c r="C1308" s="33" t="s">
        <v>346</v>
      </c>
      <c r="D1308" s="33" t="s">
        <v>100</v>
      </c>
      <c r="E1308" s="33" t="s">
        <v>1623</v>
      </c>
      <c r="F1308" s="35">
        <v>0.1</v>
      </c>
      <c r="G1308" s="40">
        <v>0</v>
      </c>
      <c r="H1308" s="40">
        <v>0</v>
      </c>
      <c r="I1308" s="40">
        <v>0</v>
      </c>
      <c r="J1308" s="40">
        <v>0</v>
      </c>
      <c r="K1308" s="40">
        <v>0</v>
      </c>
      <c r="L1308" s="40">
        <v>0</v>
      </c>
      <c r="M1308" s="40" cm="1">
        <f t="array" ref="M1308:N1308">VLOOKUP(B1308,'Fumigation  Room'!B:H,{6,7},0)</f>
        <v>0</v>
      </c>
      <c r="N1308" s="40">
        <v>0</v>
      </c>
      <c r="O1308" s="40">
        <f t="shared" si="41"/>
        <v>0</v>
      </c>
      <c r="P1308" s="40">
        <f t="shared" si="42"/>
        <v>0</v>
      </c>
    </row>
    <row r="1309" spans="1:16" x14ac:dyDescent="0.35">
      <c r="A1309" s="33">
        <v>1306</v>
      </c>
      <c r="B1309" s="34" t="s">
        <v>1677</v>
      </c>
      <c r="C1309" s="33" t="s">
        <v>346</v>
      </c>
      <c r="D1309" s="33" t="s">
        <v>100</v>
      </c>
      <c r="E1309" s="33" t="s">
        <v>1623</v>
      </c>
      <c r="F1309" s="35">
        <v>1</v>
      </c>
      <c r="G1309" s="40">
        <v>0</v>
      </c>
      <c r="H1309" s="40">
        <v>0</v>
      </c>
      <c r="I1309" s="40">
        <v>0</v>
      </c>
      <c r="J1309" s="40">
        <v>0</v>
      </c>
      <c r="K1309" s="40">
        <v>0</v>
      </c>
      <c r="L1309" s="40">
        <v>0</v>
      </c>
      <c r="M1309" s="40" cm="1">
        <f t="array" ref="M1309:N1309">VLOOKUP(B1309,'Fumigation  Room'!B:H,{6,7},0)</f>
        <v>0</v>
      </c>
      <c r="N1309" s="40">
        <v>0</v>
      </c>
      <c r="O1309" s="40">
        <f t="shared" si="41"/>
        <v>0</v>
      </c>
      <c r="P1309" s="40">
        <f t="shared" si="42"/>
        <v>0</v>
      </c>
    </row>
    <row r="1310" spans="1:16" x14ac:dyDescent="0.35">
      <c r="A1310" s="33">
        <v>1307</v>
      </c>
      <c r="B1310" s="34" t="s">
        <v>1678</v>
      </c>
      <c r="C1310" s="33" t="s">
        <v>346</v>
      </c>
      <c r="D1310" s="33" t="s">
        <v>100</v>
      </c>
      <c r="E1310" s="33" t="s">
        <v>1623</v>
      </c>
      <c r="F1310" s="35">
        <v>0.1</v>
      </c>
      <c r="G1310" s="40">
        <v>0</v>
      </c>
      <c r="H1310" s="40">
        <v>0</v>
      </c>
      <c r="I1310" s="40">
        <v>0</v>
      </c>
      <c r="J1310" s="40">
        <v>0</v>
      </c>
      <c r="K1310" s="40">
        <v>0</v>
      </c>
      <c r="L1310" s="40">
        <v>0</v>
      </c>
      <c r="M1310" s="40" cm="1">
        <f t="array" ref="M1310:N1310">VLOOKUP(B1310,'Fumigation  Room'!B:H,{6,7},0)</f>
        <v>0</v>
      </c>
      <c r="N1310" s="40">
        <v>0</v>
      </c>
      <c r="O1310" s="40">
        <f t="shared" si="41"/>
        <v>0</v>
      </c>
      <c r="P1310" s="40">
        <f t="shared" si="42"/>
        <v>0</v>
      </c>
    </row>
    <row r="1311" spans="1:16" x14ac:dyDescent="0.35">
      <c r="A1311" s="33">
        <v>1308</v>
      </c>
      <c r="B1311" s="34" t="s">
        <v>1679</v>
      </c>
      <c r="C1311" s="33" t="s">
        <v>346</v>
      </c>
      <c r="D1311" s="33" t="s">
        <v>100</v>
      </c>
      <c r="E1311" s="33" t="s">
        <v>1623</v>
      </c>
      <c r="F1311" s="35">
        <v>0.2</v>
      </c>
      <c r="G1311" s="40">
        <v>0</v>
      </c>
      <c r="H1311" s="40">
        <v>0</v>
      </c>
      <c r="I1311" s="40">
        <v>0</v>
      </c>
      <c r="J1311" s="40">
        <v>0</v>
      </c>
      <c r="K1311" s="40">
        <v>0</v>
      </c>
      <c r="L1311" s="40">
        <v>0</v>
      </c>
      <c r="M1311" s="40" cm="1">
        <f t="array" ref="M1311:N1311">VLOOKUP(B1311,'Fumigation  Room'!B:H,{6,7},0)</f>
        <v>0</v>
      </c>
      <c r="N1311" s="40">
        <v>0</v>
      </c>
      <c r="O1311" s="40">
        <f t="shared" si="41"/>
        <v>0</v>
      </c>
      <c r="P1311" s="40">
        <f t="shared" si="42"/>
        <v>0</v>
      </c>
    </row>
    <row r="1312" spans="1:16" x14ac:dyDescent="0.35">
      <c r="A1312" s="33">
        <v>1309</v>
      </c>
      <c r="B1312" s="34" t="s">
        <v>1680</v>
      </c>
      <c r="C1312" s="33" t="s">
        <v>346</v>
      </c>
      <c r="D1312" s="33" t="s">
        <v>100</v>
      </c>
      <c r="E1312" s="33" t="s">
        <v>1623</v>
      </c>
      <c r="F1312" s="35">
        <v>0.2</v>
      </c>
      <c r="G1312" s="40">
        <v>0</v>
      </c>
      <c r="H1312" s="40">
        <v>0</v>
      </c>
      <c r="I1312" s="40">
        <v>0</v>
      </c>
      <c r="J1312" s="40">
        <v>0</v>
      </c>
      <c r="K1312" s="40">
        <v>0</v>
      </c>
      <c r="L1312" s="40">
        <v>0</v>
      </c>
      <c r="M1312" s="40" cm="1">
        <f t="array" ref="M1312:N1312">VLOOKUP(B1312,'Fumigation  Room'!B:H,{6,7},0)</f>
        <v>0</v>
      </c>
      <c r="N1312" s="40">
        <v>0</v>
      </c>
      <c r="O1312" s="40">
        <f t="shared" si="41"/>
        <v>0</v>
      </c>
      <c r="P1312" s="40">
        <f t="shared" si="42"/>
        <v>0</v>
      </c>
    </row>
    <row r="1313" spans="1:16" x14ac:dyDescent="0.35">
      <c r="A1313" s="33">
        <v>1310</v>
      </c>
      <c r="B1313" s="34" t="s">
        <v>1681</v>
      </c>
      <c r="C1313" s="33" t="s">
        <v>346</v>
      </c>
      <c r="D1313" s="33" t="s">
        <v>100</v>
      </c>
      <c r="E1313" s="33" t="s">
        <v>1623</v>
      </c>
      <c r="F1313" s="35">
        <v>1</v>
      </c>
      <c r="G1313" s="40">
        <v>0</v>
      </c>
      <c r="H1313" s="40">
        <v>0</v>
      </c>
      <c r="I1313" s="40">
        <v>0</v>
      </c>
      <c r="J1313" s="40">
        <v>0</v>
      </c>
      <c r="K1313" s="40">
        <v>0</v>
      </c>
      <c r="L1313" s="40">
        <v>0</v>
      </c>
      <c r="M1313" s="40" cm="1">
        <f t="array" ref="M1313:N1313">VLOOKUP(B1313,'Fumigation  Room'!B:H,{6,7},0)</f>
        <v>0</v>
      </c>
      <c r="N1313" s="40">
        <v>0</v>
      </c>
      <c r="O1313" s="40">
        <f t="shared" si="41"/>
        <v>0</v>
      </c>
      <c r="P1313" s="40">
        <f t="shared" si="42"/>
        <v>0</v>
      </c>
    </row>
    <row r="1314" spans="1:16" x14ac:dyDescent="0.35">
      <c r="A1314" s="33">
        <v>1311</v>
      </c>
      <c r="B1314" s="34" t="s">
        <v>1682</v>
      </c>
      <c r="C1314" s="33" t="s">
        <v>346</v>
      </c>
      <c r="D1314" s="33" t="s">
        <v>100</v>
      </c>
      <c r="E1314" s="33" t="s">
        <v>1623</v>
      </c>
      <c r="F1314" s="35">
        <v>1</v>
      </c>
      <c r="G1314" s="40">
        <v>0</v>
      </c>
      <c r="H1314" s="40">
        <v>0</v>
      </c>
      <c r="I1314" s="40">
        <v>0</v>
      </c>
      <c r="J1314" s="40">
        <v>0</v>
      </c>
      <c r="K1314" s="40">
        <v>0</v>
      </c>
      <c r="L1314" s="40">
        <v>0</v>
      </c>
      <c r="M1314" s="40" cm="1">
        <f t="array" ref="M1314:N1314">VLOOKUP(B1314,'Fumigation  Room'!B:H,{6,7},0)</f>
        <v>0</v>
      </c>
      <c r="N1314" s="40">
        <v>0</v>
      </c>
      <c r="O1314" s="40">
        <f t="shared" si="41"/>
        <v>0</v>
      </c>
      <c r="P1314" s="40">
        <f t="shared" si="42"/>
        <v>0</v>
      </c>
    </row>
    <row r="1315" spans="1:16" x14ac:dyDescent="0.35">
      <c r="A1315" s="33">
        <v>1312</v>
      </c>
      <c r="B1315" s="34" t="s">
        <v>1683</v>
      </c>
      <c r="C1315" s="33" t="s">
        <v>346</v>
      </c>
      <c r="D1315" s="33" t="s">
        <v>100</v>
      </c>
      <c r="E1315" s="33" t="s">
        <v>1623</v>
      </c>
      <c r="F1315" s="35">
        <v>0.15</v>
      </c>
      <c r="G1315" s="40">
        <v>0</v>
      </c>
      <c r="H1315" s="40">
        <v>0</v>
      </c>
      <c r="I1315" s="40">
        <v>0</v>
      </c>
      <c r="J1315" s="40">
        <v>0</v>
      </c>
      <c r="K1315" s="40">
        <v>0</v>
      </c>
      <c r="L1315" s="40">
        <v>0</v>
      </c>
      <c r="M1315" s="40" cm="1">
        <f t="array" ref="M1315:N1315">VLOOKUP(B1315,'Fumigation  Room'!B:H,{6,7},0)</f>
        <v>0</v>
      </c>
      <c r="N1315" s="40">
        <v>0</v>
      </c>
      <c r="O1315" s="40">
        <f t="shared" si="41"/>
        <v>0</v>
      </c>
      <c r="P1315" s="40">
        <f t="shared" si="42"/>
        <v>0</v>
      </c>
    </row>
    <row r="1316" spans="1:16" x14ac:dyDescent="0.35">
      <c r="A1316" s="33">
        <v>1313</v>
      </c>
      <c r="B1316" s="34" t="s">
        <v>1684</v>
      </c>
      <c r="C1316" s="33" t="s">
        <v>346</v>
      </c>
      <c r="D1316" s="33" t="s">
        <v>100</v>
      </c>
      <c r="E1316" s="33" t="s">
        <v>1623</v>
      </c>
      <c r="F1316" s="35">
        <v>0.15</v>
      </c>
      <c r="G1316" s="40">
        <v>0</v>
      </c>
      <c r="H1316" s="40">
        <v>0</v>
      </c>
      <c r="I1316" s="40">
        <v>0</v>
      </c>
      <c r="J1316" s="40">
        <v>0</v>
      </c>
      <c r="K1316" s="40">
        <v>0</v>
      </c>
      <c r="L1316" s="40">
        <v>0</v>
      </c>
      <c r="M1316" s="40" cm="1">
        <f t="array" ref="M1316:N1316">VLOOKUP(B1316,'Fumigation  Room'!B:H,{6,7},0)</f>
        <v>0</v>
      </c>
      <c r="N1316" s="40">
        <v>0</v>
      </c>
      <c r="O1316" s="40">
        <f t="shared" si="41"/>
        <v>0</v>
      </c>
      <c r="P1316" s="40">
        <f t="shared" si="42"/>
        <v>0</v>
      </c>
    </row>
    <row r="1317" spans="1:16" x14ac:dyDescent="0.35">
      <c r="A1317" s="33">
        <v>1314</v>
      </c>
      <c r="B1317" s="34" t="s">
        <v>1685</v>
      </c>
      <c r="C1317" s="33" t="s">
        <v>346</v>
      </c>
      <c r="D1317" s="33" t="s">
        <v>100</v>
      </c>
      <c r="E1317" s="33" t="s">
        <v>1623</v>
      </c>
      <c r="F1317" s="35">
        <v>1</v>
      </c>
      <c r="G1317" s="40">
        <v>0</v>
      </c>
      <c r="H1317" s="40">
        <v>0</v>
      </c>
      <c r="I1317" s="40">
        <v>0</v>
      </c>
      <c r="J1317" s="40">
        <v>0</v>
      </c>
      <c r="K1317" s="40">
        <v>0</v>
      </c>
      <c r="L1317" s="40">
        <v>0</v>
      </c>
      <c r="M1317" s="40" cm="1">
        <f t="array" ref="M1317:N1317">VLOOKUP(B1317,'Fumigation  Room'!B:H,{6,7},0)</f>
        <v>0</v>
      </c>
      <c r="N1317" s="40">
        <v>0</v>
      </c>
      <c r="O1317" s="40">
        <f t="shared" si="41"/>
        <v>0</v>
      </c>
      <c r="P1317" s="40">
        <f t="shared" si="42"/>
        <v>0</v>
      </c>
    </row>
    <row r="1318" spans="1:16" x14ac:dyDescent="0.35">
      <c r="A1318" s="33">
        <v>1315</v>
      </c>
      <c r="B1318" s="34" t="s">
        <v>1686</v>
      </c>
      <c r="C1318" s="33" t="s">
        <v>346</v>
      </c>
      <c r="D1318" s="33" t="s">
        <v>100</v>
      </c>
      <c r="E1318" s="33" t="s">
        <v>1623</v>
      </c>
      <c r="F1318" s="35">
        <v>1</v>
      </c>
      <c r="G1318" s="40">
        <v>0</v>
      </c>
      <c r="H1318" s="40">
        <v>0</v>
      </c>
      <c r="I1318" s="40">
        <v>0</v>
      </c>
      <c r="J1318" s="40">
        <v>0</v>
      </c>
      <c r="K1318" s="40">
        <v>0</v>
      </c>
      <c r="L1318" s="40">
        <v>0</v>
      </c>
      <c r="M1318" s="40" cm="1">
        <f t="array" ref="M1318:N1318">VLOOKUP(B1318,'Fumigation  Room'!B:H,{6,7},0)</f>
        <v>0</v>
      </c>
      <c r="N1318" s="40">
        <v>0</v>
      </c>
      <c r="O1318" s="40">
        <f t="shared" si="41"/>
        <v>0</v>
      </c>
      <c r="P1318" s="40">
        <f t="shared" si="42"/>
        <v>0</v>
      </c>
    </row>
    <row r="1319" spans="1:16" x14ac:dyDescent="0.35">
      <c r="A1319" s="33">
        <v>1316</v>
      </c>
      <c r="B1319" s="34" t="s">
        <v>1687</v>
      </c>
      <c r="C1319" s="33" t="s">
        <v>346</v>
      </c>
      <c r="D1319" s="33" t="s">
        <v>100</v>
      </c>
      <c r="E1319" s="33" t="s">
        <v>1623</v>
      </c>
      <c r="F1319" s="35">
        <v>1</v>
      </c>
      <c r="G1319" s="40">
        <v>0</v>
      </c>
      <c r="H1319" s="40">
        <v>0</v>
      </c>
      <c r="I1319" s="40">
        <v>0</v>
      </c>
      <c r="J1319" s="40">
        <v>0</v>
      </c>
      <c r="K1319" s="40">
        <v>0</v>
      </c>
      <c r="L1319" s="40">
        <v>0</v>
      </c>
      <c r="M1319" s="40" cm="1">
        <f t="array" ref="M1319:N1319">VLOOKUP(B1319,'Fumigation  Room'!B:H,{6,7},0)</f>
        <v>0</v>
      </c>
      <c r="N1319" s="40">
        <v>0</v>
      </c>
      <c r="O1319" s="40">
        <f t="shared" si="41"/>
        <v>0</v>
      </c>
      <c r="P1319" s="40">
        <f t="shared" si="42"/>
        <v>0</v>
      </c>
    </row>
    <row r="1320" spans="1:16" x14ac:dyDescent="0.35">
      <c r="A1320" s="33">
        <v>1317</v>
      </c>
      <c r="B1320" s="34" t="s">
        <v>1688</v>
      </c>
      <c r="C1320" s="33" t="s">
        <v>346</v>
      </c>
      <c r="D1320" s="33" t="s">
        <v>100</v>
      </c>
      <c r="E1320" s="33" t="s">
        <v>1623</v>
      </c>
      <c r="F1320" s="35">
        <v>1</v>
      </c>
      <c r="G1320" s="40">
        <v>0</v>
      </c>
      <c r="H1320" s="40">
        <v>0</v>
      </c>
      <c r="I1320" s="40">
        <v>0</v>
      </c>
      <c r="J1320" s="40">
        <v>0</v>
      </c>
      <c r="K1320" s="40">
        <v>0</v>
      </c>
      <c r="L1320" s="40">
        <v>0</v>
      </c>
      <c r="M1320" s="40" cm="1">
        <f t="array" ref="M1320:N1320">VLOOKUP(B1320,'Fumigation  Room'!B:H,{6,7},0)</f>
        <v>0</v>
      </c>
      <c r="N1320" s="40">
        <v>0</v>
      </c>
      <c r="O1320" s="40">
        <f t="shared" si="41"/>
        <v>0</v>
      </c>
      <c r="P1320" s="40">
        <f t="shared" si="42"/>
        <v>0</v>
      </c>
    </row>
    <row r="1321" spans="1:16" x14ac:dyDescent="0.35">
      <c r="A1321" s="33">
        <v>1318</v>
      </c>
      <c r="B1321" s="34" t="s">
        <v>1689</v>
      </c>
      <c r="C1321" s="33" t="s">
        <v>346</v>
      </c>
      <c r="D1321" s="33" t="s">
        <v>100</v>
      </c>
      <c r="E1321" s="33" t="s">
        <v>1623</v>
      </c>
      <c r="F1321" s="35">
        <v>1</v>
      </c>
      <c r="G1321" s="40">
        <v>0</v>
      </c>
      <c r="H1321" s="40">
        <v>0</v>
      </c>
      <c r="I1321" s="40">
        <v>0</v>
      </c>
      <c r="J1321" s="40">
        <v>0</v>
      </c>
      <c r="K1321" s="40">
        <v>0</v>
      </c>
      <c r="L1321" s="40">
        <v>0</v>
      </c>
      <c r="M1321" s="40" cm="1">
        <f t="array" ref="M1321:N1321">VLOOKUP(B1321,'Fumigation  Room'!B:H,{6,7},0)</f>
        <v>0</v>
      </c>
      <c r="N1321" s="40">
        <v>0</v>
      </c>
      <c r="O1321" s="40">
        <f t="shared" si="41"/>
        <v>0</v>
      </c>
      <c r="P1321" s="40">
        <f t="shared" si="42"/>
        <v>0</v>
      </c>
    </row>
    <row r="1322" spans="1:16" x14ac:dyDescent="0.35">
      <c r="A1322" s="33">
        <v>1319</v>
      </c>
      <c r="B1322" s="34" t="s">
        <v>1690</v>
      </c>
      <c r="C1322" s="33" t="s">
        <v>346</v>
      </c>
      <c r="D1322" s="33" t="s">
        <v>100</v>
      </c>
      <c r="E1322" s="33" t="s">
        <v>1623</v>
      </c>
      <c r="F1322" s="35">
        <v>0.1</v>
      </c>
      <c r="G1322" s="40">
        <v>0</v>
      </c>
      <c r="H1322" s="40">
        <v>0</v>
      </c>
      <c r="I1322" s="40">
        <v>0</v>
      </c>
      <c r="J1322" s="40">
        <v>0</v>
      </c>
      <c r="K1322" s="40">
        <v>0</v>
      </c>
      <c r="L1322" s="40">
        <v>0</v>
      </c>
      <c r="M1322" s="40" cm="1">
        <f t="array" ref="M1322:N1322">VLOOKUP(B1322,'Fumigation  Room'!B:H,{6,7},0)</f>
        <v>0</v>
      </c>
      <c r="N1322" s="40">
        <v>0</v>
      </c>
      <c r="O1322" s="40">
        <f t="shared" si="41"/>
        <v>0</v>
      </c>
      <c r="P1322" s="40">
        <f t="shared" si="42"/>
        <v>0</v>
      </c>
    </row>
    <row r="1323" spans="1:16" x14ac:dyDescent="0.35">
      <c r="A1323" s="33">
        <v>1320</v>
      </c>
      <c r="B1323" s="34" t="s">
        <v>1691</v>
      </c>
      <c r="C1323" s="33" t="s">
        <v>346</v>
      </c>
      <c r="D1323" s="33" t="s">
        <v>100</v>
      </c>
      <c r="E1323" s="33" t="s">
        <v>1623</v>
      </c>
      <c r="F1323" s="35">
        <v>0.2</v>
      </c>
      <c r="G1323" s="40">
        <v>0</v>
      </c>
      <c r="H1323" s="40">
        <v>0</v>
      </c>
      <c r="I1323" s="40">
        <v>0</v>
      </c>
      <c r="J1323" s="40">
        <v>0</v>
      </c>
      <c r="K1323" s="40">
        <v>0</v>
      </c>
      <c r="L1323" s="40">
        <v>0</v>
      </c>
      <c r="M1323" s="40" cm="1">
        <f t="array" ref="M1323:N1323">VLOOKUP(B1323,'Fumigation  Room'!B:H,{6,7},0)</f>
        <v>0</v>
      </c>
      <c r="N1323" s="40">
        <v>0</v>
      </c>
      <c r="O1323" s="40">
        <f t="shared" si="41"/>
        <v>0</v>
      </c>
      <c r="P1323" s="40">
        <f t="shared" si="42"/>
        <v>0</v>
      </c>
    </row>
    <row r="1324" spans="1:16" x14ac:dyDescent="0.35">
      <c r="A1324" s="33">
        <v>1321</v>
      </c>
      <c r="B1324" s="34" t="s">
        <v>1692</v>
      </c>
      <c r="C1324" s="33" t="s">
        <v>346</v>
      </c>
      <c r="D1324" s="33" t="s">
        <v>100</v>
      </c>
      <c r="E1324" s="33" t="s">
        <v>1623</v>
      </c>
      <c r="F1324" s="35">
        <v>0.1</v>
      </c>
      <c r="G1324" s="40">
        <v>0</v>
      </c>
      <c r="H1324" s="40">
        <v>0</v>
      </c>
      <c r="I1324" s="40">
        <v>0</v>
      </c>
      <c r="J1324" s="40">
        <v>0</v>
      </c>
      <c r="K1324" s="40">
        <v>0</v>
      </c>
      <c r="L1324" s="40">
        <v>0</v>
      </c>
      <c r="M1324" s="40" cm="1">
        <f t="array" ref="M1324:N1324">VLOOKUP(B1324,'Fumigation  Room'!B:H,{6,7},0)</f>
        <v>0</v>
      </c>
      <c r="N1324" s="40">
        <v>0</v>
      </c>
      <c r="O1324" s="40">
        <f t="shared" si="41"/>
        <v>0</v>
      </c>
      <c r="P1324" s="40">
        <f t="shared" si="42"/>
        <v>0</v>
      </c>
    </row>
    <row r="1325" spans="1:16" x14ac:dyDescent="0.35">
      <c r="A1325" s="33">
        <v>1322</v>
      </c>
      <c r="B1325" s="34" t="s">
        <v>1693</v>
      </c>
      <c r="C1325" s="33" t="s">
        <v>346</v>
      </c>
      <c r="D1325" s="33" t="s">
        <v>100</v>
      </c>
      <c r="E1325" s="33" t="s">
        <v>1623</v>
      </c>
      <c r="F1325" s="35">
        <v>0.2</v>
      </c>
      <c r="G1325" s="40">
        <v>0</v>
      </c>
      <c r="H1325" s="40">
        <v>0</v>
      </c>
      <c r="I1325" s="40">
        <v>0</v>
      </c>
      <c r="J1325" s="40">
        <v>0</v>
      </c>
      <c r="K1325" s="40">
        <v>0</v>
      </c>
      <c r="L1325" s="40">
        <v>0</v>
      </c>
      <c r="M1325" s="40" cm="1">
        <f t="array" ref="M1325:N1325">VLOOKUP(B1325,'Fumigation  Room'!B:H,{6,7},0)</f>
        <v>0</v>
      </c>
      <c r="N1325" s="40">
        <v>0</v>
      </c>
      <c r="O1325" s="40">
        <f t="shared" si="41"/>
        <v>0</v>
      </c>
      <c r="P1325" s="40">
        <f t="shared" si="42"/>
        <v>0</v>
      </c>
    </row>
    <row r="1326" spans="1:16" x14ac:dyDescent="0.35">
      <c r="A1326" s="33">
        <v>1323</v>
      </c>
      <c r="B1326" s="34" t="s">
        <v>1694</v>
      </c>
      <c r="C1326" s="33" t="s">
        <v>346</v>
      </c>
      <c r="D1326" s="33" t="s">
        <v>100</v>
      </c>
      <c r="E1326" s="33" t="s">
        <v>1623</v>
      </c>
      <c r="F1326" s="35">
        <v>0.1</v>
      </c>
      <c r="G1326" s="40">
        <v>0</v>
      </c>
      <c r="H1326" s="40">
        <v>0</v>
      </c>
      <c r="I1326" s="40">
        <v>0</v>
      </c>
      <c r="J1326" s="40">
        <v>0</v>
      </c>
      <c r="K1326" s="40">
        <v>0</v>
      </c>
      <c r="L1326" s="40">
        <v>0</v>
      </c>
      <c r="M1326" s="40" cm="1">
        <f t="array" ref="M1326:N1326">VLOOKUP(B1326,'Fumigation  Room'!B:H,{6,7},0)</f>
        <v>0</v>
      </c>
      <c r="N1326" s="40">
        <v>0</v>
      </c>
      <c r="O1326" s="40">
        <f t="shared" si="41"/>
        <v>0</v>
      </c>
      <c r="P1326" s="40">
        <f t="shared" si="42"/>
        <v>0</v>
      </c>
    </row>
    <row r="1327" spans="1:16" x14ac:dyDescent="0.35">
      <c r="A1327" s="33">
        <v>1324</v>
      </c>
      <c r="B1327" s="34" t="s">
        <v>1695</v>
      </c>
      <c r="C1327" s="33" t="s">
        <v>346</v>
      </c>
      <c r="D1327" s="33" t="s">
        <v>100</v>
      </c>
      <c r="E1327" s="33" t="s">
        <v>1623</v>
      </c>
      <c r="F1327" s="35">
        <v>0.1</v>
      </c>
      <c r="G1327" s="40">
        <v>0</v>
      </c>
      <c r="H1327" s="40">
        <v>0</v>
      </c>
      <c r="I1327" s="40">
        <v>0</v>
      </c>
      <c r="J1327" s="40">
        <v>0</v>
      </c>
      <c r="K1327" s="40">
        <v>0</v>
      </c>
      <c r="L1327" s="40">
        <v>0</v>
      </c>
      <c r="M1327" s="40" cm="1">
        <f t="array" ref="M1327:N1327">VLOOKUP(B1327,'Fumigation  Room'!B:H,{6,7},0)</f>
        <v>0</v>
      </c>
      <c r="N1327" s="40">
        <v>0</v>
      </c>
      <c r="O1327" s="40">
        <f t="shared" si="41"/>
        <v>0</v>
      </c>
      <c r="P1327" s="40">
        <f t="shared" si="42"/>
        <v>0</v>
      </c>
    </row>
    <row r="1328" spans="1:16" x14ac:dyDescent="0.35">
      <c r="A1328" s="33">
        <v>1325</v>
      </c>
      <c r="B1328" s="34" t="s">
        <v>1696</v>
      </c>
      <c r="C1328" s="33" t="s">
        <v>346</v>
      </c>
      <c r="D1328" s="33" t="s">
        <v>100</v>
      </c>
      <c r="E1328" s="33" t="s">
        <v>1623</v>
      </c>
      <c r="F1328" s="35">
        <v>1</v>
      </c>
      <c r="G1328" s="40">
        <v>0</v>
      </c>
      <c r="H1328" s="40">
        <v>0</v>
      </c>
      <c r="I1328" s="40">
        <v>0</v>
      </c>
      <c r="J1328" s="40">
        <v>0</v>
      </c>
      <c r="K1328" s="40">
        <v>0</v>
      </c>
      <c r="L1328" s="40">
        <v>0</v>
      </c>
      <c r="M1328" s="40" cm="1">
        <f t="array" ref="M1328:N1328">VLOOKUP(B1328,'Fumigation  Room'!B:H,{6,7},0)</f>
        <v>0</v>
      </c>
      <c r="N1328" s="40">
        <v>0</v>
      </c>
      <c r="O1328" s="40">
        <f t="shared" si="41"/>
        <v>0</v>
      </c>
      <c r="P1328" s="40">
        <f t="shared" si="42"/>
        <v>0</v>
      </c>
    </row>
    <row r="1329" spans="1:16" x14ac:dyDescent="0.35">
      <c r="A1329" s="33">
        <v>1326</v>
      </c>
      <c r="B1329" s="34" t="s">
        <v>1697</v>
      </c>
      <c r="C1329" s="33" t="s">
        <v>346</v>
      </c>
      <c r="D1329" s="33" t="s">
        <v>100</v>
      </c>
      <c r="E1329" s="33" t="s">
        <v>1623</v>
      </c>
      <c r="F1329" s="35">
        <v>1</v>
      </c>
      <c r="G1329" s="40">
        <v>0</v>
      </c>
      <c r="H1329" s="40">
        <v>0</v>
      </c>
      <c r="I1329" s="40">
        <v>0</v>
      </c>
      <c r="J1329" s="40">
        <v>0</v>
      </c>
      <c r="K1329" s="40">
        <v>0</v>
      </c>
      <c r="L1329" s="40">
        <v>0</v>
      </c>
      <c r="M1329" s="40" cm="1">
        <f t="array" ref="M1329:N1329">VLOOKUP(B1329,'Fumigation  Room'!B:H,{6,7},0)</f>
        <v>0</v>
      </c>
      <c r="N1329" s="40">
        <v>0</v>
      </c>
      <c r="O1329" s="40">
        <f t="shared" si="41"/>
        <v>0</v>
      </c>
      <c r="P1329" s="40">
        <f t="shared" si="42"/>
        <v>0</v>
      </c>
    </row>
    <row r="1330" spans="1:16" x14ac:dyDescent="0.35">
      <c r="A1330" s="33">
        <v>1327</v>
      </c>
      <c r="B1330" s="34" t="s">
        <v>1698</v>
      </c>
      <c r="C1330" s="33" t="s">
        <v>346</v>
      </c>
      <c r="D1330" s="33" t="s">
        <v>100</v>
      </c>
      <c r="E1330" s="33" t="s">
        <v>1623</v>
      </c>
      <c r="F1330" s="35">
        <v>1</v>
      </c>
      <c r="G1330" s="40">
        <v>0</v>
      </c>
      <c r="H1330" s="40">
        <v>0</v>
      </c>
      <c r="I1330" s="40">
        <v>0</v>
      </c>
      <c r="J1330" s="40">
        <v>0</v>
      </c>
      <c r="K1330" s="40">
        <v>0</v>
      </c>
      <c r="L1330" s="40">
        <v>0</v>
      </c>
      <c r="M1330" s="40" cm="1">
        <f t="array" ref="M1330:N1330">VLOOKUP(B1330,'Fumigation  Room'!B:H,{6,7},0)</f>
        <v>0</v>
      </c>
      <c r="N1330" s="40">
        <v>0</v>
      </c>
      <c r="O1330" s="40">
        <f t="shared" si="41"/>
        <v>0</v>
      </c>
      <c r="P1330" s="40">
        <f t="shared" si="42"/>
        <v>0</v>
      </c>
    </row>
    <row r="1331" spans="1:16" x14ac:dyDescent="0.35">
      <c r="A1331" s="33">
        <v>1328</v>
      </c>
      <c r="B1331" s="34" t="s">
        <v>1699</v>
      </c>
      <c r="C1331" s="33" t="s">
        <v>346</v>
      </c>
      <c r="D1331" s="33" t="s">
        <v>100</v>
      </c>
      <c r="E1331" s="33" t="s">
        <v>1623</v>
      </c>
      <c r="F1331" s="35">
        <v>7.4999999999999997E-2</v>
      </c>
      <c r="G1331" s="40">
        <v>0</v>
      </c>
      <c r="H1331" s="40">
        <v>0</v>
      </c>
      <c r="I1331" s="40">
        <v>0</v>
      </c>
      <c r="J1331" s="40">
        <v>0</v>
      </c>
      <c r="K1331" s="40">
        <v>0</v>
      </c>
      <c r="L1331" s="40">
        <v>0</v>
      </c>
      <c r="M1331" s="40" cm="1">
        <f t="array" ref="M1331:N1331">VLOOKUP(B1331,'Fumigation  Room'!B:H,{6,7},0)</f>
        <v>0</v>
      </c>
      <c r="N1331" s="40">
        <v>0</v>
      </c>
      <c r="O1331" s="40">
        <f t="shared" si="41"/>
        <v>0</v>
      </c>
      <c r="P1331" s="40">
        <f t="shared" si="42"/>
        <v>0</v>
      </c>
    </row>
    <row r="1332" spans="1:16" x14ac:dyDescent="0.35">
      <c r="A1332" s="33">
        <v>1329</v>
      </c>
      <c r="B1332" s="34" t="s">
        <v>2325</v>
      </c>
      <c r="C1332" s="33" t="s">
        <v>346</v>
      </c>
      <c r="D1332" s="33" t="s">
        <v>100</v>
      </c>
      <c r="E1332" s="33" t="s">
        <v>1623</v>
      </c>
      <c r="F1332" s="35">
        <v>0.1</v>
      </c>
      <c r="G1332" s="40">
        <v>0</v>
      </c>
      <c r="H1332" s="40">
        <v>0</v>
      </c>
      <c r="I1332" s="40">
        <v>0</v>
      </c>
      <c r="J1332" s="40">
        <v>0</v>
      </c>
      <c r="K1332" s="40">
        <v>0</v>
      </c>
      <c r="L1332" s="40">
        <v>0</v>
      </c>
      <c r="M1332" s="40">
        <v>0</v>
      </c>
      <c r="N1332" s="40">
        <v>0</v>
      </c>
      <c r="O1332" s="40">
        <f t="shared" si="41"/>
        <v>0</v>
      </c>
      <c r="P1332" s="40">
        <f t="shared" si="42"/>
        <v>0</v>
      </c>
    </row>
    <row r="1333" spans="1:16" x14ac:dyDescent="0.35">
      <c r="A1333" s="33">
        <v>1330</v>
      </c>
      <c r="B1333" s="34" t="s">
        <v>1700</v>
      </c>
      <c r="C1333" s="33" t="s">
        <v>346</v>
      </c>
      <c r="D1333" s="33" t="s">
        <v>100</v>
      </c>
      <c r="E1333" s="33" t="s">
        <v>1623</v>
      </c>
      <c r="F1333" s="35">
        <v>0.2</v>
      </c>
      <c r="G1333" s="40">
        <v>0</v>
      </c>
      <c r="H1333" s="40">
        <v>0</v>
      </c>
      <c r="I1333" s="40">
        <v>0</v>
      </c>
      <c r="J1333" s="40">
        <v>0</v>
      </c>
      <c r="K1333" s="40">
        <v>0</v>
      </c>
      <c r="L1333" s="40">
        <v>0</v>
      </c>
      <c r="M1333" s="40" cm="1">
        <f t="array" ref="M1333:N1333">VLOOKUP(B1333,'Fumigation  Room'!B:H,{6,7},0)</f>
        <v>0</v>
      </c>
      <c r="N1333" s="40">
        <v>0</v>
      </c>
      <c r="O1333" s="40">
        <f t="shared" si="41"/>
        <v>0</v>
      </c>
      <c r="P1333" s="40">
        <f t="shared" si="42"/>
        <v>0</v>
      </c>
    </row>
    <row r="1334" spans="1:16" x14ac:dyDescent="0.35">
      <c r="A1334" s="33">
        <v>1331</v>
      </c>
      <c r="B1334" s="34" t="s">
        <v>1701</v>
      </c>
      <c r="C1334" s="33" t="s">
        <v>346</v>
      </c>
      <c r="D1334" s="33" t="s">
        <v>100</v>
      </c>
      <c r="E1334" s="33" t="s">
        <v>1623</v>
      </c>
      <c r="F1334" s="35">
        <v>7.4999999999999997E-2</v>
      </c>
      <c r="G1334" s="40">
        <v>0</v>
      </c>
      <c r="H1334" s="40">
        <v>0</v>
      </c>
      <c r="I1334" s="40">
        <v>0</v>
      </c>
      <c r="J1334" s="40">
        <v>0</v>
      </c>
      <c r="K1334" s="40">
        <v>0</v>
      </c>
      <c r="L1334" s="40">
        <v>0</v>
      </c>
      <c r="M1334" s="40" cm="1">
        <f t="array" ref="M1334:N1334">VLOOKUP(B1334,'Fumigation  Room'!B:H,{6,7},0)</f>
        <v>0</v>
      </c>
      <c r="N1334" s="40">
        <v>0</v>
      </c>
      <c r="O1334" s="40">
        <f t="shared" si="41"/>
        <v>0</v>
      </c>
      <c r="P1334" s="40">
        <f t="shared" si="42"/>
        <v>0</v>
      </c>
    </row>
    <row r="1335" spans="1:16" x14ac:dyDescent="0.35">
      <c r="A1335" s="33">
        <v>1332</v>
      </c>
      <c r="B1335" s="34" t="s">
        <v>1702</v>
      </c>
      <c r="C1335" s="33" t="s">
        <v>346</v>
      </c>
      <c r="D1335" s="33" t="s">
        <v>100</v>
      </c>
      <c r="E1335" s="33" t="s">
        <v>1623</v>
      </c>
      <c r="F1335" s="35">
        <v>7.4999999999999997E-2</v>
      </c>
      <c r="G1335" s="40">
        <v>0</v>
      </c>
      <c r="H1335" s="40">
        <v>0</v>
      </c>
      <c r="I1335" s="40">
        <v>0</v>
      </c>
      <c r="J1335" s="40">
        <v>0</v>
      </c>
      <c r="K1335" s="40">
        <v>0</v>
      </c>
      <c r="L1335" s="40">
        <v>0</v>
      </c>
      <c r="M1335" s="40" cm="1">
        <f t="array" ref="M1335:N1335">VLOOKUP(B1335,'Fumigation  Room'!B:H,{6,7},0)</f>
        <v>0</v>
      </c>
      <c r="N1335" s="40">
        <v>0</v>
      </c>
      <c r="O1335" s="40">
        <f t="shared" si="41"/>
        <v>0</v>
      </c>
      <c r="P1335" s="40">
        <f t="shared" si="42"/>
        <v>0</v>
      </c>
    </row>
    <row r="1336" spans="1:16" x14ac:dyDescent="0.35">
      <c r="A1336" s="33">
        <v>1333</v>
      </c>
      <c r="B1336" s="34" t="s">
        <v>1703</v>
      </c>
      <c r="C1336" s="33" t="s">
        <v>346</v>
      </c>
      <c r="D1336" s="33" t="s">
        <v>100</v>
      </c>
      <c r="E1336" s="33" t="s">
        <v>1623</v>
      </c>
      <c r="F1336" s="35">
        <v>1</v>
      </c>
      <c r="G1336" s="40">
        <v>0</v>
      </c>
      <c r="H1336" s="40">
        <v>0</v>
      </c>
      <c r="I1336" s="40">
        <v>0</v>
      </c>
      <c r="J1336" s="40">
        <v>0</v>
      </c>
      <c r="K1336" s="40">
        <v>0</v>
      </c>
      <c r="L1336" s="40">
        <v>0</v>
      </c>
      <c r="M1336" s="40" cm="1">
        <f t="array" ref="M1336:N1336">VLOOKUP(B1336,'Fumigation  Room'!B:H,{6,7},0)</f>
        <v>0</v>
      </c>
      <c r="N1336" s="40">
        <v>0</v>
      </c>
      <c r="O1336" s="40">
        <f t="shared" si="41"/>
        <v>0</v>
      </c>
      <c r="P1336" s="40">
        <f t="shared" si="42"/>
        <v>0</v>
      </c>
    </row>
    <row r="1337" spans="1:16" x14ac:dyDescent="0.35">
      <c r="A1337" s="33">
        <v>1334</v>
      </c>
      <c r="B1337" s="34" t="s">
        <v>1704</v>
      </c>
      <c r="C1337" s="33" t="s">
        <v>346</v>
      </c>
      <c r="D1337" s="33" t="s">
        <v>100</v>
      </c>
      <c r="E1337" s="33" t="s">
        <v>1623</v>
      </c>
      <c r="F1337" s="35">
        <v>0.05</v>
      </c>
      <c r="G1337" s="40">
        <v>0</v>
      </c>
      <c r="H1337" s="40">
        <v>0</v>
      </c>
      <c r="I1337" s="40">
        <v>0</v>
      </c>
      <c r="J1337" s="40">
        <v>0</v>
      </c>
      <c r="K1337" s="40">
        <v>0</v>
      </c>
      <c r="L1337" s="40">
        <v>0</v>
      </c>
      <c r="M1337" s="40" cm="1">
        <f t="array" ref="M1337:N1337">VLOOKUP(B1337,'Fumigation  Room'!B:H,{6,7},0)</f>
        <v>0</v>
      </c>
      <c r="N1337" s="40">
        <v>0</v>
      </c>
      <c r="O1337" s="40">
        <f t="shared" si="41"/>
        <v>0</v>
      </c>
      <c r="P1337" s="40">
        <f t="shared" si="42"/>
        <v>0</v>
      </c>
    </row>
    <row r="1338" spans="1:16" x14ac:dyDescent="0.35">
      <c r="A1338" s="33">
        <v>1335</v>
      </c>
      <c r="B1338" s="34" t="s">
        <v>1705</v>
      </c>
      <c r="C1338" s="33" t="s">
        <v>346</v>
      </c>
      <c r="D1338" s="33" t="s">
        <v>100</v>
      </c>
      <c r="E1338" s="33" t="s">
        <v>1623</v>
      </c>
      <c r="F1338" s="35">
        <v>0.25</v>
      </c>
      <c r="G1338" s="40">
        <v>0</v>
      </c>
      <c r="H1338" s="40">
        <v>0</v>
      </c>
      <c r="I1338" s="40">
        <v>0</v>
      </c>
      <c r="J1338" s="40">
        <v>0</v>
      </c>
      <c r="K1338" s="40">
        <v>0</v>
      </c>
      <c r="L1338" s="40">
        <v>0</v>
      </c>
      <c r="M1338" s="40" cm="1">
        <f t="array" ref="M1338:N1338">VLOOKUP(B1338,'Fumigation  Room'!B:H,{6,7},0)</f>
        <v>0</v>
      </c>
      <c r="N1338" s="40">
        <v>0</v>
      </c>
      <c r="O1338" s="40">
        <f t="shared" si="41"/>
        <v>0</v>
      </c>
      <c r="P1338" s="40">
        <f t="shared" si="42"/>
        <v>0</v>
      </c>
    </row>
    <row r="1339" spans="1:16" x14ac:dyDescent="0.35">
      <c r="A1339" s="33">
        <v>1336</v>
      </c>
      <c r="B1339" s="34" t="s">
        <v>1706</v>
      </c>
      <c r="C1339" s="33" t="s">
        <v>346</v>
      </c>
      <c r="D1339" s="33" t="s">
        <v>100</v>
      </c>
      <c r="E1339" s="33" t="s">
        <v>1623</v>
      </c>
      <c r="F1339" s="35">
        <v>1</v>
      </c>
      <c r="G1339" s="40">
        <v>0</v>
      </c>
      <c r="H1339" s="40">
        <v>0</v>
      </c>
      <c r="I1339" s="40">
        <v>0</v>
      </c>
      <c r="J1339" s="40">
        <v>0</v>
      </c>
      <c r="K1339" s="40">
        <v>0</v>
      </c>
      <c r="L1339" s="40">
        <v>0</v>
      </c>
      <c r="M1339" s="40" cm="1">
        <f t="array" ref="M1339:N1339">VLOOKUP(B1339,'Fumigation  Room'!B:H,{6,7},0)</f>
        <v>0</v>
      </c>
      <c r="N1339" s="40">
        <v>0</v>
      </c>
      <c r="O1339" s="40">
        <f t="shared" si="41"/>
        <v>0</v>
      </c>
      <c r="P1339" s="40">
        <f t="shared" si="42"/>
        <v>0</v>
      </c>
    </row>
    <row r="1340" spans="1:16" x14ac:dyDescent="0.35">
      <c r="A1340" s="33">
        <v>1337</v>
      </c>
      <c r="B1340" s="34" t="s">
        <v>1707</v>
      </c>
      <c r="C1340" s="33" t="s">
        <v>346</v>
      </c>
      <c r="D1340" s="33" t="s">
        <v>100</v>
      </c>
      <c r="E1340" s="33" t="s">
        <v>1623</v>
      </c>
      <c r="F1340" s="35">
        <v>0.1</v>
      </c>
      <c r="G1340" s="40">
        <v>0</v>
      </c>
      <c r="H1340" s="40">
        <v>0</v>
      </c>
      <c r="I1340" s="40">
        <v>0</v>
      </c>
      <c r="J1340" s="40">
        <v>0</v>
      </c>
      <c r="K1340" s="40">
        <v>0</v>
      </c>
      <c r="L1340" s="40">
        <v>0</v>
      </c>
      <c r="M1340" s="40" cm="1">
        <f t="array" ref="M1340:N1340">VLOOKUP(B1340,'Fumigation  Room'!B:H,{6,7},0)</f>
        <v>0</v>
      </c>
      <c r="N1340" s="40">
        <v>0</v>
      </c>
      <c r="O1340" s="40">
        <f t="shared" si="41"/>
        <v>0</v>
      </c>
      <c r="P1340" s="40">
        <f t="shared" si="42"/>
        <v>0</v>
      </c>
    </row>
    <row r="1341" spans="1:16" x14ac:dyDescent="0.35">
      <c r="A1341" s="33">
        <v>1338</v>
      </c>
      <c r="B1341" s="34" t="s">
        <v>1708</v>
      </c>
      <c r="C1341" s="33" t="s">
        <v>346</v>
      </c>
      <c r="D1341" s="33" t="s">
        <v>100</v>
      </c>
      <c r="E1341" s="33" t="s">
        <v>1623</v>
      </c>
      <c r="F1341" s="35">
        <v>0.05</v>
      </c>
      <c r="G1341" s="40">
        <v>0</v>
      </c>
      <c r="H1341" s="40">
        <v>0</v>
      </c>
      <c r="I1341" s="40">
        <v>0</v>
      </c>
      <c r="J1341" s="40">
        <v>0</v>
      </c>
      <c r="K1341" s="40">
        <v>0</v>
      </c>
      <c r="L1341" s="40">
        <v>0</v>
      </c>
      <c r="M1341" s="40" cm="1">
        <f t="array" ref="M1341:N1341">VLOOKUP(B1341,'Fumigation  Room'!B:H,{6,7},0)</f>
        <v>0</v>
      </c>
      <c r="N1341" s="40">
        <v>0</v>
      </c>
      <c r="O1341" s="40">
        <f t="shared" si="41"/>
        <v>0</v>
      </c>
      <c r="P1341" s="40">
        <f t="shared" si="42"/>
        <v>0</v>
      </c>
    </row>
    <row r="1342" spans="1:16" x14ac:dyDescent="0.35">
      <c r="A1342" s="33">
        <v>1339</v>
      </c>
      <c r="B1342" s="34" t="s">
        <v>1709</v>
      </c>
      <c r="C1342" s="33" t="s">
        <v>346</v>
      </c>
      <c r="D1342" s="33" t="s">
        <v>100</v>
      </c>
      <c r="E1342" s="33" t="s">
        <v>1623</v>
      </c>
      <c r="F1342" s="35">
        <v>1</v>
      </c>
      <c r="G1342" s="40">
        <v>0</v>
      </c>
      <c r="H1342" s="40">
        <v>0</v>
      </c>
      <c r="I1342" s="40">
        <v>0</v>
      </c>
      <c r="J1342" s="40">
        <v>0</v>
      </c>
      <c r="K1342" s="40">
        <v>0</v>
      </c>
      <c r="L1342" s="40">
        <v>0</v>
      </c>
      <c r="M1342" s="40" cm="1">
        <f t="array" ref="M1342:N1342">VLOOKUP(B1342,'Fumigation  Room'!B:H,{6,7},0)</f>
        <v>0</v>
      </c>
      <c r="N1342" s="40">
        <v>0</v>
      </c>
      <c r="O1342" s="40">
        <f t="shared" si="41"/>
        <v>0</v>
      </c>
      <c r="P1342" s="40">
        <f t="shared" si="42"/>
        <v>0</v>
      </c>
    </row>
    <row r="1343" spans="1:16" x14ac:dyDescent="0.35">
      <c r="A1343" s="33">
        <v>1340</v>
      </c>
      <c r="B1343" s="34" t="s">
        <v>1641</v>
      </c>
      <c r="C1343" s="33" t="s">
        <v>297</v>
      </c>
      <c r="D1343" s="33" t="s">
        <v>100</v>
      </c>
      <c r="E1343" s="33" t="s">
        <v>1641</v>
      </c>
      <c r="F1343" s="35">
        <v>1</v>
      </c>
      <c r="G1343" s="40">
        <v>0</v>
      </c>
      <c r="H1343" s="40">
        <v>0</v>
      </c>
      <c r="I1343" s="40">
        <v>0</v>
      </c>
      <c r="J1343" s="40">
        <v>0</v>
      </c>
      <c r="K1343" s="40">
        <v>0</v>
      </c>
      <c r="L1343" s="40">
        <v>0</v>
      </c>
      <c r="M1343" s="40" cm="1">
        <f t="array" ref="M1343:N1343">VLOOKUP(B1343,'Fumigation  Room'!B:H,{6,7},0)</f>
        <v>0</v>
      </c>
      <c r="N1343" s="40">
        <v>0</v>
      </c>
      <c r="O1343" s="40">
        <f t="shared" si="41"/>
        <v>0</v>
      </c>
      <c r="P1343" s="40">
        <f t="shared" si="42"/>
        <v>0</v>
      </c>
    </row>
    <row r="1344" spans="1:16" x14ac:dyDescent="0.35">
      <c r="A1344" s="33">
        <v>1341</v>
      </c>
      <c r="B1344" s="34" t="s">
        <v>1642</v>
      </c>
      <c r="C1344" s="33" t="s">
        <v>297</v>
      </c>
      <c r="D1344" s="33" t="s">
        <v>100</v>
      </c>
      <c r="E1344" s="33" t="s">
        <v>1642</v>
      </c>
      <c r="F1344" s="35">
        <v>1</v>
      </c>
      <c r="G1344" s="40">
        <v>0</v>
      </c>
      <c r="H1344" s="40">
        <v>0</v>
      </c>
      <c r="I1344" s="40">
        <v>0</v>
      </c>
      <c r="J1344" s="40">
        <v>0</v>
      </c>
      <c r="K1344" s="40">
        <v>0</v>
      </c>
      <c r="L1344" s="40">
        <v>0</v>
      </c>
      <c r="M1344" s="40" cm="1">
        <f t="array" ref="M1344:N1344">VLOOKUP(B1344,'Fumigation  Room'!B:H,{6,7},0)</f>
        <v>0</v>
      </c>
      <c r="N1344" s="40">
        <v>0</v>
      </c>
      <c r="O1344" s="40">
        <f t="shared" si="41"/>
        <v>0</v>
      </c>
      <c r="P1344" s="40">
        <f t="shared" si="42"/>
        <v>0</v>
      </c>
    </row>
    <row r="1345" spans="1:16" x14ac:dyDescent="0.35">
      <c r="A1345" s="33">
        <v>1342</v>
      </c>
      <c r="B1345" s="34" t="s">
        <v>1643</v>
      </c>
      <c r="C1345" s="33" t="s">
        <v>297</v>
      </c>
      <c r="D1345" s="33" t="s">
        <v>100</v>
      </c>
      <c r="E1345" s="33" t="s">
        <v>1642</v>
      </c>
      <c r="F1345" s="35">
        <v>1</v>
      </c>
      <c r="G1345" s="40">
        <v>0</v>
      </c>
      <c r="H1345" s="40">
        <v>0</v>
      </c>
      <c r="I1345" s="40">
        <v>0</v>
      </c>
      <c r="J1345" s="40">
        <v>0</v>
      </c>
      <c r="K1345" s="40">
        <v>0</v>
      </c>
      <c r="L1345" s="40">
        <v>0</v>
      </c>
      <c r="M1345" s="40" cm="1">
        <f t="array" ref="M1345:N1345">VLOOKUP(B1345,'Fumigation  Room'!B:H,{6,7},0)</f>
        <v>0</v>
      </c>
      <c r="N1345" s="40">
        <v>0</v>
      </c>
      <c r="O1345" s="40">
        <f t="shared" si="41"/>
        <v>0</v>
      </c>
      <c r="P1345" s="40">
        <f t="shared" si="42"/>
        <v>0</v>
      </c>
    </row>
    <row r="1346" spans="1:16" x14ac:dyDescent="0.35">
      <c r="A1346" s="33">
        <v>1343</v>
      </c>
      <c r="B1346" s="34" t="s">
        <v>1644</v>
      </c>
      <c r="C1346" s="33" t="s">
        <v>297</v>
      </c>
      <c r="D1346" s="33" t="s">
        <v>100</v>
      </c>
      <c r="E1346" s="33" t="s">
        <v>1642</v>
      </c>
      <c r="F1346" s="35">
        <v>1</v>
      </c>
      <c r="G1346" s="40">
        <v>0</v>
      </c>
      <c r="H1346" s="40">
        <v>0</v>
      </c>
      <c r="I1346" s="40">
        <v>0</v>
      </c>
      <c r="J1346" s="40">
        <v>0</v>
      </c>
      <c r="K1346" s="40">
        <v>0</v>
      </c>
      <c r="L1346" s="40">
        <v>0</v>
      </c>
      <c r="M1346" s="40" cm="1">
        <f t="array" ref="M1346:N1346">VLOOKUP(B1346,'Fumigation  Room'!B:H,{6,7},0)</f>
        <v>0</v>
      </c>
      <c r="N1346" s="40">
        <v>0</v>
      </c>
      <c r="O1346" s="40">
        <f t="shared" si="41"/>
        <v>0</v>
      </c>
      <c r="P1346" s="40">
        <f t="shared" si="42"/>
        <v>0</v>
      </c>
    </row>
    <row r="1347" spans="1:16" x14ac:dyDescent="0.35">
      <c r="A1347" s="33">
        <v>1344</v>
      </c>
      <c r="B1347" s="34" t="s">
        <v>1710</v>
      </c>
      <c r="C1347" s="33" t="s">
        <v>346</v>
      </c>
      <c r="D1347" s="33" t="s">
        <v>100</v>
      </c>
      <c r="E1347" s="33" t="s">
        <v>1642</v>
      </c>
      <c r="F1347" s="35">
        <v>0.05</v>
      </c>
      <c r="G1347" s="40">
        <v>0</v>
      </c>
      <c r="H1347" s="40">
        <v>0</v>
      </c>
      <c r="I1347" s="40">
        <v>0</v>
      </c>
      <c r="J1347" s="40">
        <v>0</v>
      </c>
      <c r="K1347" s="40">
        <v>0</v>
      </c>
      <c r="L1347" s="40">
        <v>0</v>
      </c>
      <c r="M1347" s="40" cm="1">
        <f t="array" ref="M1347:N1347">VLOOKUP(B1347,'Fumigation  Room'!B:H,{6,7},0)</f>
        <v>0</v>
      </c>
      <c r="N1347" s="40">
        <v>0</v>
      </c>
      <c r="O1347" s="40">
        <f t="shared" si="41"/>
        <v>0</v>
      </c>
      <c r="P1347" s="40">
        <f t="shared" si="42"/>
        <v>0</v>
      </c>
    </row>
    <row r="1348" spans="1:16" x14ac:dyDescent="0.35">
      <c r="A1348" s="33">
        <v>1345</v>
      </c>
      <c r="B1348" s="34" t="s">
        <v>1711</v>
      </c>
      <c r="C1348" s="33" t="s">
        <v>346</v>
      </c>
      <c r="D1348" s="33" t="s">
        <v>100</v>
      </c>
      <c r="E1348" s="33" t="s">
        <v>1642</v>
      </c>
      <c r="F1348" s="35">
        <v>1</v>
      </c>
      <c r="G1348" s="40">
        <v>0</v>
      </c>
      <c r="H1348" s="40">
        <v>0</v>
      </c>
      <c r="I1348" s="40">
        <v>0</v>
      </c>
      <c r="J1348" s="40">
        <v>0</v>
      </c>
      <c r="K1348" s="40">
        <v>0</v>
      </c>
      <c r="L1348" s="40">
        <v>0</v>
      </c>
      <c r="M1348" s="40" cm="1">
        <f t="array" ref="M1348:N1348">VLOOKUP(B1348,'Fumigation  Room'!B:H,{6,7},0)</f>
        <v>0</v>
      </c>
      <c r="N1348" s="40">
        <v>0</v>
      </c>
      <c r="O1348" s="40">
        <f t="shared" si="41"/>
        <v>0</v>
      </c>
      <c r="P1348" s="40">
        <f t="shared" si="42"/>
        <v>0</v>
      </c>
    </row>
    <row r="1349" spans="1:16" x14ac:dyDescent="0.35">
      <c r="A1349" s="33">
        <v>1346</v>
      </c>
      <c r="B1349" s="34" t="s">
        <v>1712</v>
      </c>
      <c r="C1349" s="33" t="s">
        <v>346</v>
      </c>
      <c r="D1349" s="33" t="s">
        <v>100</v>
      </c>
      <c r="E1349" s="33" t="s">
        <v>1642</v>
      </c>
      <c r="F1349" s="35">
        <v>0.25</v>
      </c>
      <c r="G1349" s="40">
        <v>0</v>
      </c>
      <c r="H1349" s="40">
        <v>0</v>
      </c>
      <c r="I1349" s="40">
        <v>0</v>
      </c>
      <c r="J1349" s="40">
        <v>0</v>
      </c>
      <c r="K1349" s="40">
        <v>0</v>
      </c>
      <c r="L1349" s="40">
        <v>0</v>
      </c>
      <c r="M1349" s="40" cm="1">
        <f t="array" ref="M1349:N1349">VLOOKUP(B1349,'Fumigation  Room'!B:H,{6,7},0)</f>
        <v>0</v>
      </c>
      <c r="N1349" s="40">
        <v>0</v>
      </c>
      <c r="O1349" s="40">
        <f t="shared" ref="O1349:O1412" si="43">G1349+I1349+K1349+M1349</f>
        <v>0</v>
      </c>
      <c r="P1349" s="40">
        <f t="shared" ref="P1349:P1412" si="44">H1349+J1349+L1349+N1349</f>
        <v>0</v>
      </c>
    </row>
    <row r="1350" spans="1:16" x14ac:dyDescent="0.35">
      <c r="A1350" s="33">
        <v>1347</v>
      </c>
      <c r="B1350" s="34" t="s">
        <v>1713</v>
      </c>
      <c r="C1350" s="33" t="s">
        <v>346</v>
      </c>
      <c r="D1350" s="33" t="s">
        <v>100</v>
      </c>
      <c r="E1350" s="33" t="s">
        <v>1642</v>
      </c>
      <c r="F1350" s="35">
        <v>1</v>
      </c>
      <c r="G1350" s="40">
        <v>0</v>
      </c>
      <c r="H1350" s="40">
        <v>0</v>
      </c>
      <c r="I1350" s="40">
        <v>0</v>
      </c>
      <c r="J1350" s="40">
        <v>0</v>
      </c>
      <c r="K1350" s="40">
        <v>0</v>
      </c>
      <c r="L1350" s="40">
        <v>0</v>
      </c>
      <c r="M1350" s="40" cm="1">
        <f t="array" ref="M1350:N1350">VLOOKUP(B1350,'Fumigation  Room'!B:H,{6,7},0)</f>
        <v>0</v>
      </c>
      <c r="N1350" s="40">
        <v>0</v>
      </c>
      <c r="O1350" s="40">
        <f t="shared" si="43"/>
        <v>0</v>
      </c>
      <c r="P1350" s="40">
        <f t="shared" si="44"/>
        <v>0</v>
      </c>
    </row>
    <row r="1351" spans="1:16" x14ac:dyDescent="0.35">
      <c r="A1351" s="33">
        <v>1348</v>
      </c>
      <c r="B1351" s="34" t="s">
        <v>1714</v>
      </c>
      <c r="C1351" s="33" t="s">
        <v>346</v>
      </c>
      <c r="D1351" s="33" t="s">
        <v>100</v>
      </c>
      <c r="E1351" s="33" t="s">
        <v>1642</v>
      </c>
      <c r="F1351" s="35">
        <v>1</v>
      </c>
      <c r="G1351" s="40">
        <v>0</v>
      </c>
      <c r="H1351" s="40">
        <v>0</v>
      </c>
      <c r="I1351" s="40">
        <v>0</v>
      </c>
      <c r="J1351" s="40">
        <v>0</v>
      </c>
      <c r="K1351" s="40">
        <v>0</v>
      </c>
      <c r="L1351" s="40">
        <v>0</v>
      </c>
      <c r="M1351" s="40" cm="1">
        <f t="array" ref="M1351:N1351">VLOOKUP(B1351,'Fumigation  Room'!B:H,{6,7},0)</f>
        <v>0</v>
      </c>
      <c r="N1351" s="40">
        <v>0</v>
      </c>
      <c r="O1351" s="40">
        <f t="shared" si="43"/>
        <v>0</v>
      </c>
      <c r="P1351" s="40">
        <f t="shared" si="44"/>
        <v>0</v>
      </c>
    </row>
    <row r="1352" spans="1:16" x14ac:dyDescent="0.35">
      <c r="A1352" s="33">
        <v>1349</v>
      </c>
      <c r="B1352" s="34" t="s">
        <v>1715</v>
      </c>
      <c r="C1352" s="33" t="s">
        <v>346</v>
      </c>
      <c r="D1352" s="33" t="s">
        <v>100</v>
      </c>
      <c r="E1352" s="33" t="s">
        <v>1642</v>
      </c>
      <c r="F1352" s="35">
        <v>0.2</v>
      </c>
      <c r="G1352" s="40">
        <v>0</v>
      </c>
      <c r="H1352" s="40">
        <v>0</v>
      </c>
      <c r="I1352" s="40">
        <v>0</v>
      </c>
      <c r="J1352" s="40">
        <v>0</v>
      </c>
      <c r="K1352" s="40">
        <v>0</v>
      </c>
      <c r="L1352" s="40">
        <v>0</v>
      </c>
      <c r="M1352" s="40" cm="1">
        <f t="array" ref="M1352:N1352">VLOOKUP(B1352,'Fumigation  Room'!B:H,{6,7},0)</f>
        <v>0</v>
      </c>
      <c r="N1352" s="40">
        <v>0</v>
      </c>
      <c r="O1352" s="40">
        <f t="shared" si="43"/>
        <v>0</v>
      </c>
      <c r="P1352" s="40">
        <f t="shared" si="44"/>
        <v>0</v>
      </c>
    </row>
    <row r="1353" spans="1:16" x14ac:dyDescent="0.35">
      <c r="A1353" s="33">
        <v>1350</v>
      </c>
      <c r="B1353" s="34" t="s">
        <v>1716</v>
      </c>
      <c r="C1353" s="33" t="s">
        <v>346</v>
      </c>
      <c r="D1353" s="33" t="s">
        <v>100</v>
      </c>
      <c r="E1353" s="33" t="s">
        <v>1642</v>
      </c>
      <c r="F1353" s="35">
        <v>0.25</v>
      </c>
      <c r="G1353" s="40">
        <v>0</v>
      </c>
      <c r="H1353" s="40">
        <v>0</v>
      </c>
      <c r="I1353" s="40">
        <v>0</v>
      </c>
      <c r="J1353" s="40">
        <v>0</v>
      </c>
      <c r="K1353" s="40">
        <v>0</v>
      </c>
      <c r="L1353" s="40">
        <v>0</v>
      </c>
      <c r="M1353" s="40" cm="1">
        <f t="array" ref="M1353:N1353">VLOOKUP(B1353,'Fumigation  Room'!B:H,{6,7},0)</f>
        <v>0</v>
      </c>
      <c r="N1353" s="40">
        <v>0</v>
      </c>
      <c r="O1353" s="40">
        <f t="shared" si="43"/>
        <v>0</v>
      </c>
      <c r="P1353" s="40">
        <f t="shared" si="44"/>
        <v>0</v>
      </c>
    </row>
    <row r="1354" spans="1:16" x14ac:dyDescent="0.35">
      <c r="A1354" s="33">
        <v>1351</v>
      </c>
      <c r="B1354" s="34" t="s">
        <v>1717</v>
      </c>
      <c r="C1354" s="33" t="s">
        <v>346</v>
      </c>
      <c r="D1354" s="33" t="s">
        <v>100</v>
      </c>
      <c r="E1354" s="33" t="s">
        <v>1642</v>
      </c>
      <c r="F1354" s="35">
        <v>0.08</v>
      </c>
      <c r="G1354" s="40">
        <v>0</v>
      </c>
      <c r="H1354" s="40">
        <v>0</v>
      </c>
      <c r="I1354" s="40">
        <v>0</v>
      </c>
      <c r="J1354" s="40">
        <v>0</v>
      </c>
      <c r="K1354" s="40">
        <v>0</v>
      </c>
      <c r="L1354" s="40">
        <v>0</v>
      </c>
      <c r="M1354" s="40" cm="1">
        <f t="array" ref="M1354:N1354">VLOOKUP(B1354,'Fumigation  Room'!B:H,{6,7},0)</f>
        <v>0</v>
      </c>
      <c r="N1354" s="40">
        <v>0</v>
      </c>
      <c r="O1354" s="40">
        <f t="shared" si="43"/>
        <v>0</v>
      </c>
      <c r="P1354" s="40">
        <f t="shared" si="44"/>
        <v>0</v>
      </c>
    </row>
    <row r="1355" spans="1:16" x14ac:dyDescent="0.35">
      <c r="A1355" s="33">
        <v>1352</v>
      </c>
      <c r="B1355" s="34" t="s">
        <v>1718</v>
      </c>
      <c r="C1355" s="33" t="s">
        <v>346</v>
      </c>
      <c r="D1355" s="33" t="s">
        <v>100</v>
      </c>
      <c r="E1355" s="33" t="s">
        <v>1642</v>
      </c>
      <c r="F1355" s="35">
        <v>1</v>
      </c>
      <c r="G1355" s="40">
        <v>0</v>
      </c>
      <c r="H1355" s="40">
        <v>0</v>
      </c>
      <c r="I1355" s="40">
        <v>0</v>
      </c>
      <c r="J1355" s="40">
        <v>0</v>
      </c>
      <c r="K1355" s="40">
        <v>0</v>
      </c>
      <c r="L1355" s="40">
        <v>0</v>
      </c>
      <c r="M1355" s="40" cm="1">
        <f t="array" ref="M1355:N1355">VLOOKUP(B1355,'Fumigation  Room'!B:H,{6,7},0)</f>
        <v>0</v>
      </c>
      <c r="N1355" s="40">
        <v>0</v>
      </c>
      <c r="O1355" s="40">
        <f t="shared" si="43"/>
        <v>0</v>
      </c>
      <c r="P1355" s="40">
        <f t="shared" si="44"/>
        <v>0</v>
      </c>
    </row>
    <row r="1356" spans="1:16" x14ac:dyDescent="0.35">
      <c r="A1356" s="33">
        <v>1353</v>
      </c>
      <c r="B1356" s="34" t="s">
        <v>1719</v>
      </c>
      <c r="C1356" s="33" t="s">
        <v>346</v>
      </c>
      <c r="D1356" s="33" t="s">
        <v>100</v>
      </c>
      <c r="E1356" s="33" t="s">
        <v>1642</v>
      </c>
      <c r="F1356" s="35">
        <v>1</v>
      </c>
      <c r="G1356" s="40">
        <v>0</v>
      </c>
      <c r="H1356" s="40">
        <v>0</v>
      </c>
      <c r="I1356" s="40">
        <v>0</v>
      </c>
      <c r="J1356" s="40">
        <v>0</v>
      </c>
      <c r="K1356" s="40">
        <v>0</v>
      </c>
      <c r="L1356" s="40">
        <v>0</v>
      </c>
      <c r="M1356" s="40" cm="1">
        <f t="array" ref="M1356:N1356">VLOOKUP(B1356,'Fumigation  Room'!B:H,{6,7},0)</f>
        <v>0</v>
      </c>
      <c r="N1356" s="40">
        <v>0</v>
      </c>
      <c r="O1356" s="40">
        <f t="shared" si="43"/>
        <v>0</v>
      </c>
      <c r="P1356" s="40">
        <f t="shared" si="44"/>
        <v>0</v>
      </c>
    </row>
    <row r="1357" spans="1:16" x14ac:dyDescent="0.35">
      <c r="A1357" s="33">
        <v>1354</v>
      </c>
      <c r="B1357" s="34" t="s">
        <v>1720</v>
      </c>
      <c r="C1357" s="33" t="s">
        <v>346</v>
      </c>
      <c r="D1357" s="33" t="s">
        <v>100</v>
      </c>
      <c r="E1357" s="33" t="s">
        <v>1642</v>
      </c>
      <c r="F1357" s="35">
        <v>0.15</v>
      </c>
      <c r="G1357" s="40">
        <v>0</v>
      </c>
      <c r="H1357" s="40">
        <v>0</v>
      </c>
      <c r="I1357" s="40">
        <v>0</v>
      </c>
      <c r="J1357" s="40">
        <v>0</v>
      </c>
      <c r="K1357" s="40">
        <v>0</v>
      </c>
      <c r="L1357" s="40">
        <v>0</v>
      </c>
      <c r="M1357" s="40" cm="1">
        <f t="array" ref="M1357:N1357">VLOOKUP(B1357,'Fumigation  Room'!B:H,{6,7},0)</f>
        <v>0</v>
      </c>
      <c r="N1357" s="40">
        <v>0</v>
      </c>
      <c r="O1357" s="40">
        <f t="shared" si="43"/>
        <v>0</v>
      </c>
      <c r="P1357" s="40">
        <f t="shared" si="44"/>
        <v>0</v>
      </c>
    </row>
    <row r="1358" spans="1:16" x14ac:dyDescent="0.35">
      <c r="A1358" s="33">
        <v>1355</v>
      </c>
      <c r="B1358" s="34" t="s">
        <v>1721</v>
      </c>
      <c r="C1358" s="33" t="s">
        <v>346</v>
      </c>
      <c r="D1358" s="33" t="s">
        <v>100</v>
      </c>
      <c r="E1358" s="33" t="s">
        <v>1642</v>
      </c>
      <c r="F1358" s="35">
        <v>0.5</v>
      </c>
      <c r="G1358" s="40">
        <v>0</v>
      </c>
      <c r="H1358" s="40">
        <v>0</v>
      </c>
      <c r="I1358" s="40">
        <v>0</v>
      </c>
      <c r="J1358" s="40">
        <v>0</v>
      </c>
      <c r="K1358" s="40">
        <v>0</v>
      </c>
      <c r="L1358" s="40">
        <v>0</v>
      </c>
      <c r="M1358" s="40" cm="1">
        <f t="array" ref="M1358:N1358">VLOOKUP(B1358,'Fumigation  Room'!B:H,{6,7},0)</f>
        <v>0</v>
      </c>
      <c r="N1358" s="40">
        <v>0</v>
      </c>
      <c r="O1358" s="40">
        <f t="shared" si="43"/>
        <v>0</v>
      </c>
      <c r="P1358" s="40">
        <f t="shared" si="44"/>
        <v>0</v>
      </c>
    </row>
    <row r="1359" spans="1:16" x14ac:dyDescent="0.35">
      <c r="A1359" s="33">
        <v>1356</v>
      </c>
      <c r="B1359" s="34" t="s">
        <v>1722</v>
      </c>
      <c r="C1359" s="33" t="s">
        <v>346</v>
      </c>
      <c r="D1359" s="33" t="s">
        <v>100</v>
      </c>
      <c r="E1359" s="33" t="s">
        <v>1642</v>
      </c>
      <c r="F1359" s="35">
        <v>0.1</v>
      </c>
      <c r="G1359" s="40">
        <v>0</v>
      </c>
      <c r="H1359" s="40">
        <v>0</v>
      </c>
      <c r="I1359" s="40">
        <v>0</v>
      </c>
      <c r="J1359" s="40">
        <v>0</v>
      </c>
      <c r="K1359" s="40">
        <v>0</v>
      </c>
      <c r="L1359" s="40">
        <v>0</v>
      </c>
      <c r="M1359" s="40" cm="1">
        <f t="array" ref="M1359:N1359">VLOOKUP(B1359,'Fumigation  Room'!B:H,{6,7},0)</f>
        <v>0</v>
      </c>
      <c r="N1359" s="40">
        <v>0</v>
      </c>
      <c r="O1359" s="40">
        <f t="shared" si="43"/>
        <v>0</v>
      </c>
      <c r="P1359" s="40">
        <f t="shared" si="44"/>
        <v>0</v>
      </c>
    </row>
    <row r="1360" spans="1:16" x14ac:dyDescent="0.35">
      <c r="A1360" s="33">
        <v>1357</v>
      </c>
      <c r="B1360" s="34" t="s">
        <v>1723</v>
      </c>
      <c r="C1360" s="33" t="s">
        <v>346</v>
      </c>
      <c r="D1360" s="33" t="s">
        <v>100</v>
      </c>
      <c r="E1360" s="33" t="s">
        <v>1642</v>
      </c>
      <c r="F1360" s="35">
        <v>0.1</v>
      </c>
      <c r="G1360" s="40">
        <v>0</v>
      </c>
      <c r="H1360" s="40">
        <v>0</v>
      </c>
      <c r="I1360" s="40">
        <v>0</v>
      </c>
      <c r="J1360" s="40">
        <v>0</v>
      </c>
      <c r="K1360" s="40">
        <v>0</v>
      </c>
      <c r="L1360" s="40">
        <v>0</v>
      </c>
      <c r="M1360" s="40" cm="1">
        <f t="array" ref="M1360:N1360">VLOOKUP(B1360,'Fumigation  Room'!B:H,{6,7},0)</f>
        <v>0</v>
      </c>
      <c r="N1360" s="40">
        <v>0</v>
      </c>
      <c r="O1360" s="40">
        <f t="shared" si="43"/>
        <v>0</v>
      </c>
      <c r="P1360" s="40">
        <f t="shared" si="44"/>
        <v>0</v>
      </c>
    </row>
    <row r="1361" spans="1:16" x14ac:dyDescent="0.35">
      <c r="A1361" s="33">
        <v>1358</v>
      </c>
      <c r="B1361" s="34" t="s">
        <v>1724</v>
      </c>
      <c r="C1361" s="33" t="s">
        <v>346</v>
      </c>
      <c r="D1361" s="33" t="s">
        <v>100</v>
      </c>
      <c r="E1361" s="33" t="s">
        <v>1642</v>
      </c>
      <c r="F1361" s="35">
        <v>0.1</v>
      </c>
      <c r="G1361" s="40">
        <v>0</v>
      </c>
      <c r="H1361" s="40">
        <v>0</v>
      </c>
      <c r="I1361" s="40">
        <v>0</v>
      </c>
      <c r="J1361" s="40">
        <v>0</v>
      </c>
      <c r="K1361" s="40">
        <v>0</v>
      </c>
      <c r="L1361" s="40">
        <v>0</v>
      </c>
      <c r="M1361" s="40" cm="1">
        <f t="array" ref="M1361:N1361">VLOOKUP(B1361,'Fumigation  Room'!B:H,{6,7},0)</f>
        <v>0</v>
      </c>
      <c r="N1361" s="40">
        <v>0</v>
      </c>
      <c r="O1361" s="40">
        <f t="shared" si="43"/>
        <v>0</v>
      </c>
      <c r="P1361" s="40">
        <f t="shared" si="44"/>
        <v>0</v>
      </c>
    </row>
    <row r="1362" spans="1:16" x14ac:dyDescent="0.35">
      <c r="A1362" s="33">
        <v>1359</v>
      </c>
      <c r="B1362" s="34" t="s">
        <v>1725</v>
      </c>
      <c r="C1362" s="33" t="s">
        <v>346</v>
      </c>
      <c r="D1362" s="33" t="s">
        <v>100</v>
      </c>
      <c r="E1362" s="33" t="s">
        <v>1642</v>
      </c>
      <c r="F1362" s="35">
        <v>0.1</v>
      </c>
      <c r="G1362" s="40">
        <v>0</v>
      </c>
      <c r="H1362" s="40">
        <v>0</v>
      </c>
      <c r="I1362" s="40">
        <v>0</v>
      </c>
      <c r="J1362" s="40">
        <v>0</v>
      </c>
      <c r="K1362" s="40">
        <v>0</v>
      </c>
      <c r="L1362" s="40">
        <v>0</v>
      </c>
      <c r="M1362" s="40" cm="1">
        <f t="array" ref="M1362:N1362">VLOOKUP(B1362,'Fumigation  Room'!B:H,{6,7},0)</f>
        <v>0</v>
      </c>
      <c r="N1362" s="40">
        <v>0</v>
      </c>
      <c r="O1362" s="40">
        <f t="shared" si="43"/>
        <v>0</v>
      </c>
      <c r="P1362" s="40">
        <f t="shared" si="44"/>
        <v>0</v>
      </c>
    </row>
    <row r="1363" spans="1:16" x14ac:dyDescent="0.35">
      <c r="A1363" s="33">
        <v>1360</v>
      </c>
      <c r="B1363" s="34" t="s">
        <v>1726</v>
      </c>
      <c r="C1363" s="33" t="s">
        <v>346</v>
      </c>
      <c r="D1363" s="33" t="s">
        <v>100</v>
      </c>
      <c r="E1363" s="33" t="s">
        <v>1642</v>
      </c>
      <c r="F1363" s="35">
        <v>0.1</v>
      </c>
      <c r="G1363" s="40">
        <v>0</v>
      </c>
      <c r="H1363" s="40">
        <v>0</v>
      </c>
      <c r="I1363" s="40">
        <v>0</v>
      </c>
      <c r="J1363" s="40">
        <v>0</v>
      </c>
      <c r="K1363" s="40">
        <v>0</v>
      </c>
      <c r="L1363" s="40">
        <v>0</v>
      </c>
      <c r="M1363" s="40" cm="1">
        <f t="array" ref="M1363:N1363">VLOOKUP(B1363,'Fumigation  Room'!B:H,{6,7},0)</f>
        <v>0</v>
      </c>
      <c r="N1363" s="40">
        <v>0</v>
      </c>
      <c r="O1363" s="40">
        <f t="shared" si="43"/>
        <v>0</v>
      </c>
      <c r="P1363" s="40">
        <f t="shared" si="44"/>
        <v>0</v>
      </c>
    </row>
    <row r="1364" spans="1:16" x14ac:dyDescent="0.35">
      <c r="A1364" s="33">
        <v>1361</v>
      </c>
      <c r="B1364" s="34" t="s">
        <v>1727</v>
      </c>
      <c r="C1364" s="33" t="s">
        <v>346</v>
      </c>
      <c r="D1364" s="33" t="s">
        <v>100</v>
      </c>
      <c r="E1364" s="33" t="s">
        <v>1642</v>
      </c>
      <c r="F1364" s="35">
        <v>1</v>
      </c>
      <c r="G1364" s="40">
        <v>0</v>
      </c>
      <c r="H1364" s="40">
        <v>0</v>
      </c>
      <c r="I1364" s="40">
        <v>0</v>
      </c>
      <c r="J1364" s="40">
        <v>0</v>
      </c>
      <c r="K1364" s="40">
        <v>0</v>
      </c>
      <c r="L1364" s="40">
        <v>0</v>
      </c>
      <c r="M1364" s="40" cm="1">
        <f t="array" ref="M1364:N1364">VLOOKUP(B1364,'Fumigation  Room'!B:H,{6,7},0)</f>
        <v>0</v>
      </c>
      <c r="N1364" s="40">
        <v>0</v>
      </c>
      <c r="O1364" s="40">
        <f t="shared" si="43"/>
        <v>0</v>
      </c>
      <c r="P1364" s="40">
        <f t="shared" si="44"/>
        <v>0</v>
      </c>
    </row>
    <row r="1365" spans="1:16" x14ac:dyDescent="0.35">
      <c r="A1365" s="33">
        <v>1362</v>
      </c>
      <c r="B1365" s="34" t="s">
        <v>1728</v>
      </c>
      <c r="C1365" s="33" t="s">
        <v>346</v>
      </c>
      <c r="D1365" s="33" t="s">
        <v>100</v>
      </c>
      <c r="E1365" s="33" t="s">
        <v>1642</v>
      </c>
      <c r="F1365" s="35">
        <v>1</v>
      </c>
      <c r="G1365" s="40">
        <v>0</v>
      </c>
      <c r="H1365" s="40">
        <v>0</v>
      </c>
      <c r="I1365" s="40">
        <v>0</v>
      </c>
      <c r="J1365" s="40">
        <v>0</v>
      </c>
      <c r="K1365" s="40">
        <v>0</v>
      </c>
      <c r="L1365" s="40">
        <v>0</v>
      </c>
      <c r="M1365" s="40" cm="1">
        <f t="array" ref="M1365:N1365">VLOOKUP(B1365,'Fumigation  Room'!B:H,{6,7},0)</f>
        <v>0</v>
      </c>
      <c r="N1365" s="40">
        <v>0</v>
      </c>
      <c r="O1365" s="40">
        <f t="shared" si="43"/>
        <v>0</v>
      </c>
      <c r="P1365" s="40">
        <f t="shared" si="44"/>
        <v>0</v>
      </c>
    </row>
    <row r="1366" spans="1:16" x14ac:dyDescent="0.35">
      <c r="A1366" s="33">
        <v>1363</v>
      </c>
      <c r="B1366" s="34" t="s">
        <v>1729</v>
      </c>
      <c r="C1366" s="33" t="s">
        <v>346</v>
      </c>
      <c r="D1366" s="33" t="s">
        <v>100</v>
      </c>
      <c r="E1366" s="33" t="s">
        <v>1642</v>
      </c>
      <c r="F1366" s="35">
        <v>1</v>
      </c>
      <c r="G1366" s="40">
        <v>0</v>
      </c>
      <c r="H1366" s="40">
        <v>0</v>
      </c>
      <c r="I1366" s="40">
        <v>0</v>
      </c>
      <c r="J1366" s="40">
        <v>0</v>
      </c>
      <c r="K1366" s="40">
        <v>0</v>
      </c>
      <c r="L1366" s="40">
        <v>0</v>
      </c>
      <c r="M1366" s="40" cm="1">
        <f t="array" ref="M1366:N1366">VLOOKUP(B1366,'Fumigation  Room'!B:H,{6,7},0)</f>
        <v>0</v>
      </c>
      <c r="N1366" s="40">
        <v>0</v>
      </c>
      <c r="O1366" s="40">
        <f t="shared" si="43"/>
        <v>0</v>
      </c>
      <c r="P1366" s="40">
        <f t="shared" si="44"/>
        <v>0</v>
      </c>
    </row>
    <row r="1367" spans="1:16" x14ac:dyDescent="0.35">
      <c r="A1367" s="33">
        <v>1364</v>
      </c>
      <c r="B1367" s="34" t="s">
        <v>1730</v>
      </c>
      <c r="C1367" s="33" t="s">
        <v>346</v>
      </c>
      <c r="D1367" s="33" t="s">
        <v>100</v>
      </c>
      <c r="E1367" s="33" t="s">
        <v>1642</v>
      </c>
      <c r="F1367" s="35">
        <v>1</v>
      </c>
      <c r="G1367" s="40">
        <v>0</v>
      </c>
      <c r="H1367" s="40">
        <v>0</v>
      </c>
      <c r="I1367" s="40">
        <v>0</v>
      </c>
      <c r="J1367" s="40">
        <v>0</v>
      </c>
      <c r="K1367" s="40">
        <v>0</v>
      </c>
      <c r="L1367" s="40">
        <v>0</v>
      </c>
      <c r="M1367" s="40" cm="1">
        <f t="array" ref="M1367:N1367">VLOOKUP(B1367,'Fumigation  Room'!B:H,{6,7},0)</f>
        <v>0</v>
      </c>
      <c r="N1367" s="40">
        <v>0</v>
      </c>
      <c r="O1367" s="40">
        <f t="shared" si="43"/>
        <v>0</v>
      </c>
      <c r="P1367" s="40">
        <f t="shared" si="44"/>
        <v>0</v>
      </c>
    </row>
    <row r="1368" spans="1:16" x14ac:dyDescent="0.35">
      <c r="A1368" s="33">
        <v>1365</v>
      </c>
      <c r="B1368" s="34" t="s">
        <v>1731</v>
      </c>
      <c r="C1368" s="33" t="s">
        <v>346</v>
      </c>
      <c r="D1368" s="33" t="s">
        <v>100</v>
      </c>
      <c r="E1368" s="33" t="s">
        <v>1642</v>
      </c>
      <c r="F1368" s="35">
        <v>7.4999999999999997E-2</v>
      </c>
      <c r="G1368" s="40">
        <v>0</v>
      </c>
      <c r="H1368" s="40">
        <v>0</v>
      </c>
      <c r="I1368" s="40">
        <v>0</v>
      </c>
      <c r="J1368" s="40">
        <v>0</v>
      </c>
      <c r="K1368" s="40">
        <v>0</v>
      </c>
      <c r="L1368" s="40">
        <v>0</v>
      </c>
      <c r="M1368" s="40" cm="1">
        <f t="array" ref="M1368:N1368">VLOOKUP(B1368,'Fumigation  Room'!B:H,{6,7},0)</f>
        <v>0</v>
      </c>
      <c r="N1368" s="40">
        <v>0</v>
      </c>
      <c r="O1368" s="40">
        <f t="shared" si="43"/>
        <v>0</v>
      </c>
      <c r="P1368" s="40">
        <f t="shared" si="44"/>
        <v>0</v>
      </c>
    </row>
    <row r="1369" spans="1:16" x14ac:dyDescent="0.35">
      <c r="A1369" s="33">
        <v>1366</v>
      </c>
      <c r="B1369" s="34" t="s">
        <v>1732</v>
      </c>
      <c r="C1369" s="33" t="s">
        <v>346</v>
      </c>
      <c r="D1369" s="33" t="s">
        <v>100</v>
      </c>
      <c r="E1369" s="33" t="s">
        <v>1642</v>
      </c>
      <c r="F1369" s="35">
        <v>1</v>
      </c>
      <c r="G1369" s="40">
        <v>0</v>
      </c>
      <c r="H1369" s="40">
        <v>0</v>
      </c>
      <c r="I1369" s="40">
        <v>0</v>
      </c>
      <c r="J1369" s="40">
        <v>0</v>
      </c>
      <c r="K1369" s="40">
        <v>0</v>
      </c>
      <c r="L1369" s="40">
        <v>0</v>
      </c>
      <c r="M1369" s="40" cm="1">
        <f t="array" ref="M1369:N1369">VLOOKUP(B1369,'Fumigation  Room'!B:H,{6,7},0)</f>
        <v>0</v>
      </c>
      <c r="N1369" s="40">
        <v>0</v>
      </c>
      <c r="O1369" s="40">
        <f t="shared" si="43"/>
        <v>0</v>
      </c>
      <c r="P1369" s="40">
        <f t="shared" si="44"/>
        <v>0</v>
      </c>
    </row>
    <row r="1370" spans="1:16" x14ac:dyDescent="0.35">
      <c r="A1370" s="33">
        <v>1367</v>
      </c>
      <c r="B1370" s="34" t="s">
        <v>1733</v>
      </c>
      <c r="C1370" s="33" t="s">
        <v>346</v>
      </c>
      <c r="D1370" s="33" t="s">
        <v>100</v>
      </c>
      <c r="E1370" s="33" t="s">
        <v>1642</v>
      </c>
      <c r="F1370" s="35">
        <v>0.25</v>
      </c>
      <c r="G1370" s="40">
        <v>0</v>
      </c>
      <c r="H1370" s="40">
        <v>0</v>
      </c>
      <c r="I1370" s="40">
        <v>0</v>
      </c>
      <c r="J1370" s="40">
        <v>0</v>
      </c>
      <c r="K1370" s="40">
        <v>0</v>
      </c>
      <c r="L1370" s="40">
        <v>0</v>
      </c>
      <c r="M1370" s="40" cm="1">
        <f t="array" ref="M1370:N1370">VLOOKUP(B1370,'Fumigation  Room'!B:H,{6,7},0)</f>
        <v>0</v>
      </c>
      <c r="N1370" s="40">
        <v>0</v>
      </c>
      <c r="O1370" s="40">
        <f t="shared" si="43"/>
        <v>0</v>
      </c>
      <c r="P1370" s="40">
        <f t="shared" si="44"/>
        <v>0</v>
      </c>
    </row>
    <row r="1371" spans="1:16" x14ac:dyDescent="0.35">
      <c r="A1371" s="33">
        <v>1368</v>
      </c>
      <c r="B1371" s="34" t="s">
        <v>1734</v>
      </c>
      <c r="C1371" s="33" t="s">
        <v>346</v>
      </c>
      <c r="D1371" s="33" t="s">
        <v>100</v>
      </c>
      <c r="E1371" s="33" t="s">
        <v>1642</v>
      </c>
      <c r="F1371" s="35">
        <v>1</v>
      </c>
      <c r="G1371" s="40">
        <v>0</v>
      </c>
      <c r="H1371" s="40">
        <v>0</v>
      </c>
      <c r="I1371" s="40">
        <v>0</v>
      </c>
      <c r="J1371" s="40">
        <v>0</v>
      </c>
      <c r="K1371" s="40">
        <v>0</v>
      </c>
      <c r="L1371" s="40">
        <v>0</v>
      </c>
      <c r="M1371" s="40" cm="1">
        <f t="array" ref="M1371:N1371">VLOOKUP(B1371,'Fumigation  Room'!B:H,{6,7},0)</f>
        <v>0</v>
      </c>
      <c r="N1371" s="40">
        <v>0</v>
      </c>
      <c r="O1371" s="40">
        <f t="shared" si="43"/>
        <v>0</v>
      </c>
      <c r="P1371" s="40">
        <f t="shared" si="44"/>
        <v>0</v>
      </c>
    </row>
    <row r="1372" spans="1:16" x14ac:dyDescent="0.35">
      <c r="A1372" s="33">
        <v>1369</v>
      </c>
      <c r="B1372" s="34" t="s">
        <v>1735</v>
      </c>
      <c r="C1372" s="33" t="s">
        <v>346</v>
      </c>
      <c r="D1372" s="33" t="s">
        <v>100</v>
      </c>
      <c r="E1372" s="33" t="s">
        <v>1642</v>
      </c>
      <c r="F1372" s="35">
        <v>0.05</v>
      </c>
      <c r="G1372" s="40">
        <v>0</v>
      </c>
      <c r="H1372" s="40">
        <v>0</v>
      </c>
      <c r="I1372" s="40">
        <v>0</v>
      </c>
      <c r="J1372" s="40">
        <v>0</v>
      </c>
      <c r="K1372" s="40">
        <v>0</v>
      </c>
      <c r="L1372" s="40">
        <v>0</v>
      </c>
      <c r="M1372" s="40" cm="1">
        <f t="array" ref="M1372:N1372">VLOOKUP(B1372,'Fumigation  Room'!B:H,{6,7},0)</f>
        <v>0</v>
      </c>
      <c r="N1372" s="40">
        <v>0</v>
      </c>
      <c r="O1372" s="40">
        <f t="shared" si="43"/>
        <v>0</v>
      </c>
      <c r="P1372" s="40">
        <f t="shared" si="44"/>
        <v>0</v>
      </c>
    </row>
    <row r="1373" spans="1:16" x14ac:dyDescent="0.35">
      <c r="A1373" s="33">
        <v>1370</v>
      </c>
      <c r="B1373" s="34" t="s">
        <v>1736</v>
      </c>
      <c r="C1373" s="33" t="s">
        <v>346</v>
      </c>
      <c r="D1373" s="33" t="s">
        <v>100</v>
      </c>
      <c r="E1373" s="33" t="s">
        <v>1642</v>
      </c>
      <c r="F1373" s="35">
        <v>0.1</v>
      </c>
      <c r="G1373" s="40">
        <v>0</v>
      </c>
      <c r="H1373" s="40">
        <v>0</v>
      </c>
      <c r="I1373" s="40">
        <v>0</v>
      </c>
      <c r="J1373" s="40">
        <v>0</v>
      </c>
      <c r="K1373" s="40">
        <v>0</v>
      </c>
      <c r="L1373" s="40">
        <v>0</v>
      </c>
      <c r="M1373" s="40" cm="1">
        <f t="array" ref="M1373:N1373">VLOOKUP(B1373,'Fumigation  Room'!B:H,{6,7},0)</f>
        <v>0</v>
      </c>
      <c r="N1373" s="40">
        <v>0</v>
      </c>
      <c r="O1373" s="40">
        <f t="shared" si="43"/>
        <v>0</v>
      </c>
      <c r="P1373" s="40">
        <f t="shared" si="44"/>
        <v>0</v>
      </c>
    </row>
    <row r="1374" spans="1:16" x14ac:dyDescent="0.35">
      <c r="A1374" s="33">
        <v>1371</v>
      </c>
      <c r="B1374" s="34" t="s">
        <v>1737</v>
      </c>
      <c r="C1374" s="33" t="s">
        <v>346</v>
      </c>
      <c r="D1374" s="33" t="s">
        <v>100</v>
      </c>
      <c r="E1374" s="33" t="s">
        <v>1642</v>
      </c>
      <c r="F1374" s="35">
        <v>0.1</v>
      </c>
      <c r="G1374" s="40">
        <v>0</v>
      </c>
      <c r="H1374" s="40">
        <v>0</v>
      </c>
      <c r="I1374" s="40">
        <v>0</v>
      </c>
      <c r="J1374" s="40">
        <v>0</v>
      </c>
      <c r="K1374" s="40">
        <v>0</v>
      </c>
      <c r="L1374" s="40">
        <v>0</v>
      </c>
      <c r="M1374" s="40" cm="1">
        <f t="array" ref="M1374:N1374">VLOOKUP(B1374,'Fumigation  Room'!B:H,{6,7},0)</f>
        <v>0</v>
      </c>
      <c r="N1374" s="40">
        <v>0</v>
      </c>
      <c r="O1374" s="40">
        <f t="shared" si="43"/>
        <v>0</v>
      </c>
      <c r="P1374" s="40">
        <f t="shared" si="44"/>
        <v>0</v>
      </c>
    </row>
    <row r="1375" spans="1:16" x14ac:dyDescent="0.35">
      <c r="A1375" s="33">
        <v>1372</v>
      </c>
      <c r="B1375" s="34" t="s">
        <v>1738</v>
      </c>
      <c r="C1375" s="33" t="s">
        <v>346</v>
      </c>
      <c r="D1375" s="33" t="s">
        <v>100</v>
      </c>
      <c r="E1375" s="33" t="s">
        <v>1642</v>
      </c>
      <c r="F1375" s="35">
        <v>0.1</v>
      </c>
      <c r="G1375" s="40">
        <v>0</v>
      </c>
      <c r="H1375" s="40">
        <v>0</v>
      </c>
      <c r="I1375" s="40">
        <v>0</v>
      </c>
      <c r="J1375" s="40">
        <v>0</v>
      </c>
      <c r="K1375" s="40">
        <v>0</v>
      </c>
      <c r="L1375" s="40">
        <v>0</v>
      </c>
      <c r="M1375" s="40" cm="1">
        <f t="array" ref="M1375:N1375">VLOOKUP(B1375,'Fumigation  Room'!B:H,{6,7},0)</f>
        <v>0</v>
      </c>
      <c r="N1375" s="40">
        <v>0</v>
      </c>
      <c r="O1375" s="40">
        <f t="shared" si="43"/>
        <v>0</v>
      </c>
      <c r="P1375" s="40">
        <f t="shared" si="44"/>
        <v>0</v>
      </c>
    </row>
    <row r="1376" spans="1:16" x14ac:dyDescent="0.35">
      <c r="A1376" s="33">
        <v>1373</v>
      </c>
      <c r="B1376" s="34" t="s">
        <v>1739</v>
      </c>
      <c r="C1376" s="33" t="s">
        <v>346</v>
      </c>
      <c r="D1376" s="33" t="s">
        <v>100</v>
      </c>
      <c r="E1376" s="33" t="s">
        <v>1642</v>
      </c>
      <c r="F1376" s="35">
        <v>0.1</v>
      </c>
      <c r="G1376" s="40">
        <v>0</v>
      </c>
      <c r="H1376" s="40">
        <v>0</v>
      </c>
      <c r="I1376" s="40">
        <v>0</v>
      </c>
      <c r="J1376" s="40">
        <v>0</v>
      </c>
      <c r="K1376" s="40">
        <v>0</v>
      </c>
      <c r="L1376" s="40">
        <v>0</v>
      </c>
      <c r="M1376" s="40" cm="1">
        <f t="array" ref="M1376:N1376">VLOOKUP(B1376,'Fumigation  Room'!B:H,{6,7},0)</f>
        <v>0</v>
      </c>
      <c r="N1376" s="40">
        <v>0</v>
      </c>
      <c r="O1376" s="40">
        <f t="shared" si="43"/>
        <v>0</v>
      </c>
      <c r="P1376" s="40">
        <f t="shared" si="44"/>
        <v>0</v>
      </c>
    </row>
    <row r="1377" spans="1:16" x14ac:dyDescent="0.35">
      <c r="A1377" s="33">
        <v>1374</v>
      </c>
      <c r="B1377" s="34" t="s">
        <v>1740</v>
      </c>
      <c r="C1377" s="33" t="s">
        <v>346</v>
      </c>
      <c r="D1377" s="33" t="s">
        <v>100</v>
      </c>
      <c r="E1377" s="33" t="s">
        <v>1642</v>
      </c>
      <c r="F1377" s="35">
        <v>0.1</v>
      </c>
      <c r="G1377" s="40">
        <v>0</v>
      </c>
      <c r="H1377" s="40">
        <v>0</v>
      </c>
      <c r="I1377" s="40">
        <v>0</v>
      </c>
      <c r="J1377" s="40">
        <v>0</v>
      </c>
      <c r="K1377" s="40">
        <v>0</v>
      </c>
      <c r="L1377" s="40">
        <v>0</v>
      </c>
      <c r="M1377" s="40" cm="1">
        <f t="array" ref="M1377:N1377">VLOOKUP(B1377,'Fumigation  Room'!B:H,{6,7},0)</f>
        <v>0</v>
      </c>
      <c r="N1377" s="40">
        <v>0</v>
      </c>
      <c r="O1377" s="40">
        <f t="shared" si="43"/>
        <v>0</v>
      </c>
      <c r="P1377" s="40">
        <f t="shared" si="44"/>
        <v>0</v>
      </c>
    </row>
    <row r="1378" spans="1:16" x14ac:dyDescent="0.35">
      <c r="A1378" s="33">
        <v>1375</v>
      </c>
      <c r="B1378" s="34" t="s">
        <v>1645</v>
      </c>
      <c r="C1378" s="33" t="s">
        <v>297</v>
      </c>
      <c r="D1378" s="33" t="s">
        <v>100</v>
      </c>
      <c r="E1378" s="33" t="s">
        <v>1646</v>
      </c>
      <c r="F1378" s="35">
        <v>1</v>
      </c>
      <c r="G1378" s="40">
        <v>0</v>
      </c>
      <c r="H1378" s="40">
        <v>0</v>
      </c>
      <c r="I1378" s="40">
        <v>0</v>
      </c>
      <c r="J1378" s="40">
        <v>0</v>
      </c>
      <c r="K1378" s="40">
        <v>0</v>
      </c>
      <c r="L1378" s="40">
        <v>0</v>
      </c>
      <c r="M1378" s="40" cm="1">
        <f t="array" ref="M1378:N1378">VLOOKUP(B1378,'Fumigation  Room'!B:H,{6,7},0)</f>
        <v>0</v>
      </c>
      <c r="N1378" s="40">
        <v>0</v>
      </c>
      <c r="O1378" s="40">
        <f t="shared" si="43"/>
        <v>0</v>
      </c>
      <c r="P1378" s="40">
        <f t="shared" si="44"/>
        <v>0</v>
      </c>
    </row>
    <row r="1379" spans="1:16" x14ac:dyDescent="0.35">
      <c r="A1379" s="33">
        <v>1376</v>
      </c>
      <c r="B1379" s="34" t="s">
        <v>1647</v>
      </c>
      <c r="C1379" s="33" t="s">
        <v>297</v>
      </c>
      <c r="D1379" s="33" t="s">
        <v>100</v>
      </c>
      <c r="E1379" s="33" t="s">
        <v>1646</v>
      </c>
      <c r="F1379" s="35">
        <v>1</v>
      </c>
      <c r="G1379" s="40">
        <v>0</v>
      </c>
      <c r="H1379" s="40">
        <v>0</v>
      </c>
      <c r="I1379" s="40">
        <v>0</v>
      </c>
      <c r="J1379" s="40">
        <v>0</v>
      </c>
      <c r="K1379" s="40">
        <v>0</v>
      </c>
      <c r="L1379" s="40">
        <v>0</v>
      </c>
      <c r="M1379" s="40" cm="1">
        <f t="array" ref="M1379:N1379">VLOOKUP(B1379,'Fumigation  Room'!B:H,{6,7},0)</f>
        <v>0</v>
      </c>
      <c r="N1379" s="40">
        <v>0</v>
      </c>
      <c r="O1379" s="40">
        <f t="shared" si="43"/>
        <v>0</v>
      </c>
      <c r="P1379" s="40">
        <f t="shared" si="44"/>
        <v>0</v>
      </c>
    </row>
    <row r="1380" spans="1:16" x14ac:dyDescent="0.35">
      <c r="A1380" s="33">
        <v>1377</v>
      </c>
      <c r="B1380" s="34" t="s">
        <v>1741</v>
      </c>
      <c r="C1380" s="33" t="s">
        <v>346</v>
      </c>
      <c r="D1380" s="33" t="s">
        <v>100</v>
      </c>
      <c r="E1380" s="33" t="s">
        <v>1646</v>
      </c>
      <c r="F1380" s="35">
        <v>0.25</v>
      </c>
      <c r="G1380" s="40">
        <v>0</v>
      </c>
      <c r="H1380" s="40">
        <v>0</v>
      </c>
      <c r="I1380" s="40">
        <v>0</v>
      </c>
      <c r="J1380" s="40">
        <v>0</v>
      </c>
      <c r="K1380" s="40">
        <v>0</v>
      </c>
      <c r="L1380" s="40">
        <v>0</v>
      </c>
      <c r="M1380" s="40" cm="1">
        <f t="array" ref="M1380:N1380">VLOOKUP(B1380,'Fumigation  Room'!B:H,{6,7},0)</f>
        <v>0</v>
      </c>
      <c r="N1380" s="40">
        <v>0</v>
      </c>
      <c r="O1380" s="40">
        <f t="shared" si="43"/>
        <v>0</v>
      </c>
      <c r="P1380" s="40">
        <f t="shared" si="44"/>
        <v>0</v>
      </c>
    </row>
    <row r="1381" spans="1:16" x14ac:dyDescent="0.35">
      <c r="A1381" s="33">
        <v>1378</v>
      </c>
      <c r="B1381" s="34" t="s">
        <v>1742</v>
      </c>
      <c r="C1381" s="33" t="s">
        <v>346</v>
      </c>
      <c r="D1381" s="33" t="s">
        <v>100</v>
      </c>
      <c r="E1381" s="33" t="s">
        <v>1646</v>
      </c>
      <c r="F1381" s="35">
        <v>0.1</v>
      </c>
      <c r="G1381" s="40">
        <v>0</v>
      </c>
      <c r="H1381" s="40">
        <v>0</v>
      </c>
      <c r="I1381" s="40">
        <v>0</v>
      </c>
      <c r="J1381" s="40">
        <v>0</v>
      </c>
      <c r="K1381" s="40">
        <v>0</v>
      </c>
      <c r="L1381" s="40">
        <v>0</v>
      </c>
      <c r="M1381" s="40" cm="1">
        <f t="array" ref="M1381:N1381">VLOOKUP(B1381,'Fumigation  Room'!B:H,{6,7},0)</f>
        <v>0</v>
      </c>
      <c r="N1381" s="40">
        <v>0</v>
      </c>
      <c r="O1381" s="40">
        <f t="shared" si="43"/>
        <v>0</v>
      </c>
      <c r="P1381" s="40">
        <f t="shared" si="44"/>
        <v>0</v>
      </c>
    </row>
    <row r="1382" spans="1:16" x14ac:dyDescent="0.35">
      <c r="A1382" s="33">
        <v>1379</v>
      </c>
      <c r="B1382" s="34" t="s">
        <v>1743</v>
      </c>
      <c r="C1382" s="33" t="s">
        <v>346</v>
      </c>
      <c r="D1382" s="33" t="s">
        <v>100</v>
      </c>
      <c r="E1382" s="33" t="s">
        <v>1646</v>
      </c>
      <c r="F1382" s="35">
        <v>0.1</v>
      </c>
      <c r="G1382" s="40">
        <v>0</v>
      </c>
      <c r="H1382" s="40">
        <v>0</v>
      </c>
      <c r="I1382" s="40">
        <v>0</v>
      </c>
      <c r="J1382" s="40">
        <v>0</v>
      </c>
      <c r="K1382" s="40">
        <v>0</v>
      </c>
      <c r="L1382" s="40">
        <v>0</v>
      </c>
      <c r="M1382" s="40" cm="1">
        <f t="array" ref="M1382:N1382">VLOOKUP(B1382,'Fumigation  Room'!B:H,{6,7},0)</f>
        <v>0</v>
      </c>
      <c r="N1382" s="40">
        <v>0</v>
      </c>
      <c r="O1382" s="40">
        <f t="shared" si="43"/>
        <v>0</v>
      </c>
      <c r="P1382" s="40">
        <f t="shared" si="44"/>
        <v>0</v>
      </c>
    </row>
    <row r="1383" spans="1:16" x14ac:dyDescent="0.35">
      <c r="A1383" s="33">
        <v>1380</v>
      </c>
      <c r="B1383" s="34" t="s">
        <v>1744</v>
      </c>
      <c r="C1383" s="33" t="s">
        <v>346</v>
      </c>
      <c r="D1383" s="33" t="s">
        <v>100</v>
      </c>
      <c r="E1383" s="33" t="s">
        <v>1646</v>
      </c>
      <c r="F1383" s="35">
        <v>1</v>
      </c>
      <c r="G1383" s="40">
        <v>0</v>
      </c>
      <c r="H1383" s="40">
        <v>0</v>
      </c>
      <c r="I1383" s="40">
        <v>0</v>
      </c>
      <c r="J1383" s="40">
        <v>0</v>
      </c>
      <c r="K1383" s="40">
        <v>0</v>
      </c>
      <c r="L1383" s="40">
        <v>0</v>
      </c>
      <c r="M1383" s="40" cm="1">
        <f t="array" ref="M1383:N1383">VLOOKUP(B1383,'Fumigation  Room'!B:H,{6,7},0)</f>
        <v>0</v>
      </c>
      <c r="N1383" s="40">
        <v>0</v>
      </c>
      <c r="O1383" s="40">
        <f t="shared" si="43"/>
        <v>0</v>
      </c>
      <c r="P1383" s="40">
        <f t="shared" si="44"/>
        <v>0</v>
      </c>
    </row>
    <row r="1384" spans="1:16" x14ac:dyDescent="0.35">
      <c r="A1384" s="33">
        <v>1381</v>
      </c>
      <c r="B1384" s="34" t="s">
        <v>1745</v>
      </c>
      <c r="C1384" s="33" t="s">
        <v>346</v>
      </c>
      <c r="D1384" s="33" t="s">
        <v>100</v>
      </c>
      <c r="E1384" s="33" t="s">
        <v>1646</v>
      </c>
      <c r="F1384" s="35">
        <v>0.25</v>
      </c>
      <c r="G1384" s="40">
        <v>0</v>
      </c>
      <c r="H1384" s="40">
        <v>0</v>
      </c>
      <c r="I1384" s="40">
        <v>0</v>
      </c>
      <c r="J1384" s="40">
        <v>0</v>
      </c>
      <c r="K1384" s="40">
        <v>0</v>
      </c>
      <c r="L1384" s="40">
        <v>0</v>
      </c>
      <c r="M1384" s="40" cm="1">
        <f t="array" ref="M1384:N1384">VLOOKUP(B1384,'Fumigation  Room'!B:H,{6,7},0)</f>
        <v>0</v>
      </c>
      <c r="N1384" s="40">
        <v>0</v>
      </c>
      <c r="O1384" s="40">
        <f t="shared" si="43"/>
        <v>0</v>
      </c>
      <c r="P1384" s="40">
        <f t="shared" si="44"/>
        <v>0</v>
      </c>
    </row>
    <row r="1385" spans="1:16" x14ac:dyDescent="0.35">
      <c r="A1385" s="33">
        <v>1382</v>
      </c>
      <c r="B1385" s="34" t="s">
        <v>1746</v>
      </c>
      <c r="C1385" s="33" t="s">
        <v>297</v>
      </c>
      <c r="D1385" s="33" t="s">
        <v>124</v>
      </c>
      <c r="E1385" s="33" t="s">
        <v>1746</v>
      </c>
      <c r="F1385" s="35">
        <v>1</v>
      </c>
      <c r="G1385" s="40">
        <v>0</v>
      </c>
      <c r="H1385" s="40">
        <v>0</v>
      </c>
      <c r="I1385" s="40">
        <v>0</v>
      </c>
      <c r="J1385" s="40">
        <v>0</v>
      </c>
      <c r="K1385" s="40">
        <v>0</v>
      </c>
      <c r="L1385" s="40">
        <v>0</v>
      </c>
      <c r="M1385" s="40" cm="1">
        <f t="array" ref="M1385:N1385">VLOOKUP(B1385,'Fumigation  Room'!B:H,{6,7},0)</f>
        <v>0</v>
      </c>
      <c r="N1385" s="40">
        <v>0</v>
      </c>
      <c r="O1385" s="40">
        <f t="shared" si="43"/>
        <v>0</v>
      </c>
      <c r="P1385" s="40">
        <f t="shared" si="44"/>
        <v>0</v>
      </c>
    </row>
    <row r="1386" spans="1:16" x14ac:dyDescent="0.35">
      <c r="A1386" s="33">
        <v>1383</v>
      </c>
      <c r="B1386" s="34" t="s">
        <v>1747</v>
      </c>
      <c r="C1386" s="33" t="s">
        <v>297</v>
      </c>
      <c r="D1386" s="33" t="s">
        <v>124</v>
      </c>
      <c r="E1386" s="33" t="s">
        <v>1748</v>
      </c>
      <c r="F1386" s="35">
        <v>1</v>
      </c>
      <c r="G1386" s="40">
        <v>0</v>
      </c>
      <c r="H1386" s="40">
        <v>0</v>
      </c>
      <c r="I1386" s="40">
        <v>0</v>
      </c>
      <c r="J1386" s="40">
        <v>0</v>
      </c>
      <c r="K1386" s="40">
        <v>0</v>
      </c>
      <c r="L1386" s="40">
        <v>0</v>
      </c>
      <c r="M1386" s="40" cm="1">
        <f t="array" ref="M1386:N1386">VLOOKUP(B1386,'Fumigation  Room'!B:H,{6,7},0)</f>
        <v>0</v>
      </c>
      <c r="N1386" s="40">
        <v>0</v>
      </c>
      <c r="O1386" s="40">
        <f t="shared" si="43"/>
        <v>0</v>
      </c>
      <c r="P1386" s="40">
        <f t="shared" si="44"/>
        <v>0</v>
      </c>
    </row>
    <row r="1387" spans="1:16" x14ac:dyDescent="0.35">
      <c r="A1387" s="33">
        <v>1384</v>
      </c>
      <c r="B1387" s="34" t="s">
        <v>1749</v>
      </c>
      <c r="C1387" s="33" t="s">
        <v>346</v>
      </c>
      <c r="D1387" s="33" t="s">
        <v>124</v>
      </c>
      <c r="E1387" s="33" t="s">
        <v>1748</v>
      </c>
      <c r="F1387" s="35">
        <v>0.3</v>
      </c>
      <c r="G1387" s="40">
        <v>0</v>
      </c>
      <c r="H1387" s="40">
        <v>0</v>
      </c>
      <c r="I1387" s="40">
        <v>0</v>
      </c>
      <c r="J1387" s="40">
        <v>0</v>
      </c>
      <c r="K1387" s="40">
        <v>0</v>
      </c>
      <c r="L1387" s="40">
        <v>0</v>
      </c>
      <c r="M1387" s="40" cm="1">
        <f t="array" ref="M1387:N1387">VLOOKUP(B1387,'Fumigation  Room'!B:H,{6,7},0)</f>
        <v>0</v>
      </c>
      <c r="N1387" s="40">
        <v>0</v>
      </c>
      <c r="O1387" s="40">
        <f t="shared" si="43"/>
        <v>0</v>
      </c>
      <c r="P1387" s="40">
        <f t="shared" si="44"/>
        <v>0</v>
      </c>
    </row>
    <row r="1388" spans="1:16" x14ac:dyDescent="0.35">
      <c r="A1388" s="33">
        <v>1385</v>
      </c>
      <c r="B1388" s="34" t="s">
        <v>1750</v>
      </c>
      <c r="C1388" s="33" t="s">
        <v>346</v>
      </c>
      <c r="D1388" s="33" t="s">
        <v>124</v>
      </c>
      <c r="E1388" s="33" t="s">
        <v>1748</v>
      </c>
      <c r="F1388" s="35">
        <v>0.1</v>
      </c>
      <c r="G1388" s="40">
        <v>0</v>
      </c>
      <c r="H1388" s="40">
        <v>0</v>
      </c>
      <c r="I1388" s="40">
        <v>0</v>
      </c>
      <c r="J1388" s="40">
        <v>0</v>
      </c>
      <c r="K1388" s="40">
        <v>0</v>
      </c>
      <c r="L1388" s="40">
        <v>0</v>
      </c>
      <c r="M1388" s="40" cm="1">
        <f t="array" ref="M1388:N1388">VLOOKUP(B1388,'Fumigation  Room'!B:H,{6,7},0)</f>
        <v>0</v>
      </c>
      <c r="N1388" s="40">
        <v>0</v>
      </c>
      <c r="O1388" s="40">
        <f t="shared" si="43"/>
        <v>0</v>
      </c>
      <c r="P1388" s="40">
        <f t="shared" si="44"/>
        <v>0</v>
      </c>
    </row>
    <row r="1389" spans="1:16" x14ac:dyDescent="0.35">
      <c r="A1389" s="33">
        <v>1386</v>
      </c>
      <c r="B1389" s="34" t="s">
        <v>1751</v>
      </c>
      <c r="C1389" s="33" t="s">
        <v>346</v>
      </c>
      <c r="D1389" s="33" t="s">
        <v>124</v>
      </c>
      <c r="E1389" s="33" t="s">
        <v>1748</v>
      </c>
      <c r="F1389" s="35">
        <v>0.25</v>
      </c>
      <c r="G1389" s="40">
        <v>0</v>
      </c>
      <c r="H1389" s="40">
        <v>0</v>
      </c>
      <c r="I1389" s="40">
        <v>0</v>
      </c>
      <c r="J1389" s="40">
        <v>0</v>
      </c>
      <c r="K1389" s="40">
        <v>0</v>
      </c>
      <c r="L1389" s="40">
        <v>0</v>
      </c>
      <c r="M1389" s="40" cm="1">
        <f t="array" ref="M1389:N1389">VLOOKUP(B1389,'Fumigation  Room'!B:H,{6,7},0)</f>
        <v>0</v>
      </c>
      <c r="N1389" s="40">
        <v>0</v>
      </c>
      <c r="O1389" s="40">
        <f t="shared" si="43"/>
        <v>0</v>
      </c>
      <c r="P1389" s="40">
        <f t="shared" si="44"/>
        <v>0</v>
      </c>
    </row>
    <row r="1390" spans="1:16" x14ac:dyDescent="0.35">
      <c r="A1390" s="33">
        <v>1387</v>
      </c>
      <c r="B1390" s="34" t="s">
        <v>1752</v>
      </c>
      <c r="C1390" s="33" t="s">
        <v>346</v>
      </c>
      <c r="D1390" s="33" t="s">
        <v>124</v>
      </c>
      <c r="E1390" s="33" t="s">
        <v>1748</v>
      </c>
      <c r="F1390" s="35">
        <v>1</v>
      </c>
      <c r="G1390" s="40">
        <v>0</v>
      </c>
      <c r="H1390" s="40">
        <v>0</v>
      </c>
      <c r="I1390" s="40">
        <v>0</v>
      </c>
      <c r="J1390" s="40">
        <v>0</v>
      </c>
      <c r="K1390" s="40">
        <v>0</v>
      </c>
      <c r="L1390" s="40">
        <v>0</v>
      </c>
      <c r="M1390" s="40" cm="1">
        <f t="array" ref="M1390:N1390">VLOOKUP(B1390,'Fumigation  Room'!B:H,{6,7},0)</f>
        <v>0</v>
      </c>
      <c r="N1390" s="40">
        <v>0</v>
      </c>
      <c r="O1390" s="40">
        <f t="shared" si="43"/>
        <v>0</v>
      </c>
      <c r="P1390" s="40">
        <f t="shared" si="44"/>
        <v>0</v>
      </c>
    </row>
    <row r="1391" spans="1:16" x14ac:dyDescent="0.35">
      <c r="A1391" s="33">
        <v>1388</v>
      </c>
      <c r="B1391" s="34" t="s">
        <v>1753</v>
      </c>
      <c r="C1391" s="33" t="s">
        <v>346</v>
      </c>
      <c r="D1391" s="33" t="s">
        <v>124</v>
      </c>
      <c r="E1391" s="33" t="s">
        <v>1748</v>
      </c>
      <c r="F1391" s="35">
        <v>0.3</v>
      </c>
      <c r="G1391" s="40">
        <v>0</v>
      </c>
      <c r="H1391" s="40">
        <v>0</v>
      </c>
      <c r="I1391" s="40">
        <v>0</v>
      </c>
      <c r="J1391" s="40">
        <v>0</v>
      </c>
      <c r="K1391" s="40">
        <v>0</v>
      </c>
      <c r="L1391" s="40">
        <v>0</v>
      </c>
      <c r="M1391" s="40" cm="1">
        <f t="array" ref="M1391:N1391">VLOOKUP(B1391,'Fumigation  Room'!B:H,{6,7},0)</f>
        <v>0</v>
      </c>
      <c r="N1391" s="40">
        <v>0</v>
      </c>
      <c r="O1391" s="40">
        <f t="shared" si="43"/>
        <v>0</v>
      </c>
      <c r="P1391" s="40">
        <f t="shared" si="44"/>
        <v>0</v>
      </c>
    </row>
    <row r="1392" spans="1:16" x14ac:dyDescent="0.35">
      <c r="A1392" s="33">
        <v>1389</v>
      </c>
      <c r="B1392" s="34" t="s">
        <v>1754</v>
      </c>
      <c r="C1392" s="33" t="s">
        <v>346</v>
      </c>
      <c r="D1392" s="33" t="s">
        <v>124</v>
      </c>
      <c r="E1392" s="33" t="s">
        <v>1748</v>
      </c>
      <c r="F1392" s="35">
        <v>0.2</v>
      </c>
      <c r="G1392" s="40">
        <v>0</v>
      </c>
      <c r="H1392" s="40">
        <v>0</v>
      </c>
      <c r="I1392" s="40">
        <v>0</v>
      </c>
      <c r="J1392" s="40">
        <v>0</v>
      </c>
      <c r="K1392" s="40">
        <v>0</v>
      </c>
      <c r="L1392" s="40">
        <v>0</v>
      </c>
      <c r="M1392" s="40" cm="1">
        <f t="array" ref="M1392:N1392">VLOOKUP(B1392,'Fumigation  Room'!B:H,{6,7},0)</f>
        <v>0</v>
      </c>
      <c r="N1392" s="40">
        <v>0</v>
      </c>
      <c r="O1392" s="40">
        <f t="shared" si="43"/>
        <v>0</v>
      </c>
      <c r="P1392" s="40">
        <f t="shared" si="44"/>
        <v>0</v>
      </c>
    </row>
    <row r="1393" spans="1:16" x14ac:dyDescent="0.35">
      <c r="A1393" s="33">
        <v>1390</v>
      </c>
      <c r="B1393" s="34" t="s">
        <v>1755</v>
      </c>
      <c r="C1393" s="33" t="s">
        <v>346</v>
      </c>
      <c r="D1393" s="33" t="s">
        <v>124</v>
      </c>
      <c r="E1393" s="33" t="s">
        <v>1748</v>
      </c>
      <c r="F1393" s="35">
        <v>0.13</v>
      </c>
      <c r="G1393" s="40">
        <v>0</v>
      </c>
      <c r="H1393" s="40">
        <v>0</v>
      </c>
      <c r="I1393" s="40">
        <v>0</v>
      </c>
      <c r="J1393" s="40">
        <v>0</v>
      </c>
      <c r="K1393" s="40">
        <v>0</v>
      </c>
      <c r="L1393" s="40">
        <v>0</v>
      </c>
      <c r="M1393" s="40" cm="1">
        <f t="array" ref="M1393:N1393">VLOOKUP(B1393,'Fumigation  Room'!B:H,{6,7},0)</f>
        <v>0</v>
      </c>
      <c r="N1393" s="40">
        <v>0</v>
      </c>
      <c r="O1393" s="40">
        <f t="shared" si="43"/>
        <v>0</v>
      </c>
      <c r="P1393" s="40">
        <f t="shared" si="44"/>
        <v>0</v>
      </c>
    </row>
    <row r="1394" spans="1:16" x14ac:dyDescent="0.35">
      <c r="A1394" s="33">
        <v>1391</v>
      </c>
      <c r="B1394" s="34" t="s">
        <v>1756</v>
      </c>
      <c r="C1394" s="33" t="s">
        <v>346</v>
      </c>
      <c r="D1394" s="33" t="s">
        <v>124</v>
      </c>
      <c r="E1394" s="33" t="s">
        <v>1748</v>
      </c>
      <c r="F1394" s="35">
        <v>5.2</v>
      </c>
      <c r="G1394" s="40">
        <v>0</v>
      </c>
      <c r="H1394" s="40">
        <v>0</v>
      </c>
      <c r="I1394" s="40">
        <v>0</v>
      </c>
      <c r="J1394" s="40">
        <v>0</v>
      </c>
      <c r="K1394" s="40">
        <v>0</v>
      </c>
      <c r="L1394" s="40">
        <v>0</v>
      </c>
      <c r="M1394" s="40" cm="1">
        <f t="array" ref="M1394:N1394">VLOOKUP(B1394,'Fumigation  Room'!B:H,{6,7},0)</f>
        <v>0</v>
      </c>
      <c r="N1394" s="40">
        <v>0</v>
      </c>
      <c r="O1394" s="40">
        <f t="shared" si="43"/>
        <v>0</v>
      </c>
      <c r="P1394" s="40">
        <f t="shared" si="44"/>
        <v>0</v>
      </c>
    </row>
    <row r="1395" spans="1:16" x14ac:dyDescent="0.35">
      <c r="A1395" s="33">
        <v>1392</v>
      </c>
      <c r="B1395" s="34" t="s">
        <v>1757</v>
      </c>
      <c r="C1395" s="33" t="s">
        <v>346</v>
      </c>
      <c r="D1395" s="33" t="s">
        <v>124</v>
      </c>
      <c r="E1395" s="33" t="s">
        <v>1748</v>
      </c>
      <c r="F1395" s="35">
        <v>0.34</v>
      </c>
      <c r="G1395" s="40">
        <v>0</v>
      </c>
      <c r="H1395" s="40">
        <v>0</v>
      </c>
      <c r="I1395" s="40">
        <v>0</v>
      </c>
      <c r="J1395" s="40">
        <v>0</v>
      </c>
      <c r="K1395" s="40">
        <v>0</v>
      </c>
      <c r="L1395" s="40">
        <v>0</v>
      </c>
      <c r="M1395" s="40" cm="1">
        <f t="array" ref="M1395:N1395">VLOOKUP(B1395,'Fumigation  Room'!B:H,{6,7},0)</f>
        <v>0</v>
      </c>
      <c r="N1395" s="40">
        <v>0</v>
      </c>
      <c r="O1395" s="40">
        <f t="shared" si="43"/>
        <v>0</v>
      </c>
      <c r="P1395" s="40">
        <f t="shared" si="44"/>
        <v>0</v>
      </c>
    </row>
    <row r="1396" spans="1:16" x14ac:dyDescent="0.35">
      <c r="A1396" s="33">
        <v>1393</v>
      </c>
      <c r="B1396" s="34" t="s">
        <v>1758</v>
      </c>
      <c r="C1396" s="33" t="s">
        <v>346</v>
      </c>
      <c r="D1396" s="33" t="s">
        <v>124</v>
      </c>
      <c r="E1396" s="33" t="s">
        <v>1748</v>
      </c>
      <c r="F1396" s="35">
        <v>6.8</v>
      </c>
      <c r="G1396" s="40">
        <v>0</v>
      </c>
      <c r="H1396" s="40">
        <v>0</v>
      </c>
      <c r="I1396" s="40">
        <v>0</v>
      </c>
      <c r="J1396" s="40">
        <v>0</v>
      </c>
      <c r="K1396" s="40">
        <v>0</v>
      </c>
      <c r="L1396" s="40">
        <v>0</v>
      </c>
      <c r="M1396" s="40" cm="1">
        <f t="array" ref="M1396:N1396">VLOOKUP(B1396,'Fumigation  Room'!B:H,{6,7},0)</f>
        <v>0</v>
      </c>
      <c r="N1396" s="40">
        <v>0</v>
      </c>
      <c r="O1396" s="40">
        <f t="shared" si="43"/>
        <v>0</v>
      </c>
      <c r="P1396" s="40">
        <f t="shared" si="44"/>
        <v>0</v>
      </c>
    </row>
    <row r="1397" spans="1:16" x14ac:dyDescent="0.35">
      <c r="A1397" s="33">
        <v>1394</v>
      </c>
      <c r="B1397" s="34" t="s">
        <v>1759</v>
      </c>
      <c r="C1397" s="33" t="s">
        <v>346</v>
      </c>
      <c r="D1397" s="33" t="s">
        <v>124</v>
      </c>
      <c r="E1397" s="33" t="s">
        <v>1748</v>
      </c>
      <c r="F1397" s="35">
        <v>0.27500000000000002</v>
      </c>
      <c r="G1397" s="40">
        <v>0</v>
      </c>
      <c r="H1397" s="40">
        <v>0</v>
      </c>
      <c r="I1397" s="40">
        <v>0</v>
      </c>
      <c r="J1397" s="40">
        <v>0</v>
      </c>
      <c r="K1397" s="40">
        <v>0</v>
      </c>
      <c r="L1397" s="40">
        <v>0</v>
      </c>
      <c r="M1397" s="40" cm="1">
        <f t="array" ref="M1397:N1397">VLOOKUP(B1397,'Fumigation  Room'!B:H,{6,7},0)</f>
        <v>0</v>
      </c>
      <c r="N1397" s="40">
        <v>0</v>
      </c>
      <c r="O1397" s="40">
        <f t="shared" si="43"/>
        <v>0</v>
      </c>
      <c r="P1397" s="40">
        <f t="shared" si="44"/>
        <v>0</v>
      </c>
    </row>
    <row r="1398" spans="1:16" x14ac:dyDescent="0.35">
      <c r="A1398" s="33">
        <v>1395</v>
      </c>
      <c r="B1398" s="34" t="s">
        <v>1760</v>
      </c>
      <c r="C1398" s="33" t="s">
        <v>346</v>
      </c>
      <c r="D1398" s="33" t="s">
        <v>124</v>
      </c>
      <c r="E1398" s="33" t="s">
        <v>1748</v>
      </c>
      <c r="F1398" s="35">
        <v>1</v>
      </c>
      <c r="G1398" s="40">
        <v>0</v>
      </c>
      <c r="H1398" s="40">
        <v>0</v>
      </c>
      <c r="I1398" s="40">
        <v>0</v>
      </c>
      <c r="J1398" s="40">
        <v>0</v>
      </c>
      <c r="K1398" s="40">
        <v>0</v>
      </c>
      <c r="L1398" s="40">
        <v>0</v>
      </c>
      <c r="M1398" s="40" cm="1">
        <f t="array" ref="M1398:N1398">VLOOKUP(B1398,'Fumigation  Room'!B:H,{6,7},0)</f>
        <v>0</v>
      </c>
      <c r="N1398" s="40">
        <v>0</v>
      </c>
      <c r="O1398" s="40">
        <f t="shared" si="43"/>
        <v>0</v>
      </c>
      <c r="P1398" s="40">
        <f t="shared" si="44"/>
        <v>0</v>
      </c>
    </row>
    <row r="1399" spans="1:16" x14ac:dyDescent="0.35">
      <c r="A1399" s="33">
        <v>1396</v>
      </c>
      <c r="B1399" s="34" t="s">
        <v>1761</v>
      </c>
      <c r="C1399" s="33" t="s">
        <v>346</v>
      </c>
      <c r="D1399" s="33" t="s">
        <v>124</v>
      </c>
      <c r="E1399" s="33" t="s">
        <v>1748</v>
      </c>
      <c r="F1399" s="35">
        <v>0.2</v>
      </c>
      <c r="G1399" s="40">
        <v>0</v>
      </c>
      <c r="H1399" s="40">
        <v>0</v>
      </c>
      <c r="I1399" s="40">
        <v>0</v>
      </c>
      <c r="J1399" s="40">
        <v>0</v>
      </c>
      <c r="K1399" s="40">
        <v>0</v>
      </c>
      <c r="L1399" s="40">
        <v>0</v>
      </c>
      <c r="M1399" s="40" cm="1">
        <f t="array" ref="M1399:N1399">VLOOKUP(B1399,'Fumigation  Room'!B:H,{6,7},0)</f>
        <v>0</v>
      </c>
      <c r="N1399" s="40">
        <v>0</v>
      </c>
      <c r="O1399" s="40">
        <f t="shared" si="43"/>
        <v>0</v>
      </c>
      <c r="P1399" s="40">
        <f t="shared" si="44"/>
        <v>0</v>
      </c>
    </row>
    <row r="1400" spans="1:16" x14ac:dyDescent="0.35">
      <c r="A1400" s="33">
        <v>1397</v>
      </c>
      <c r="B1400" s="34" t="s">
        <v>1762</v>
      </c>
      <c r="C1400" s="33" t="s">
        <v>346</v>
      </c>
      <c r="D1400" s="33" t="s">
        <v>124</v>
      </c>
      <c r="E1400" s="33" t="s">
        <v>1748</v>
      </c>
      <c r="F1400" s="35">
        <v>0.1</v>
      </c>
      <c r="G1400" s="40">
        <v>0</v>
      </c>
      <c r="H1400" s="40">
        <v>0</v>
      </c>
      <c r="I1400" s="40">
        <v>0</v>
      </c>
      <c r="J1400" s="40">
        <v>0</v>
      </c>
      <c r="K1400" s="40">
        <v>0</v>
      </c>
      <c r="L1400" s="40">
        <v>0</v>
      </c>
      <c r="M1400" s="40" cm="1">
        <f t="array" ref="M1400:N1400">VLOOKUP(B1400,'Fumigation  Room'!B:H,{6,7},0)</f>
        <v>0</v>
      </c>
      <c r="N1400" s="40">
        <v>0</v>
      </c>
      <c r="O1400" s="40">
        <f t="shared" si="43"/>
        <v>0</v>
      </c>
      <c r="P1400" s="40">
        <f t="shared" si="44"/>
        <v>0</v>
      </c>
    </row>
    <row r="1401" spans="1:16" x14ac:dyDescent="0.35">
      <c r="A1401" s="33">
        <v>1398</v>
      </c>
      <c r="B1401" s="34" t="s">
        <v>1763</v>
      </c>
      <c r="C1401" s="33" t="s">
        <v>346</v>
      </c>
      <c r="D1401" s="33" t="s">
        <v>124</v>
      </c>
      <c r="E1401" s="33" t="s">
        <v>1748</v>
      </c>
      <c r="F1401" s="35">
        <v>1</v>
      </c>
      <c r="G1401" s="40">
        <v>0</v>
      </c>
      <c r="H1401" s="40">
        <v>0</v>
      </c>
      <c r="I1401" s="40">
        <v>0</v>
      </c>
      <c r="J1401" s="40">
        <v>0</v>
      </c>
      <c r="K1401" s="40">
        <v>0</v>
      </c>
      <c r="L1401" s="40">
        <v>0</v>
      </c>
      <c r="M1401" s="40" cm="1">
        <f t="array" ref="M1401:N1401">VLOOKUP(B1401,'Fumigation  Room'!B:H,{6,7},0)</f>
        <v>0</v>
      </c>
      <c r="N1401" s="40">
        <v>0</v>
      </c>
      <c r="O1401" s="40">
        <f t="shared" si="43"/>
        <v>0</v>
      </c>
      <c r="P1401" s="40">
        <f t="shared" si="44"/>
        <v>0</v>
      </c>
    </row>
    <row r="1402" spans="1:16" x14ac:dyDescent="0.35">
      <c r="A1402" s="33">
        <v>1399</v>
      </c>
      <c r="B1402" s="34" t="s">
        <v>1764</v>
      </c>
      <c r="C1402" s="33" t="s">
        <v>346</v>
      </c>
      <c r="D1402" s="33" t="s">
        <v>124</v>
      </c>
      <c r="E1402" s="33" t="s">
        <v>1748</v>
      </c>
      <c r="F1402" s="35">
        <v>0.2</v>
      </c>
      <c r="G1402" s="40">
        <v>0</v>
      </c>
      <c r="H1402" s="40">
        <v>0</v>
      </c>
      <c r="I1402" s="40">
        <v>0</v>
      </c>
      <c r="J1402" s="40">
        <v>0</v>
      </c>
      <c r="K1402" s="40">
        <v>0</v>
      </c>
      <c r="L1402" s="40">
        <v>0</v>
      </c>
      <c r="M1402" s="40" cm="1">
        <f t="array" ref="M1402:N1402">VLOOKUP(B1402,'Fumigation  Room'!B:H,{6,7},0)</f>
        <v>0</v>
      </c>
      <c r="N1402" s="40">
        <v>0</v>
      </c>
      <c r="O1402" s="40">
        <f t="shared" si="43"/>
        <v>0</v>
      </c>
      <c r="P1402" s="40">
        <f t="shared" si="44"/>
        <v>0</v>
      </c>
    </row>
    <row r="1403" spans="1:16" x14ac:dyDescent="0.35">
      <c r="A1403" s="33">
        <v>1400</v>
      </c>
      <c r="B1403" s="34" t="s">
        <v>1765</v>
      </c>
      <c r="C1403" s="33" t="s">
        <v>346</v>
      </c>
      <c r="D1403" s="33" t="s">
        <v>124</v>
      </c>
      <c r="E1403" s="33" t="s">
        <v>1748</v>
      </c>
      <c r="F1403" s="35">
        <v>0.5</v>
      </c>
      <c r="G1403" s="40">
        <v>0</v>
      </c>
      <c r="H1403" s="40">
        <v>0</v>
      </c>
      <c r="I1403" s="40">
        <v>0</v>
      </c>
      <c r="J1403" s="40">
        <v>0</v>
      </c>
      <c r="K1403" s="40">
        <v>0</v>
      </c>
      <c r="L1403" s="40">
        <v>0</v>
      </c>
      <c r="M1403" s="40" cm="1">
        <f t="array" ref="M1403:N1403">VLOOKUP(B1403,'Fumigation  Room'!B:H,{6,7},0)</f>
        <v>0</v>
      </c>
      <c r="N1403" s="40">
        <v>0</v>
      </c>
      <c r="O1403" s="40">
        <f t="shared" si="43"/>
        <v>0</v>
      </c>
      <c r="P1403" s="40">
        <f t="shared" si="44"/>
        <v>0</v>
      </c>
    </row>
    <row r="1404" spans="1:16" x14ac:dyDescent="0.35">
      <c r="A1404" s="33">
        <v>1401</v>
      </c>
      <c r="B1404" s="34" t="s">
        <v>1766</v>
      </c>
      <c r="C1404" s="33" t="s">
        <v>346</v>
      </c>
      <c r="D1404" s="33" t="s">
        <v>124</v>
      </c>
      <c r="E1404" s="33" t="s">
        <v>1748</v>
      </c>
      <c r="F1404" s="35">
        <v>0.2</v>
      </c>
      <c r="G1404" s="40">
        <v>0</v>
      </c>
      <c r="H1404" s="40">
        <v>0</v>
      </c>
      <c r="I1404" s="40">
        <v>0</v>
      </c>
      <c r="J1404" s="40">
        <v>0</v>
      </c>
      <c r="K1404" s="40">
        <v>0</v>
      </c>
      <c r="L1404" s="40">
        <v>0</v>
      </c>
      <c r="M1404" s="40" cm="1">
        <f t="array" ref="M1404:N1404">VLOOKUP(B1404,'Fumigation  Room'!B:H,{6,7},0)</f>
        <v>0</v>
      </c>
      <c r="N1404" s="40">
        <v>0</v>
      </c>
      <c r="O1404" s="40">
        <f t="shared" si="43"/>
        <v>0</v>
      </c>
      <c r="P1404" s="40">
        <f t="shared" si="44"/>
        <v>0</v>
      </c>
    </row>
    <row r="1405" spans="1:16" x14ac:dyDescent="0.35">
      <c r="A1405" s="33">
        <v>1402</v>
      </c>
      <c r="B1405" s="34" t="s">
        <v>1767</v>
      </c>
      <c r="C1405" s="33" t="s">
        <v>297</v>
      </c>
      <c r="D1405" s="33" t="s">
        <v>43</v>
      </c>
      <c r="E1405" s="33" t="s">
        <v>1767</v>
      </c>
      <c r="F1405" s="35">
        <v>1</v>
      </c>
      <c r="G1405" s="40">
        <v>0</v>
      </c>
      <c r="H1405" s="40">
        <v>0</v>
      </c>
      <c r="I1405" s="40">
        <v>0</v>
      </c>
      <c r="J1405" s="40">
        <v>0</v>
      </c>
      <c r="K1405" s="40">
        <v>0</v>
      </c>
      <c r="L1405" s="40">
        <v>0</v>
      </c>
      <c r="M1405" s="40" cm="1">
        <f t="array" ref="M1405:N1405">VLOOKUP(B1405,'Fumigation  Room'!B:H,{6,7},0)</f>
        <v>0</v>
      </c>
      <c r="N1405" s="40">
        <v>0</v>
      </c>
      <c r="O1405" s="40">
        <f t="shared" si="43"/>
        <v>0</v>
      </c>
      <c r="P1405" s="40">
        <f t="shared" si="44"/>
        <v>0</v>
      </c>
    </row>
    <row r="1406" spans="1:16" x14ac:dyDescent="0.35">
      <c r="A1406" s="33">
        <v>1403</v>
      </c>
      <c r="B1406" s="34" t="s">
        <v>1768</v>
      </c>
      <c r="C1406" s="33" t="s">
        <v>297</v>
      </c>
      <c r="D1406" s="33" t="s">
        <v>43</v>
      </c>
      <c r="E1406" s="33" t="s">
        <v>1769</v>
      </c>
      <c r="F1406" s="35">
        <v>1</v>
      </c>
      <c r="G1406" s="40">
        <v>0</v>
      </c>
      <c r="H1406" s="40">
        <v>0</v>
      </c>
      <c r="I1406" s="40">
        <v>0</v>
      </c>
      <c r="J1406" s="40">
        <v>0</v>
      </c>
      <c r="K1406" s="40">
        <v>0</v>
      </c>
      <c r="L1406" s="40">
        <v>0</v>
      </c>
      <c r="M1406" s="40" cm="1">
        <f t="array" ref="M1406:N1406">VLOOKUP(B1406,'Fumigation  Room'!B:H,{6,7},0)</f>
        <v>0</v>
      </c>
      <c r="N1406" s="40">
        <v>0</v>
      </c>
      <c r="O1406" s="40">
        <f t="shared" si="43"/>
        <v>0</v>
      </c>
      <c r="P1406" s="40">
        <f t="shared" si="44"/>
        <v>0</v>
      </c>
    </row>
    <row r="1407" spans="1:16" x14ac:dyDescent="0.35">
      <c r="A1407" s="33">
        <v>1404</v>
      </c>
      <c r="B1407" s="34" t="s">
        <v>1770</v>
      </c>
      <c r="C1407" s="33" t="s">
        <v>297</v>
      </c>
      <c r="D1407" s="33" t="s">
        <v>43</v>
      </c>
      <c r="E1407" s="33" t="s">
        <v>1769</v>
      </c>
      <c r="F1407" s="35">
        <v>1</v>
      </c>
      <c r="G1407" s="40">
        <v>0</v>
      </c>
      <c r="H1407" s="40">
        <v>0</v>
      </c>
      <c r="I1407" s="40">
        <v>0</v>
      </c>
      <c r="J1407" s="40">
        <v>0</v>
      </c>
      <c r="K1407" s="40">
        <v>0</v>
      </c>
      <c r="L1407" s="40">
        <f>VLOOKUP(B1407,'Packing Off Grade'!I:J,2,0)</f>
        <v>2.7</v>
      </c>
      <c r="M1407" s="40" cm="1">
        <f t="array" ref="M1407:N1407">VLOOKUP(B1407,'Fumigation  Room'!B:H,{6,7},0)</f>
        <v>0</v>
      </c>
      <c r="N1407" s="40">
        <v>15.399999999999999</v>
      </c>
      <c r="O1407" s="40">
        <f t="shared" si="43"/>
        <v>0</v>
      </c>
      <c r="P1407" s="40">
        <f t="shared" si="44"/>
        <v>18.099999999999998</v>
      </c>
    </row>
    <row r="1408" spans="1:16" x14ac:dyDescent="0.35">
      <c r="A1408" s="33">
        <v>1405</v>
      </c>
      <c r="B1408" s="34" t="s">
        <v>1787</v>
      </c>
      <c r="C1408" s="33" t="s">
        <v>346</v>
      </c>
      <c r="D1408" s="33" t="s">
        <v>43</v>
      </c>
      <c r="E1408" s="33" t="s">
        <v>1769</v>
      </c>
      <c r="F1408" s="35">
        <v>0.1</v>
      </c>
      <c r="G1408" s="40">
        <v>0</v>
      </c>
      <c r="H1408" s="40">
        <v>0</v>
      </c>
      <c r="I1408" s="40">
        <v>0</v>
      </c>
      <c r="J1408" s="40">
        <v>0</v>
      </c>
      <c r="K1408" s="40">
        <v>0</v>
      </c>
      <c r="L1408" s="40">
        <v>0</v>
      </c>
      <c r="M1408" s="40" cm="1">
        <f t="array" ref="M1408:N1408">VLOOKUP(B1408,'Fumigation  Room'!B:H,{6,7},0)</f>
        <v>0</v>
      </c>
      <c r="N1408" s="40">
        <v>0</v>
      </c>
      <c r="O1408" s="40">
        <f t="shared" si="43"/>
        <v>0</v>
      </c>
      <c r="P1408" s="40">
        <f t="shared" si="44"/>
        <v>0</v>
      </c>
    </row>
    <row r="1409" spans="1:16" x14ac:dyDescent="0.35">
      <c r="A1409" s="33">
        <v>1406</v>
      </c>
      <c r="B1409" s="34" t="s">
        <v>1788</v>
      </c>
      <c r="C1409" s="33" t="s">
        <v>346</v>
      </c>
      <c r="D1409" s="33" t="s">
        <v>43</v>
      </c>
      <c r="E1409" s="33" t="s">
        <v>1769</v>
      </c>
      <c r="F1409" s="35">
        <v>0.1</v>
      </c>
      <c r="G1409" s="40">
        <v>0</v>
      </c>
      <c r="H1409" s="40">
        <v>0</v>
      </c>
      <c r="I1409" s="40">
        <v>0</v>
      </c>
      <c r="J1409" s="40">
        <v>0</v>
      </c>
      <c r="K1409" s="40">
        <v>0</v>
      </c>
      <c r="L1409" s="40">
        <v>0</v>
      </c>
      <c r="M1409" s="40" cm="1">
        <f t="array" ref="M1409:N1409">VLOOKUP(B1409,'Fumigation  Room'!B:H,{6,7},0)</f>
        <v>0</v>
      </c>
      <c r="N1409" s="40">
        <v>0</v>
      </c>
      <c r="O1409" s="40">
        <f t="shared" si="43"/>
        <v>0</v>
      </c>
      <c r="P1409" s="40">
        <f t="shared" si="44"/>
        <v>0</v>
      </c>
    </row>
    <row r="1410" spans="1:16" x14ac:dyDescent="0.35">
      <c r="A1410" s="33">
        <v>1407</v>
      </c>
      <c r="B1410" s="34" t="s">
        <v>1789</v>
      </c>
      <c r="C1410" s="33" t="s">
        <v>346</v>
      </c>
      <c r="D1410" s="33" t="s">
        <v>43</v>
      </c>
      <c r="E1410" s="33" t="s">
        <v>1769</v>
      </c>
      <c r="F1410" s="35">
        <v>1</v>
      </c>
      <c r="G1410" s="40">
        <v>0</v>
      </c>
      <c r="H1410" s="40">
        <v>0</v>
      </c>
      <c r="I1410" s="40">
        <v>0</v>
      </c>
      <c r="J1410" s="40">
        <v>0</v>
      </c>
      <c r="K1410" s="40">
        <v>0</v>
      </c>
      <c r="L1410" s="40">
        <v>0</v>
      </c>
      <c r="M1410" s="40" cm="1">
        <f t="array" ref="M1410:N1410">VLOOKUP(B1410,'Fumigation  Room'!B:H,{6,7},0)</f>
        <v>0</v>
      </c>
      <c r="N1410" s="40">
        <v>0</v>
      </c>
      <c r="O1410" s="40">
        <f t="shared" si="43"/>
        <v>0</v>
      </c>
      <c r="P1410" s="40">
        <f t="shared" si="44"/>
        <v>0</v>
      </c>
    </row>
    <row r="1411" spans="1:16" x14ac:dyDescent="0.35">
      <c r="A1411" s="33">
        <v>1408</v>
      </c>
      <c r="B1411" s="34" t="s">
        <v>1790</v>
      </c>
      <c r="C1411" s="33" t="s">
        <v>346</v>
      </c>
      <c r="D1411" s="33" t="s">
        <v>43</v>
      </c>
      <c r="E1411" s="33" t="s">
        <v>1769</v>
      </c>
      <c r="F1411" s="35">
        <v>1</v>
      </c>
      <c r="G1411" s="40">
        <v>0</v>
      </c>
      <c r="H1411" s="40">
        <v>0</v>
      </c>
      <c r="I1411" s="40">
        <v>0</v>
      </c>
      <c r="J1411" s="40">
        <v>0</v>
      </c>
      <c r="K1411" s="40">
        <v>0</v>
      </c>
      <c r="L1411" s="40">
        <v>0</v>
      </c>
      <c r="M1411" s="40" cm="1">
        <f t="array" ref="M1411:N1411">VLOOKUP(B1411,'Fumigation  Room'!B:H,{6,7},0)</f>
        <v>0</v>
      </c>
      <c r="N1411" s="40">
        <v>0</v>
      </c>
      <c r="O1411" s="40">
        <f t="shared" si="43"/>
        <v>0</v>
      </c>
      <c r="P1411" s="40">
        <f t="shared" si="44"/>
        <v>0</v>
      </c>
    </row>
    <row r="1412" spans="1:16" x14ac:dyDescent="0.35">
      <c r="A1412" s="33">
        <v>1409</v>
      </c>
      <c r="B1412" s="34" t="s">
        <v>1771</v>
      </c>
      <c r="C1412" s="33" t="s">
        <v>297</v>
      </c>
      <c r="D1412" s="33" t="s">
        <v>43</v>
      </c>
      <c r="E1412" s="33" t="s">
        <v>1772</v>
      </c>
      <c r="F1412" s="35">
        <v>1</v>
      </c>
      <c r="G1412" s="40">
        <v>0</v>
      </c>
      <c r="H1412" s="40">
        <v>0</v>
      </c>
      <c r="I1412" s="40">
        <v>0</v>
      </c>
      <c r="J1412" s="40">
        <v>0</v>
      </c>
      <c r="K1412" s="40">
        <v>0</v>
      </c>
      <c r="L1412" s="40">
        <v>0</v>
      </c>
      <c r="M1412" s="40" cm="1">
        <f t="array" ref="M1412:N1412">VLOOKUP(B1412,'Fumigation  Room'!B:H,{6,7},0)</f>
        <v>0</v>
      </c>
      <c r="N1412" s="40">
        <v>0</v>
      </c>
      <c r="O1412" s="40">
        <f t="shared" si="43"/>
        <v>0</v>
      </c>
      <c r="P1412" s="40">
        <f t="shared" si="44"/>
        <v>0</v>
      </c>
    </row>
    <row r="1413" spans="1:16" x14ac:dyDescent="0.35">
      <c r="A1413" s="33">
        <v>1410</v>
      </c>
      <c r="B1413" s="34" t="s">
        <v>1773</v>
      </c>
      <c r="C1413" s="33" t="s">
        <v>297</v>
      </c>
      <c r="D1413" s="33" t="s">
        <v>43</v>
      </c>
      <c r="E1413" s="33" t="s">
        <v>1772</v>
      </c>
      <c r="F1413" s="35">
        <v>1</v>
      </c>
      <c r="G1413" s="40">
        <v>0</v>
      </c>
      <c r="H1413" s="40">
        <v>0</v>
      </c>
      <c r="I1413" s="40">
        <v>0</v>
      </c>
      <c r="J1413" s="40">
        <v>0</v>
      </c>
      <c r="K1413" s="40">
        <v>0</v>
      </c>
      <c r="L1413" s="40">
        <v>0</v>
      </c>
      <c r="M1413" s="40" cm="1">
        <f t="array" ref="M1413:N1413">VLOOKUP(B1413,'Fumigation  Room'!B:H,{6,7},0)</f>
        <v>0</v>
      </c>
      <c r="N1413" s="40">
        <v>0</v>
      </c>
      <c r="O1413" s="40">
        <f t="shared" ref="O1413:O1476" si="45">G1413+I1413+K1413+M1413</f>
        <v>0</v>
      </c>
      <c r="P1413" s="40">
        <f t="shared" ref="P1413:P1476" si="46">H1413+J1413+L1413+N1413</f>
        <v>0</v>
      </c>
    </row>
    <row r="1414" spans="1:16" x14ac:dyDescent="0.35">
      <c r="A1414" s="33">
        <v>1411</v>
      </c>
      <c r="B1414" s="34" t="s">
        <v>1791</v>
      </c>
      <c r="C1414" s="33" t="s">
        <v>346</v>
      </c>
      <c r="D1414" s="33" t="s">
        <v>43</v>
      </c>
      <c r="E1414" s="33" t="s">
        <v>1772</v>
      </c>
      <c r="F1414" s="35">
        <v>1</v>
      </c>
      <c r="G1414" s="40">
        <v>0</v>
      </c>
      <c r="H1414" s="40">
        <v>0</v>
      </c>
      <c r="I1414" s="40">
        <v>0</v>
      </c>
      <c r="J1414" s="40">
        <v>0</v>
      </c>
      <c r="K1414" s="40">
        <v>0</v>
      </c>
      <c r="L1414" s="40">
        <v>0</v>
      </c>
      <c r="M1414" s="40" cm="1">
        <f t="array" ref="M1414:N1414">VLOOKUP(B1414,'Fumigation  Room'!B:H,{6,7},0)</f>
        <v>0</v>
      </c>
      <c r="N1414" s="40">
        <v>0</v>
      </c>
      <c r="O1414" s="40">
        <f t="shared" si="45"/>
        <v>0</v>
      </c>
      <c r="P1414" s="40">
        <f t="shared" si="46"/>
        <v>0</v>
      </c>
    </row>
    <row r="1415" spans="1:16" x14ac:dyDescent="0.35">
      <c r="A1415" s="33">
        <v>1412</v>
      </c>
      <c r="B1415" s="34" t="s">
        <v>1792</v>
      </c>
      <c r="C1415" s="33" t="s">
        <v>346</v>
      </c>
      <c r="D1415" s="33" t="s">
        <v>43</v>
      </c>
      <c r="E1415" s="33" t="s">
        <v>1772</v>
      </c>
      <c r="F1415" s="35">
        <v>0.23</v>
      </c>
      <c r="G1415" s="40">
        <v>0</v>
      </c>
      <c r="H1415" s="40">
        <v>0</v>
      </c>
      <c r="I1415" s="40">
        <v>0</v>
      </c>
      <c r="J1415" s="40">
        <v>0</v>
      </c>
      <c r="K1415" s="40">
        <v>0</v>
      </c>
      <c r="L1415" s="40">
        <v>0</v>
      </c>
      <c r="M1415" s="40" cm="1">
        <f t="array" ref="M1415:N1415">VLOOKUP(B1415,'Fumigation  Room'!B:H,{6,7},0)</f>
        <v>0</v>
      </c>
      <c r="N1415" s="40">
        <v>0</v>
      </c>
      <c r="O1415" s="40">
        <f t="shared" si="45"/>
        <v>0</v>
      </c>
      <c r="P1415" s="40">
        <f t="shared" si="46"/>
        <v>0</v>
      </c>
    </row>
    <row r="1416" spans="1:16" x14ac:dyDescent="0.35">
      <c r="A1416" s="33">
        <v>1413</v>
      </c>
      <c r="B1416" s="34" t="s">
        <v>1774</v>
      </c>
      <c r="C1416" s="33" t="s">
        <v>297</v>
      </c>
      <c r="D1416" s="33" t="s">
        <v>43</v>
      </c>
      <c r="E1416" s="33" t="s">
        <v>1775</v>
      </c>
      <c r="F1416" s="35">
        <v>1</v>
      </c>
      <c r="G1416" s="40">
        <v>0</v>
      </c>
      <c r="H1416" s="40">
        <v>0</v>
      </c>
      <c r="I1416" s="40">
        <v>0</v>
      </c>
      <c r="J1416" s="40">
        <v>0</v>
      </c>
      <c r="K1416" s="40">
        <v>0</v>
      </c>
      <c r="L1416" s="40">
        <v>0</v>
      </c>
      <c r="M1416" s="40" cm="1">
        <f t="array" ref="M1416:N1416">VLOOKUP(B1416,'Fumigation  Room'!B:H,{6,7},0)</f>
        <v>0</v>
      </c>
      <c r="N1416" s="40">
        <v>0</v>
      </c>
      <c r="O1416" s="40">
        <f t="shared" si="45"/>
        <v>0</v>
      </c>
      <c r="P1416" s="40">
        <f t="shared" si="46"/>
        <v>0</v>
      </c>
    </row>
    <row r="1417" spans="1:16" x14ac:dyDescent="0.35">
      <c r="A1417" s="33">
        <v>1414</v>
      </c>
      <c r="B1417" s="34" t="s">
        <v>1776</v>
      </c>
      <c r="C1417" s="33" t="s">
        <v>297</v>
      </c>
      <c r="D1417" s="33" t="s">
        <v>43</v>
      </c>
      <c r="E1417" s="33" t="s">
        <v>1775</v>
      </c>
      <c r="F1417" s="35">
        <v>1</v>
      </c>
      <c r="G1417" s="40">
        <v>0</v>
      </c>
      <c r="H1417" s="40">
        <v>0</v>
      </c>
      <c r="I1417" s="40">
        <v>0</v>
      </c>
      <c r="J1417" s="40">
        <v>0</v>
      </c>
      <c r="K1417" s="40">
        <v>0</v>
      </c>
      <c r="L1417" s="40">
        <v>0</v>
      </c>
      <c r="M1417" s="40" cm="1">
        <f t="array" ref="M1417:N1417">VLOOKUP(B1417,'Fumigation  Room'!B:H,{6,7},0)</f>
        <v>0</v>
      </c>
      <c r="N1417" s="40">
        <v>0</v>
      </c>
      <c r="O1417" s="40">
        <f t="shared" si="45"/>
        <v>0</v>
      </c>
      <c r="P1417" s="40">
        <f t="shared" si="46"/>
        <v>0</v>
      </c>
    </row>
    <row r="1418" spans="1:16" x14ac:dyDescent="0.35">
      <c r="A1418" s="33">
        <v>1415</v>
      </c>
      <c r="B1418" s="34" t="s">
        <v>1777</v>
      </c>
      <c r="C1418" s="33" t="s">
        <v>297</v>
      </c>
      <c r="D1418" s="33" t="s">
        <v>43</v>
      </c>
      <c r="E1418" s="33" t="s">
        <v>1775</v>
      </c>
      <c r="F1418" s="35">
        <v>1</v>
      </c>
      <c r="G1418" s="40">
        <v>0</v>
      </c>
      <c r="H1418" s="40">
        <v>0</v>
      </c>
      <c r="I1418" s="40">
        <v>0</v>
      </c>
      <c r="J1418" s="40">
        <v>0</v>
      </c>
      <c r="K1418" s="40">
        <v>0</v>
      </c>
      <c r="L1418" s="40">
        <f>VLOOKUP(B1418,'Packing Off Grade'!I:J,2,0)</f>
        <v>5.6</v>
      </c>
      <c r="M1418" s="40" cm="1">
        <f t="array" ref="M1418:N1418">VLOOKUP(B1418,'Fumigation  Room'!B:H,{6,7},0)</f>
        <v>0</v>
      </c>
      <c r="N1418" s="40">
        <v>14.95</v>
      </c>
      <c r="O1418" s="40">
        <f t="shared" si="45"/>
        <v>0</v>
      </c>
      <c r="P1418" s="40">
        <f t="shared" si="46"/>
        <v>20.549999999999997</v>
      </c>
    </row>
    <row r="1419" spans="1:16" x14ac:dyDescent="0.35">
      <c r="A1419" s="33">
        <v>1416</v>
      </c>
      <c r="B1419" s="34" t="s">
        <v>1778</v>
      </c>
      <c r="C1419" s="33" t="s">
        <v>297</v>
      </c>
      <c r="D1419" s="33" t="s">
        <v>43</v>
      </c>
      <c r="E1419" s="33" t="s">
        <v>1775</v>
      </c>
      <c r="F1419" s="35">
        <v>1</v>
      </c>
      <c r="G1419" s="40">
        <v>0</v>
      </c>
      <c r="H1419" s="40">
        <v>0</v>
      </c>
      <c r="I1419" s="40">
        <v>0</v>
      </c>
      <c r="J1419" s="40">
        <v>0</v>
      </c>
      <c r="K1419" s="40">
        <v>0</v>
      </c>
      <c r="L1419" s="40">
        <v>0</v>
      </c>
      <c r="M1419" s="40" cm="1">
        <f t="array" ref="M1419:N1419">VLOOKUP(B1419,'Fumigation  Room'!B:H,{6,7},0)</f>
        <v>0</v>
      </c>
      <c r="N1419" s="40">
        <v>0</v>
      </c>
      <c r="O1419" s="40">
        <f t="shared" si="45"/>
        <v>0</v>
      </c>
      <c r="P1419" s="40">
        <f t="shared" si="46"/>
        <v>0</v>
      </c>
    </row>
    <row r="1420" spans="1:16" x14ac:dyDescent="0.35">
      <c r="A1420" s="33">
        <v>1417</v>
      </c>
      <c r="B1420" s="34" t="s">
        <v>1779</v>
      </c>
      <c r="C1420" s="33" t="s">
        <v>297</v>
      </c>
      <c r="D1420" s="33" t="s">
        <v>43</v>
      </c>
      <c r="E1420" s="33" t="s">
        <v>1775</v>
      </c>
      <c r="F1420" s="35">
        <v>1</v>
      </c>
      <c r="G1420" s="40">
        <v>0</v>
      </c>
      <c r="H1420" s="40">
        <v>0</v>
      </c>
      <c r="I1420" s="40">
        <v>0</v>
      </c>
      <c r="J1420" s="40">
        <v>0</v>
      </c>
      <c r="K1420" s="40">
        <v>0</v>
      </c>
      <c r="L1420" s="40">
        <v>0</v>
      </c>
      <c r="M1420" s="40" cm="1">
        <f t="array" ref="M1420:N1420">VLOOKUP(B1420,'Fumigation  Room'!B:H,{6,7},0)</f>
        <v>0</v>
      </c>
      <c r="N1420" s="40">
        <v>0</v>
      </c>
      <c r="O1420" s="40">
        <f t="shared" si="45"/>
        <v>0</v>
      </c>
      <c r="P1420" s="40">
        <f t="shared" si="46"/>
        <v>0</v>
      </c>
    </row>
    <row r="1421" spans="1:16" x14ac:dyDescent="0.35">
      <c r="A1421" s="33">
        <v>1418</v>
      </c>
      <c r="B1421" s="34" t="s">
        <v>1793</v>
      </c>
      <c r="C1421" s="33" t="s">
        <v>346</v>
      </c>
      <c r="D1421" s="33" t="s">
        <v>43</v>
      </c>
      <c r="E1421" s="33" t="s">
        <v>1775</v>
      </c>
      <c r="F1421" s="35">
        <v>0.1</v>
      </c>
      <c r="G1421" s="40">
        <v>0</v>
      </c>
      <c r="H1421" s="40">
        <v>0</v>
      </c>
      <c r="I1421" s="40">
        <v>0</v>
      </c>
      <c r="J1421" s="40">
        <v>0</v>
      </c>
      <c r="K1421" s="40">
        <v>0</v>
      </c>
      <c r="L1421" s="40">
        <v>0</v>
      </c>
      <c r="M1421" s="40" cm="1">
        <f t="array" ref="M1421:N1421">VLOOKUP(B1421,'Fumigation  Room'!B:H,{6,7},0)</f>
        <v>0</v>
      </c>
      <c r="N1421" s="40">
        <v>0</v>
      </c>
      <c r="O1421" s="40">
        <f t="shared" si="45"/>
        <v>0</v>
      </c>
      <c r="P1421" s="40">
        <f t="shared" si="46"/>
        <v>0</v>
      </c>
    </row>
    <row r="1422" spans="1:16" x14ac:dyDescent="0.35">
      <c r="A1422" s="33">
        <v>1419</v>
      </c>
      <c r="B1422" s="34" t="s">
        <v>1794</v>
      </c>
      <c r="C1422" s="33" t="s">
        <v>346</v>
      </c>
      <c r="D1422" s="33" t="s">
        <v>43</v>
      </c>
      <c r="E1422" s="33" t="s">
        <v>1775</v>
      </c>
      <c r="F1422" s="35">
        <v>0.25</v>
      </c>
      <c r="G1422" s="40">
        <v>0</v>
      </c>
      <c r="H1422" s="40">
        <v>0</v>
      </c>
      <c r="I1422" s="40">
        <v>0</v>
      </c>
      <c r="J1422" s="40">
        <v>0</v>
      </c>
      <c r="K1422" s="40">
        <v>0</v>
      </c>
      <c r="L1422" s="40">
        <v>0</v>
      </c>
      <c r="M1422" s="40" cm="1">
        <f t="array" ref="M1422:N1422">VLOOKUP(B1422,'Fumigation  Room'!B:H,{6,7},0)</f>
        <v>0</v>
      </c>
      <c r="N1422" s="40">
        <v>0</v>
      </c>
      <c r="O1422" s="40">
        <f t="shared" si="45"/>
        <v>0</v>
      </c>
      <c r="P1422" s="40">
        <f t="shared" si="46"/>
        <v>0</v>
      </c>
    </row>
    <row r="1423" spans="1:16" x14ac:dyDescent="0.35">
      <c r="A1423" s="33">
        <v>1420</v>
      </c>
      <c r="B1423" s="34" t="s">
        <v>1795</v>
      </c>
      <c r="C1423" s="33" t="s">
        <v>346</v>
      </c>
      <c r="D1423" s="33" t="s">
        <v>43</v>
      </c>
      <c r="E1423" s="33" t="s">
        <v>1775</v>
      </c>
      <c r="F1423" s="35">
        <v>0.15</v>
      </c>
      <c r="G1423" s="40">
        <v>0</v>
      </c>
      <c r="H1423" s="40">
        <v>0</v>
      </c>
      <c r="I1423" s="40">
        <v>0</v>
      </c>
      <c r="J1423" s="40">
        <v>0</v>
      </c>
      <c r="K1423" s="40">
        <v>0</v>
      </c>
      <c r="L1423" s="40">
        <v>0</v>
      </c>
      <c r="M1423" s="40" cm="1">
        <f t="array" ref="M1423:N1423">VLOOKUP(B1423,'Fumigation  Room'!B:H,{6,7},0)</f>
        <v>0</v>
      </c>
      <c r="N1423" s="40">
        <v>0</v>
      </c>
      <c r="O1423" s="40">
        <f t="shared" si="45"/>
        <v>0</v>
      </c>
      <c r="P1423" s="40">
        <f t="shared" si="46"/>
        <v>0</v>
      </c>
    </row>
    <row r="1424" spans="1:16" x14ac:dyDescent="0.35">
      <c r="A1424" s="33">
        <v>1421</v>
      </c>
      <c r="B1424" s="34" t="s">
        <v>1796</v>
      </c>
      <c r="C1424" s="33" t="s">
        <v>346</v>
      </c>
      <c r="D1424" s="33" t="s">
        <v>43</v>
      </c>
      <c r="E1424" s="33" t="s">
        <v>1775</v>
      </c>
      <c r="F1424" s="35">
        <v>0.2</v>
      </c>
      <c r="G1424" s="40">
        <v>0</v>
      </c>
      <c r="H1424" s="40">
        <v>0</v>
      </c>
      <c r="I1424" s="40">
        <v>0</v>
      </c>
      <c r="J1424" s="40">
        <v>0</v>
      </c>
      <c r="K1424" s="40">
        <v>0</v>
      </c>
      <c r="L1424" s="40">
        <v>0</v>
      </c>
      <c r="M1424" s="40" cm="1">
        <f t="array" ref="M1424:N1424">VLOOKUP(B1424,'Fumigation  Room'!B:H,{6,7},0)</f>
        <v>0</v>
      </c>
      <c r="N1424" s="40">
        <v>0</v>
      </c>
      <c r="O1424" s="40">
        <f t="shared" si="45"/>
        <v>0</v>
      </c>
      <c r="P1424" s="40">
        <f t="shared" si="46"/>
        <v>0</v>
      </c>
    </row>
    <row r="1425" spans="1:16" x14ac:dyDescent="0.35">
      <c r="A1425" s="33">
        <v>1422</v>
      </c>
      <c r="B1425" s="34" t="s">
        <v>1797</v>
      </c>
      <c r="C1425" s="33" t="s">
        <v>346</v>
      </c>
      <c r="D1425" s="33" t="s">
        <v>43</v>
      </c>
      <c r="E1425" s="33" t="s">
        <v>1775</v>
      </c>
      <c r="F1425" s="35">
        <v>0.25</v>
      </c>
      <c r="G1425" s="40">
        <v>0</v>
      </c>
      <c r="H1425" s="40">
        <v>0</v>
      </c>
      <c r="I1425" s="40">
        <v>0</v>
      </c>
      <c r="J1425" s="40">
        <v>0</v>
      </c>
      <c r="K1425" s="40">
        <v>0</v>
      </c>
      <c r="L1425" s="40">
        <v>0</v>
      </c>
      <c r="M1425" s="40" cm="1">
        <f t="array" ref="M1425:N1425">VLOOKUP(B1425,'Fumigation  Room'!B:H,{6,7},0)</f>
        <v>0</v>
      </c>
      <c r="N1425" s="40">
        <v>0</v>
      </c>
      <c r="O1425" s="40">
        <f t="shared" si="45"/>
        <v>0</v>
      </c>
      <c r="P1425" s="40">
        <f t="shared" si="46"/>
        <v>0</v>
      </c>
    </row>
    <row r="1426" spans="1:16" x14ac:dyDescent="0.35">
      <c r="A1426" s="33">
        <v>1423</v>
      </c>
      <c r="B1426" s="34" t="s">
        <v>1798</v>
      </c>
      <c r="C1426" s="33" t="s">
        <v>346</v>
      </c>
      <c r="D1426" s="33" t="s">
        <v>43</v>
      </c>
      <c r="E1426" s="33" t="s">
        <v>1775</v>
      </c>
      <c r="F1426" s="35">
        <v>0.2</v>
      </c>
      <c r="G1426" s="40">
        <v>0</v>
      </c>
      <c r="H1426" s="40">
        <v>0</v>
      </c>
      <c r="I1426" s="40">
        <v>0</v>
      </c>
      <c r="J1426" s="40">
        <v>0</v>
      </c>
      <c r="K1426" s="40">
        <v>0</v>
      </c>
      <c r="L1426" s="40">
        <v>0</v>
      </c>
      <c r="M1426" s="40" cm="1">
        <f t="array" ref="M1426:N1426">VLOOKUP(B1426,'Fumigation  Room'!B:H,{6,7},0)</f>
        <v>0</v>
      </c>
      <c r="N1426" s="40">
        <v>0</v>
      </c>
      <c r="O1426" s="40">
        <f t="shared" si="45"/>
        <v>0</v>
      </c>
      <c r="P1426" s="40">
        <f t="shared" si="46"/>
        <v>0</v>
      </c>
    </row>
    <row r="1427" spans="1:16" x14ac:dyDescent="0.35">
      <c r="A1427" s="33">
        <v>1424</v>
      </c>
      <c r="B1427" s="34" t="s">
        <v>1799</v>
      </c>
      <c r="C1427" s="33" t="s">
        <v>346</v>
      </c>
      <c r="D1427" s="33" t="s">
        <v>43</v>
      </c>
      <c r="E1427" s="33" t="s">
        <v>1775</v>
      </c>
      <c r="F1427" s="35">
        <v>0.25</v>
      </c>
      <c r="G1427" s="40">
        <v>0</v>
      </c>
      <c r="H1427" s="40">
        <v>0</v>
      </c>
      <c r="I1427" s="40">
        <v>0</v>
      </c>
      <c r="J1427" s="40">
        <v>0</v>
      </c>
      <c r="K1427" s="40">
        <v>0</v>
      </c>
      <c r="L1427" s="40">
        <v>0</v>
      </c>
      <c r="M1427" s="40" cm="1">
        <f t="array" ref="M1427:N1427">VLOOKUP(B1427,'Fumigation  Room'!B:H,{6,7},0)</f>
        <v>0</v>
      </c>
      <c r="N1427" s="40">
        <v>0</v>
      </c>
      <c r="O1427" s="40">
        <f t="shared" si="45"/>
        <v>0</v>
      </c>
      <c r="P1427" s="40">
        <f t="shared" si="46"/>
        <v>0</v>
      </c>
    </row>
    <row r="1428" spans="1:16" x14ac:dyDescent="0.35">
      <c r="A1428" s="33">
        <v>1425</v>
      </c>
      <c r="B1428" s="34" t="s">
        <v>1800</v>
      </c>
      <c r="C1428" s="33" t="s">
        <v>346</v>
      </c>
      <c r="D1428" s="33" t="s">
        <v>43</v>
      </c>
      <c r="E1428" s="33" t="s">
        <v>1775</v>
      </c>
      <c r="F1428" s="35">
        <v>1</v>
      </c>
      <c r="G1428" s="40">
        <v>0</v>
      </c>
      <c r="H1428" s="40">
        <v>0</v>
      </c>
      <c r="I1428" s="40">
        <v>0</v>
      </c>
      <c r="J1428" s="40">
        <v>0</v>
      </c>
      <c r="K1428" s="40">
        <v>0</v>
      </c>
      <c r="L1428" s="40">
        <v>0</v>
      </c>
      <c r="M1428" s="40" cm="1">
        <f t="array" ref="M1428:N1428">VLOOKUP(B1428,'Fumigation  Room'!B:H,{6,7},0)</f>
        <v>0</v>
      </c>
      <c r="N1428" s="40">
        <v>0</v>
      </c>
      <c r="O1428" s="40">
        <f t="shared" si="45"/>
        <v>0</v>
      </c>
      <c r="P1428" s="40">
        <f t="shared" si="46"/>
        <v>0</v>
      </c>
    </row>
    <row r="1429" spans="1:16" x14ac:dyDescent="0.35">
      <c r="A1429" s="33">
        <v>1426</v>
      </c>
      <c r="B1429" s="34" t="s">
        <v>1801</v>
      </c>
      <c r="C1429" s="33" t="s">
        <v>346</v>
      </c>
      <c r="D1429" s="33" t="s">
        <v>43</v>
      </c>
      <c r="E1429" s="33" t="s">
        <v>1775</v>
      </c>
      <c r="F1429" s="35">
        <v>1</v>
      </c>
      <c r="G1429" s="40">
        <v>0</v>
      </c>
      <c r="H1429" s="40">
        <v>0</v>
      </c>
      <c r="I1429" s="40">
        <v>0</v>
      </c>
      <c r="J1429" s="40">
        <v>0</v>
      </c>
      <c r="K1429" s="40">
        <v>0</v>
      </c>
      <c r="L1429" s="40">
        <v>0</v>
      </c>
      <c r="M1429" s="40" cm="1">
        <f t="array" ref="M1429:N1429">VLOOKUP(B1429,'Fumigation  Room'!B:H,{6,7},0)</f>
        <v>0</v>
      </c>
      <c r="N1429" s="40">
        <v>0</v>
      </c>
      <c r="O1429" s="40">
        <f t="shared" si="45"/>
        <v>0</v>
      </c>
      <c r="P1429" s="40">
        <f t="shared" si="46"/>
        <v>0</v>
      </c>
    </row>
    <row r="1430" spans="1:16" x14ac:dyDescent="0.35">
      <c r="A1430" s="33">
        <v>1427</v>
      </c>
      <c r="B1430" s="34" t="s">
        <v>1802</v>
      </c>
      <c r="C1430" s="33" t="s">
        <v>346</v>
      </c>
      <c r="D1430" s="33" t="s">
        <v>43</v>
      </c>
      <c r="E1430" s="33" t="s">
        <v>1775</v>
      </c>
      <c r="F1430" s="35">
        <v>1</v>
      </c>
      <c r="G1430" s="40">
        <v>0</v>
      </c>
      <c r="H1430" s="40">
        <v>0</v>
      </c>
      <c r="I1430" s="40">
        <v>0</v>
      </c>
      <c r="J1430" s="40">
        <v>0</v>
      </c>
      <c r="K1430" s="40">
        <v>0</v>
      </c>
      <c r="L1430" s="40">
        <v>0</v>
      </c>
      <c r="M1430" s="40" cm="1">
        <f t="array" ref="M1430:N1430">VLOOKUP(B1430,'Fumigation  Room'!B:H,{6,7},0)</f>
        <v>0</v>
      </c>
      <c r="N1430" s="40">
        <v>0</v>
      </c>
      <c r="O1430" s="40">
        <f t="shared" si="45"/>
        <v>0</v>
      </c>
      <c r="P1430" s="40">
        <f t="shared" si="46"/>
        <v>0</v>
      </c>
    </row>
    <row r="1431" spans="1:16" x14ac:dyDescent="0.35">
      <c r="A1431" s="33">
        <v>1428</v>
      </c>
      <c r="B1431" s="34" t="s">
        <v>1803</v>
      </c>
      <c r="C1431" s="33" t="s">
        <v>346</v>
      </c>
      <c r="D1431" s="33" t="s">
        <v>43</v>
      </c>
      <c r="E1431" s="33" t="s">
        <v>1775</v>
      </c>
      <c r="F1431" s="35">
        <v>0.1</v>
      </c>
      <c r="G1431" s="40">
        <v>0</v>
      </c>
      <c r="H1431" s="40">
        <v>0</v>
      </c>
      <c r="I1431" s="40">
        <v>0</v>
      </c>
      <c r="J1431" s="40">
        <v>0</v>
      </c>
      <c r="K1431" s="40">
        <v>0</v>
      </c>
      <c r="L1431" s="40">
        <v>0</v>
      </c>
      <c r="M1431" s="40" cm="1">
        <f t="array" ref="M1431:N1431">VLOOKUP(B1431,'Fumigation  Room'!B:H,{6,7},0)</f>
        <v>0</v>
      </c>
      <c r="N1431" s="40">
        <v>0</v>
      </c>
      <c r="O1431" s="40">
        <f t="shared" si="45"/>
        <v>0</v>
      </c>
      <c r="P1431" s="40">
        <f t="shared" si="46"/>
        <v>0</v>
      </c>
    </row>
    <row r="1432" spans="1:16" x14ac:dyDescent="0.35">
      <c r="A1432" s="33">
        <v>1429</v>
      </c>
      <c r="B1432" s="34" t="s">
        <v>1804</v>
      </c>
      <c r="C1432" s="33" t="s">
        <v>346</v>
      </c>
      <c r="D1432" s="33" t="s">
        <v>43</v>
      </c>
      <c r="E1432" s="33" t="s">
        <v>1775</v>
      </c>
      <c r="F1432" s="35">
        <v>0.2</v>
      </c>
      <c r="G1432" s="40">
        <v>0</v>
      </c>
      <c r="H1432" s="40">
        <v>0</v>
      </c>
      <c r="I1432" s="40">
        <v>0</v>
      </c>
      <c r="J1432" s="40">
        <v>0</v>
      </c>
      <c r="K1432" s="40">
        <v>0</v>
      </c>
      <c r="L1432" s="40">
        <v>0</v>
      </c>
      <c r="M1432" s="40" cm="1">
        <f t="array" ref="M1432:N1432">VLOOKUP(B1432,'Fumigation  Room'!B:H,{6,7},0)</f>
        <v>0</v>
      </c>
      <c r="N1432" s="40">
        <v>0</v>
      </c>
      <c r="O1432" s="40">
        <f t="shared" si="45"/>
        <v>0</v>
      </c>
      <c r="P1432" s="40">
        <f t="shared" si="46"/>
        <v>0</v>
      </c>
    </row>
    <row r="1433" spans="1:16" x14ac:dyDescent="0.35">
      <c r="A1433" s="33">
        <v>1430</v>
      </c>
      <c r="B1433" s="34" t="s">
        <v>1805</v>
      </c>
      <c r="C1433" s="33" t="s">
        <v>346</v>
      </c>
      <c r="D1433" s="33" t="s">
        <v>43</v>
      </c>
      <c r="E1433" s="33" t="s">
        <v>1775</v>
      </c>
      <c r="F1433" s="35">
        <v>0.5</v>
      </c>
      <c r="G1433" s="40">
        <v>0</v>
      </c>
      <c r="H1433" s="40">
        <v>0</v>
      </c>
      <c r="I1433" s="40">
        <v>0</v>
      </c>
      <c r="J1433" s="40">
        <v>0</v>
      </c>
      <c r="K1433" s="40">
        <v>0</v>
      </c>
      <c r="L1433" s="40">
        <v>0</v>
      </c>
      <c r="M1433" s="40" cm="1">
        <f t="array" ref="M1433:N1433">VLOOKUP(B1433,'Fumigation  Room'!B:H,{6,7},0)</f>
        <v>0</v>
      </c>
      <c r="N1433" s="40">
        <v>0</v>
      </c>
      <c r="O1433" s="40">
        <f t="shared" si="45"/>
        <v>0</v>
      </c>
      <c r="P1433" s="40">
        <f t="shared" si="46"/>
        <v>0</v>
      </c>
    </row>
    <row r="1434" spans="1:16" x14ac:dyDescent="0.35">
      <c r="A1434" s="33">
        <v>1431</v>
      </c>
      <c r="B1434" s="34" t="s">
        <v>1806</v>
      </c>
      <c r="C1434" s="33" t="s">
        <v>346</v>
      </c>
      <c r="D1434" s="33" t="s">
        <v>43</v>
      </c>
      <c r="E1434" s="33" t="s">
        <v>1775</v>
      </c>
      <c r="F1434" s="35">
        <v>0.2</v>
      </c>
      <c r="G1434" s="40">
        <v>0</v>
      </c>
      <c r="H1434" s="40">
        <v>0</v>
      </c>
      <c r="I1434" s="40">
        <v>0</v>
      </c>
      <c r="J1434" s="40">
        <v>0</v>
      </c>
      <c r="K1434" s="40">
        <v>0</v>
      </c>
      <c r="L1434" s="40">
        <v>0</v>
      </c>
      <c r="M1434" s="40" cm="1">
        <f t="array" ref="M1434:N1434">VLOOKUP(B1434,'Fumigation  Room'!B:H,{6,7},0)</f>
        <v>0</v>
      </c>
      <c r="N1434" s="40">
        <v>0</v>
      </c>
      <c r="O1434" s="40">
        <f t="shared" si="45"/>
        <v>0</v>
      </c>
      <c r="P1434" s="40">
        <f t="shared" si="46"/>
        <v>0</v>
      </c>
    </row>
    <row r="1435" spans="1:16" x14ac:dyDescent="0.35">
      <c r="A1435" s="33">
        <v>1432</v>
      </c>
      <c r="B1435" s="34" t="s">
        <v>1807</v>
      </c>
      <c r="C1435" s="33" t="s">
        <v>346</v>
      </c>
      <c r="D1435" s="33" t="s">
        <v>43</v>
      </c>
      <c r="E1435" s="33" t="s">
        <v>1775</v>
      </c>
      <c r="F1435" s="35">
        <v>1</v>
      </c>
      <c r="G1435" s="40">
        <v>0</v>
      </c>
      <c r="H1435" s="40">
        <v>0</v>
      </c>
      <c r="I1435" s="40">
        <v>0</v>
      </c>
      <c r="J1435" s="40">
        <v>0</v>
      </c>
      <c r="K1435" s="40">
        <v>0</v>
      </c>
      <c r="L1435" s="40">
        <v>0</v>
      </c>
      <c r="M1435" s="40" cm="1">
        <f t="array" ref="M1435:N1435">VLOOKUP(B1435,'Fumigation  Room'!B:H,{6,7},0)</f>
        <v>0</v>
      </c>
      <c r="N1435" s="40">
        <v>0</v>
      </c>
      <c r="O1435" s="40">
        <f t="shared" si="45"/>
        <v>0</v>
      </c>
      <c r="P1435" s="40">
        <f t="shared" si="46"/>
        <v>0</v>
      </c>
    </row>
    <row r="1436" spans="1:16" x14ac:dyDescent="0.35">
      <c r="A1436" s="33">
        <v>1433</v>
      </c>
      <c r="B1436" s="34" t="s">
        <v>1808</v>
      </c>
      <c r="C1436" s="33" t="s">
        <v>346</v>
      </c>
      <c r="D1436" s="33" t="s">
        <v>43</v>
      </c>
      <c r="E1436" s="33" t="s">
        <v>1775</v>
      </c>
      <c r="F1436" s="35">
        <v>0.23</v>
      </c>
      <c r="G1436" s="40">
        <v>0</v>
      </c>
      <c r="H1436" s="40">
        <v>0</v>
      </c>
      <c r="I1436" s="40">
        <v>0</v>
      </c>
      <c r="J1436" s="40">
        <v>0</v>
      </c>
      <c r="K1436" s="40">
        <v>0</v>
      </c>
      <c r="L1436" s="40">
        <v>0</v>
      </c>
      <c r="M1436" s="40" cm="1">
        <f t="array" ref="M1436:N1436">VLOOKUP(B1436,'Fumigation  Room'!B:H,{6,7},0)</f>
        <v>0</v>
      </c>
      <c r="N1436" s="40">
        <v>0</v>
      </c>
      <c r="O1436" s="40">
        <f t="shared" si="45"/>
        <v>0</v>
      </c>
      <c r="P1436" s="40">
        <f t="shared" si="46"/>
        <v>0</v>
      </c>
    </row>
    <row r="1437" spans="1:16" x14ac:dyDescent="0.35">
      <c r="A1437" s="33">
        <v>1434</v>
      </c>
      <c r="B1437" s="34" t="s">
        <v>1809</v>
      </c>
      <c r="C1437" s="33" t="s">
        <v>346</v>
      </c>
      <c r="D1437" s="33" t="s">
        <v>43</v>
      </c>
      <c r="E1437" s="33" t="s">
        <v>1775</v>
      </c>
      <c r="F1437" s="35">
        <v>0.5</v>
      </c>
      <c r="G1437" s="40">
        <v>0</v>
      </c>
      <c r="H1437" s="40">
        <v>0</v>
      </c>
      <c r="I1437" s="40">
        <v>0</v>
      </c>
      <c r="J1437" s="40">
        <v>0</v>
      </c>
      <c r="K1437" s="40">
        <v>0</v>
      </c>
      <c r="L1437" s="40">
        <v>0</v>
      </c>
      <c r="M1437" s="40" cm="1">
        <f t="array" ref="M1437:N1437">VLOOKUP(B1437,'Fumigation  Room'!B:H,{6,7},0)</f>
        <v>0</v>
      </c>
      <c r="N1437" s="40">
        <v>0</v>
      </c>
      <c r="O1437" s="40">
        <f t="shared" si="45"/>
        <v>0</v>
      </c>
      <c r="P1437" s="40">
        <f t="shared" si="46"/>
        <v>0</v>
      </c>
    </row>
    <row r="1438" spans="1:16" x14ac:dyDescent="0.35">
      <c r="A1438" s="33">
        <v>1435</v>
      </c>
      <c r="B1438" s="34" t="s">
        <v>1810</v>
      </c>
      <c r="C1438" s="33" t="s">
        <v>346</v>
      </c>
      <c r="D1438" s="33" t="s">
        <v>43</v>
      </c>
      <c r="E1438" s="33" t="s">
        <v>1775</v>
      </c>
      <c r="F1438" s="35">
        <v>0.1</v>
      </c>
      <c r="G1438" s="40">
        <v>0</v>
      </c>
      <c r="H1438" s="40">
        <v>0</v>
      </c>
      <c r="I1438" s="40">
        <v>0</v>
      </c>
      <c r="J1438" s="40">
        <v>0</v>
      </c>
      <c r="K1438" s="40">
        <v>0</v>
      </c>
      <c r="L1438" s="40">
        <v>0</v>
      </c>
      <c r="M1438" s="40" cm="1">
        <f t="array" ref="M1438:N1438">VLOOKUP(B1438,'Fumigation  Room'!B:H,{6,7},0)</f>
        <v>0</v>
      </c>
      <c r="N1438" s="40">
        <v>0</v>
      </c>
      <c r="O1438" s="40">
        <f t="shared" si="45"/>
        <v>0</v>
      </c>
      <c r="P1438" s="40">
        <f t="shared" si="46"/>
        <v>0</v>
      </c>
    </row>
    <row r="1439" spans="1:16" x14ac:dyDescent="0.35">
      <c r="A1439" s="33">
        <v>1436</v>
      </c>
      <c r="B1439" s="34" t="s">
        <v>1811</v>
      </c>
      <c r="C1439" s="33" t="s">
        <v>346</v>
      </c>
      <c r="D1439" s="33" t="s">
        <v>43</v>
      </c>
      <c r="E1439" s="33" t="s">
        <v>1775</v>
      </c>
      <c r="F1439" s="35">
        <v>0.2</v>
      </c>
      <c r="G1439" s="40">
        <v>0</v>
      </c>
      <c r="H1439" s="40">
        <v>0</v>
      </c>
      <c r="I1439" s="40">
        <v>0</v>
      </c>
      <c r="J1439" s="40">
        <v>0</v>
      </c>
      <c r="K1439" s="40">
        <v>0</v>
      </c>
      <c r="L1439" s="40">
        <v>0</v>
      </c>
      <c r="M1439" s="40" cm="1">
        <f t="array" ref="M1439:N1439">VLOOKUP(B1439,'Fumigation  Room'!B:H,{6,7},0)</f>
        <v>0</v>
      </c>
      <c r="N1439" s="40">
        <v>0</v>
      </c>
      <c r="O1439" s="40">
        <f t="shared" si="45"/>
        <v>0</v>
      </c>
      <c r="P1439" s="40">
        <f t="shared" si="46"/>
        <v>0</v>
      </c>
    </row>
    <row r="1440" spans="1:16" x14ac:dyDescent="0.35">
      <c r="A1440" s="33">
        <v>1437</v>
      </c>
      <c r="B1440" s="34" t="s">
        <v>1780</v>
      </c>
      <c r="C1440" s="33" t="s">
        <v>297</v>
      </c>
      <c r="D1440" s="33" t="s">
        <v>43</v>
      </c>
      <c r="E1440" s="33" t="s">
        <v>1781</v>
      </c>
      <c r="F1440" s="35">
        <v>1</v>
      </c>
      <c r="G1440" s="40">
        <v>0</v>
      </c>
      <c r="H1440" s="40">
        <v>0</v>
      </c>
      <c r="I1440" s="40">
        <v>0</v>
      </c>
      <c r="J1440" s="40">
        <v>0</v>
      </c>
      <c r="K1440" s="40">
        <v>0</v>
      </c>
      <c r="L1440" s="40">
        <v>0</v>
      </c>
      <c r="M1440" s="40" cm="1">
        <f t="array" ref="M1440:N1440">VLOOKUP(B1440,'Fumigation  Room'!B:H,{6,7},0)</f>
        <v>0</v>
      </c>
      <c r="N1440" s="40">
        <v>3.8000000000000003</v>
      </c>
      <c r="O1440" s="40">
        <f t="shared" si="45"/>
        <v>0</v>
      </c>
      <c r="P1440" s="40">
        <f t="shared" si="46"/>
        <v>3.8000000000000003</v>
      </c>
    </row>
    <row r="1441" spans="1:16" x14ac:dyDescent="0.35">
      <c r="A1441" s="33">
        <v>1438</v>
      </c>
      <c r="B1441" s="34" t="s">
        <v>1782</v>
      </c>
      <c r="C1441" s="33" t="s">
        <v>297</v>
      </c>
      <c r="D1441" s="33" t="s">
        <v>43</v>
      </c>
      <c r="E1441" s="33" t="s">
        <v>1781</v>
      </c>
      <c r="F1441" s="35">
        <v>1</v>
      </c>
      <c r="G1441" s="40">
        <v>0</v>
      </c>
      <c r="H1441" s="40">
        <v>0</v>
      </c>
      <c r="I1441" s="40">
        <v>0</v>
      </c>
      <c r="J1441" s="40">
        <v>0</v>
      </c>
      <c r="K1441" s="40">
        <v>0</v>
      </c>
      <c r="L1441" s="40">
        <v>0</v>
      </c>
      <c r="M1441" s="40" cm="1">
        <f t="array" ref="M1441:N1441">VLOOKUP(B1441,'Fumigation  Room'!B:H,{6,7},0)</f>
        <v>0</v>
      </c>
      <c r="N1441" s="40">
        <v>0</v>
      </c>
      <c r="O1441" s="40">
        <f t="shared" si="45"/>
        <v>0</v>
      </c>
      <c r="P1441" s="40">
        <f t="shared" si="46"/>
        <v>0</v>
      </c>
    </row>
    <row r="1442" spans="1:16" x14ac:dyDescent="0.35">
      <c r="A1442" s="33">
        <v>1439</v>
      </c>
      <c r="B1442" s="34" t="s">
        <v>1783</v>
      </c>
      <c r="C1442" s="33" t="s">
        <v>297</v>
      </c>
      <c r="D1442" s="33" t="s">
        <v>43</v>
      </c>
      <c r="E1442" s="33" t="s">
        <v>1781</v>
      </c>
      <c r="F1442" s="35">
        <v>1</v>
      </c>
      <c r="G1442" s="40">
        <v>0</v>
      </c>
      <c r="H1442" s="40">
        <v>0</v>
      </c>
      <c r="I1442" s="40">
        <v>0</v>
      </c>
      <c r="J1442" s="40">
        <v>0</v>
      </c>
      <c r="K1442" s="40">
        <v>0</v>
      </c>
      <c r="L1442" s="40">
        <v>0</v>
      </c>
      <c r="M1442" s="40" cm="1">
        <f t="array" ref="M1442:N1442">VLOOKUP(B1442,'Fumigation  Room'!B:H,{6,7},0)</f>
        <v>0</v>
      </c>
      <c r="N1442" s="40">
        <v>0</v>
      </c>
      <c r="O1442" s="40">
        <f t="shared" si="45"/>
        <v>0</v>
      </c>
      <c r="P1442" s="40">
        <f t="shared" si="46"/>
        <v>0</v>
      </c>
    </row>
    <row r="1443" spans="1:16" x14ac:dyDescent="0.35">
      <c r="A1443" s="33">
        <v>1440</v>
      </c>
      <c r="B1443" s="34" t="s">
        <v>1812</v>
      </c>
      <c r="C1443" s="33" t="s">
        <v>346</v>
      </c>
      <c r="D1443" s="33" t="s">
        <v>43</v>
      </c>
      <c r="E1443" s="33" t="s">
        <v>1781</v>
      </c>
      <c r="F1443" s="35">
        <v>0.15</v>
      </c>
      <c r="G1443" s="40">
        <v>0</v>
      </c>
      <c r="H1443" s="40">
        <v>0</v>
      </c>
      <c r="I1443" s="40">
        <v>0</v>
      </c>
      <c r="J1443" s="40">
        <v>0</v>
      </c>
      <c r="K1443" s="40">
        <v>0</v>
      </c>
      <c r="L1443" s="40">
        <v>0</v>
      </c>
      <c r="M1443" s="40" cm="1">
        <f t="array" ref="M1443:N1443">VLOOKUP(B1443,'Fumigation  Room'!B:H,{6,7},0)</f>
        <v>0</v>
      </c>
      <c r="N1443" s="40">
        <v>0</v>
      </c>
      <c r="O1443" s="40">
        <f t="shared" si="45"/>
        <v>0</v>
      </c>
      <c r="P1443" s="40">
        <f t="shared" si="46"/>
        <v>0</v>
      </c>
    </row>
    <row r="1444" spans="1:16" x14ac:dyDescent="0.35">
      <c r="A1444" s="33">
        <v>1441</v>
      </c>
      <c r="B1444" s="34" t="s">
        <v>1813</v>
      </c>
      <c r="C1444" s="33" t="s">
        <v>346</v>
      </c>
      <c r="D1444" s="33" t="s">
        <v>43</v>
      </c>
      <c r="E1444" s="33" t="s">
        <v>1781</v>
      </c>
      <c r="F1444" s="35">
        <v>0.5</v>
      </c>
      <c r="G1444" s="40">
        <v>0</v>
      </c>
      <c r="H1444" s="40">
        <v>0</v>
      </c>
      <c r="I1444" s="40">
        <v>0</v>
      </c>
      <c r="J1444" s="40">
        <v>0</v>
      </c>
      <c r="K1444" s="40">
        <v>0</v>
      </c>
      <c r="L1444" s="40">
        <v>0</v>
      </c>
      <c r="M1444" s="40" cm="1">
        <f t="array" ref="M1444:N1444">VLOOKUP(B1444,'Fumigation  Room'!B:H,{6,7},0)</f>
        <v>0</v>
      </c>
      <c r="N1444" s="40">
        <v>0</v>
      </c>
      <c r="O1444" s="40">
        <f t="shared" si="45"/>
        <v>0</v>
      </c>
      <c r="P1444" s="40">
        <f t="shared" si="46"/>
        <v>0</v>
      </c>
    </row>
    <row r="1445" spans="1:16" x14ac:dyDescent="0.35">
      <c r="A1445" s="33">
        <v>1442</v>
      </c>
      <c r="B1445" s="34" t="s">
        <v>1814</v>
      </c>
      <c r="C1445" s="33" t="s">
        <v>346</v>
      </c>
      <c r="D1445" s="33" t="s">
        <v>43</v>
      </c>
      <c r="E1445" s="33" t="s">
        <v>1781</v>
      </c>
      <c r="F1445" s="35">
        <v>0.25</v>
      </c>
      <c r="G1445" s="40">
        <v>0</v>
      </c>
      <c r="H1445" s="40">
        <v>0</v>
      </c>
      <c r="I1445" s="40">
        <v>0</v>
      </c>
      <c r="J1445" s="40">
        <v>0</v>
      </c>
      <c r="K1445" s="40">
        <v>0</v>
      </c>
      <c r="L1445" s="40">
        <v>0</v>
      </c>
      <c r="M1445" s="40" cm="1">
        <f t="array" ref="M1445:N1445">VLOOKUP(B1445,'Fumigation  Room'!B:H,{6,7},0)</f>
        <v>0</v>
      </c>
      <c r="N1445" s="40">
        <v>0</v>
      </c>
      <c r="O1445" s="40">
        <f t="shared" si="45"/>
        <v>0</v>
      </c>
      <c r="P1445" s="40">
        <f t="shared" si="46"/>
        <v>0</v>
      </c>
    </row>
    <row r="1446" spans="1:16" x14ac:dyDescent="0.35">
      <c r="A1446" s="33">
        <v>1443</v>
      </c>
      <c r="B1446" s="34" t="s">
        <v>1815</v>
      </c>
      <c r="C1446" s="33" t="s">
        <v>346</v>
      </c>
      <c r="D1446" s="33" t="s">
        <v>43</v>
      </c>
      <c r="E1446" s="33" t="s">
        <v>1781</v>
      </c>
      <c r="F1446" s="35">
        <v>0.1</v>
      </c>
      <c r="G1446" s="40">
        <v>0</v>
      </c>
      <c r="H1446" s="40">
        <v>0</v>
      </c>
      <c r="I1446" s="40">
        <v>0</v>
      </c>
      <c r="J1446" s="40">
        <v>0</v>
      </c>
      <c r="K1446" s="40">
        <v>0</v>
      </c>
      <c r="L1446" s="40">
        <v>0</v>
      </c>
      <c r="M1446" s="40" cm="1">
        <f t="array" ref="M1446:N1446">VLOOKUP(B1446,'Fumigation  Room'!B:H,{6,7},0)</f>
        <v>0</v>
      </c>
      <c r="N1446" s="40">
        <v>0</v>
      </c>
      <c r="O1446" s="40">
        <f t="shared" si="45"/>
        <v>0</v>
      </c>
      <c r="P1446" s="40">
        <f t="shared" si="46"/>
        <v>0</v>
      </c>
    </row>
    <row r="1447" spans="1:16" x14ac:dyDescent="0.35">
      <c r="A1447" s="33">
        <v>1444</v>
      </c>
      <c r="B1447" s="34" t="s">
        <v>1816</v>
      </c>
      <c r="C1447" s="33" t="s">
        <v>346</v>
      </c>
      <c r="D1447" s="33" t="s">
        <v>43</v>
      </c>
      <c r="E1447" s="33" t="s">
        <v>1781</v>
      </c>
      <c r="F1447" s="35">
        <v>0.15</v>
      </c>
      <c r="G1447" s="40">
        <v>0</v>
      </c>
      <c r="H1447" s="40">
        <v>0</v>
      </c>
      <c r="I1447" s="40">
        <v>0</v>
      </c>
      <c r="J1447" s="40">
        <v>0</v>
      </c>
      <c r="K1447" s="40">
        <v>0</v>
      </c>
      <c r="L1447" s="40">
        <v>0</v>
      </c>
      <c r="M1447" s="40" cm="1">
        <f t="array" ref="M1447:N1447">VLOOKUP(B1447,'Fumigation  Room'!B:H,{6,7},0)</f>
        <v>0</v>
      </c>
      <c r="N1447" s="40">
        <v>0</v>
      </c>
      <c r="O1447" s="40">
        <f t="shared" si="45"/>
        <v>0</v>
      </c>
      <c r="P1447" s="40">
        <f t="shared" si="46"/>
        <v>0</v>
      </c>
    </row>
    <row r="1448" spans="1:16" x14ac:dyDescent="0.35">
      <c r="A1448" s="33">
        <v>1445</v>
      </c>
      <c r="B1448" s="34" t="s">
        <v>1817</v>
      </c>
      <c r="C1448" s="33" t="s">
        <v>346</v>
      </c>
      <c r="D1448" s="33" t="s">
        <v>43</v>
      </c>
      <c r="E1448" s="33" t="s">
        <v>1781</v>
      </c>
      <c r="F1448" s="35">
        <v>0.17499999999999999</v>
      </c>
      <c r="G1448" s="40">
        <v>0</v>
      </c>
      <c r="H1448" s="40">
        <v>0</v>
      </c>
      <c r="I1448" s="40">
        <v>0</v>
      </c>
      <c r="J1448" s="40">
        <v>0</v>
      </c>
      <c r="K1448" s="40">
        <v>0</v>
      </c>
      <c r="L1448" s="40">
        <v>0</v>
      </c>
      <c r="M1448" s="40" cm="1">
        <f t="array" ref="M1448:N1448">VLOOKUP(B1448,'Fumigation  Room'!B:H,{6,7},0)</f>
        <v>0</v>
      </c>
      <c r="N1448" s="40">
        <v>0</v>
      </c>
      <c r="O1448" s="40">
        <f t="shared" si="45"/>
        <v>0</v>
      </c>
      <c r="P1448" s="40">
        <f t="shared" si="46"/>
        <v>0</v>
      </c>
    </row>
    <row r="1449" spans="1:16" x14ac:dyDescent="0.35">
      <c r="A1449" s="33">
        <v>1446</v>
      </c>
      <c r="B1449" s="34" t="s">
        <v>1818</v>
      </c>
      <c r="C1449" s="33" t="s">
        <v>346</v>
      </c>
      <c r="D1449" s="33" t="s">
        <v>43</v>
      </c>
      <c r="E1449" s="33" t="s">
        <v>1781</v>
      </c>
      <c r="F1449" s="35">
        <v>0.2</v>
      </c>
      <c r="G1449" s="40">
        <v>0</v>
      </c>
      <c r="H1449" s="40">
        <v>0</v>
      </c>
      <c r="I1449" s="40">
        <v>0</v>
      </c>
      <c r="J1449" s="40">
        <v>0</v>
      </c>
      <c r="K1449" s="40">
        <v>0</v>
      </c>
      <c r="L1449" s="40">
        <v>0</v>
      </c>
      <c r="M1449" s="40" cm="1">
        <f t="array" ref="M1449:N1449">VLOOKUP(B1449,'Fumigation  Room'!B:H,{6,7},0)</f>
        <v>0</v>
      </c>
      <c r="N1449" s="40">
        <v>0</v>
      </c>
      <c r="O1449" s="40">
        <f t="shared" si="45"/>
        <v>0</v>
      </c>
      <c r="P1449" s="40">
        <f t="shared" si="46"/>
        <v>0</v>
      </c>
    </row>
    <row r="1450" spans="1:16" x14ac:dyDescent="0.35">
      <c r="A1450" s="33">
        <v>1447</v>
      </c>
      <c r="B1450" s="34" t="s">
        <v>1819</v>
      </c>
      <c r="C1450" s="33" t="s">
        <v>346</v>
      </c>
      <c r="D1450" s="33" t="s">
        <v>43</v>
      </c>
      <c r="E1450" s="33" t="s">
        <v>1781</v>
      </c>
      <c r="F1450" s="35">
        <v>0.25</v>
      </c>
      <c r="G1450" s="40">
        <v>0</v>
      </c>
      <c r="H1450" s="40">
        <v>0</v>
      </c>
      <c r="I1450" s="40">
        <v>0</v>
      </c>
      <c r="J1450" s="40">
        <v>0</v>
      </c>
      <c r="K1450" s="40">
        <v>0</v>
      </c>
      <c r="L1450" s="40">
        <v>0</v>
      </c>
      <c r="M1450" s="40" cm="1">
        <f t="array" ref="M1450:N1450">VLOOKUP(B1450,'Fumigation  Room'!B:H,{6,7},0)</f>
        <v>0</v>
      </c>
      <c r="N1450" s="40">
        <v>0</v>
      </c>
      <c r="O1450" s="40">
        <f t="shared" si="45"/>
        <v>0</v>
      </c>
      <c r="P1450" s="40">
        <f t="shared" si="46"/>
        <v>0</v>
      </c>
    </row>
    <row r="1451" spans="1:16" x14ac:dyDescent="0.35">
      <c r="A1451" s="33">
        <v>1448</v>
      </c>
      <c r="B1451" s="34" t="s">
        <v>1820</v>
      </c>
      <c r="C1451" s="33" t="s">
        <v>346</v>
      </c>
      <c r="D1451" s="33" t="s">
        <v>43</v>
      </c>
      <c r="E1451" s="33" t="s">
        <v>1781</v>
      </c>
      <c r="F1451" s="35">
        <v>0.125</v>
      </c>
      <c r="G1451" s="40">
        <v>0</v>
      </c>
      <c r="H1451" s="40">
        <v>0</v>
      </c>
      <c r="I1451" s="40">
        <v>0</v>
      </c>
      <c r="J1451" s="40">
        <v>0</v>
      </c>
      <c r="K1451" s="40">
        <v>0</v>
      </c>
      <c r="L1451" s="40">
        <v>0</v>
      </c>
      <c r="M1451" s="40" cm="1">
        <f t="array" ref="M1451:N1451">VLOOKUP(B1451,'Fumigation  Room'!B:H,{6,7},0)</f>
        <v>0</v>
      </c>
      <c r="N1451" s="40">
        <v>0</v>
      </c>
      <c r="O1451" s="40">
        <f t="shared" si="45"/>
        <v>0</v>
      </c>
      <c r="P1451" s="40">
        <f t="shared" si="46"/>
        <v>0</v>
      </c>
    </row>
    <row r="1452" spans="1:16" x14ac:dyDescent="0.35">
      <c r="A1452" s="33">
        <v>1449</v>
      </c>
      <c r="B1452" s="34" t="s">
        <v>1821</v>
      </c>
      <c r="C1452" s="33" t="s">
        <v>346</v>
      </c>
      <c r="D1452" s="33" t="s">
        <v>43</v>
      </c>
      <c r="E1452" s="33" t="s">
        <v>1781</v>
      </c>
      <c r="F1452" s="35">
        <v>0.2</v>
      </c>
      <c r="G1452" s="40">
        <v>0</v>
      </c>
      <c r="H1452" s="40">
        <v>0</v>
      </c>
      <c r="I1452" s="40">
        <v>0</v>
      </c>
      <c r="J1452" s="40">
        <v>0</v>
      </c>
      <c r="K1452" s="40">
        <v>0</v>
      </c>
      <c r="L1452" s="40">
        <v>0</v>
      </c>
      <c r="M1452" s="40" cm="1">
        <f t="array" ref="M1452:N1452">VLOOKUP(B1452,'Fumigation  Room'!B:H,{6,7},0)</f>
        <v>0</v>
      </c>
      <c r="N1452" s="40">
        <v>0</v>
      </c>
      <c r="O1452" s="40">
        <f t="shared" si="45"/>
        <v>0</v>
      </c>
      <c r="P1452" s="40">
        <f t="shared" si="46"/>
        <v>0</v>
      </c>
    </row>
    <row r="1453" spans="1:16" x14ac:dyDescent="0.35">
      <c r="A1453" s="33">
        <v>1450</v>
      </c>
      <c r="B1453" s="34" t="s">
        <v>1822</v>
      </c>
      <c r="C1453" s="33" t="s">
        <v>346</v>
      </c>
      <c r="D1453" s="33" t="s">
        <v>43</v>
      </c>
      <c r="E1453" s="33" t="s">
        <v>1781</v>
      </c>
      <c r="F1453" s="35">
        <v>0.1</v>
      </c>
      <c r="G1453" s="40">
        <v>0</v>
      </c>
      <c r="H1453" s="40">
        <v>0</v>
      </c>
      <c r="I1453" s="40">
        <v>0</v>
      </c>
      <c r="J1453" s="40">
        <v>0</v>
      </c>
      <c r="K1453" s="40">
        <v>0</v>
      </c>
      <c r="L1453" s="40">
        <v>0</v>
      </c>
      <c r="M1453" s="40" cm="1">
        <f t="array" ref="M1453:N1453">VLOOKUP(B1453,'Fumigation  Room'!B:H,{6,7},0)</f>
        <v>0</v>
      </c>
      <c r="N1453" s="40">
        <v>0</v>
      </c>
      <c r="O1453" s="40">
        <f t="shared" si="45"/>
        <v>0</v>
      </c>
      <c r="P1453" s="40">
        <f t="shared" si="46"/>
        <v>0</v>
      </c>
    </row>
    <row r="1454" spans="1:16" x14ac:dyDescent="0.35">
      <c r="A1454" s="33">
        <v>1451</v>
      </c>
      <c r="B1454" s="34" t="s">
        <v>1823</v>
      </c>
      <c r="C1454" s="33" t="s">
        <v>346</v>
      </c>
      <c r="D1454" s="33" t="s">
        <v>43</v>
      </c>
      <c r="E1454" s="33" t="s">
        <v>1781</v>
      </c>
      <c r="F1454" s="35">
        <v>0.125</v>
      </c>
      <c r="G1454" s="40">
        <v>0</v>
      </c>
      <c r="H1454" s="40">
        <v>0</v>
      </c>
      <c r="I1454" s="40">
        <v>0</v>
      </c>
      <c r="J1454" s="40">
        <v>0</v>
      </c>
      <c r="K1454" s="40">
        <v>0</v>
      </c>
      <c r="L1454" s="40">
        <v>0</v>
      </c>
      <c r="M1454" s="40" cm="1">
        <f t="array" ref="M1454:N1454">VLOOKUP(B1454,'Fumigation  Room'!B:H,{6,7},0)</f>
        <v>0</v>
      </c>
      <c r="N1454" s="40">
        <v>0</v>
      </c>
      <c r="O1454" s="40">
        <f t="shared" si="45"/>
        <v>0</v>
      </c>
      <c r="P1454" s="40">
        <f t="shared" si="46"/>
        <v>0</v>
      </c>
    </row>
    <row r="1455" spans="1:16" x14ac:dyDescent="0.35">
      <c r="A1455" s="33">
        <v>1452</v>
      </c>
      <c r="B1455" s="34" t="s">
        <v>1824</v>
      </c>
      <c r="C1455" s="33" t="s">
        <v>346</v>
      </c>
      <c r="D1455" s="33" t="s">
        <v>43</v>
      </c>
      <c r="E1455" s="33" t="s">
        <v>1781</v>
      </c>
      <c r="F1455" s="35">
        <v>1</v>
      </c>
      <c r="G1455" s="40">
        <v>0</v>
      </c>
      <c r="H1455" s="40">
        <v>0</v>
      </c>
      <c r="I1455" s="40">
        <v>0</v>
      </c>
      <c r="J1455" s="40">
        <v>0</v>
      </c>
      <c r="K1455" s="40">
        <v>0</v>
      </c>
      <c r="L1455" s="40">
        <v>0</v>
      </c>
      <c r="M1455" s="40" cm="1">
        <f t="array" ref="M1455:N1455">VLOOKUP(B1455,'Fumigation  Room'!B:H,{6,7},0)</f>
        <v>0</v>
      </c>
      <c r="N1455" s="40">
        <v>0</v>
      </c>
      <c r="O1455" s="40">
        <f t="shared" si="45"/>
        <v>0</v>
      </c>
      <c r="P1455" s="40">
        <f t="shared" si="46"/>
        <v>0</v>
      </c>
    </row>
    <row r="1456" spans="1:16" x14ac:dyDescent="0.35">
      <c r="A1456" s="33">
        <v>1453</v>
      </c>
      <c r="B1456" s="34" t="s">
        <v>1825</v>
      </c>
      <c r="C1456" s="33" t="s">
        <v>346</v>
      </c>
      <c r="D1456" s="33" t="s">
        <v>43</v>
      </c>
      <c r="E1456" s="33" t="s">
        <v>1781</v>
      </c>
      <c r="F1456" s="35">
        <v>1</v>
      </c>
      <c r="G1456" s="40">
        <v>0</v>
      </c>
      <c r="H1456" s="40">
        <v>0</v>
      </c>
      <c r="I1456" s="40">
        <v>0</v>
      </c>
      <c r="J1456" s="40">
        <v>0</v>
      </c>
      <c r="K1456" s="40">
        <v>0</v>
      </c>
      <c r="L1456" s="40">
        <v>0</v>
      </c>
      <c r="M1456" s="40" cm="1">
        <f t="array" ref="M1456:N1456">VLOOKUP(B1456,'Fumigation  Room'!B:H,{6,7},0)</f>
        <v>0</v>
      </c>
      <c r="N1456" s="40">
        <v>0</v>
      </c>
      <c r="O1456" s="40">
        <f t="shared" si="45"/>
        <v>0</v>
      </c>
      <c r="P1456" s="40">
        <f t="shared" si="46"/>
        <v>0</v>
      </c>
    </row>
    <row r="1457" spans="1:16" x14ac:dyDescent="0.35">
      <c r="A1457" s="33">
        <v>1454</v>
      </c>
      <c r="B1457" s="34" t="s">
        <v>1826</v>
      </c>
      <c r="C1457" s="33" t="s">
        <v>346</v>
      </c>
      <c r="D1457" s="33" t="s">
        <v>43</v>
      </c>
      <c r="E1457" s="33" t="s">
        <v>1781</v>
      </c>
      <c r="F1457" s="35">
        <v>0.2</v>
      </c>
      <c r="G1457" s="40">
        <v>0</v>
      </c>
      <c r="H1457" s="40">
        <v>0</v>
      </c>
      <c r="I1457" s="40">
        <v>0</v>
      </c>
      <c r="J1457" s="40">
        <v>0</v>
      </c>
      <c r="K1457" s="40">
        <v>0</v>
      </c>
      <c r="L1457" s="40">
        <v>0</v>
      </c>
      <c r="M1457" s="40" cm="1">
        <f t="array" ref="M1457:N1457">VLOOKUP(B1457,'Fumigation  Room'!B:H,{6,7},0)</f>
        <v>0</v>
      </c>
      <c r="N1457" s="40">
        <v>0</v>
      </c>
      <c r="O1457" s="40">
        <f t="shared" si="45"/>
        <v>0</v>
      </c>
      <c r="P1457" s="40">
        <f t="shared" si="46"/>
        <v>0</v>
      </c>
    </row>
    <row r="1458" spans="1:16" x14ac:dyDescent="0.35">
      <c r="A1458" s="33">
        <v>1455</v>
      </c>
      <c r="B1458" s="34" t="s">
        <v>1827</v>
      </c>
      <c r="C1458" s="33" t="s">
        <v>346</v>
      </c>
      <c r="D1458" s="33" t="s">
        <v>43</v>
      </c>
      <c r="E1458" s="33" t="s">
        <v>1781</v>
      </c>
      <c r="F1458" s="35">
        <v>0.5</v>
      </c>
      <c r="G1458" s="40">
        <v>0</v>
      </c>
      <c r="H1458" s="40">
        <v>0</v>
      </c>
      <c r="I1458" s="40">
        <v>0</v>
      </c>
      <c r="J1458" s="40">
        <v>0</v>
      </c>
      <c r="K1458" s="40">
        <v>0</v>
      </c>
      <c r="L1458" s="40">
        <v>0</v>
      </c>
      <c r="M1458" s="40" cm="1">
        <f t="array" ref="M1458:N1458">VLOOKUP(B1458,'Fumigation  Room'!B:H,{6,7},0)</f>
        <v>0</v>
      </c>
      <c r="N1458" s="40">
        <v>0</v>
      </c>
      <c r="O1458" s="40">
        <f t="shared" si="45"/>
        <v>0</v>
      </c>
      <c r="P1458" s="40">
        <f t="shared" si="46"/>
        <v>0</v>
      </c>
    </row>
    <row r="1459" spans="1:16" x14ac:dyDescent="0.35">
      <c r="A1459" s="33">
        <v>1456</v>
      </c>
      <c r="B1459" s="34" t="s">
        <v>1828</v>
      </c>
      <c r="C1459" s="33" t="s">
        <v>346</v>
      </c>
      <c r="D1459" s="33" t="s">
        <v>43</v>
      </c>
      <c r="E1459" s="33" t="s">
        <v>1781</v>
      </c>
      <c r="F1459" s="35">
        <v>0.1</v>
      </c>
      <c r="G1459" s="40">
        <v>0</v>
      </c>
      <c r="H1459" s="40">
        <v>0</v>
      </c>
      <c r="I1459" s="40">
        <v>0</v>
      </c>
      <c r="J1459" s="40">
        <v>0</v>
      </c>
      <c r="K1459" s="40">
        <v>0</v>
      </c>
      <c r="L1459" s="40">
        <v>0</v>
      </c>
      <c r="M1459" s="40" cm="1">
        <f t="array" ref="M1459:N1459">VLOOKUP(B1459,'Fumigation  Room'!B:H,{6,7},0)</f>
        <v>0</v>
      </c>
      <c r="N1459" s="40">
        <v>0</v>
      </c>
      <c r="O1459" s="40">
        <f t="shared" si="45"/>
        <v>0</v>
      </c>
      <c r="P1459" s="40">
        <f t="shared" si="46"/>
        <v>0</v>
      </c>
    </row>
    <row r="1460" spans="1:16" x14ac:dyDescent="0.35">
      <c r="A1460" s="33">
        <v>1457</v>
      </c>
      <c r="B1460" s="34" t="s">
        <v>1829</v>
      </c>
      <c r="C1460" s="33" t="s">
        <v>346</v>
      </c>
      <c r="D1460" s="33" t="s">
        <v>43</v>
      </c>
      <c r="E1460" s="33" t="s">
        <v>1781</v>
      </c>
      <c r="F1460" s="35">
        <v>7.0000000000000007E-2</v>
      </c>
      <c r="G1460" s="40">
        <v>0</v>
      </c>
      <c r="H1460" s="40">
        <v>0</v>
      </c>
      <c r="I1460" s="40">
        <v>0</v>
      </c>
      <c r="J1460" s="40">
        <v>0</v>
      </c>
      <c r="K1460" s="40">
        <v>0</v>
      </c>
      <c r="L1460" s="40">
        <v>0</v>
      </c>
      <c r="M1460" s="40" cm="1">
        <f t="array" ref="M1460:N1460">VLOOKUP(B1460,'Fumigation  Room'!B:H,{6,7},0)</f>
        <v>0</v>
      </c>
      <c r="N1460" s="40">
        <v>0</v>
      </c>
      <c r="O1460" s="40">
        <f t="shared" si="45"/>
        <v>0</v>
      </c>
      <c r="P1460" s="40">
        <f t="shared" si="46"/>
        <v>0</v>
      </c>
    </row>
    <row r="1461" spans="1:16" x14ac:dyDescent="0.35">
      <c r="A1461" s="33">
        <v>1458</v>
      </c>
      <c r="B1461" s="34" t="s">
        <v>1830</v>
      </c>
      <c r="C1461" s="33" t="s">
        <v>346</v>
      </c>
      <c r="D1461" s="33" t="s">
        <v>43</v>
      </c>
      <c r="E1461" s="33" t="s">
        <v>1781</v>
      </c>
      <c r="F1461" s="35">
        <v>0.23</v>
      </c>
      <c r="G1461" s="40">
        <v>0</v>
      </c>
      <c r="H1461" s="40">
        <v>0</v>
      </c>
      <c r="I1461" s="40">
        <v>0</v>
      </c>
      <c r="J1461" s="40">
        <v>0</v>
      </c>
      <c r="K1461" s="40">
        <v>0</v>
      </c>
      <c r="L1461" s="40">
        <v>0</v>
      </c>
      <c r="M1461" s="40" cm="1">
        <f t="array" ref="M1461:N1461">VLOOKUP(B1461,'Fumigation  Room'!B:H,{6,7},0)</f>
        <v>0</v>
      </c>
      <c r="N1461" s="40">
        <v>0</v>
      </c>
      <c r="O1461" s="40">
        <f t="shared" si="45"/>
        <v>0</v>
      </c>
      <c r="P1461" s="40">
        <f t="shared" si="46"/>
        <v>0</v>
      </c>
    </row>
    <row r="1462" spans="1:16" x14ac:dyDescent="0.35">
      <c r="A1462" s="33">
        <v>1459</v>
      </c>
      <c r="B1462" s="34" t="s">
        <v>1831</v>
      </c>
      <c r="C1462" s="33" t="s">
        <v>346</v>
      </c>
      <c r="D1462" s="33" t="s">
        <v>43</v>
      </c>
      <c r="E1462" s="33" t="s">
        <v>1781</v>
      </c>
      <c r="F1462" s="35">
        <v>0.09</v>
      </c>
      <c r="G1462" s="40">
        <v>0</v>
      </c>
      <c r="H1462" s="40">
        <v>0</v>
      </c>
      <c r="I1462" s="40">
        <v>0</v>
      </c>
      <c r="J1462" s="40">
        <v>0</v>
      </c>
      <c r="K1462" s="40">
        <v>0</v>
      </c>
      <c r="L1462" s="40">
        <v>0</v>
      </c>
      <c r="M1462" s="40" cm="1">
        <f t="array" ref="M1462:N1462">VLOOKUP(B1462,'Fumigation  Room'!B:H,{6,7},0)</f>
        <v>0</v>
      </c>
      <c r="N1462" s="40">
        <v>0</v>
      </c>
      <c r="O1462" s="40">
        <f t="shared" si="45"/>
        <v>0</v>
      </c>
      <c r="P1462" s="40">
        <f t="shared" si="46"/>
        <v>0</v>
      </c>
    </row>
    <row r="1463" spans="1:16" x14ac:dyDescent="0.35">
      <c r="A1463" s="33">
        <v>1460</v>
      </c>
      <c r="B1463" s="34" t="s">
        <v>1832</v>
      </c>
      <c r="C1463" s="33" t="s">
        <v>346</v>
      </c>
      <c r="D1463" s="33" t="s">
        <v>43</v>
      </c>
      <c r="E1463" s="33" t="s">
        <v>1781</v>
      </c>
      <c r="F1463" s="35">
        <v>1</v>
      </c>
      <c r="G1463" s="40">
        <v>0</v>
      </c>
      <c r="H1463" s="40">
        <v>0</v>
      </c>
      <c r="I1463" s="40">
        <v>0</v>
      </c>
      <c r="J1463" s="40">
        <v>0</v>
      </c>
      <c r="K1463" s="40">
        <v>0</v>
      </c>
      <c r="L1463" s="40">
        <v>0</v>
      </c>
      <c r="M1463" s="40" cm="1">
        <f t="array" ref="M1463:N1463">VLOOKUP(B1463,'Fumigation  Room'!B:H,{6,7},0)</f>
        <v>0</v>
      </c>
      <c r="N1463" s="40">
        <v>0</v>
      </c>
      <c r="O1463" s="40">
        <f t="shared" si="45"/>
        <v>0</v>
      </c>
      <c r="P1463" s="40">
        <f t="shared" si="46"/>
        <v>0</v>
      </c>
    </row>
    <row r="1464" spans="1:16" x14ac:dyDescent="0.35">
      <c r="A1464" s="33">
        <v>1461</v>
      </c>
      <c r="B1464" s="34" t="s">
        <v>1833</v>
      </c>
      <c r="C1464" s="33" t="s">
        <v>346</v>
      </c>
      <c r="D1464" s="33" t="s">
        <v>43</v>
      </c>
      <c r="E1464" s="33" t="s">
        <v>1781</v>
      </c>
      <c r="F1464" s="35">
        <v>0.2</v>
      </c>
      <c r="G1464" s="40">
        <v>0</v>
      </c>
      <c r="H1464" s="40">
        <v>0</v>
      </c>
      <c r="I1464" s="40">
        <v>0</v>
      </c>
      <c r="J1464" s="40">
        <v>0</v>
      </c>
      <c r="K1464" s="40">
        <v>0</v>
      </c>
      <c r="L1464" s="40">
        <v>0</v>
      </c>
      <c r="M1464" s="40" cm="1">
        <f t="array" ref="M1464:N1464">VLOOKUP(B1464,'Fumigation  Room'!B:H,{6,7},0)</f>
        <v>0</v>
      </c>
      <c r="N1464" s="40">
        <v>0</v>
      </c>
      <c r="O1464" s="40">
        <f t="shared" si="45"/>
        <v>0</v>
      </c>
      <c r="P1464" s="40">
        <f t="shared" si="46"/>
        <v>0</v>
      </c>
    </row>
    <row r="1465" spans="1:16" x14ac:dyDescent="0.35">
      <c r="A1465" s="33">
        <v>1462</v>
      </c>
      <c r="B1465" s="34" t="s">
        <v>1834</v>
      </c>
      <c r="C1465" s="33" t="s">
        <v>346</v>
      </c>
      <c r="D1465" s="33" t="s">
        <v>43</v>
      </c>
      <c r="E1465" s="33" t="s">
        <v>1781</v>
      </c>
      <c r="F1465" s="35">
        <v>0.5</v>
      </c>
      <c r="G1465" s="40">
        <v>0</v>
      </c>
      <c r="H1465" s="40">
        <v>0</v>
      </c>
      <c r="I1465" s="40">
        <v>0</v>
      </c>
      <c r="J1465" s="40">
        <v>0</v>
      </c>
      <c r="K1465" s="40">
        <v>0</v>
      </c>
      <c r="L1465" s="40">
        <v>0</v>
      </c>
      <c r="M1465" s="40" cm="1">
        <f t="array" ref="M1465:N1465">VLOOKUP(B1465,'Fumigation  Room'!B:H,{6,7},0)</f>
        <v>0</v>
      </c>
      <c r="N1465" s="40">
        <v>0</v>
      </c>
      <c r="O1465" s="40">
        <f t="shared" si="45"/>
        <v>0</v>
      </c>
      <c r="P1465" s="40">
        <f t="shared" si="46"/>
        <v>0</v>
      </c>
    </row>
    <row r="1466" spans="1:16" x14ac:dyDescent="0.35">
      <c r="A1466" s="33">
        <v>1463</v>
      </c>
      <c r="B1466" s="34" t="s">
        <v>1835</v>
      </c>
      <c r="C1466" s="33" t="s">
        <v>346</v>
      </c>
      <c r="D1466" s="33" t="s">
        <v>43</v>
      </c>
      <c r="E1466" s="33" t="s">
        <v>1781</v>
      </c>
      <c r="F1466" s="35">
        <v>0.1</v>
      </c>
      <c r="G1466" s="40">
        <v>0</v>
      </c>
      <c r="H1466" s="40">
        <v>0</v>
      </c>
      <c r="I1466" s="40">
        <v>0</v>
      </c>
      <c r="J1466" s="40">
        <v>0</v>
      </c>
      <c r="K1466" s="40">
        <v>0</v>
      </c>
      <c r="L1466" s="40">
        <v>0</v>
      </c>
      <c r="M1466" s="40" cm="1">
        <f t="array" ref="M1466:N1466">VLOOKUP(B1466,'Fumigation  Room'!B:H,{6,7},0)</f>
        <v>0</v>
      </c>
      <c r="N1466" s="40">
        <v>0</v>
      </c>
      <c r="O1466" s="40">
        <f t="shared" si="45"/>
        <v>0</v>
      </c>
      <c r="P1466" s="40">
        <f t="shared" si="46"/>
        <v>0</v>
      </c>
    </row>
    <row r="1467" spans="1:16" x14ac:dyDescent="0.35">
      <c r="A1467" s="33">
        <v>1464</v>
      </c>
      <c r="B1467" s="34" t="s">
        <v>1836</v>
      </c>
      <c r="C1467" s="33" t="s">
        <v>346</v>
      </c>
      <c r="D1467" s="33" t="s">
        <v>43</v>
      </c>
      <c r="E1467" s="33" t="s">
        <v>1781</v>
      </c>
      <c r="F1467" s="35">
        <v>0.25</v>
      </c>
      <c r="G1467" s="40">
        <v>0</v>
      </c>
      <c r="H1467" s="40">
        <v>0</v>
      </c>
      <c r="I1467" s="40">
        <v>0</v>
      </c>
      <c r="J1467" s="40">
        <v>0</v>
      </c>
      <c r="K1467" s="40">
        <v>0</v>
      </c>
      <c r="L1467" s="40">
        <v>0</v>
      </c>
      <c r="M1467" s="40" cm="1">
        <f t="array" ref="M1467:N1467">VLOOKUP(B1467,'Fumigation  Room'!B:H,{6,7},0)</f>
        <v>0</v>
      </c>
      <c r="N1467" s="40">
        <v>0</v>
      </c>
      <c r="O1467" s="40">
        <f t="shared" si="45"/>
        <v>0</v>
      </c>
      <c r="P1467" s="40">
        <f t="shared" si="46"/>
        <v>0</v>
      </c>
    </row>
    <row r="1468" spans="1:16" x14ac:dyDescent="0.35">
      <c r="A1468" s="33">
        <v>1465</v>
      </c>
      <c r="B1468" s="34" t="s">
        <v>1837</v>
      </c>
      <c r="C1468" s="33" t="s">
        <v>346</v>
      </c>
      <c r="D1468" s="33" t="s">
        <v>43</v>
      </c>
      <c r="E1468" s="33" t="s">
        <v>1781</v>
      </c>
      <c r="F1468" s="35">
        <v>0.5</v>
      </c>
      <c r="G1468" s="40">
        <v>0</v>
      </c>
      <c r="H1468" s="40">
        <v>0</v>
      </c>
      <c r="I1468" s="40">
        <v>0</v>
      </c>
      <c r="J1468" s="40">
        <v>0</v>
      </c>
      <c r="K1468" s="40">
        <v>0</v>
      </c>
      <c r="L1468" s="40">
        <v>0</v>
      </c>
      <c r="M1468" s="40" cm="1">
        <f t="array" ref="M1468:N1468">VLOOKUP(B1468,'Fumigation  Room'!B:H,{6,7},0)</f>
        <v>0</v>
      </c>
      <c r="N1468" s="40">
        <v>0</v>
      </c>
      <c r="O1468" s="40">
        <f t="shared" si="45"/>
        <v>0</v>
      </c>
      <c r="P1468" s="40">
        <f t="shared" si="46"/>
        <v>0</v>
      </c>
    </row>
    <row r="1469" spans="1:16" x14ac:dyDescent="0.35">
      <c r="A1469" s="33">
        <v>1466</v>
      </c>
      <c r="B1469" s="34" t="s">
        <v>1838</v>
      </c>
      <c r="C1469" s="33" t="s">
        <v>346</v>
      </c>
      <c r="D1469" s="33" t="s">
        <v>43</v>
      </c>
      <c r="E1469" s="33" t="s">
        <v>1781</v>
      </c>
      <c r="F1469" s="35">
        <v>1</v>
      </c>
      <c r="G1469" s="40">
        <v>0</v>
      </c>
      <c r="H1469" s="40">
        <v>0</v>
      </c>
      <c r="I1469" s="40">
        <v>0</v>
      </c>
      <c r="J1469" s="40">
        <v>0</v>
      </c>
      <c r="K1469" s="40">
        <v>0</v>
      </c>
      <c r="L1469" s="40">
        <v>0</v>
      </c>
      <c r="M1469" s="40" cm="1">
        <f t="array" ref="M1469:N1469">VLOOKUP(B1469,'Fumigation  Room'!B:H,{6,7},0)</f>
        <v>0</v>
      </c>
      <c r="N1469" s="40">
        <v>0</v>
      </c>
      <c r="O1469" s="40">
        <f t="shared" si="45"/>
        <v>0</v>
      </c>
      <c r="P1469" s="40">
        <f t="shared" si="46"/>
        <v>0</v>
      </c>
    </row>
    <row r="1470" spans="1:16" x14ac:dyDescent="0.35">
      <c r="A1470" s="33">
        <v>1467</v>
      </c>
      <c r="B1470" s="34" t="s">
        <v>1839</v>
      </c>
      <c r="C1470" s="33" t="s">
        <v>346</v>
      </c>
      <c r="D1470" s="33" t="s">
        <v>43</v>
      </c>
      <c r="E1470" s="33" t="s">
        <v>1781</v>
      </c>
      <c r="F1470" s="35">
        <v>1</v>
      </c>
      <c r="G1470" s="40">
        <v>0</v>
      </c>
      <c r="H1470" s="40">
        <v>0</v>
      </c>
      <c r="I1470" s="40">
        <v>0</v>
      </c>
      <c r="J1470" s="40">
        <v>0</v>
      </c>
      <c r="K1470" s="40">
        <v>0</v>
      </c>
      <c r="L1470" s="40">
        <v>0</v>
      </c>
      <c r="M1470" s="40" cm="1">
        <f t="array" ref="M1470:N1470">VLOOKUP(B1470,'Fumigation  Room'!B:H,{6,7},0)</f>
        <v>0</v>
      </c>
      <c r="N1470" s="40">
        <v>0</v>
      </c>
      <c r="O1470" s="40">
        <f t="shared" si="45"/>
        <v>0</v>
      </c>
      <c r="P1470" s="40">
        <f t="shared" si="46"/>
        <v>0</v>
      </c>
    </row>
    <row r="1471" spans="1:16" x14ac:dyDescent="0.35">
      <c r="A1471" s="33">
        <v>1468</v>
      </c>
      <c r="B1471" s="34" t="s">
        <v>1840</v>
      </c>
      <c r="C1471" s="33" t="s">
        <v>346</v>
      </c>
      <c r="D1471" s="33" t="s">
        <v>43</v>
      </c>
      <c r="E1471" s="33" t="s">
        <v>1781</v>
      </c>
      <c r="F1471" s="35">
        <v>1</v>
      </c>
      <c r="G1471" s="40">
        <v>0</v>
      </c>
      <c r="H1471" s="40">
        <v>0</v>
      </c>
      <c r="I1471" s="40">
        <v>0</v>
      </c>
      <c r="J1471" s="40">
        <v>0</v>
      </c>
      <c r="K1471" s="40">
        <v>0</v>
      </c>
      <c r="L1471" s="40">
        <v>0</v>
      </c>
      <c r="M1471" s="40" cm="1">
        <f t="array" ref="M1471:N1471">VLOOKUP(B1471,'Fumigation  Room'!B:H,{6,7},0)</f>
        <v>0</v>
      </c>
      <c r="N1471" s="40">
        <v>0</v>
      </c>
      <c r="O1471" s="40">
        <f t="shared" si="45"/>
        <v>0</v>
      </c>
      <c r="P1471" s="40">
        <f t="shared" si="46"/>
        <v>0</v>
      </c>
    </row>
    <row r="1472" spans="1:16" x14ac:dyDescent="0.35">
      <c r="A1472" s="33">
        <v>1469</v>
      </c>
      <c r="B1472" s="34" t="s">
        <v>1841</v>
      </c>
      <c r="C1472" s="33" t="s">
        <v>346</v>
      </c>
      <c r="D1472" s="33" t="s">
        <v>43</v>
      </c>
      <c r="E1472" s="33" t="s">
        <v>1781</v>
      </c>
      <c r="F1472" s="35">
        <v>1</v>
      </c>
      <c r="G1472" s="40">
        <v>0</v>
      </c>
      <c r="H1472" s="40">
        <v>0</v>
      </c>
      <c r="I1472" s="40">
        <v>0</v>
      </c>
      <c r="J1472" s="40">
        <v>0</v>
      </c>
      <c r="K1472" s="40">
        <v>0</v>
      </c>
      <c r="L1472" s="40">
        <v>0</v>
      </c>
      <c r="M1472" s="40" cm="1">
        <f t="array" ref="M1472:N1472">VLOOKUP(B1472,'Fumigation  Room'!B:H,{6,7},0)</f>
        <v>0</v>
      </c>
      <c r="N1472" s="40">
        <v>0</v>
      </c>
      <c r="O1472" s="40">
        <f t="shared" si="45"/>
        <v>0</v>
      </c>
      <c r="P1472" s="40">
        <f t="shared" si="46"/>
        <v>0</v>
      </c>
    </row>
    <row r="1473" spans="1:16" x14ac:dyDescent="0.35">
      <c r="A1473" s="33">
        <v>1470</v>
      </c>
      <c r="B1473" s="34" t="s">
        <v>1842</v>
      </c>
      <c r="C1473" s="33" t="s">
        <v>346</v>
      </c>
      <c r="D1473" s="33" t="s">
        <v>43</v>
      </c>
      <c r="E1473" s="33" t="s">
        <v>1781</v>
      </c>
      <c r="F1473" s="35">
        <v>0.5</v>
      </c>
      <c r="G1473" s="40">
        <v>0</v>
      </c>
      <c r="H1473" s="40">
        <v>0</v>
      </c>
      <c r="I1473" s="40">
        <v>0</v>
      </c>
      <c r="J1473" s="40">
        <v>0</v>
      </c>
      <c r="K1473" s="40">
        <v>0</v>
      </c>
      <c r="L1473" s="40">
        <v>0</v>
      </c>
      <c r="M1473" s="40" cm="1">
        <f t="array" ref="M1473:N1473">VLOOKUP(B1473,'Fumigation  Room'!B:H,{6,7},0)</f>
        <v>0</v>
      </c>
      <c r="N1473" s="40">
        <v>0</v>
      </c>
      <c r="O1473" s="40">
        <f t="shared" si="45"/>
        <v>0</v>
      </c>
      <c r="P1473" s="40">
        <f t="shared" si="46"/>
        <v>0</v>
      </c>
    </row>
    <row r="1474" spans="1:16" x14ac:dyDescent="0.35">
      <c r="A1474" s="33">
        <v>1471</v>
      </c>
      <c r="B1474" s="34" t="s">
        <v>1843</v>
      </c>
      <c r="C1474" s="33" t="s">
        <v>346</v>
      </c>
      <c r="D1474" s="33" t="s">
        <v>43</v>
      </c>
      <c r="E1474" s="33" t="s">
        <v>1781</v>
      </c>
      <c r="F1474" s="35">
        <v>0.1</v>
      </c>
      <c r="G1474" s="40">
        <v>0</v>
      </c>
      <c r="H1474" s="40">
        <v>0</v>
      </c>
      <c r="I1474" s="40">
        <v>0</v>
      </c>
      <c r="J1474" s="40">
        <v>0</v>
      </c>
      <c r="K1474" s="40">
        <v>0</v>
      </c>
      <c r="L1474" s="40">
        <v>0</v>
      </c>
      <c r="M1474" s="40" cm="1">
        <f t="array" ref="M1474:N1474">VLOOKUP(B1474,'Fumigation  Room'!B:H,{6,7},0)</f>
        <v>0</v>
      </c>
      <c r="N1474" s="40">
        <v>0</v>
      </c>
      <c r="O1474" s="40">
        <f t="shared" si="45"/>
        <v>0</v>
      </c>
      <c r="P1474" s="40">
        <f t="shared" si="46"/>
        <v>0</v>
      </c>
    </row>
    <row r="1475" spans="1:16" x14ac:dyDescent="0.35">
      <c r="A1475" s="33">
        <v>1472</v>
      </c>
      <c r="B1475" s="34" t="s">
        <v>1844</v>
      </c>
      <c r="C1475" s="33" t="s">
        <v>346</v>
      </c>
      <c r="D1475" s="33" t="s">
        <v>43</v>
      </c>
      <c r="E1475" s="33" t="s">
        <v>1781</v>
      </c>
      <c r="F1475" s="35">
        <v>0.2</v>
      </c>
      <c r="G1475" s="40">
        <v>0</v>
      </c>
      <c r="H1475" s="40">
        <v>0</v>
      </c>
      <c r="I1475" s="40">
        <v>0</v>
      </c>
      <c r="J1475" s="40">
        <v>0</v>
      </c>
      <c r="K1475" s="40">
        <v>0</v>
      </c>
      <c r="L1475" s="40">
        <v>0</v>
      </c>
      <c r="M1475" s="40" cm="1">
        <f t="array" ref="M1475:N1475">VLOOKUP(B1475,'Fumigation  Room'!B:H,{6,7},0)</f>
        <v>0</v>
      </c>
      <c r="N1475" s="40">
        <v>0</v>
      </c>
      <c r="O1475" s="40">
        <f t="shared" si="45"/>
        <v>0</v>
      </c>
      <c r="P1475" s="40">
        <f t="shared" si="46"/>
        <v>0</v>
      </c>
    </row>
    <row r="1476" spans="1:16" x14ac:dyDescent="0.35">
      <c r="A1476" s="33">
        <v>1473</v>
      </c>
      <c r="B1476" s="34" t="s">
        <v>1845</v>
      </c>
      <c r="C1476" s="33" t="s">
        <v>346</v>
      </c>
      <c r="D1476" s="33" t="s">
        <v>43</v>
      </c>
      <c r="E1476" s="33" t="s">
        <v>1781</v>
      </c>
      <c r="F1476" s="35">
        <v>0.1</v>
      </c>
      <c r="G1476" s="40">
        <v>0</v>
      </c>
      <c r="H1476" s="40">
        <v>0</v>
      </c>
      <c r="I1476" s="40">
        <v>0</v>
      </c>
      <c r="J1476" s="40">
        <v>0</v>
      </c>
      <c r="K1476" s="40">
        <v>0</v>
      </c>
      <c r="L1476" s="40">
        <v>0</v>
      </c>
      <c r="M1476" s="40" cm="1">
        <f t="array" ref="M1476:N1476">VLOOKUP(B1476,'Fumigation  Room'!B:H,{6,7},0)</f>
        <v>0</v>
      </c>
      <c r="N1476" s="40">
        <v>0</v>
      </c>
      <c r="O1476" s="40">
        <f t="shared" si="45"/>
        <v>0</v>
      </c>
      <c r="P1476" s="40">
        <f t="shared" si="46"/>
        <v>0</v>
      </c>
    </row>
    <row r="1477" spans="1:16" x14ac:dyDescent="0.35">
      <c r="A1477" s="33">
        <v>1474</v>
      </c>
      <c r="B1477" s="34" t="s">
        <v>1846</v>
      </c>
      <c r="C1477" s="33" t="s">
        <v>346</v>
      </c>
      <c r="D1477" s="33" t="s">
        <v>43</v>
      </c>
      <c r="E1477" s="33" t="s">
        <v>1781</v>
      </c>
      <c r="F1477" s="35">
        <v>0.1</v>
      </c>
      <c r="G1477" s="40">
        <v>0</v>
      </c>
      <c r="H1477" s="40">
        <v>0</v>
      </c>
      <c r="I1477" s="40">
        <v>0</v>
      </c>
      <c r="J1477" s="40">
        <v>0</v>
      </c>
      <c r="K1477" s="40">
        <v>0</v>
      </c>
      <c r="L1477" s="40">
        <v>0</v>
      </c>
      <c r="M1477" s="40" cm="1">
        <f t="array" ref="M1477:N1477">VLOOKUP(B1477,'Fumigation  Room'!B:H,{6,7},0)</f>
        <v>0</v>
      </c>
      <c r="N1477" s="40">
        <v>0</v>
      </c>
      <c r="O1477" s="40">
        <f t="shared" ref="O1477:O1540" si="47">G1477+I1477+K1477+M1477</f>
        <v>0</v>
      </c>
      <c r="P1477" s="40">
        <f t="shared" ref="P1477:P1540" si="48">H1477+J1477+L1477+N1477</f>
        <v>0</v>
      </c>
    </row>
    <row r="1478" spans="1:16" x14ac:dyDescent="0.35">
      <c r="A1478" s="33">
        <v>1475</v>
      </c>
      <c r="B1478" s="34" t="s">
        <v>1847</v>
      </c>
      <c r="C1478" s="33" t="s">
        <v>346</v>
      </c>
      <c r="D1478" s="33" t="s">
        <v>43</v>
      </c>
      <c r="E1478" s="33" t="s">
        <v>1781</v>
      </c>
      <c r="F1478" s="35">
        <v>0.25</v>
      </c>
      <c r="G1478" s="40">
        <v>0</v>
      </c>
      <c r="H1478" s="40">
        <v>0</v>
      </c>
      <c r="I1478" s="40">
        <v>0</v>
      </c>
      <c r="J1478" s="40">
        <v>0</v>
      </c>
      <c r="K1478" s="40">
        <v>0</v>
      </c>
      <c r="L1478" s="40">
        <v>0</v>
      </c>
      <c r="M1478" s="40" cm="1">
        <f t="array" ref="M1478:N1478">VLOOKUP(B1478,'Fumigation  Room'!B:H,{6,7},0)</f>
        <v>0</v>
      </c>
      <c r="N1478" s="40">
        <v>0</v>
      </c>
      <c r="O1478" s="40">
        <f t="shared" si="47"/>
        <v>0</v>
      </c>
      <c r="P1478" s="40">
        <f t="shared" si="48"/>
        <v>0</v>
      </c>
    </row>
    <row r="1479" spans="1:16" x14ac:dyDescent="0.35">
      <c r="A1479" s="33">
        <v>1476</v>
      </c>
      <c r="B1479" s="34" t="s">
        <v>1848</v>
      </c>
      <c r="C1479" s="33" t="s">
        <v>346</v>
      </c>
      <c r="D1479" s="33" t="s">
        <v>43</v>
      </c>
      <c r="E1479" s="33" t="s">
        <v>1781</v>
      </c>
      <c r="F1479" s="35">
        <v>0.5</v>
      </c>
      <c r="G1479" s="40">
        <v>0</v>
      </c>
      <c r="H1479" s="40">
        <v>0</v>
      </c>
      <c r="I1479" s="40">
        <v>0</v>
      </c>
      <c r="J1479" s="40">
        <v>0</v>
      </c>
      <c r="K1479" s="40">
        <v>0</v>
      </c>
      <c r="L1479" s="40">
        <v>0</v>
      </c>
      <c r="M1479" s="40" cm="1">
        <f t="array" ref="M1479:N1479">VLOOKUP(B1479,'Fumigation  Room'!B:H,{6,7},0)</f>
        <v>0</v>
      </c>
      <c r="N1479" s="40">
        <v>0</v>
      </c>
      <c r="O1479" s="40">
        <f t="shared" si="47"/>
        <v>0</v>
      </c>
      <c r="P1479" s="40">
        <f t="shared" si="48"/>
        <v>0</v>
      </c>
    </row>
    <row r="1480" spans="1:16" x14ac:dyDescent="0.35">
      <c r="A1480" s="33">
        <v>1477</v>
      </c>
      <c r="B1480" s="34" t="s">
        <v>1849</v>
      </c>
      <c r="C1480" s="33" t="s">
        <v>346</v>
      </c>
      <c r="D1480" s="33" t="s">
        <v>43</v>
      </c>
      <c r="E1480" s="33" t="s">
        <v>1781</v>
      </c>
      <c r="F1480" s="35">
        <v>1</v>
      </c>
      <c r="G1480" s="40">
        <v>0</v>
      </c>
      <c r="H1480" s="40">
        <v>0</v>
      </c>
      <c r="I1480" s="40">
        <v>0</v>
      </c>
      <c r="J1480" s="40">
        <v>0</v>
      </c>
      <c r="K1480" s="40">
        <v>0</v>
      </c>
      <c r="L1480" s="40">
        <v>0</v>
      </c>
      <c r="M1480" s="40" cm="1">
        <f t="array" ref="M1480:N1480">VLOOKUP(B1480,'Fumigation  Room'!B:H,{6,7},0)</f>
        <v>0</v>
      </c>
      <c r="N1480" s="40">
        <v>0</v>
      </c>
      <c r="O1480" s="40">
        <f t="shared" si="47"/>
        <v>0</v>
      </c>
      <c r="P1480" s="40">
        <f t="shared" si="48"/>
        <v>0</v>
      </c>
    </row>
    <row r="1481" spans="1:16" x14ac:dyDescent="0.35">
      <c r="A1481" s="33">
        <v>1478</v>
      </c>
      <c r="B1481" s="34" t="s">
        <v>1850</v>
      </c>
      <c r="C1481" s="33" t="s">
        <v>346</v>
      </c>
      <c r="D1481" s="33" t="s">
        <v>43</v>
      </c>
      <c r="E1481" s="33" t="s">
        <v>1781</v>
      </c>
      <c r="F1481" s="35">
        <v>0.1</v>
      </c>
      <c r="G1481" s="40">
        <v>0</v>
      </c>
      <c r="H1481" s="40">
        <v>0</v>
      </c>
      <c r="I1481" s="40">
        <v>0</v>
      </c>
      <c r="J1481" s="40">
        <v>0</v>
      </c>
      <c r="K1481" s="40">
        <v>0</v>
      </c>
      <c r="L1481" s="40">
        <v>0</v>
      </c>
      <c r="M1481" s="40" cm="1">
        <f t="array" ref="M1481:N1481">VLOOKUP(B1481,'Fumigation  Room'!B:H,{6,7},0)</f>
        <v>0</v>
      </c>
      <c r="N1481" s="40">
        <v>0</v>
      </c>
      <c r="O1481" s="40">
        <f t="shared" si="47"/>
        <v>0</v>
      </c>
      <c r="P1481" s="40">
        <f t="shared" si="48"/>
        <v>0</v>
      </c>
    </row>
    <row r="1482" spans="1:16" x14ac:dyDescent="0.35">
      <c r="A1482" s="33">
        <v>1479</v>
      </c>
      <c r="B1482" s="34" t="s">
        <v>1784</v>
      </c>
      <c r="C1482" s="33" t="s">
        <v>297</v>
      </c>
      <c r="D1482" s="33" t="s">
        <v>43</v>
      </c>
      <c r="E1482" s="33" t="s">
        <v>1785</v>
      </c>
      <c r="F1482" s="35">
        <v>1</v>
      </c>
      <c r="G1482" s="40">
        <v>0</v>
      </c>
      <c r="H1482" s="40">
        <v>0</v>
      </c>
      <c r="I1482" s="40">
        <v>0</v>
      </c>
      <c r="J1482" s="40">
        <v>0</v>
      </c>
      <c r="K1482" s="40">
        <v>0</v>
      </c>
      <c r="L1482" s="40">
        <v>0</v>
      </c>
      <c r="M1482" s="40" cm="1">
        <f t="array" ref="M1482:N1482">VLOOKUP(B1482,'Fumigation  Room'!B:H,{6,7},0)</f>
        <v>0</v>
      </c>
      <c r="N1482" s="40">
        <v>0</v>
      </c>
      <c r="O1482" s="40">
        <f t="shared" si="47"/>
        <v>0</v>
      </c>
      <c r="P1482" s="40">
        <f t="shared" si="48"/>
        <v>0</v>
      </c>
    </row>
    <row r="1483" spans="1:16" x14ac:dyDescent="0.35">
      <c r="A1483" s="33">
        <v>1480</v>
      </c>
      <c r="B1483" s="34" t="s">
        <v>1786</v>
      </c>
      <c r="C1483" s="33" t="s">
        <v>297</v>
      </c>
      <c r="D1483" s="33" t="s">
        <v>43</v>
      </c>
      <c r="E1483" s="33" t="s">
        <v>1785</v>
      </c>
      <c r="F1483" s="35">
        <v>1</v>
      </c>
      <c r="G1483" s="40">
        <v>0</v>
      </c>
      <c r="H1483" s="40">
        <v>0</v>
      </c>
      <c r="I1483" s="40">
        <v>0</v>
      </c>
      <c r="J1483" s="40">
        <v>0</v>
      </c>
      <c r="K1483" s="40">
        <v>0</v>
      </c>
      <c r="L1483" s="40">
        <v>0</v>
      </c>
      <c r="M1483" s="40" cm="1">
        <f t="array" ref="M1483:N1483">VLOOKUP(B1483,'Fumigation  Room'!B:H,{6,7},0)</f>
        <v>0</v>
      </c>
      <c r="N1483" s="40">
        <v>0</v>
      </c>
      <c r="O1483" s="40">
        <f t="shared" si="47"/>
        <v>0</v>
      </c>
      <c r="P1483" s="40">
        <f t="shared" si="48"/>
        <v>0</v>
      </c>
    </row>
    <row r="1484" spans="1:16" x14ac:dyDescent="0.35">
      <c r="A1484" s="33">
        <v>1481</v>
      </c>
      <c r="B1484" s="34" t="s">
        <v>1851</v>
      </c>
      <c r="C1484" s="33" t="s">
        <v>346</v>
      </c>
      <c r="D1484" s="33" t="s">
        <v>43</v>
      </c>
      <c r="E1484" s="33" t="s">
        <v>1785</v>
      </c>
      <c r="F1484" s="35">
        <v>0.3</v>
      </c>
      <c r="G1484" s="40">
        <v>0</v>
      </c>
      <c r="H1484" s="40">
        <v>0</v>
      </c>
      <c r="I1484" s="40">
        <v>0</v>
      </c>
      <c r="J1484" s="40">
        <v>0</v>
      </c>
      <c r="K1484" s="40">
        <v>0</v>
      </c>
      <c r="L1484" s="40">
        <v>0</v>
      </c>
      <c r="M1484" s="40" cm="1">
        <f t="array" ref="M1484:N1484">VLOOKUP(B1484,'Fumigation  Room'!B:H,{6,7},0)</f>
        <v>0</v>
      </c>
      <c r="N1484" s="40">
        <v>0</v>
      </c>
      <c r="O1484" s="40">
        <f t="shared" si="47"/>
        <v>0</v>
      </c>
      <c r="P1484" s="40">
        <f t="shared" si="48"/>
        <v>0</v>
      </c>
    </row>
    <row r="1485" spans="1:16" x14ac:dyDescent="0.35">
      <c r="A1485" s="33">
        <v>1482</v>
      </c>
      <c r="B1485" s="34" t="s">
        <v>1852</v>
      </c>
      <c r="C1485" s="33" t="s">
        <v>346</v>
      </c>
      <c r="D1485" s="33" t="s">
        <v>43</v>
      </c>
      <c r="E1485" s="33" t="s">
        <v>1785</v>
      </c>
      <c r="F1485" s="35">
        <v>0.6</v>
      </c>
      <c r="G1485" s="40">
        <v>0</v>
      </c>
      <c r="H1485" s="40">
        <v>0</v>
      </c>
      <c r="I1485" s="40">
        <v>0</v>
      </c>
      <c r="J1485" s="40">
        <v>0</v>
      </c>
      <c r="K1485" s="40">
        <v>0</v>
      </c>
      <c r="L1485" s="40">
        <v>0</v>
      </c>
      <c r="M1485" s="40" cm="1">
        <f t="array" ref="M1485:N1485">VLOOKUP(B1485,'Fumigation  Room'!B:H,{6,7},0)</f>
        <v>0</v>
      </c>
      <c r="N1485" s="40">
        <v>0</v>
      </c>
      <c r="O1485" s="40">
        <f t="shared" si="47"/>
        <v>0</v>
      </c>
      <c r="P1485" s="40">
        <f t="shared" si="48"/>
        <v>0</v>
      </c>
    </row>
    <row r="1486" spans="1:16" x14ac:dyDescent="0.35">
      <c r="A1486" s="33">
        <v>1483</v>
      </c>
      <c r="B1486" s="34" t="s">
        <v>1853</v>
      </c>
      <c r="C1486" s="33" t="s">
        <v>346</v>
      </c>
      <c r="D1486" s="33" t="s">
        <v>43</v>
      </c>
      <c r="E1486" s="33" t="s">
        <v>1785</v>
      </c>
      <c r="F1486" s="35">
        <v>0.25</v>
      </c>
      <c r="G1486" s="40">
        <v>0</v>
      </c>
      <c r="H1486" s="40">
        <v>0</v>
      </c>
      <c r="I1486" s="40">
        <v>0</v>
      </c>
      <c r="J1486" s="40">
        <v>0</v>
      </c>
      <c r="K1486" s="40">
        <v>0</v>
      </c>
      <c r="L1486" s="40">
        <v>0</v>
      </c>
      <c r="M1486" s="40" cm="1">
        <f t="array" ref="M1486:N1486">VLOOKUP(B1486,'Fumigation  Room'!B:H,{6,7},0)</f>
        <v>0</v>
      </c>
      <c r="N1486" s="40">
        <v>0</v>
      </c>
      <c r="O1486" s="40">
        <f t="shared" si="47"/>
        <v>0</v>
      </c>
      <c r="P1486" s="40">
        <f t="shared" si="48"/>
        <v>0</v>
      </c>
    </row>
    <row r="1487" spans="1:16" x14ac:dyDescent="0.35">
      <c r="A1487" s="33">
        <v>1484</v>
      </c>
      <c r="B1487" s="34" t="s">
        <v>1854</v>
      </c>
      <c r="C1487" s="33" t="s">
        <v>346</v>
      </c>
      <c r="D1487" s="33" t="s">
        <v>43</v>
      </c>
      <c r="E1487" s="33" t="s">
        <v>1785</v>
      </c>
      <c r="F1487" s="35">
        <v>1</v>
      </c>
      <c r="G1487" s="40">
        <v>0</v>
      </c>
      <c r="H1487" s="40">
        <v>0</v>
      </c>
      <c r="I1487" s="40">
        <v>0</v>
      </c>
      <c r="J1487" s="40">
        <v>0</v>
      </c>
      <c r="K1487" s="40">
        <v>0</v>
      </c>
      <c r="L1487" s="40">
        <v>0</v>
      </c>
      <c r="M1487" s="40" cm="1">
        <f t="array" ref="M1487:N1487">VLOOKUP(B1487,'Fumigation  Room'!B:H,{6,7},0)</f>
        <v>0</v>
      </c>
      <c r="N1487" s="40">
        <v>0</v>
      </c>
      <c r="O1487" s="40">
        <f t="shared" si="47"/>
        <v>0</v>
      </c>
      <c r="P1487" s="40">
        <f t="shared" si="48"/>
        <v>0</v>
      </c>
    </row>
    <row r="1488" spans="1:16" x14ac:dyDescent="0.35">
      <c r="A1488" s="33">
        <v>1485</v>
      </c>
      <c r="B1488" s="34" t="s">
        <v>1855</v>
      </c>
      <c r="C1488" s="33" t="s">
        <v>297</v>
      </c>
      <c r="D1488" s="33" t="s">
        <v>66</v>
      </c>
      <c r="E1488" s="33" t="s">
        <v>1856</v>
      </c>
      <c r="F1488" s="35">
        <v>1</v>
      </c>
      <c r="G1488" s="40">
        <v>0</v>
      </c>
      <c r="H1488" s="40">
        <v>0</v>
      </c>
      <c r="I1488" s="40">
        <v>0</v>
      </c>
      <c r="J1488" s="40">
        <v>0</v>
      </c>
      <c r="K1488" s="40">
        <v>0</v>
      </c>
      <c r="L1488" s="40">
        <v>0</v>
      </c>
      <c r="M1488" s="40" cm="1">
        <f t="array" ref="M1488:N1488">VLOOKUP(B1488,'Fumigation  Room'!B:H,{6,7},0)</f>
        <v>0</v>
      </c>
      <c r="N1488" s="40">
        <v>0</v>
      </c>
      <c r="O1488" s="40">
        <f t="shared" si="47"/>
        <v>0</v>
      </c>
      <c r="P1488" s="40">
        <f t="shared" si="48"/>
        <v>0</v>
      </c>
    </row>
    <row r="1489" spans="1:16" x14ac:dyDescent="0.35">
      <c r="A1489" s="33">
        <v>1486</v>
      </c>
      <c r="B1489" s="34" t="s">
        <v>1857</v>
      </c>
      <c r="C1489" s="33" t="s">
        <v>297</v>
      </c>
      <c r="D1489" s="33" t="s">
        <v>66</v>
      </c>
      <c r="E1489" s="33" t="s">
        <v>1856</v>
      </c>
      <c r="F1489" s="35">
        <v>1</v>
      </c>
      <c r="G1489" s="40">
        <v>0</v>
      </c>
      <c r="H1489" s="40">
        <v>0</v>
      </c>
      <c r="I1489" s="40">
        <v>0</v>
      </c>
      <c r="J1489" s="40">
        <v>0</v>
      </c>
      <c r="K1489" s="40">
        <v>0</v>
      </c>
      <c r="L1489" s="40">
        <v>0</v>
      </c>
      <c r="M1489" s="40" cm="1">
        <f t="array" ref="M1489:N1489">VLOOKUP(B1489,'Fumigation  Room'!B:H,{6,7},0)</f>
        <v>0</v>
      </c>
      <c r="N1489" s="40">
        <v>0</v>
      </c>
      <c r="O1489" s="40">
        <f t="shared" si="47"/>
        <v>0</v>
      </c>
      <c r="P1489" s="40">
        <f t="shared" si="48"/>
        <v>0</v>
      </c>
    </row>
    <row r="1490" spans="1:16" x14ac:dyDescent="0.35">
      <c r="A1490" s="33">
        <v>1487</v>
      </c>
      <c r="B1490" s="34" t="s">
        <v>1858</v>
      </c>
      <c r="C1490" s="33" t="s">
        <v>297</v>
      </c>
      <c r="D1490" s="33" t="s">
        <v>66</v>
      </c>
      <c r="E1490" s="33" t="s">
        <v>1856</v>
      </c>
      <c r="F1490" s="35">
        <v>1</v>
      </c>
      <c r="G1490" s="40">
        <v>0</v>
      </c>
      <c r="H1490" s="40">
        <v>0</v>
      </c>
      <c r="I1490" s="40">
        <v>0</v>
      </c>
      <c r="J1490" s="40">
        <v>0</v>
      </c>
      <c r="K1490" s="40">
        <v>0</v>
      </c>
      <c r="L1490" s="40">
        <v>0</v>
      </c>
      <c r="M1490" s="40" cm="1">
        <f t="array" ref="M1490:N1490">VLOOKUP(B1490,'Fumigation  Room'!B:H,{6,7},0)</f>
        <v>0</v>
      </c>
      <c r="N1490" s="40">
        <v>0</v>
      </c>
      <c r="O1490" s="40">
        <f t="shared" si="47"/>
        <v>0</v>
      </c>
      <c r="P1490" s="40">
        <f t="shared" si="48"/>
        <v>0</v>
      </c>
    </row>
    <row r="1491" spans="1:16" x14ac:dyDescent="0.35">
      <c r="A1491" s="33">
        <v>1488</v>
      </c>
      <c r="B1491" s="34" t="s">
        <v>1859</v>
      </c>
      <c r="C1491" s="33" t="s">
        <v>297</v>
      </c>
      <c r="D1491" s="33" t="s">
        <v>66</v>
      </c>
      <c r="E1491" s="33" t="s">
        <v>1856</v>
      </c>
      <c r="F1491" s="35">
        <v>1</v>
      </c>
      <c r="G1491" s="40">
        <v>0</v>
      </c>
      <c r="H1491" s="40">
        <v>0</v>
      </c>
      <c r="I1491" s="40">
        <v>0</v>
      </c>
      <c r="J1491" s="40">
        <v>0</v>
      </c>
      <c r="K1491" s="40">
        <v>0</v>
      </c>
      <c r="L1491" s="40">
        <v>0</v>
      </c>
      <c r="M1491" s="40" cm="1">
        <f t="array" ref="M1491:N1491">VLOOKUP(B1491,'Fumigation  Room'!B:H,{6,7},0)</f>
        <v>0</v>
      </c>
      <c r="N1491" s="40">
        <v>0</v>
      </c>
      <c r="O1491" s="40">
        <f t="shared" si="47"/>
        <v>0</v>
      </c>
      <c r="P1491" s="40">
        <f t="shared" si="48"/>
        <v>0</v>
      </c>
    </row>
    <row r="1492" spans="1:16" x14ac:dyDescent="0.35">
      <c r="A1492" s="33">
        <v>1489</v>
      </c>
      <c r="B1492" s="34" t="s">
        <v>1860</v>
      </c>
      <c r="C1492" s="33" t="s">
        <v>297</v>
      </c>
      <c r="D1492" s="33" t="s">
        <v>66</v>
      </c>
      <c r="E1492" s="33" t="s">
        <v>1856</v>
      </c>
      <c r="F1492" s="35">
        <v>1</v>
      </c>
      <c r="G1492" s="40">
        <v>0</v>
      </c>
      <c r="H1492" s="40">
        <v>0</v>
      </c>
      <c r="I1492" s="40">
        <v>0</v>
      </c>
      <c r="J1492" s="40">
        <v>0</v>
      </c>
      <c r="K1492" s="40">
        <v>0</v>
      </c>
      <c r="L1492" s="40">
        <v>0</v>
      </c>
      <c r="M1492" s="40" cm="1">
        <f t="array" ref="M1492:N1492">VLOOKUP(B1492,'Fumigation  Room'!B:H,{6,7},0)</f>
        <v>0</v>
      </c>
      <c r="N1492" s="40">
        <v>0</v>
      </c>
      <c r="O1492" s="40">
        <f t="shared" si="47"/>
        <v>0</v>
      </c>
      <c r="P1492" s="40">
        <f t="shared" si="48"/>
        <v>0</v>
      </c>
    </row>
    <row r="1493" spans="1:16" x14ac:dyDescent="0.35">
      <c r="A1493" s="33">
        <v>1490</v>
      </c>
      <c r="B1493" s="34" t="s">
        <v>1856</v>
      </c>
      <c r="C1493" s="33" t="s">
        <v>297</v>
      </c>
      <c r="D1493" s="33" t="s">
        <v>66</v>
      </c>
      <c r="E1493" s="33" t="s">
        <v>1856</v>
      </c>
      <c r="F1493" s="35">
        <v>1</v>
      </c>
      <c r="G1493" s="40">
        <v>0</v>
      </c>
      <c r="H1493" s="40">
        <v>0</v>
      </c>
      <c r="I1493" s="40">
        <v>0</v>
      </c>
      <c r="J1493" s="40">
        <v>0</v>
      </c>
      <c r="K1493" s="40">
        <v>0</v>
      </c>
      <c r="L1493" s="40">
        <v>0</v>
      </c>
      <c r="M1493" s="40" cm="1">
        <f t="array" ref="M1493:N1493">VLOOKUP(B1493,'Fumigation  Room'!B:H,{6,7},0)</f>
        <v>0</v>
      </c>
      <c r="N1493" s="40">
        <v>0</v>
      </c>
      <c r="O1493" s="40">
        <f t="shared" si="47"/>
        <v>0</v>
      </c>
      <c r="P1493" s="40">
        <f t="shared" si="48"/>
        <v>0</v>
      </c>
    </row>
    <row r="1494" spans="1:16" x14ac:dyDescent="0.35">
      <c r="A1494" s="33">
        <v>1491</v>
      </c>
      <c r="B1494" s="34" t="s">
        <v>1861</v>
      </c>
      <c r="C1494" s="33" t="s">
        <v>297</v>
      </c>
      <c r="D1494" s="33" t="s">
        <v>61</v>
      </c>
      <c r="E1494" s="33" t="s">
        <v>1861</v>
      </c>
      <c r="F1494" s="35">
        <v>1</v>
      </c>
      <c r="G1494" s="40">
        <v>0</v>
      </c>
      <c r="H1494" s="40">
        <v>0</v>
      </c>
      <c r="I1494" s="40">
        <v>0</v>
      </c>
      <c r="J1494" s="40">
        <v>0</v>
      </c>
      <c r="K1494" s="40">
        <v>0</v>
      </c>
      <c r="L1494" s="40">
        <v>0</v>
      </c>
      <c r="M1494" s="40" cm="1">
        <f t="array" ref="M1494:N1494">VLOOKUP(B1494,'Fumigation  Room'!B:H,{6,7},0)</f>
        <v>0</v>
      </c>
      <c r="N1494" s="40">
        <v>0</v>
      </c>
      <c r="O1494" s="40">
        <f t="shared" si="47"/>
        <v>0</v>
      </c>
      <c r="P1494" s="40">
        <f t="shared" si="48"/>
        <v>0</v>
      </c>
    </row>
    <row r="1495" spans="1:16" x14ac:dyDescent="0.35">
      <c r="A1495" s="33">
        <v>1492</v>
      </c>
      <c r="B1495" s="34" t="s">
        <v>1862</v>
      </c>
      <c r="C1495" s="33" t="s">
        <v>297</v>
      </c>
      <c r="D1495" s="33" t="s">
        <v>61</v>
      </c>
      <c r="E1495" s="33" t="s">
        <v>1863</v>
      </c>
      <c r="F1495" s="35">
        <v>1</v>
      </c>
      <c r="G1495" s="40">
        <v>0</v>
      </c>
      <c r="H1495" s="40">
        <v>0</v>
      </c>
      <c r="I1495" s="40">
        <v>0</v>
      </c>
      <c r="J1495" s="40">
        <v>0</v>
      </c>
      <c r="K1495" s="40">
        <v>0</v>
      </c>
      <c r="L1495" s="40">
        <v>0</v>
      </c>
      <c r="M1495" s="40" cm="1">
        <f t="array" ref="M1495:N1495">VLOOKUP(B1495,'Fumigation  Room'!B:H,{6,7},0)</f>
        <v>0</v>
      </c>
      <c r="N1495" s="40">
        <v>0</v>
      </c>
      <c r="O1495" s="40">
        <f t="shared" si="47"/>
        <v>0</v>
      </c>
      <c r="P1495" s="40">
        <f t="shared" si="48"/>
        <v>0</v>
      </c>
    </row>
    <row r="1496" spans="1:16" x14ac:dyDescent="0.35">
      <c r="A1496" s="33">
        <v>1493</v>
      </c>
      <c r="B1496" s="34" t="s">
        <v>1864</v>
      </c>
      <c r="C1496" s="33" t="s">
        <v>297</v>
      </c>
      <c r="D1496" s="33" t="s">
        <v>61</v>
      </c>
      <c r="E1496" s="33" t="s">
        <v>1863</v>
      </c>
      <c r="F1496" s="35">
        <v>1</v>
      </c>
      <c r="G1496" s="40">
        <v>0</v>
      </c>
      <c r="H1496" s="40">
        <v>0</v>
      </c>
      <c r="I1496" s="40">
        <v>0</v>
      </c>
      <c r="J1496" s="40">
        <v>0</v>
      </c>
      <c r="K1496" s="40">
        <v>0</v>
      </c>
      <c r="L1496" s="40">
        <v>0</v>
      </c>
      <c r="M1496" s="40" cm="1">
        <f t="array" ref="M1496:N1496">VLOOKUP(B1496,'Fumigation  Room'!B:H,{6,7},0)</f>
        <v>0</v>
      </c>
      <c r="N1496" s="40">
        <v>0</v>
      </c>
      <c r="O1496" s="40">
        <f t="shared" si="47"/>
        <v>0</v>
      </c>
      <c r="P1496" s="40">
        <f t="shared" si="48"/>
        <v>0</v>
      </c>
    </row>
    <row r="1497" spans="1:16" x14ac:dyDescent="0.35">
      <c r="A1497" s="33">
        <v>1494</v>
      </c>
      <c r="B1497" s="34" t="s">
        <v>1865</v>
      </c>
      <c r="C1497" s="33" t="s">
        <v>297</v>
      </c>
      <c r="D1497" s="33" t="s">
        <v>61</v>
      </c>
      <c r="E1497" s="33" t="s">
        <v>1863</v>
      </c>
      <c r="F1497" s="35">
        <v>1</v>
      </c>
      <c r="G1497" s="40">
        <v>0</v>
      </c>
      <c r="H1497" s="40">
        <v>0</v>
      </c>
      <c r="I1497" s="40">
        <v>0</v>
      </c>
      <c r="J1497" s="40">
        <v>0</v>
      </c>
      <c r="K1497" s="40">
        <v>0</v>
      </c>
      <c r="L1497" s="40">
        <v>0</v>
      </c>
      <c r="M1497" s="40" cm="1">
        <f t="array" ref="M1497:N1497">VLOOKUP(B1497,'Fumigation  Room'!B:H,{6,7},0)</f>
        <v>0</v>
      </c>
      <c r="N1497" s="40">
        <v>0</v>
      </c>
      <c r="O1497" s="40">
        <f t="shared" si="47"/>
        <v>0</v>
      </c>
      <c r="P1497" s="40">
        <f t="shared" si="48"/>
        <v>0</v>
      </c>
    </row>
    <row r="1498" spans="1:16" x14ac:dyDescent="0.35">
      <c r="A1498" s="33">
        <v>1495</v>
      </c>
      <c r="B1498" s="34" t="s">
        <v>1866</v>
      </c>
      <c r="C1498" s="33" t="s">
        <v>297</v>
      </c>
      <c r="D1498" s="33" t="s">
        <v>61</v>
      </c>
      <c r="E1498" s="33" t="s">
        <v>1863</v>
      </c>
      <c r="F1498" s="35">
        <v>1</v>
      </c>
      <c r="G1498" s="40">
        <v>0</v>
      </c>
      <c r="H1498" s="40">
        <v>0</v>
      </c>
      <c r="I1498" s="40">
        <v>0</v>
      </c>
      <c r="J1498" s="40">
        <v>0</v>
      </c>
      <c r="K1498" s="40">
        <v>0</v>
      </c>
      <c r="L1498" s="40">
        <v>0</v>
      </c>
      <c r="M1498" s="40" cm="1">
        <f t="array" ref="M1498:N1498">VLOOKUP(B1498,'Fumigation  Room'!B:H,{6,7},0)</f>
        <v>0</v>
      </c>
      <c r="N1498" s="40">
        <v>0</v>
      </c>
      <c r="O1498" s="40">
        <f t="shared" si="47"/>
        <v>0</v>
      </c>
      <c r="P1498" s="40">
        <f t="shared" si="48"/>
        <v>0</v>
      </c>
    </row>
    <row r="1499" spans="1:16" x14ac:dyDescent="0.35">
      <c r="A1499" s="33">
        <v>1496</v>
      </c>
      <c r="B1499" s="34" t="s">
        <v>1867</v>
      </c>
      <c r="C1499" s="33" t="s">
        <v>297</v>
      </c>
      <c r="D1499" s="33" t="s">
        <v>61</v>
      </c>
      <c r="E1499" s="33" t="s">
        <v>1863</v>
      </c>
      <c r="F1499" s="35">
        <v>1</v>
      </c>
      <c r="G1499" s="40">
        <v>0</v>
      </c>
      <c r="H1499" s="40">
        <v>0</v>
      </c>
      <c r="I1499" s="40">
        <v>0</v>
      </c>
      <c r="J1499" s="40">
        <v>0</v>
      </c>
      <c r="K1499" s="40">
        <v>0</v>
      </c>
      <c r="L1499" s="40">
        <v>0</v>
      </c>
      <c r="M1499" s="40" cm="1">
        <f t="array" ref="M1499:N1499">VLOOKUP(B1499,'Fumigation  Room'!B:H,{6,7},0)</f>
        <v>0</v>
      </c>
      <c r="N1499" s="40">
        <v>0</v>
      </c>
      <c r="O1499" s="40">
        <f t="shared" si="47"/>
        <v>0</v>
      </c>
      <c r="P1499" s="40">
        <f t="shared" si="48"/>
        <v>0</v>
      </c>
    </row>
    <row r="1500" spans="1:16" x14ac:dyDescent="0.35">
      <c r="A1500" s="33">
        <v>1497</v>
      </c>
      <c r="B1500" s="34" t="s">
        <v>1868</v>
      </c>
      <c r="C1500" s="33" t="s">
        <v>297</v>
      </c>
      <c r="D1500" s="33" t="s">
        <v>61</v>
      </c>
      <c r="E1500" s="33" t="s">
        <v>1863</v>
      </c>
      <c r="F1500" s="35">
        <v>1</v>
      </c>
      <c r="G1500" s="40">
        <v>0</v>
      </c>
      <c r="H1500" s="40">
        <v>0</v>
      </c>
      <c r="I1500" s="40">
        <v>0</v>
      </c>
      <c r="J1500" s="40">
        <v>0</v>
      </c>
      <c r="K1500" s="40">
        <v>0</v>
      </c>
      <c r="L1500" s="40">
        <v>0</v>
      </c>
      <c r="M1500" s="40" cm="1">
        <f t="array" ref="M1500:N1500">VLOOKUP(B1500,'Fumigation  Room'!B:H,{6,7},0)</f>
        <v>0</v>
      </c>
      <c r="N1500" s="40">
        <v>0</v>
      </c>
      <c r="O1500" s="40">
        <f t="shared" si="47"/>
        <v>0</v>
      </c>
      <c r="P1500" s="40">
        <f t="shared" si="48"/>
        <v>0</v>
      </c>
    </row>
    <row r="1501" spans="1:16" x14ac:dyDescent="0.35">
      <c r="A1501" s="33">
        <v>1498</v>
      </c>
      <c r="B1501" s="34" t="s">
        <v>1869</v>
      </c>
      <c r="C1501" s="33" t="s">
        <v>297</v>
      </c>
      <c r="D1501" s="33" t="s">
        <v>61</v>
      </c>
      <c r="E1501" s="33" t="s">
        <v>1863</v>
      </c>
      <c r="F1501" s="35">
        <v>1</v>
      </c>
      <c r="G1501" s="40">
        <v>0</v>
      </c>
      <c r="H1501" s="40">
        <v>0</v>
      </c>
      <c r="I1501" s="40">
        <v>0</v>
      </c>
      <c r="J1501" s="40">
        <v>0</v>
      </c>
      <c r="K1501" s="40">
        <v>0</v>
      </c>
      <c r="L1501" s="40">
        <v>0</v>
      </c>
      <c r="M1501" s="40" cm="1">
        <f t="array" ref="M1501:N1501">VLOOKUP(B1501,'Fumigation  Room'!B:H,{6,7},0)</f>
        <v>0</v>
      </c>
      <c r="N1501" s="40">
        <v>0</v>
      </c>
      <c r="O1501" s="40">
        <f t="shared" si="47"/>
        <v>0</v>
      </c>
      <c r="P1501" s="40">
        <f t="shared" si="48"/>
        <v>0</v>
      </c>
    </row>
    <row r="1502" spans="1:16" x14ac:dyDescent="0.35">
      <c r="A1502" s="33">
        <v>1499</v>
      </c>
      <c r="B1502" s="34" t="s">
        <v>1870</v>
      </c>
      <c r="C1502" s="33" t="s">
        <v>297</v>
      </c>
      <c r="D1502" s="33" t="s">
        <v>61</v>
      </c>
      <c r="E1502" s="33" t="s">
        <v>1863</v>
      </c>
      <c r="F1502" s="35">
        <v>1</v>
      </c>
      <c r="G1502" s="40">
        <v>0</v>
      </c>
      <c r="H1502" s="40">
        <v>0</v>
      </c>
      <c r="I1502" s="40">
        <v>0</v>
      </c>
      <c r="J1502" s="40">
        <v>0</v>
      </c>
      <c r="K1502" s="40">
        <v>0</v>
      </c>
      <c r="L1502" s="40">
        <v>0</v>
      </c>
      <c r="M1502" s="40" cm="1">
        <f t="array" ref="M1502:N1502">VLOOKUP(B1502,'Fumigation  Room'!B:H,{6,7},0)</f>
        <v>0</v>
      </c>
      <c r="N1502" s="40">
        <v>0</v>
      </c>
      <c r="O1502" s="40">
        <f t="shared" si="47"/>
        <v>0</v>
      </c>
      <c r="P1502" s="40">
        <f t="shared" si="48"/>
        <v>0</v>
      </c>
    </row>
    <row r="1503" spans="1:16" x14ac:dyDescent="0.35">
      <c r="A1503" s="33">
        <v>1500</v>
      </c>
      <c r="B1503" s="34" t="s">
        <v>1871</v>
      </c>
      <c r="C1503" s="33" t="s">
        <v>297</v>
      </c>
      <c r="D1503" s="33" t="s">
        <v>61</v>
      </c>
      <c r="E1503" s="33" t="s">
        <v>1863</v>
      </c>
      <c r="F1503" s="35">
        <v>1</v>
      </c>
      <c r="G1503" s="40">
        <v>0</v>
      </c>
      <c r="H1503" s="40">
        <v>0</v>
      </c>
      <c r="I1503" s="40">
        <v>0</v>
      </c>
      <c r="J1503" s="40">
        <v>0</v>
      </c>
      <c r="K1503" s="40">
        <v>0</v>
      </c>
      <c r="L1503" s="40">
        <v>0</v>
      </c>
      <c r="M1503" s="40" cm="1">
        <f t="array" ref="M1503:N1503">VLOOKUP(B1503,'Fumigation  Room'!B:H,{6,7},0)</f>
        <v>0</v>
      </c>
      <c r="N1503" s="40">
        <v>0</v>
      </c>
      <c r="O1503" s="40">
        <f t="shared" si="47"/>
        <v>0</v>
      </c>
      <c r="P1503" s="40">
        <f t="shared" si="48"/>
        <v>0</v>
      </c>
    </row>
    <row r="1504" spans="1:16" x14ac:dyDescent="0.35">
      <c r="A1504" s="33">
        <v>1501</v>
      </c>
      <c r="B1504" s="34" t="s">
        <v>1872</v>
      </c>
      <c r="C1504" s="33" t="s">
        <v>297</v>
      </c>
      <c r="D1504" s="33" t="s">
        <v>61</v>
      </c>
      <c r="E1504" s="33" t="s">
        <v>1863</v>
      </c>
      <c r="F1504" s="35">
        <v>1</v>
      </c>
      <c r="G1504" s="40">
        <v>0</v>
      </c>
      <c r="H1504" s="40">
        <v>0</v>
      </c>
      <c r="I1504" s="40">
        <v>0</v>
      </c>
      <c r="J1504" s="40">
        <v>0</v>
      </c>
      <c r="K1504" s="40">
        <v>0</v>
      </c>
      <c r="L1504" s="40">
        <v>0</v>
      </c>
      <c r="M1504" s="40" cm="1">
        <f t="array" ref="M1504:N1504">VLOOKUP(B1504,'Fumigation  Room'!B:H,{6,7},0)</f>
        <v>0</v>
      </c>
      <c r="N1504" s="40">
        <v>0</v>
      </c>
      <c r="O1504" s="40">
        <f t="shared" si="47"/>
        <v>0</v>
      </c>
      <c r="P1504" s="40">
        <f t="shared" si="48"/>
        <v>0</v>
      </c>
    </row>
    <row r="1505" spans="1:16" x14ac:dyDescent="0.35">
      <c r="A1505" s="33">
        <v>1502</v>
      </c>
      <c r="B1505" s="34" t="s">
        <v>1873</v>
      </c>
      <c r="C1505" s="33" t="s">
        <v>297</v>
      </c>
      <c r="D1505" s="33" t="s">
        <v>61</v>
      </c>
      <c r="E1505" s="33" t="s">
        <v>1863</v>
      </c>
      <c r="F1505" s="35">
        <v>1</v>
      </c>
      <c r="G1505" s="40">
        <v>0</v>
      </c>
      <c r="H1505" s="40">
        <v>0</v>
      </c>
      <c r="I1505" s="40">
        <v>0</v>
      </c>
      <c r="J1505" s="40">
        <v>0</v>
      </c>
      <c r="K1505" s="40">
        <v>0</v>
      </c>
      <c r="L1505" s="40">
        <v>0</v>
      </c>
      <c r="M1505" s="40" cm="1">
        <f t="array" ref="M1505:N1505">VLOOKUP(B1505,'Fumigation  Room'!B:H,{6,7},0)</f>
        <v>0</v>
      </c>
      <c r="N1505" s="40">
        <v>0</v>
      </c>
      <c r="O1505" s="40">
        <f t="shared" si="47"/>
        <v>0</v>
      </c>
      <c r="P1505" s="40">
        <f t="shared" si="48"/>
        <v>0</v>
      </c>
    </row>
    <row r="1506" spans="1:16" x14ac:dyDescent="0.35">
      <c r="A1506" s="33">
        <v>1503</v>
      </c>
      <c r="B1506" s="34" t="s">
        <v>1874</v>
      </c>
      <c r="C1506" s="33" t="s">
        <v>297</v>
      </c>
      <c r="D1506" s="33" t="s">
        <v>61</v>
      </c>
      <c r="E1506" s="33" t="s">
        <v>1863</v>
      </c>
      <c r="F1506" s="35">
        <v>1</v>
      </c>
      <c r="G1506" s="40">
        <v>0</v>
      </c>
      <c r="H1506" s="40">
        <v>0</v>
      </c>
      <c r="I1506" s="40">
        <v>0</v>
      </c>
      <c r="J1506" s="40">
        <v>0</v>
      </c>
      <c r="K1506" s="40">
        <v>0</v>
      </c>
      <c r="L1506" s="40">
        <v>0</v>
      </c>
      <c r="M1506" s="40" cm="1">
        <f t="array" ref="M1506:N1506">VLOOKUP(B1506,'Fumigation  Room'!B:H,{6,7},0)</f>
        <v>0</v>
      </c>
      <c r="N1506" s="40">
        <v>0</v>
      </c>
      <c r="O1506" s="40">
        <f t="shared" si="47"/>
        <v>0</v>
      </c>
      <c r="P1506" s="40">
        <f t="shared" si="48"/>
        <v>0</v>
      </c>
    </row>
    <row r="1507" spans="1:16" x14ac:dyDescent="0.35">
      <c r="A1507" s="33">
        <v>1504</v>
      </c>
      <c r="B1507" s="34" t="s">
        <v>175</v>
      </c>
      <c r="C1507" s="33" t="s">
        <v>297</v>
      </c>
      <c r="D1507" s="33" t="s">
        <v>61</v>
      </c>
      <c r="E1507" s="33" t="s">
        <v>1863</v>
      </c>
      <c r="F1507" s="35">
        <v>1</v>
      </c>
      <c r="G1507" s="40">
        <v>0</v>
      </c>
      <c r="H1507" s="40">
        <v>0</v>
      </c>
      <c r="I1507" s="40">
        <v>0</v>
      </c>
      <c r="J1507" s="40">
        <v>0</v>
      </c>
      <c r="K1507" s="40">
        <v>0</v>
      </c>
      <c r="L1507" s="40">
        <v>0</v>
      </c>
      <c r="M1507" s="40" cm="1">
        <f t="array" ref="M1507:N1507">VLOOKUP(B1507,'Fumigation  Room'!B:H,{6,7},0)</f>
        <v>0</v>
      </c>
      <c r="N1507" s="40">
        <v>0</v>
      </c>
      <c r="O1507" s="40">
        <f t="shared" si="47"/>
        <v>0</v>
      </c>
      <c r="P1507" s="40">
        <f t="shared" si="48"/>
        <v>0</v>
      </c>
    </row>
    <row r="1508" spans="1:16" x14ac:dyDescent="0.35">
      <c r="A1508" s="33">
        <v>1505</v>
      </c>
      <c r="B1508" s="34" t="s">
        <v>1875</v>
      </c>
      <c r="C1508" s="33" t="s">
        <v>297</v>
      </c>
      <c r="D1508" s="33" t="s">
        <v>61</v>
      </c>
      <c r="E1508" s="33" t="s">
        <v>1863</v>
      </c>
      <c r="F1508" s="35">
        <v>1</v>
      </c>
      <c r="G1508" s="40">
        <v>0</v>
      </c>
      <c r="H1508" s="40">
        <v>0</v>
      </c>
      <c r="I1508" s="40">
        <v>0</v>
      </c>
      <c r="J1508" s="40">
        <v>0</v>
      </c>
      <c r="K1508" s="40">
        <v>0</v>
      </c>
      <c r="L1508" s="40">
        <v>0</v>
      </c>
      <c r="M1508" s="40" cm="1">
        <f t="array" ref="M1508:N1508">VLOOKUP(B1508,'Fumigation  Room'!B:H,{6,7},0)</f>
        <v>0</v>
      </c>
      <c r="N1508" s="40">
        <v>0</v>
      </c>
      <c r="O1508" s="40">
        <f t="shared" si="47"/>
        <v>0</v>
      </c>
      <c r="P1508" s="40">
        <f t="shared" si="48"/>
        <v>0</v>
      </c>
    </row>
    <row r="1509" spans="1:16" x14ac:dyDescent="0.35">
      <c r="A1509" s="33">
        <v>1506</v>
      </c>
      <c r="B1509" s="34" t="s">
        <v>1876</v>
      </c>
      <c r="C1509" s="33" t="s">
        <v>297</v>
      </c>
      <c r="D1509" s="33" t="s">
        <v>61</v>
      </c>
      <c r="E1509" s="33" t="s">
        <v>1863</v>
      </c>
      <c r="F1509" s="35">
        <v>1</v>
      </c>
      <c r="G1509" s="40">
        <v>0</v>
      </c>
      <c r="H1509" s="40">
        <v>0</v>
      </c>
      <c r="I1509" s="40">
        <v>0</v>
      </c>
      <c r="J1509" s="40">
        <v>0</v>
      </c>
      <c r="K1509" s="40">
        <v>0</v>
      </c>
      <c r="L1509" s="40">
        <v>0</v>
      </c>
      <c r="M1509" s="40" cm="1">
        <f t="array" ref="M1509:N1509">VLOOKUP(B1509,'Fumigation  Room'!B:H,{6,7},0)</f>
        <v>0</v>
      </c>
      <c r="N1509" s="40">
        <v>0</v>
      </c>
      <c r="O1509" s="40">
        <f t="shared" si="47"/>
        <v>0</v>
      </c>
      <c r="P1509" s="40">
        <f t="shared" si="48"/>
        <v>0</v>
      </c>
    </row>
    <row r="1510" spans="1:16" x14ac:dyDescent="0.35">
      <c r="A1510" s="33">
        <v>1507</v>
      </c>
      <c r="B1510" s="34" t="s">
        <v>1877</v>
      </c>
      <c r="C1510" s="33" t="s">
        <v>297</v>
      </c>
      <c r="D1510" s="33" t="s">
        <v>61</v>
      </c>
      <c r="E1510" s="33" t="s">
        <v>1863</v>
      </c>
      <c r="F1510" s="35">
        <v>1</v>
      </c>
      <c r="G1510" s="40">
        <v>0</v>
      </c>
      <c r="H1510" s="40">
        <v>0</v>
      </c>
      <c r="I1510" s="40">
        <v>0</v>
      </c>
      <c r="J1510" s="40">
        <v>0</v>
      </c>
      <c r="K1510" s="40">
        <v>0</v>
      </c>
      <c r="L1510" s="40">
        <v>0</v>
      </c>
      <c r="M1510" s="40" cm="1">
        <f t="array" ref="M1510:N1510">VLOOKUP(B1510,'Fumigation  Room'!B:H,{6,7},0)</f>
        <v>0</v>
      </c>
      <c r="N1510" s="40">
        <v>0</v>
      </c>
      <c r="O1510" s="40">
        <f t="shared" si="47"/>
        <v>0</v>
      </c>
      <c r="P1510" s="40">
        <f t="shared" si="48"/>
        <v>0</v>
      </c>
    </row>
    <row r="1511" spans="1:16" x14ac:dyDescent="0.35">
      <c r="A1511" s="33">
        <v>1508</v>
      </c>
      <c r="B1511" s="34" t="s">
        <v>1878</v>
      </c>
      <c r="C1511" s="33" t="s">
        <v>297</v>
      </c>
      <c r="D1511" s="33" t="s">
        <v>61</v>
      </c>
      <c r="E1511" s="33" t="s">
        <v>1863</v>
      </c>
      <c r="F1511" s="35">
        <v>1</v>
      </c>
      <c r="G1511" s="40">
        <v>0</v>
      </c>
      <c r="H1511" s="40">
        <v>0</v>
      </c>
      <c r="I1511" s="40">
        <v>0</v>
      </c>
      <c r="J1511" s="40">
        <v>0</v>
      </c>
      <c r="K1511" s="40">
        <v>0</v>
      </c>
      <c r="L1511" s="40">
        <v>0</v>
      </c>
      <c r="M1511" s="40" cm="1">
        <f t="array" ref="M1511:N1511">VLOOKUP(B1511,'Fumigation  Room'!B:H,{6,7},0)</f>
        <v>0</v>
      </c>
      <c r="N1511" s="40">
        <v>0</v>
      </c>
      <c r="O1511" s="40">
        <f t="shared" si="47"/>
        <v>0</v>
      </c>
      <c r="P1511" s="40">
        <f t="shared" si="48"/>
        <v>0</v>
      </c>
    </row>
    <row r="1512" spans="1:16" x14ac:dyDescent="0.35">
      <c r="A1512" s="33">
        <v>1509</v>
      </c>
      <c r="B1512" s="34" t="s">
        <v>1879</v>
      </c>
      <c r="C1512" s="33" t="s">
        <v>297</v>
      </c>
      <c r="D1512" s="33" t="s">
        <v>61</v>
      </c>
      <c r="E1512" s="33" t="s">
        <v>1863</v>
      </c>
      <c r="F1512" s="35">
        <v>1</v>
      </c>
      <c r="G1512" s="40">
        <v>0</v>
      </c>
      <c r="H1512" s="40">
        <v>0</v>
      </c>
      <c r="I1512" s="40">
        <v>0</v>
      </c>
      <c r="J1512" s="40">
        <v>0</v>
      </c>
      <c r="K1512" s="40">
        <v>0</v>
      </c>
      <c r="L1512" s="40">
        <v>0</v>
      </c>
      <c r="M1512" s="40" cm="1">
        <f t="array" ref="M1512:N1512">VLOOKUP(B1512,'Fumigation  Room'!B:H,{6,7},0)</f>
        <v>0</v>
      </c>
      <c r="N1512" s="40">
        <v>0</v>
      </c>
      <c r="O1512" s="40">
        <f t="shared" si="47"/>
        <v>0</v>
      </c>
      <c r="P1512" s="40">
        <f t="shared" si="48"/>
        <v>0</v>
      </c>
    </row>
    <row r="1513" spans="1:16" x14ac:dyDescent="0.35">
      <c r="A1513" s="33">
        <v>1510</v>
      </c>
      <c r="B1513" s="34" t="s">
        <v>1880</v>
      </c>
      <c r="C1513" s="33" t="s">
        <v>297</v>
      </c>
      <c r="D1513" s="33" t="s">
        <v>61</v>
      </c>
      <c r="E1513" s="33" t="s">
        <v>1863</v>
      </c>
      <c r="F1513" s="35">
        <v>1</v>
      </c>
      <c r="G1513" s="40">
        <v>0</v>
      </c>
      <c r="H1513" s="40">
        <v>0</v>
      </c>
      <c r="I1513" s="40">
        <v>0</v>
      </c>
      <c r="J1513" s="40">
        <v>0</v>
      </c>
      <c r="K1513" s="40">
        <v>0</v>
      </c>
      <c r="L1513" s="40">
        <v>0</v>
      </c>
      <c r="M1513" s="40" cm="1">
        <f t="array" ref="M1513:N1513">VLOOKUP(B1513,'Fumigation  Room'!B:H,{6,7},0)</f>
        <v>0</v>
      </c>
      <c r="N1513" s="40">
        <v>0</v>
      </c>
      <c r="O1513" s="40">
        <f t="shared" si="47"/>
        <v>0</v>
      </c>
      <c r="P1513" s="40">
        <f t="shared" si="48"/>
        <v>0</v>
      </c>
    </row>
    <row r="1514" spans="1:16" x14ac:dyDescent="0.35">
      <c r="A1514" s="33">
        <v>1511</v>
      </c>
      <c r="B1514" s="34" t="s">
        <v>1881</v>
      </c>
      <c r="C1514" s="33" t="s">
        <v>297</v>
      </c>
      <c r="D1514" s="33" t="s">
        <v>61</v>
      </c>
      <c r="E1514" s="33" t="s">
        <v>1863</v>
      </c>
      <c r="F1514" s="35">
        <v>1</v>
      </c>
      <c r="G1514" s="40">
        <v>0</v>
      </c>
      <c r="H1514" s="40">
        <v>0</v>
      </c>
      <c r="I1514" s="40">
        <v>0</v>
      </c>
      <c r="J1514" s="40">
        <v>0</v>
      </c>
      <c r="K1514" s="40">
        <v>0</v>
      </c>
      <c r="L1514" s="40">
        <v>0</v>
      </c>
      <c r="M1514" s="40" cm="1">
        <f t="array" ref="M1514:N1514">VLOOKUP(B1514,'Fumigation  Room'!B:H,{6,7},0)</f>
        <v>0</v>
      </c>
      <c r="N1514" s="40">
        <v>0</v>
      </c>
      <c r="O1514" s="40">
        <f t="shared" si="47"/>
        <v>0</v>
      </c>
      <c r="P1514" s="40">
        <f t="shared" si="48"/>
        <v>0</v>
      </c>
    </row>
    <row r="1515" spans="1:16" x14ac:dyDescent="0.35">
      <c r="A1515" s="33">
        <v>1512</v>
      </c>
      <c r="B1515" s="34" t="s">
        <v>1882</v>
      </c>
      <c r="C1515" s="33" t="s">
        <v>297</v>
      </c>
      <c r="D1515" s="33" t="s">
        <v>61</v>
      </c>
      <c r="E1515" s="33" t="s">
        <v>1863</v>
      </c>
      <c r="F1515" s="35">
        <v>1</v>
      </c>
      <c r="G1515" s="40">
        <v>0</v>
      </c>
      <c r="H1515" s="40">
        <v>0</v>
      </c>
      <c r="I1515" s="40">
        <v>0</v>
      </c>
      <c r="J1515" s="40">
        <v>0</v>
      </c>
      <c r="K1515" s="40">
        <v>0</v>
      </c>
      <c r="L1515" s="40">
        <v>0</v>
      </c>
      <c r="M1515" s="40" cm="1">
        <f t="array" ref="M1515:N1515">VLOOKUP(B1515,'Fumigation  Room'!B:H,{6,7},0)</f>
        <v>0</v>
      </c>
      <c r="N1515" s="40">
        <v>0</v>
      </c>
      <c r="O1515" s="40">
        <f t="shared" si="47"/>
        <v>0</v>
      </c>
      <c r="P1515" s="40">
        <f t="shared" si="48"/>
        <v>0</v>
      </c>
    </row>
    <row r="1516" spans="1:16" x14ac:dyDescent="0.35">
      <c r="A1516" s="33">
        <v>1513</v>
      </c>
      <c r="B1516" s="34" t="s">
        <v>1883</v>
      </c>
      <c r="C1516" s="33" t="s">
        <v>297</v>
      </c>
      <c r="D1516" s="33" t="s">
        <v>61</v>
      </c>
      <c r="E1516" s="33" t="s">
        <v>1863</v>
      </c>
      <c r="F1516" s="35">
        <v>1</v>
      </c>
      <c r="G1516" s="40">
        <v>0</v>
      </c>
      <c r="H1516" s="40">
        <v>0</v>
      </c>
      <c r="I1516" s="40">
        <v>0</v>
      </c>
      <c r="J1516" s="40">
        <v>0</v>
      </c>
      <c r="K1516" s="40">
        <v>0</v>
      </c>
      <c r="L1516" s="40">
        <v>0</v>
      </c>
      <c r="M1516" s="40" cm="1">
        <f t="array" ref="M1516:N1516">VLOOKUP(B1516,'Fumigation  Room'!B:H,{6,7},0)</f>
        <v>0</v>
      </c>
      <c r="N1516" s="40">
        <v>0</v>
      </c>
      <c r="O1516" s="40">
        <f t="shared" si="47"/>
        <v>0</v>
      </c>
      <c r="P1516" s="40">
        <f t="shared" si="48"/>
        <v>0</v>
      </c>
    </row>
    <row r="1517" spans="1:16" x14ac:dyDescent="0.35">
      <c r="A1517" s="33">
        <v>1514</v>
      </c>
      <c r="B1517" s="34" t="s">
        <v>1884</v>
      </c>
      <c r="C1517" s="33" t="s">
        <v>297</v>
      </c>
      <c r="D1517" s="33" t="s">
        <v>61</v>
      </c>
      <c r="E1517" s="33" t="s">
        <v>1863</v>
      </c>
      <c r="F1517" s="35">
        <v>1</v>
      </c>
      <c r="G1517" s="40">
        <v>0</v>
      </c>
      <c r="H1517" s="40">
        <v>0</v>
      </c>
      <c r="I1517" s="40">
        <v>0</v>
      </c>
      <c r="J1517" s="40">
        <v>0</v>
      </c>
      <c r="K1517" s="40">
        <v>0</v>
      </c>
      <c r="L1517" s="40">
        <v>0</v>
      </c>
      <c r="M1517" s="40" cm="1">
        <f t="array" ref="M1517:N1517">VLOOKUP(B1517,'Fumigation  Room'!B:H,{6,7},0)</f>
        <v>0</v>
      </c>
      <c r="N1517" s="40">
        <v>0</v>
      </c>
      <c r="O1517" s="40">
        <f t="shared" si="47"/>
        <v>0</v>
      </c>
      <c r="P1517" s="40">
        <f t="shared" si="48"/>
        <v>0</v>
      </c>
    </row>
    <row r="1518" spans="1:16" x14ac:dyDescent="0.35">
      <c r="A1518" s="33">
        <v>1515</v>
      </c>
      <c r="B1518" s="34" t="s">
        <v>1885</v>
      </c>
      <c r="C1518" s="33" t="s">
        <v>297</v>
      </c>
      <c r="D1518" s="33" t="s">
        <v>61</v>
      </c>
      <c r="E1518" s="33" t="s">
        <v>1863</v>
      </c>
      <c r="F1518" s="35">
        <v>1</v>
      </c>
      <c r="G1518" s="40">
        <v>0</v>
      </c>
      <c r="H1518" s="40">
        <v>0</v>
      </c>
      <c r="I1518" s="40">
        <v>0</v>
      </c>
      <c r="J1518" s="40">
        <v>0</v>
      </c>
      <c r="K1518" s="40">
        <v>0</v>
      </c>
      <c r="L1518" s="40">
        <v>0</v>
      </c>
      <c r="M1518" s="40" cm="1">
        <f t="array" ref="M1518:N1518">VLOOKUP(B1518,'Fumigation  Room'!B:H,{6,7},0)</f>
        <v>0</v>
      </c>
      <c r="N1518" s="40">
        <v>0</v>
      </c>
      <c r="O1518" s="40">
        <f t="shared" si="47"/>
        <v>0</v>
      </c>
      <c r="P1518" s="40">
        <f t="shared" si="48"/>
        <v>0</v>
      </c>
    </row>
    <row r="1519" spans="1:16" x14ac:dyDescent="0.35">
      <c r="A1519" s="33">
        <v>1516</v>
      </c>
      <c r="B1519" s="34" t="s">
        <v>1886</v>
      </c>
      <c r="C1519" s="33" t="s">
        <v>297</v>
      </c>
      <c r="D1519" s="33" t="s">
        <v>61</v>
      </c>
      <c r="E1519" s="33" t="s">
        <v>1863</v>
      </c>
      <c r="F1519" s="35">
        <v>1</v>
      </c>
      <c r="G1519" s="40">
        <v>0</v>
      </c>
      <c r="H1519" s="40">
        <v>0</v>
      </c>
      <c r="I1519" s="40">
        <v>0</v>
      </c>
      <c r="J1519" s="40">
        <v>0</v>
      </c>
      <c r="K1519" s="40">
        <v>0</v>
      </c>
      <c r="L1519" s="40">
        <v>0</v>
      </c>
      <c r="M1519" s="40" cm="1">
        <f t="array" ref="M1519:N1519">VLOOKUP(B1519,'Fumigation  Room'!B:H,{6,7},0)</f>
        <v>0</v>
      </c>
      <c r="N1519" s="40">
        <v>0</v>
      </c>
      <c r="O1519" s="40">
        <f t="shared" si="47"/>
        <v>0</v>
      </c>
      <c r="P1519" s="40">
        <f t="shared" si="48"/>
        <v>0</v>
      </c>
    </row>
    <row r="1520" spans="1:16" x14ac:dyDescent="0.35">
      <c r="A1520" s="33">
        <v>1517</v>
      </c>
      <c r="B1520" s="34" t="s">
        <v>1887</v>
      </c>
      <c r="C1520" s="33" t="s">
        <v>297</v>
      </c>
      <c r="D1520" s="33" t="s">
        <v>61</v>
      </c>
      <c r="E1520" s="33" t="s">
        <v>1863</v>
      </c>
      <c r="F1520" s="35">
        <v>1</v>
      </c>
      <c r="G1520" s="40">
        <v>0</v>
      </c>
      <c r="H1520" s="40">
        <v>0</v>
      </c>
      <c r="I1520" s="40">
        <v>0</v>
      </c>
      <c r="J1520" s="40">
        <v>0</v>
      </c>
      <c r="K1520" s="40">
        <v>0</v>
      </c>
      <c r="L1520" s="40">
        <v>0</v>
      </c>
      <c r="M1520" s="40" cm="1">
        <f t="array" ref="M1520:N1520">VLOOKUP(B1520,'Fumigation  Room'!B:H,{6,7},0)</f>
        <v>0</v>
      </c>
      <c r="N1520" s="40">
        <v>0</v>
      </c>
      <c r="O1520" s="40">
        <f t="shared" si="47"/>
        <v>0</v>
      </c>
      <c r="P1520" s="40">
        <f t="shared" si="48"/>
        <v>0</v>
      </c>
    </row>
    <row r="1521" spans="1:16" x14ac:dyDescent="0.35">
      <c r="A1521" s="33">
        <v>1518</v>
      </c>
      <c r="B1521" s="34" t="s">
        <v>1888</v>
      </c>
      <c r="C1521" s="33" t="s">
        <v>297</v>
      </c>
      <c r="D1521" s="33" t="s">
        <v>61</v>
      </c>
      <c r="E1521" s="33" t="s">
        <v>1863</v>
      </c>
      <c r="F1521" s="35">
        <v>1</v>
      </c>
      <c r="G1521" s="40">
        <v>0</v>
      </c>
      <c r="H1521" s="40">
        <v>0</v>
      </c>
      <c r="I1521" s="40">
        <v>0</v>
      </c>
      <c r="J1521" s="40">
        <v>0</v>
      </c>
      <c r="K1521" s="40">
        <v>0</v>
      </c>
      <c r="L1521" s="40">
        <v>0</v>
      </c>
      <c r="M1521" s="40" cm="1">
        <f t="array" ref="M1521:N1521">VLOOKUP(B1521,'Fumigation  Room'!B:H,{6,7},0)</f>
        <v>0</v>
      </c>
      <c r="N1521" s="40">
        <v>0</v>
      </c>
      <c r="O1521" s="40">
        <f t="shared" si="47"/>
        <v>0</v>
      </c>
      <c r="P1521" s="40">
        <f t="shared" si="48"/>
        <v>0</v>
      </c>
    </row>
    <row r="1522" spans="1:16" x14ac:dyDescent="0.35">
      <c r="A1522" s="33">
        <v>1519</v>
      </c>
      <c r="B1522" s="34" t="s">
        <v>1889</v>
      </c>
      <c r="C1522" s="33" t="s">
        <v>297</v>
      </c>
      <c r="D1522" s="33" t="s">
        <v>61</v>
      </c>
      <c r="E1522" s="33" t="s">
        <v>1863</v>
      </c>
      <c r="F1522" s="35">
        <v>1</v>
      </c>
      <c r="G1522" s="40">
        <v>0</v>
      </c>
      <c r="H1522" s="40">
        <v>0</v>
      </c>
      <c r="I1522" s="40">
        <v>0</v>
      </c>
      <c r="J1522" s="40">
        <v>0</v>
      </c>
      <c r="K1522" s="40">
        <v>0</v>
      </c>
      <c r="L1522" s="40">
        <v>0</v>
      </c>
      <c r="M1522" s="40" cm="1">
        <f t="array" ref="M1522:N1522">VLOOKUP(B1522,'Fumigation  Room'!B:H,{6,7},0)</f>
        <v>0</v>
      </c>
      <c r="N1522" s="40">
        <v>0</v>
      </c>
      <c r="O1522" s="40">
        <f t="shared" si="47"/>
        <v>0</v>
      </c>
      <c r="P1522" s="40">
        <f t="shared" si="48"/>
        <v>0</v>
      </c>
    </row>
    <row r="1523" spans="1:16" x14ac:dyDescent="0.35">
      <c r="A1523" s="33">
        <v>1520</v>
      </c>
      <c r="B1523" s="34" t="s">
        <v>1890</v>
      </c>
      <c r="C1523" s="33" t="s">
        <v>297</v>
      </c>
      <c r="D1523" s="33" t="s">
        <v>61</v>
      </c>
      <c r="E1523" s="33" t="s">
        <v>1863</v>
      </c>
      <c r="F1523" s="35">
        <v>1</v>
      </c>
      <c r="G1523" s="40">
        <v>0</v>
      </c>
      <c r="H1523" s="40">
        <v>0</v>
      </c>
      <c r="I1523" s="40">
        <v>0</v>
      </c>
      <c r="J1523" s="40">
        <v>0</v>
      </c>
      <c r="K1523" s="40">
        <v>0</v>
      </c>
      <c r="L1523" s="40">
        <v>0</v>
      </c>
      <c r="M1523" s="40" cm="1">
        <f t="array" ref="M1523:N1523">VLOOKUP(B1523,'Fumigation  Room'!B:H,{6,7},0)</f>
        <v>0</v>
      </c>
      <c r="N1523" s="40">
        <v>0</v>
      </c>
      <c r="O1523" s="40">
        <f t="shared" si="47"/>
        <v>0</v>
      </c>
      <c r="P1523" s="40">
        <f t="shared" si="48"/>
        <v>0</v>
      </c>
    </row>
    <row r="1524" spans="1:16" x14ac:dyDescent="0.35">
      <c r="A1524" s="33">
        <v>1521</v>
      </c>
      <c r="B1524" s="34" t="s">
        <v>1891</v>
      </c>
      <c r="C1524" s="33" t="s">
        <v>297</v>
      </c>
      <c r="D1524" s="33" t="s">
        <v>61</v>
      </c>
      <c r="E1524" s="33" t="s">
        <v>1863</v>
      </c>
      <c r="F1524" s="35">
        <v>1</v>
      </c>
      <c r="G1524" s="40">
        <v>0</v>
      </c>
      <c r="H1524" s="40">
        <v>0</v>
      </c>
      <c r="I1524" s="40">
        <v>0</v>
      </c>
      <c r="J1524" s="40">
        <v>0</v>
      </c>
      <c r="K1524" s="40">
        <v>0</v>
      </c>
      <c r="L1524" s="40">
        <v>0</v>
      </c>
      <c r="M1524" s="40" cm="1">
        <f t="array" ref="M1524:N1524">VLOOKUP(B1524,'Fumigation  Room'!B:H,{6,7},0)</f>
        <v>0</v>
      </c>
      <c r="N1524" s="40">
        <v>0</v>
      </c>
      <c r="O1524" s="40">
        <f t="shared" si="47"/>
        <v>0</v>
      </c>
      <c r="P1524" s="40">
        <f t="shared" si="48"/>
        <v>0</v>
      </c>
    </row>
    <row r="1525" spans="1:16" x14ac:dyDescent="0.35">
      <c r="A1525" s="33">
        <v>1522</v>
      </c>
      <c r="B1525" s="34" t="s">
        <v>1892</v>
      </c>
      <c r="C1525" s="33" t="s">
        <v>297</v>
      </c>
      <c r="D1525" s="33" t="s">
        <v>61</v>
      </c>
      <c r="E1525" s="33" t="s">
        <v>1863</v>
      </c>
      <c r="F1525" s="35">
        <v>1</v>
      </c>
      <c r="G1525" s="40">
        <v>0</v>
      </c>
      <c r="H1525" s="40">
        <v>0</v>
      </c>
      <c r="I1525" s="40">
        <v>0</v>
      </c>
      <c r="J1525" s="40">
        <v>0</v>
      </c>
      <c r="K1525" s="40">
        <v>0</v>
      </c>
      <c r="L1525" s="40">
        <v>0</v>
      </c>
      <c r="M1525" s="40" cm="1">
        <f t="array" ref="M1525:N1525">VLOOKUP(B1525,'Fumigation  Room'!B:H,{6,7},0)</f>
        <v>0</v>
      </c>
      <c r="N1525" s="40">
        <v>0</v>
      </c>
      <c r="O1525" s="40">
        <f t="shared" si="47"/>
        <v>0</v>
      </c>
      <c r="P1525" s="40">
        <f t="shared" si="48"/>
        <v>0</v>
      </c>
    </row>
    <row r="1526" spans="1:16" x14ac:dyDescent="0.35">
      <c r="A1526" s="33">
        <v>1523</v>
      </c>
      <c r="B1526" s="34" t="s">
        <v>1893</v>
      </c>
      <c r="C1526" s="33" t="s">
        <v>297</v>
      </c>
      <c r="D1526" s="33" t="s">
        <v>61</v>
      </c>
      <c r="E1526" s="33" t="s">
        <v>1863</v>
      </c>
      <c r="F1526" s="35">
        <v>1</v>
      </c>
      <c r="G1526" s="40">
        <v>0</v>
      </c>
      <c r="H1526" s="40">
        <v>0</v>
      </c>
      <c r="I1526" s="40">
        <v>0</v>
      </c>
      <c r="J1526" s="40">
        <v>0</v>
      </c>
      <c r="K1526" s="40">
        <v>0</v>
      </c>
      <c r="L1526" s="40">
        <v>0</v>
      </c>
      <c r="M1526" s="40" cm="1">
        <f t="array" ref="M1526:N1526">VLOOKUP(B1526,'Fumigation  Room'!B:H,{6,7},0)</f>
        <v>0</v>
      </c>
      <c r="N1526" s="40">
        <v>0</v>
      </c>
      <c r="O1526" s="40">
        <f t="shared" si="47"/>
        <v>0</v>
      </c>
      <c r="P1526" s="40">
        <f t="shared" si="48"/>
        <v>0</v>
      </c>
    </row>
    <row r="1527" spans="1:16" x14ac:dyDescent="0.35">
      <c r="A1527" s="33">
        <v>1524</v>
      </c>
      <c r="B1527" s="34" t="s">
        <v>1894</v>
      </c>
      <c r="C1527" s="33" t="s">
        <v>297</v>
      </c>
      <c r="D1527" s="33" t="s">
        <v>61</v>
      </c>
      <c r="E1527" s="33" t="s">
        <v>1863</v>
      </c>
      <c r="F1527" s="35">
        <v>1</v>
      </c>
      <c r="G1527" s="40">
        <v>0</v>
      </c>
      <c r="H1527" s="40">
        <v>0</v>
      </c>
      <c r="I1527" s="40">
        <v>0</v>
      </c>
      <c r="J1527" s="40">
        <v>0</v>
      </c>
      <c r="K1527" s="40">
        <v>0</v>
      </c>
      <c r="L1527" s="40">
        <v>0</v>
      </c>
      <c r="M1527" s="40" cm="1">
        <f t="array" ref="M1527:N1527">VLOOKUP(B1527,'Fumigation  Room'!B:H,{6,7},0)</f>
        <v>0</v>
      </c>
      <c r="N1527" s="40">
        <v>0</v>
      </c>
      <c r="O1527" s="40">
        <f t="shared" si="47"/>
        <v>0</v>
      </c>
      <c r="P1527" s="40">
        <f t="shared" si="48"/>
        <v>0</v>
      </c>
    </row>
    <row r="1528" spans="1:16" x14ac:dyDescent="0.35">
      <c r="A1528" s="33">
        <v>1525</v>
      </c>
      <c r="B1528" s="34" t="s">
        <v>1895</v>
      </c>
      <c r="C1528" s="33" t="s">
        <v>297</v>
      </c>
      <c r="D1528" s="33" t="s">
        <v>61</v>
      </c>
      <c r="E1528" s="33" t="s">
        <v>1863</v>
      </c>
      <c r="F1528" s="35">
        <v>1</v>
      </c>
      <c r="G1528" s="40">
        <v>0</v>
      </c>
      <c r="H1528" s="40">
        <v>0</v>
      </c>
      <c r="I1528" s="40">
        <v>0</v>
      </c>
      <c r="J1528" s="40">
        <v>0</v>
      </c>
      <c r="K1528" s="40">
        <v>0</v>
      </c>
      <c r="L1528" s="40">
        <v>0</v>
      </c>
      <c r="M1528" s="40" cm="1">
        <f t="array" ref="M1528:N1528">VLOOKUP(B1528,'Fumigation  Room'!B:H,{6,7},0)</f>
        <v>0</v>
      </c>
      <c r="N1528" s="40">
        <v>0</v>
      </c>
      <c r="O1528" s="40">
        <f t="shared" si="47"/>
        <v>0</v>
      </c>
      <c r="P1528" s="40">
        <f t="shared" si="48"/>
        <v>0</v>
      </c>
    </row>
    <row r="1529" spans="1:16" x14ac:dyDescent="0.35">
      <c r="A1529" s="33">
        <v>1526</v>
      </c>
      <c r="B1529" s="34" t="s">
        <v>1896</v>
      </c>
      <c r="C1529" s="33" t="s">
        <v>297</v>
      </c>
      <c r="D1529" s="33" t="s">
        <v>61</v>
      </c>
      <c r="E1529" s="33" t="s">
        <v>1863</v>
      </c>
      <c r="F1529" s="35">
        <v>1</v>
      </c>
      <c r="G1529" s="40">
        <v>0</v>
      </c>
      <c r="H1529" s="40">
        <v>0</v>
      </c>
      <c r="I1529" s="40">
        <v>0</v>
      </c>
      <c r="J1529" s="40">
        <v>0</v>
      </c>
      <c r="K1529" s="40">
        <v>0</v>
      </c>
      <c r="L1529" s="40">
        <v>0</v>
      </c>
      <c r="M1529" s="40" cm="1">
        <f t="array" ref="M1529:N1529">VLOOKUP(B1529,'Fumigation  Room'!B:H,{6,7},0)</f>
        <v>0</v>
      </c>
      <c r="N1529" s="40">
        <v>0</v>
      </c>
      <c r="O1529" s="40">
        <f t="shared" si="47"/>
        <v>0</v>
      </c>
      <c r="P1529" s="40">
        <f t="shared" si="48"/>
        <v>0</v>
      </c>
    </row>
    <row r="1530" spans="1:16" x14ac:dyDescent="0.35">
      <c r="A1530" s="33">
        <v>1527</v>
      </c>
      <c r="B1530" s="34" t="s">
        <v>1897</v>
      </c>
      <c r="C1530" s="33" t="s">
        <v>297</v>
      </c>
      <c r="D1530" s="33" t="s">
        <v>61</v>
      </c>
      <c r="E1530" s="33" t="s">
        <v>1863</v>
      </c>
      <c r="F1530" s="35">
        <v>1</v>
      </c>
      <c r="G1530" s="40">
        <v>0</v>
      </c>
      <c r="H1530" s="40">
        <v>0</v>
      </c>
      <c r="I1530" s="40">
        <v>0</v>
      </c>
      <c r="J1530" s="40">
        <v>0</v>
      </c>
      <c r="K1530" s="40">
        <v>0</v>
      </c>
      <c r="L1530" s="40">
        <v>0</v>
      </c>
      <c r="M1530" s="40" cm="1">
        <f t="array" ref="M1530:N1530">VLOOKUP(B1530,'Fumigation  Room'!B:H,{6,7},0)</f>
        <v>0</v>
      </c>
      <c r="N1530" s="40">
        <v>0</v>
      </c>
      <c r="O1530" s="40">
        <f t="shared" si="47"/>
        <v>0</v>
      </c>
      <c r="P1530" s="40">
        <f t="shared" si="48"/>
        <v>0</v>
      </c>
    </row>
    <row r="1531" spans="1:16" x14ac:dyDescent="0.35">
      <c r="A1531" s="33">
        <v>1528</v>
      </c>
      <c r="B1531" s="34" t="s">
        <v>1898</v>
      </c>
      <c r="C1531" s="33" t="s">
        <v>297</v>
      </c>
      <c r="D1531" s="33" t="s">
        <v>61</v>
      </c>
      <c r="E1531" s="33" t="s">
        <v>1863</v>
      </c>
      <c r="F1531" s="35">
        <v>1</v>
      </c>
      <c r="G1531" s="40">
        <v>0</v>
      </c>
      <c r="H1531" s="40">
        <v>0</v>
      </c>
      <c r="I1531" s="40">
        <v>0</v>
      </c>
      <c r="J1531" s="40">
        <v>0</v>
      </c>
      <c r="K1531" s="40">
        <v>0</v>
      </c>
      <c r="L1531" s="40">
        <v>0</v>
      </c>
      <c r="M1531" s="40" cm="1">
        <f t="array" ref="M1531:N1531">VLOOKUP(B1531,'Fumigation  Room'!B:H,{6,7},0)</f>
        <v>0</v>
      </c>
      <c r="N1531" s="40">
        <v>0</v>
      </c>
      <c r="O1531" s="40">
        <f t="shared" si="47"/>
        <v>0</v>
      </c>
      <c r="P1531" s="40">
        <f t="shared" si="48"/>
        <v>0</v>
      </c>
    </row>
    <row r="1532" spans="1:16" x14ac:dyDescent="0.35">
      <c r="A1532" s="33">
        <v>1529</v>
      </c>
      <c r="B1532" s="34" t="s">
        <v>1899</v>
      </c>
      <c r="C1532" s="33" t="s">
        <v>297</v>
      </c>
      <c r="D1532" s="33" t="s">
        <v>61</v>
      </c>
      <c r="E1532" s="33" t="s">
        <v>1863</v>
      </c>
      <c r="F1532" s="35">
        <v>1</v>
      </c>
      <c r="G1532" s="40">
        <v>0</v>
      </c>
      <c r="H1532" s="40">
        <v>0</v>
      </c>
      <c r="I1532" s="40">
        <v>0</v>
      </c>
      <c r="J1532" s="40">
        <v>0</v>
      </c>
      <c r="K1532" s="40">
        <v>0</v>
      </c>
      <c r="L1532" s="40">
        <v>0</v>
      </c>
      <c r="M1532" s="40" cm="1">
        <f t="array" ref="M1532:N1532">VLOOKUP(B1532,'Fumigation  Room'!B:H,{6,7},0)</f>
        <v>0</v>
      </c>
      <c r="N1532" s="40">
        <v>0</v>
      </c>
      <c r="O1532" s="40">
        <f t="shared" si="47"/>
        <v>0</v>
      </c>
      <c r="P1532" s="40">
        <f t="shared" si="48"/>
        <v>0</v>
      </c>
    </row>
    <row r="1533" spans="1:16" x14ac:dyDescent="0.35">
      <c r="A1533" s="33">
        <v>1530</v>
      </c>
      <c r="B1533" s="34" t="s">
        <v>1900</v>
      </c>
      <c r="C1533" s="33" t="s">
        <v>297</v>
      </c>
      <c r="D1533" s="33" t="s">
        <v>61</v>
      </c>
      <c r="E1533" s="33" t="s">
        <v>1863</v>
      </c>
      <c r="F1533" s="35">
        <v>1</v>
      </c>
      <c r="G1533" s="40">
        <v>0</v>
      </c>
      <c r="H1533" s="40">
        <v>0</v>
      </c>
      <c r="I1533" s="40">
        <v>0</v>
      </c>
      <c r="J1533" s="40">
        <v>0</v>
      </c>
      <c r="K1533" s="40">
        <v>0</v>
      </c>
      <c r="L1533" s="40">
        <v>0</v>
      </c>
      <c r="M1533" s="40" cm="1">
        <f t="array" ref="M1533:N1533">VLOOKUP(B1533,'Fumigation  Room'!B:H,{6,7},0)</f>
        <v>0</v>
      </c>
      <c r="N1533" s="40">
        <v>0</v>
      </c>
      <c r="O1533" s="40">
        <f t="shared" si="47"/>
        <v>0</v>
      </c>
      <c r="P1533" s="40">
        <f t="shared" si="48"/>
        <v>0</v>
      </c>
    </row>
    <row r="1534" spans="1:16" x14ac:dyDescent="0.35">
      <c r="A1534" s="33">
        <v>1531</v>
      </c>
      <c r="B1534" s="34" t="s">
        <v>1901</v>
      </c>
      <c r="C1534" s="33" t="s">
        <v>297</v>
      </c>
      <c r="D1534" s="33" t="s">
        <v>61</v>
      </c>
      <c r="E1534" s="33" t="s">
        <v>1863</v>
      </c>
      <c r="F1534" s="35">
        <v>1</v>
      </c>
      <c r="G1534" s="40">
        <v>0</v>
      </c>
      <c r="H1534" s="40">
        <v>0</v>
      </c>
      <c r="I1534" s="40">
        <v>0</v>
      </c>
      <c r="J1534" s="40">
        <v>0</v>
      </c>
      <c r="K1534" s="40">
        <v>0</v>
      </c>
      <c r="L1534" s="40">
        <v>0</v>
      </c>
      <c r="M1534" s="40" cm="1">
        <f t="array" ref="M1534:N1534">VLOOKUP(B1534,'Fumigation  Room'!B:H,{6,7},0)</f>
        <v>0</v>
      </c>
      <c r="N1534" s="40">
        <v>0</v>
      </c>
      <c r="O1534" s="40">
        <f t="shared" si="47"/>
        <v>0</v>
      </c>
      <c r="P1534" s="40">
        <f t="shared" si="48"/>
        <v>0</v>
      </c>
    </row>
    <row r="1535" spans="1:16" x14ac:dyDescent="0.35">
      <c r="A1535" s="33">
        <v>1532</v>
      </c>
      <c r="B1535" s="34" t="s">
        <v>1902</v>
      </c>
      <c r="C1535" s="33" t="s">
        <v>297</v>
      </c>
      <c r="D1535" s="33" t="s">
        <v>61</v>
      </c>
      <c r="E1535" s="33" t="s">
        <v>1863</v>
      </c>
      <c r="F1535" s="35">
        <v>1</v>
      </c>
      <c r="G1535" s="40">
        <v>0</v>
      </c>
      <c r="H1535" s="40">
        <v>0</v>
      </c>
      <c r="I1535" s="40">
        <v>0</v>
      </c>
      <c r="J1535" s="40">
        <v>0</v>
      </c>
      <c r="K1535" s="40">
        <v>0</v>
      </c>
      <c r="L1535" s="40">
        <v>0</v>
      </c>
      <c r="M1535" s="40" cm="1">
        <f t="array" ref="M1535:N1535">VLOOKUP(B1535,'Fumigation  Room'!B:H,{6,7},0)</f>
        <v>0</v>
      </c>
      <c r="N1535" s="40">
        <v>0</v>
      </c>
      <c r="O1535" s="40">
        <f t="shared" si="47"/>
        <v>0</v>
      </c>
      <c r="P1535" s="40">
        <f t="shared" si="48"/>
        <v>0</v>
      </c>
    </row>
    <row r="1536" spans="1:16" x14ac:dyDescent="0.35">
      <c r="A1536" s="33">
        <v>1533</v>
      </c>
      <c r="B1536" s="34" t="s">
        <v>1903</v>
      </c>
      <c r="C1536" s="33" t="s">
        <v>297</v>
      </c>
      <c r="D1536" s="33" t="s">
        <v>61</v>
      </c>
      <c r="E1536" s="33" t="s">
        <v>1863</v>
      </c>
      <c r="F1536" s="35">
        <v>1</v>
      </c>
      <c r="G1536" s="40">
        <v>0</v>
      </c>
      <c r="H1536" s="40">
        <v>0</v>
      </c>
      <c r="I1536" s="40">
        <v>0</v>
      </c>
      <c r="J1536" s="40">
        <v>0</v>
      </c>
      <c r="K1536" s="40">
        <v>0</v>
      </c>
      <c r="L1536" s="40">
        <v>0</v>
      </c>
      <c r="M1536" s="40" cm="1">
        <f t="array" ref="M1536:N1536">VLOOKUP(B1536,'Fumigation  Room'!B:H,{6,7},0)</f>
        <v>0</v>
      </c>
      <c r="N1536" s="40">
        <v>0</v>
      </c>
      <c r="O1536" s="40">
        <f t="shared" si="47"/>
        <v>0</v>
      </c>
      <c r="P1536" s="40">
        <f t="shared" si="48"/>
        <v>0</v>
      </c>
    </row>
    <row r="1537" spans="1:16" x14ac:dyDescent="0.35">
      <c r="A1537" s="33">
        <v>1534</v>
      </c>
      <c r="B1537" s="34" t="s">
        <v>1904</v>
      </c>
      <c r="C1537" s="33" t="s">
        <v>297</v>
      </c>
      <c r="D1537" s="33" t="s">
        <v>61</v>
      </c>
      <c r="E1537" s="33" t="s">
        <v>1863</v>
      </c>
      <c r="F1537" s="35">
        <v>1</v>
      </c>
      <c r="G1537" s="40">
        <v>0</v>
      </c>
      <c r="H1537" s="40">
        <v>0</v>
      </c>
      <c r="I1537" s="40">
        <v>0</v>
      </c>
      <c r="J1537" s="40">
        <v>0</v>
      </c>
      <c r="K1537" s="40">
        <v>0</v>
      </c>
      <c r="L1537" s="40">
        <v>0</v>
      </c>
      <c r="M1537" s="40" cm="1">
        <f t="array" ref="M1537:N1537">VLOOKUP(B1537,'Fumigation  Room'!B:H,{6,7},0)</f>
        <v>0</v>
      </c>
      <c r="N1537" s="40">
        <v>0</v>
      </c>
      <c r="O1537" s="40">
        <f t="shared" si="47"/>
        <v>0</v>
      </c>
      <c r="P1537" s="40">
        <f t="shared" si="48"/>
        <v>0</v>
      </c>
    </row>
    <row r="1538" spans="1:16" x14ac:dyDescent="0.35">
      <c r="A1538" s="33">
        <v>1535</v>
      </c>
      <c r="B1538" s="34" t="s">
        <v>1905</v>
      </c>
      <c r="C1538" s="33" t="s">
        <v>297</v>
      </c>
      <c r="D1538" s="33" t="s">
        <v>61</v>
      </c>
      <c r="E1538" s="33" t="s">
        <v>1863</v>
      </c>
      <c r="F1538" s="35">
        <v>1</v>
      </c>
      <c r="G1538" s="40">
        <v>0</v>
      </c>
      <c r="H1538" s="40">
        <v>0</v>
      </c>
      <c r="I1538" s="40">
        <v>0</v>
      </c>
      <c r="J1538" s="40">
        <v>0</v>
      </c>
      <c r="K1538" s="40">
        <v>0</v>
      </c>
      <c r="L1538" s="40">
        <v>0</v>
      </c>
      <c r="M1538" s="40" cm="1">
        <f t="array" ref="M1538:N1538">VLOOKUP(B1538,'Fumigation  Room'!B:H,{6,7},0)</f>
        <v>0</v>
      </c>
      <c r="N1538" s="40">
        <v>0</v>
      </c>
      <c r="O1538" s="40">
        <f t="shared" si="47"/>
        <v>0</v>
      </c>
      <c r="P1538" s="40">
        <f t="shared" si="48"/>
        <v>0</v>
      </c>
    </row>
    <row r="1539" spans="1:16" x14ac:dyDescent="0.35">
      <c r="A1539" s="33">
        <v>1536</v>
      </c>
      <c r="B1539" s="34" t="s">
        <v>1906</v>
      </c>
      <c r="C1539" s="33" t="s">
        <v>297</v>
      </c>
      <c r="D1539" s="33" t="s">
        <v>61</v>
      </c>
      <c r="E1539" s="33" t="s">
        <v>1863</v>
      </c>
      <c r="F1539" s="35">
        <v>1</v>
      </c>
      <c r="G1539" s="40">
        <v>0</v>
      </c>
      <c r="H1539" s="40">
        <v>0</v>
      </c>
      <c r="I1539" s="40">
        <v>0</v>
      </c>
      <c r="J1539" s="40">
        <v>0</v>
      </c>
      <c r="K1539" s="40">
        <v>0</v>
      </c>
      <c r="L1539" s="40">
        <v>0</v>
      </c>
      <c r="M1539" s="40" cm="1">
        <f t="array" ref="M1539:N1539">VLOOKUP(B1539,'Fumigation  Room'!B:H,{6,7},0)</f>
        <v>0</v>
      </c>
      <c r="N1539" s="40">
        <v>0</v>
      </c>
      <c r="O1539" s="40">
        <f t="shared" si="47"/>
        <v>0</v>
      </c>
      <c r="P1539" s="40">
        <f t="shared" si="48"/>
        <v>0</v>
      </c>
    </row>
    <row r="1540" spans="1:16" x14ac:dyDescent="0.35">
      <c r="A1540" s="33">
        <v>1537</v>
      </c>
      <c r="B1540" s="34" t="s">
        <v>1907</v>
      </c>
      <c r="C1540" s="33" t="s">
        <v>297</v>
      </c>
      <c r="D1540" s="33" t="s">
        <v>61</v>
      </c>
      <c r="E1540" s="33" t="s">
        <v>1863</v>
      </c>
      <c r="F1540" s="35">
        <v>1</v>
      </c>
      <c r="G1540" s="40">
        <v>0</v>
      </c>
      <c r="H1540" s="40">
        <v>0</v>
      </c>
      <c r="I1540" s="40">
        <v>0</v>
      </c>
      <c r="J1540" s="40">
        <v>0</v>
      </c>
      <c r="K1540" s="40">
        <v>0</v>
      </c>
      <c r="L1540" s="40">
        <v>0</v>
      </c>
      <c r="M1540" s="40" cm="1">
        <f t="array" ref="M1540:N1540">VLOOKUP(B1540,'Fumigation  Room'!B:H,{6,7},0)</f>
        <v>0</v>
      </c>
      <c r="N1540" s="40">
        <v>0</v>
      </c>
      <c r="O1540" s="40">
        <f t="shared" si="47"/>
        <v>0</v>
      </c>
      <c r="P1540" s="40">
        <f t="shared" si="48"/>
        <v>0</v>
      </c>
    </row>
    <row r="1541" spans="1:16" x14ac:dyDescent="0.35">
      <c r="A1541" s="33">
        <v>1538</v>
      </c>
      <c r="B1541" s="34" t="s">
        <v>1908</v>
      </c>
      <c r="C1541" s="33" t="s">
        <v>297</v>
      </c>
      <c r="D1541" s="33" t="s">
        <v>61</v>
      </c>
      <c r="E1541" s="33" t="s">
        <v>1863</v>
      </c>
      <c r="F1541" s="35">
        <v>1</v>
      </c>
      <c r="G1541" s="40">
        <v>0</v>
      </c>
      <c r="H1541" s="40">
        <v>0</v>
      </c>
      <c r="I1541" s="40">
        <v>0</v>
      </c>
      <c r="J1541" s="40">
        <v>0</v>
      </c>
      <c r="K1541" s="40">
        <v>0</v>
      </c>
      <c r="L1541" s="40">
        <v>0</v>
      </c>
      <c r="M1541" s="40" cm="1">
        <f t="array" ref="M1541:N1541">VLOOKUP(B1541,'Fumigation  Room'!B:H,{6,7},0)</f>
        <v>0</v>
      </c>
      <c r="N1541" s="40">
        <v>0</v>
      </c>
      <c r="O1541" s="40">
        <f t="shared" ref="O1541:O1604" si="49">G1541+I1541+K1541+M1541</f>
        <v>0</v>
      </c>
      <c r="P1541" s="40">
        <f t="shared" ref="P1541:P1604" si="50">H1541+J1541+L1541+N1541</f>
        <v>0</v>
      </c>
    </row>
    <row r="1542" spans="1:16" x14ac:dyDescent="0.35">
      <c r="A1542" s="33">
        <v>1539</v>
      </c>
      <c r="B1542" s="34" t="s">
        <v>1909</v>
      </c>
      <c r="C1542" s="33" t="s">
        <v>297</v>
      </c>
      <c r="D1542" s="33" t="s">
        <v>61</v>
      </c>
      <c r="E1542" s="33" t="s">
        <v>1863</v>
      </c>
      <c r="F1542" s="35">
        <v>1</v>
      </c>
      <c r="G1542" s="40">
        <v>0</v>
      </c>
      <c r="H1542" s="40">
        <v>0</v>
      </c>
      <c r="I1542" s="40">
        <v>0</v>
      </c>
      <c r="J1542" s="40">
        <v>0</v>
      </c>
      <c r="K1542" s="40">
        <v>0</v>
      </c>
      <c r="L1542" s="40">
        <v>0</v>
      </c>
      <c r="M1542" s="40" cm="1">
        <f t="array" ref="M1542:N1542">VLOOKUP(B1542,'Fumigation  Room'!B:H,{6,7},0)</f>
        <v>0</v>
      </c>
      <c r="N1542" s="40">
        <v>0</v>
      </c>
      <c r="O1542" s="40">
        <f t="shared" si="49"/>
        <v>0</v>
      </c>
      <c r="P1542" s="40">
        <f t="shared" si="50"/>
        <v>0</v>
      </c>
    </row>
    <row r="1543" spans="1:16" x14ac:dyDescent="0.35">
      <c r="A1543" s="33">
        <v>1540</v>
      </c>
      <c r="B1543" s="34" t="s">
        <v>1910</v>
      </c>
      <c r="C1543" s="33" t="s">
        <v>297</v>
      </c>
      <c r="D1543" s="33" t="s">
        <v>61</v>
      </c>
      <c r="E1543" s="33" t="s">
        <v>1863</v>
      </c>
      <c r="F1543" s="35">
        <v>1</v>
      </c>
      <c r="G1543" s="40">
        <v>0</v>
      </c>
      <c r="H1543" s="40">
        <v>0</v>
      </c>
      <c r="I1543" s="40">
        <v>0</v>
      </c>
      <c r="J1543" s="40">
        <v>0</v>
      </c>
      <c r="K1543" s="40">
        <v>0</v>
      </c>
      <c r="L1543" s="40">
        <v>0</v>
      </c>
      <c r="M1543" s="40" cm="1">
        <f t="array" ref="M1543:N1543">VLOOKUP(B1543,'Fumigation  Room'!B:H,{6,7},0)</f>
        <v>0</v>
      </c>
      <c r="N1543" s="40">
        <v>0</v>
      </c>
      <c r="O1543" s="40">
        <f t="shared" si="49"/>
        <v>0</v>
      </c>
      <c r="P1543" s="40">
        <f t="shared" si="50"/>
        <v>0</v>
      </c>
    </row>
    <row r="1544" spans="1:16" x14ac:dyDescent="0.35">
      <c r="A1544" s="33">
        <v>1541</v>
      </c>
      <c r="B1544" s="34" t="s">
        <v>1911</v>
      </c>
      <c r="C1544" s="33" t="s">
        <v>297</v>
      </c>
      <c r="D1544" s="33" t="s">
        <v>61</v>
      </c>
      <c r="E1544" s="33" t="s">
        <v>1863</v>
      </c>
      <c r="F1544" s="35">
        <v>1</v>
      </c>
      <c r="G1544" s="40">
        <v>0</v>
      </c>
      <c r="H1544" s="40">
        <v>0</v>
      </c>
      <c r="I1544" s="40">
        <v>0</v>
      </c>
      <c r="J1544" s="40">
        <v>0</v>
      </c>
      <c r="K1544" s="40">
        <v>0</v>
      </c>
      <c r="L1544" s="40">
        <v>0</v>
      </c>
      <c r="M1544" s="40" cm="1">
        <f t="array" ref="M1544:N1544">VLOOKUP(B1544,'Fumigation  Room'!B:H,{6,7},0)</f>
        <v>0</v>
      </c>
      <c r="N1544" s="40">
        <v>0</v>
      </c>
      <c r="O1544" s="40">
        <f t="shared" si="49"/>
        <v>0</v>
      </c>
      <c r="P1544" s="40">
        <f t="shared" si="50"/>
        <v>0</v>
      </c>
    </row>
    <row r="1545" spans="1:16" x14ac:dyDescent="0.35">
      <c r="A1545" s="33">
        <v>1542</v>
      </c>
      <c r="B1545" s="34" t="s">
        <v>1912</v>
      </c>
      <c r="C1545" s="33" t="s">
        <v>297</v>
      </c>
      <c r="D1545" s="33" t="s">
        <v>61</v>
      </c>
      <c r="E1545" s="33" t="s">
        <v>1863</v>
      </c>
      <c r="F1545" s="35">
        <v>1</v>
      </c>
      <c r="G1545" s="40">
        <v>0</v>
      </c>
      <c r="H1545" s="40">
        <v>0</v>
      </c>
      <c r="I1545" s="40">
        <v>0</v>
      </c>
      <c r="J1545" s="40">
        <v>0</v>
      </c>
      <c r="K1545" s="40">
        <v>0</v>
      </c>
      <c r="L1545" s="40">
        <v>0</v>
      </c>
      <c r="M1545" s="40" cm="1">
        <f t="array" ref="M1545:N1545">VLOOKUP(B1545,'Fumigation  Room'!B:H,{6,7},0)</f>
        <v>0</v>
      </c>
      <c r="N1545" s="40">
        <v>0</v>
      </c>
      <c r="O1545" s="40">
        <f t="shared" si="49"/>
        <v>0</v>
      </c>
      <c r="P1545" s="40">
        <f t="shared" si="50"/>
        <v>0</v>
      </c>
    </row>
    <row r="1546" spans="1:16" x14ac:dyDescent="0.35">
      <c r="A1546" s="33">
        <v>1543</v>
      </c>
      <c r="B1546" s="34" t="s">
        <v>1913</v>
      </c>
      <c r="C1546" s="33" t="s">
        <v>297</v>
      </c>
      <c r="D1546" s="33" t="s">
        <v>61</v>
      </c>
      <c r="E1546" s="33" t="s">
        <v>1863</v>
      </c>
      <c r="F1546" s="35">
        <v>1</v>
      </c>
      <c r="G1546" s="40">
        <v>0</v>
      </c>
      <c r="H1546" s="40">
        <v>0</v>
      </c>
      <c r="I1546" s="40">
        <v>0</v>
      </c>
      <c r="J1546" s="40">
        <v>0</v>
      </c>
      <c r="K1546" s="40">
        <v>0</v>
      </c>
      <c r="L1546" s="40">
        <v>0</v>
      </c>
      <c r="M1546" s="40" cm="1">
        <f t="array" ref="M1546:N1546">VLOOKUP(B1546,'Fumigation  Room'!B:H,{6,7},0)</f>
        <v>0</v>
      </c>
      <c r="N1546" s="40">
        <v>0</v>
      </c>
      <c r="O1546" s="40">
        <f t="shared" si="49"/>
        <v>0</v>
      </c>
      <c r="P1546" s="40">
        <f t="shared" si="50"/>
        <v>0</v>
      </c>
    </row>
    <row r="1547" spans="1:16" x14ac:dyDescent="0.35">
      <c r="A1547" s="33">
        <v>1544</v>
      </c>
      <c r="B1547" s="34" t="s">
        <v>1914</v>
      </c>
      <c r="C1547" s="33" t="s">
        <v>297</v>
      </c>
      <c r="D1547" s="33" t="s">
        <v>61</v>
      </c>
      <c r="E1547" s="33" t="s">
        <v>1863</v>
      </c>
      <c r="F1547" s="35">
        <v>1</v>
      </c>
      <c r="G1547" s="40">
        <v>0</v>
      </c>
      <c r="H1547" s="40">
        <v>0</v>
      </c>
      <c r="I1547" s="40">
        <v>0</v>
      </c>
      <c r="J1547" s="40">
        <v>0</v>
      </c>
      <c r="K1547" s="40">
        <v>0</v>
      </c>
      <c r="L1547" s="40">
        <v>0</v>
      </c>
      <c r="M1547" s="40" cm="1">
        <f t="array" ref="M1547:N1547">VLOOKUP(B1547,'Fumigation  Room'!B:H,{6,7},0)</f>
        <v>0</v>
      </c>
      <c r="N1547" s="40">
        <v>0</v>
      </c>
      <c r="O1547" s="40">
        <f t="shared" si="49"/>
        <v>0</v>
      </c>
      <c r="P1547" s="40">
        <f t="shared" si="50"/>
        <v>0</v>
      </c>
    </row>
    <row r="1548" spans="1:16" x14ac:dyDescent="0.35">
      <c r="A1548" s="33">
        <v>1545</v>
      </c>
      <c r="B1548" s="34" t="s">
        <v>1915</v>
      </c>
      <c r="C1548" s="33" t="s">
        <v>297</v>
      </c>
      <c r="D1548" s="33" t="s">
        <v>61</v>
      </c>
      <c r="E1548" s="33" t="s">
        <v>1863</v>
      </c>
      <c r="F1548" s="35">
        <v>1</v>
      </c>
      <c r="G1548" s="40">
        <v>0</v>
      </c>
      <c r="H1548" s="40">
        <v>0</v>
      </c>
      <c r="I1548" s="40">
        <v>0</v>
      </c>
      <c r="J1548" s="40">
        <v>0</v>
      </c>
      <c r="K1548" s="40">
        <v>0</v>
      </c>
      <c r="L1548" s="40">
        <v>0</v>
      </c>
      <c r="M1548" s="40" cm="1">
        <f t="array" ref="M1548:N1548">VLOOKUP(B1548,'Fumigation  Room'!B:H,{6,7},0)</f>
        <v>0</v>
      </c>
      <c r="N1548" s="40">
        <v>0</v>
      </c>
      <c r="O1548" s="40">
        <f t="shared" si="49"/>
        <v>0</v>
      </c>
      <c r="P1548" s="40">
        <f t="shared" si="50"/>
        <v>0</v>
      </c>
    </row>
    <row r="1549" spans="1:16" x14ac:dyDescent="0.35">
      <c r="A1549" s="33">
        <v>1546</v>
      </c>
      <c r="B1549" s="34" t="s">
        <v>1916</v>
      </c>
      <c r="C1549" s="33" t="s">
        <v>297</v>
      </c>
      <c r="D1549" s="33" t="s">
        <v>61</v>
      </c>
      <c r="E1549" s="33" t="s">
        <v>1863</v>
      </c>
      <c r="F1549" s="35">
        <v>1</v>
      </c>
      <c r="G1549" s="40">
        <v>0</v>
      </c>
      <c r="H1549" s="40">
        <v>0</v>
      </c>
      <c r="I1549" s="40">
        <v>0</v>
      </c>
      <c r="J1549" s="40">
        <v>0</v>
      </c>
      <c r="K1549" s="40">
        <v>0</v>
      </c>
      <c r="L1549" s="40">
        <v>0</v>
      </c>
      <c r="M1549" s="40" cm="1">
        <f t="array" ref="M1549:N1549">VLOOKUP(B1549,'Fumigation  Room'!B:H,{6,7},0)</f>
        <v>0</v>
      </c>
      <c r="N1549" s="40">
        <v>0</v>
      </c>
      <c r="O1549" s="40">
        <f t="shared" si="49"/>
        <v>0</v>
      </c>
      <c r="P1549" s="40">
        <f t="shared" si="50"/>
        <v>0</v>
      </c>
    </row>
    <row r="1550" spans="1:16" x14ac:dyDescent="0.35">
      <c r="A1550" s="33">
        <v>1547</v>
      </c>
      <c r="B1550" s="34" t="s">
        <v>1917</v>
      </c>
      <c r="C1550" s="33" t="s">
        <v>297</v>
      </c>
      <c r="D1550" s="33" t="s">
        <v>61</v>
      </c>
      <c r="E1550" s="33" t="s">
        <v>1863</v>
      </c>
      <c r="F1550" s="35">
        <v>1</v>
      </c>
      <c r="G1550" s="40">
        <v>0</v>
      </c>
      <c r="H1550" s="40">
        <v>0</v>
      </c>
      <c r="I1550" s="40">
        <v>0</v>
      </c>
      <c r="J1550" s="40">
        <v>0</v>
      </c>
      <c r="K1550" s="40">
        <v>0</v>
      </c>
      <c r="L1550" s="40">
        <v>0</v>
      </c>
      <c r="M1550" s="40" cm="1">
        <f t="array" ref="M1550:N1550">VLOOKUP(B1550,'Fumigation  Room'!B:H,{6,7},0)</f>
        <v>0</v>
      </c>
      <c r="N1550" s="40">
        <v>0</v>
      </c>
      <c r="O1550" s="40">
        <f t="shared" si="49"/>
        <v>0</v>
      </c>
      <c r="P1550" s="40">
        <f t="shared" si="50"/>
        <v>0</v>
      </c>
    </row>
    <row r="1551" spans="1:16" x14ac:dyDescent="0.35">
      <c r="A1551" s="33">
        <v>1548</v>
      </c>
      <c r="B1551" s="34" t="s">
        <v>1918</v>
      </c>
      <c r="C1551" s="33" t="s">
        <v>297</v>
      </c>
      <c r="D1551" s="33" t="s">
        <v>61</v>
      </c>
      <c r="E1551" s="33" t="s">
        <v>1863</v>
      </c>
      <c r="F1551" s="35">
        <v>1</v>
      </c>
      <c r="G1551" s="40">
        <v>0</v>
      </c>
      <c r="H1551" s="40">
        <v>0</v>
      </c>
      <c r="I1551" s="40">
        <v>0</v>
      </c>
      <c r="J1551" s="40">
        <v>0</v>
      </c>
      <c r="K1551" s="40">
        <v>0</v>
      </c>
      <c r="L1551" s="40">
        <v>0</v>
      </c>
      <c r="M1551" s="40" cm="1">
        <f t="array" ref="M1551:N1551">VLOOKUP(B1551,'Fumigation  Room'!B:H,{6,7},0)</f>
        <v>0</v>
      </c>
      <c r="N1551" s="40">
        <v>0</v>
      </c>
      <c r="O1551" s="40">
        <f t="shared" si="49"/>
        <v>0</v>
      </c>
      <c r="P1551" s="40">
        <f t="shared" si="50"/>
        <v>0</v>
      </c>
    </row>
    <row r="1552" spans="1:16" x14ac:dyDescent="0.35">
      <c r="A1552" s="33">
        <v>1549</v>
      </c>
      <c r="B1552" s="34" t="s">
        <v>1919</v>
      </c>
      <c r="C1552" s="33" t="s">
        <v>297</v>
      </c>
      <c r="D1552" s="33" t="s">
        <v>61</v>
      </c>
      <c r="E1552" s="33" t="s">
        <v>1863</v>
      </c>
      <c r="F1552" s="35">
        <v>1</v>
      </c>
      <c r="G1552" s="40">
        <v>0</v>
      </c>
      <c r="H1552" s="40">
        <v>0</v>
      </c>
      <c r="I1552" s="40">
        <v>0</v>
      </c>
      <c r="J1552" s="40">
        <v>0</v>
      </c>
      <c r="K1552" s="40">
        <v>0</v>
      </c>
      <c r="L1552" s="40">
        <v>0</v>
      </c>
      <c r="M1552" s="40" cm="1">
        <f t="array" ref="M1552:N1552">VLOOKUP(B1552,'Fumigation  Room'!B:H,{6,7},0)</f>
        <v>0</v>
      </c>
      <c r="N1552" s="40">
        <v>0</v>
      </c>
      <c r="O1552" s="40">
        <f t="shared" si="49"/>
        <v>0</v>
      </c>
      <c r="P1552" s="40">
        <f t="shared" si="50"/>
        <v>0</v>
      </c>
    </row>
    <row r="1553" spans="1:16" x14ac:dyDescent="0.35">
      <c r="A1553" s="33">
        <v>1550</v>
      </c>
      <c r="B1553" s="34" t="s">
        <v>1920</v>
      </c>
      <c r="C1553" s="33" t="s">
        <v>297</v>
      </c>
      <c r="D1553" s="33" t="s">
        <v>61</v>
      </c>
      <c r="E1553" s="33" t="s">
        <v>1863</v>
      </c>
      <c r="F1553" s="35">
        <v>1</v>
      </c>
      <c r="G1553" s="40">
        <v>0</v>
      </c>
      <c r="H1553" s="40">
        <v>0</v>
      </c>
      <c r="I1553" s="40">
        <v>0</v>
      </c>
      <c r="J1553" s="40">
        <v>0</v>
      </c>
      <c r="K1553" s="40">
        <v>0</v>
      </c>
      <c r="L1553" s="40">
        <v>0</v>
      </c>
      <c r="M1553" s="40" cm="1">
        <f t="array" ref="M1553:N1553">VLOOKUP(B1553,'Fumigation  Room'!B:H,{6,7},0)</f>
        <v>0</v>
      </c>
      <c r="N1553" s="40">
        <v>0</v>
      </c>
      <c r="O1553" s="40">
        <f t="shared" si="49"/>
        <v>0</v>
      </c>
      <c r="P1553" s="40">
        <f t="shared" si="50"/>
        <v>0</v>
      </c>
    </row>
    <row r="1554" spans="1:16" x14ac:dyDescent="0.35">
      <c r="A1554" s="33">
        <v>1551</v>
      </c>
      <c r="B1554" s="34" t="s">
        <v>1921</v>
      </c>
      <c r="C1554" s="33" t="s">
        <v>297</v>
      </c>
      <c r="D1554" s="33" t="s">
        <v>61</v>
      </c>
      <c r="E1554" s="33" t="s">
        <v>1863</v>
      </c>
      <c r="F1554" s="35">
        <v>1</v>
      </c>
      <c r="G1554" s="40">
        <v>0</v>
      </c>
      <c r="H1554" s="40">
        <v>0</v>
      </c>
      <c r="I1554" s="40">
        <v>0</v>
      </c>
      <c r="J1554" s="40">
        <v>0</v>
      </c>
      <c r="K1554" s="40">
        <v>0</v>
      </c>
      <c r="L1554" s="40">
        <v>0</v>
      </c>
      <c r="M1554" s="40" cm="1">
        <f t="array" ref="M1554:N1554">VLOOKUP(B1554,'Fumigation  Room'!B:H,{6,7},0)</f>
        <v>0</v>
      </c>
      <c r="N1554" s="40">
        <v>0</v>
      </c>
      <c r="O1554" s="40">
        <f t="shared" si="49"/>
        <v>0</v>
      </c>
      <c r="P1554" s="40">
        <f t="shared" si="50"/>
        <v>0</v>
      </c>
    </row>
    <row r="1555" spans="1:16" x14ac:dyDescent="0.35">
      <c r="A1555" s="33">
        <v>1552</v>
      </c>
      <c r="B1555" s="34" t="s">
        <v>1922</v>
      </c>
      <c r="C1555" s="33" t="s">
        <v>297</v>
      </c>
      <c r="D1555" s="33" t="s">
        <v>61</v>
      </c>
      <c r="E1555" s="33" t="s">
        <v>1863</v>
      </c>
      <c r="F1555" s="35">
        <v>1</v>
      </c>
      <c r="G1555" s="40">
        <v>0</v>
      </c>
      <c r="H1555" s="40">
        <v>0</v>
      </c>
      <c r="I1555" s="40">
        <v>0</v>
      </c>
      <c r="J1555" s="40">
        <v>0</v>
      </c>
      <c r="K1555" s="40">
        <v>0</v>
      </c>
      <c r="L1555" s="40">
        <v>0</v>
      </c>
      <c r="M1555" s="40" cm="1">
        <f t="array" ref="M1555:N1555">VLOOKUP(B1555,'Fumigation  Room'!B:H,{6,7},0)</f>
        <v>0</v>
      </c>
      <c r="N1555" s="40">
        <v>0</v>
      </c>
      <c r="O1555" s="40">
        <f t="shared" si="49"/>
        <v>0</v>
      </c>
      <c r="P1555" s="40">
        <f t="shared" si="50"/>
        <v>0</v>
      </c>
    </row>
    <row r="1556" spans="1:16" x14ac:dyDescent="0.35">
      <c r="A1556" s="33">
        <v>1553</v>
      </c>
      <c r="B1556" s="34" t="s">
        <v>1923</v>
      </c>
      <c r="C1556" s="33" t="s">
        <v>297</v>
      </c>
      <c r="D1556" s="33" t="s">
        <v>61</v>
      </c>
      <c r="E1556" s="33" t="s">
        <v>1863</v>
      </c>
      <c r="F1556" s="35">
        <v>1</v>
      </c>
      <c r="G1556" s="40">
        <v>0</v>
      </c>
      <c r="H1556" s="40">
        <v>0</v>
      </c>
      <c r="I1556" s="40">
        <v>0</v>
      </c>
      <c r="J1556" s="40">
        <v>0</v>
      </c>
      <c r="K1556" s="40">
        <v>0</v>
      </c>
      <c r="L1556" s="40">
        <v>0</v>
      </c>
      <c r="M1556" s="40" cm="1">
        <f t="array" ref="M1556:N1556">VLOOKUP(B1556,'Fumigation  Room'!B:H,{6,7},0)</f>
        <v>0</v>
      </c>
      <c r="N1556" s="40">
        <v>0</v>
      </c>
      <c r="O1556" s="40">
        <f t="shared" si="49"/>
        <v>0</v>
      </c>
      <c r="P1556" s="40">
        <f t="shared" si="50"/>
        <v>0</v>
      </c>
    </row>
    <row r="1557" spans="1:16" x14ac:dyDescent="0.35">
      <c r="A1557" s="33">
        <v>1554</v>
      </c>
      <c r="B1557" s="34" t="s">
        <v>1924</v>
      </c>
      <c r="C1557" s="33" t="s">
        <v>297</v>
      </c>
      <c r="D1557" s="33" t="s">
        <v>61</v>
      </c>
      <c r="E1557" s="33" t="s">
        <v>1863</v>
      </c>
      <c r="F1557" s="35">
        <v>1</v>
      </c>
      <c r="G1557" s="40">
        <v>0</v>
      </c>
      <c r="H1557" s="40">
        <v>0</v>
      </c>
      <c r="I1557" s="40">
        <v>0</v>
      </c>
      <c r="J1557" s="40">
        <v>0</v>
      </c>
      <c r="K1557" s="40">
        <v>0</v>
      </c>
      <c r="L1557" s="40">
        <v>0</v>
      </c>
      <c r="M1557" s="40" cm="1">
        <f t="array" ref="M1557:N1557">VLOOKUP(B1557,'Fumigation  Room'!B:H,{6,7},0)</f>
        <v>0</v>
      </c>
      <c r="N1557" s="40">
        <v>0</v>
      </c>
      <c r="O1557" s="40">
        <f t="shared" si="49"/>
        <v>0</v>
      </c>
      <c r="P1557" s="40">
        <f t="shared" si="50"/>
        <v>0</v>
      </c>
    </row>
    <row r="1558" spans="1:16" x14ac:dyDescent="0.35">
      <c r="A1558" s="33">
        <v>1555</v>
      </c>
      <c r="B1558" s="34" t="s">
        <v>1925</v>
      </c>
      <c r="C1558" s="33" t="s">
        <v>297</v>
      </c>
      <c r="D1558" s="33" t="s">
        <v>61</v>
      </c>
      <c r="E1558" s="33" t="s">
        <v>1863</v>
      </c>
      <c r="F1558" s="35">
        <v>1</v>
      </c>
      <c r="G1558" s="40">
        <v>0</v>
      </c>
      <c r="H1558" s="40">
        <v>0</v>
      </c>
      <c r="I1558" s="40">
        <v>0</v>
      </c>
      <c r="J1558" s="40">
        <v>0</v>
      </c>
      <c r="K1558" s="40">
        <v>0</v>
      </c>
      <c r="L1558" s="40">
        <v>0</v>
      </c>
      <c r="M1558" s="40" cm="1">
        <f t="array" ref="M1558:N1558">VLOOKUP(B1558,'Fumigation  Room'!B:H,{6,7},0)</f>
        <v>0</v>
      </c>
      <c r="N1558" s="40">
        <v>0</v>
      </c>
      <c r="O1558" s="40">
        <f t="shared" si="49"/>
        <v>0</v>
      </c>
      <c r="P1558" s="40">
        <f t="shared" si="50"/>
        <v>0</v>
      </c>
    </row>
    <row r="1559" spans="1:16" x14ac:dyDescent="0.35">
      <c r="A1559" s="33">
        <v>1556</v>
      </c>
      <c r="B1559" s="34" t="s">
        <v>1926</v>
      </c>
      <c r="C1559" s="33" t="s">
        <v>297</v>
      </c>
      <c r="D1559" s="33" t="s">
        <v>61</v>
      </c>
      <c r="E1559" s="33" t="s">
        <v>1863</v>
      </c>
      <c r="F1559" s="35">
        <v>1</v>
      </c>
      <c r="G1559" s="40">
        <v>0</v>
      </c>
      <c r="H1559" s="40">
        <v>0</v>
      </c>
      <c r="I1559" s="40">
        <v>0</v>
      </c>
      <c r="J1559" s="40">
        <v>0</v>
      </c>
      <c r="K1559" s="40">
        <v>0</v>
      </c>
      <c r="L1559" s="40">
        <v>0</v>
      </c>
      <c r="M1559" s="40" cm="1">
        <f t="array" ref="M1559:N1559">VLOOKUP(B1559,'Fumigation  Room'!B:H,{6,7},0)</f>
        <v>0</v>
      </c>
      <c r="N1559" s="40">
        <v>0</v>
      </c>
      <c r="O1559" s="40">
        <f t="shared" si="49"/>
        <v>0</v>
      </c>
      <c r="P1559" s="40">
        <f t="shared" si="50"/>
        <v>0</v>
      </c>
    </row>
    <row r="1560" spans="1:16" x14ac:dyDescent="0.35">
      <c r="A1560" s="33">
        <v>1557</v>
      </c>
      <c r="B1560" s="34" t="s">
        <v>1927</v>
      </c>
      <c r="C1560" s="33" t="s">
        <v>297</v>
      </c>
      <c r="D1560" s="33" t="s">
        <v>61</v>
      </c>
      <c r="E1560" s="33" t="s">
        <v>1863</v>
      </c>
      <c r="F1560" s="35">
        <v>1</v>
      </c>
      <c r="G1560" s="40">
        <v>0</v>
      </c>
      <c r="H1560" s="40">
        <v>0</v>
      </c>
      <c r="I1560" s="40">
        <v>0</v>
      </c>
      <c r="J1560" s="40">
        <v>0</v>
      </c>
      <c r="K1560" s="40">
        <v>0</v>
      </c>
      <c r="L1560" s="40">
        <v>0</v>
      </c>
      <c r="M1560" s="40" cm="1">
        <f t="array" ref="M1560:N1560">VLOOKUP(B1560,'Fumigation  Room'!B:H,{6,7},0)</f>
        <v>0</v>
      </c>
      <c r="N1560" s="40">
        <v>0</v>
      </c>
      <c r="O1560" s="40">
        <f t="shared" si="49"/>
        <v>0</v>
      </c>
      <c r="P1560" s="40">
        <f t="shared" si="50"/>
        <v>0</v>
      </c>
    </row>
    <row r="1561" spans="1:16" x14ac:dyDescent="0.35">
      <c r="A1561" s="33">
        <v>1558</v>
      </c>
      <c r="B1561" s="34" t="s">
        <v>1928</v>
      </c>
      <c r="C1561" s="33" t="s">
        <v>297</v>
      </c>
      <c r="D1561" s="33" t="s">
        <v>61</v>
      </c>
      <c r="E1561" s="33" t="s">
        <v>1863</v>
      </c>
      <c r="F1561" s="35">
        <v>1</v>
      </c>
      <c r="G1561" s="40">
        <v>0</v>
      </c>
      <c r="H1561" s="40">
        <v>0</v>
      </c>
      <c r="I1561" s="40">
        <v>0</v>
      </c>
      <c r="J1561" s="40">
        <v>0</v>
      </c>
      <c r="K1561" s="40">
        <v>0</v>
      </c>
      <c r="L1561" s="40">
        <v>0</v>
      </c>
      <c r="M1561" s="40" cm="1">
        <f t="array" ref="M1561:N1561">VLOOKUP(B1561,'Fumigation  Room'!B:H,{6,7},0)</f>
        <v>0</v>
      </c>
      <c r="N1561" s="40">
        <v>0</v>
      </c>
      <c r="O1561" s="40">
        <f t="shared" si="49"/>
        <v>0</v>
      </c>
      <c r="P1561" s="40">
        <f t="shared" si="50"/>
        <v>0</v>
      </c>
    </row>
    <row r="1562" spans="1:16" x14ac:dyDescent="0.35">
      <c r="A1562" s="33">
        <v>1559</v>
      </c>
      <c r="B1562" s="34" t="s">
        <v>1929</v>
      </c>
      <c r="C1562" s="33" t="s">
        <v>297</v>
      </c>
      <c r="D1562" s="33" t="s">
        <v>61</v>
      </c>
      <c r="E1562" s="33" t="s">
        <v>1863</v>
      </c>
      <c r="F1562" s="35">
        <v>1</v>
      </c>
      <c r="G1562" s="40">
        <v>0</v>
      </c>
      <c r="H1562" s="40">
        <v>0</v>
      </c>
      <c r="I1562" s="40">
        <v>0</v>
      </c>
      <c r="J1562" s="40">
        <v>0</v>
      </c>
      <c r="K1562" s="40">
        <v>0</v>
      </c>
      <c r="L1562" s="40">
        <v>0</v>
      </c>
      <c r="M1562" s="40" cm="1">
        <f t="array" ref="M1562:N1562">VLOOKUP(B1562,'Fumigation  Room'!B:H,{6,7},0)</f>
        <v>0</v>
      </c>
      <c r="N1562" s="40">
        <v>0</v>
      </c>
      <c r="O1562" s="40">
        <f t="shared" si="49"/>
        <v>0</v>
      </c>
      <c r="P1562" s="40">
        <f t="shared" si="50"/>
        <v>0</v>
      </c>
    </row>
    <row r="1563" spans="1:16" x14ac:dyDescent="0.35">
      <c r="A1563" s="33">
        <v>1560</v>
      </c>
      <c r="B1563" s="34" t="s">
        <v>1930</v>
      </c>
      <c r="C1563" s="33" t="s">
        <v>297</v>
      </c>
      <c r="D1563" s="33" t="s">
        <v>61</v>
      </c>
      <c r="E1563" s="33" t="s">
        <v>1863</v>
      </c>
      <c r="F1563" s="35">
        <v>1</v>
      </c>
      <c r="G1563" s="40">
        <v>0</v>
      </c>
      <c r="H1563" s="40">
        <v>0</v>
      </c>
      <c r="I1563" s="40">
        <v>0</v>
      </c>
      <c r="J1563" s="40">
        <v>0</v>
      </c>
      <c r="K1563" s="40">
        <v>0</v>
      </c>
      <c r="L1563" s="40">
        <v>0</v>
      </c>
      <c r="M1563" s="40" cm="1">
        <f t="array" ref="M1563:N1563">VLOOKUP(B1563,'Fumigation  Room'!B:H,{6,7},0)</f>
        <v>0</v>
      </c>
      <c r="N1563" s="40">
        <v>0</v>
      </c>
      <c r="O1563" s="40">
        <f t="shared" si="49"/>
        <v>0</v>
      </c>
      <c r="P1563" s="40">
        <f t="shared" si="50"/>
        <v>0</v>
      </c>
    </row>
    <row r="1564" spans="1:16" x14ac:dyDescent="0.35">
      <c r="A1564" s="33">
        <v>1561</v>
      </c>
      <c r="B1564" s="34" t="s">
        <v>1931</v>
      </c>
      <c r="C1564" s="33" t="s">
        <v>297</v>
      </c>
      <c r="D1564" s="33" t="s">
        <v>61</v>
      </c>
      <c r="E1564" s="33" t="s">
        <v>1863</v>
      </c>
      <c r="F1564" s="35">
        <v>1</v>
      </c>
      <c r="G1564" s="40">
        <v>0</v>
      </c>
      <c r="H1564" s="40">
        <v>0</v>
      </c>
      <c r="I1564" s="40">
        <v>0</v>
      </c>
      <c r="J1564" s="40">
        <v>0</v>
      </c>
      <c r="K1564" s="40">
        <v>0</v>
      </c>
      <c r="L1564" s="40">
        <v>0</v>
      </c>
      <c r="M1564" s="40" cm="1">
        <f t="array" ref="M1564:N1564">VLOOKUP(B1564,'Fumigation  Room'!B:H,{6,7},0)</f>
        <v>0</v>
      </c>
      <c r="N1564" s="40">
        <v>0</v>
      </c>
      <c r="O1564" s="40">
        <f t="shared" si="49"/>
        <v>0</v>
      </c>
      <c r="P1564" s="40">
        <f t="shared" si="50"/>
        <v>0</v>
      </c>
    </row>
    <row r="1565" spans="1:16" x14ac:dyDescent="0.35">
      <c r="A1565" s="33">
        <v>1562</v>
      </c>
      <c r="B1565" s="34" t="s">
        <v>1932</v>
      </c>
      <c r="C1565" s="33" t="s">
        <v>297</v>
      </c>
      <c r="D1565" s="33" t="s">
        <v>61</v>
      </c>
      <c r="E1565" s="33" t="s">
        <v>1863</v>
      </c>
      <c r="F1565" s="35">
        <v>1</v>
      </c>
      <c r="G1565" s="40">
        <v>0</v>
      </c>
      <c r="H1565" s="40">
        <v>0</v>
      </c>
      <c r="I1565" s="40">
        <v>0</v>
      </c>
      <c r="J1565" s="40">
        <v>0</v>
      </c>
      <c r="K1565" s="40">
        <v>0</v>
      </c>
      <c r="L1565" s="40">
        <v>0</v>
      </c>
      <c r="M1565" s="40" cm="1">
        <f t="array" ref="M1565:N1565">VLOOKUP(B1565,'Fumigation  Room'!B:H,{6,7},0)</f>
        <v>0</v>
      </c>
      <c r="N1565" s="40">
        <v>0</v>
      </c>
      <c r="O1565" s="40">
        <f t="shared" si="49"/>
        <v>0</v>
      </c>
      <c r="P1565" s="40">
        <f t="shared" si="50"/>
        <v>0</v>
      </c>
    </row>
    <row r="1566" spans="1:16" x14ac:dyDescent="0.35">
      <c r="A1566" s="33">
        <v>1563</v>
      </c>
      <c r="B1566" s="34" t="s">
        <v>1933</v>
      </c>
      <c r="C1566" s="33" t="s">
        <v>297</v>
      </c>
      <c r="D1566" s="33" t="s">
        <v>61</v>
      </c>
      <c r="E1566" s="33" t="s">
        <v>1863</v>
      </c>
      <c r="F1566" s="35">
        <v>1</v>
      </c>
      <c r="G1566" s="40">
        <v>0</v>
      </c>
      <c r="H1566" s="40">
        <v>0</v>
      </c>
      <c r="I1566" s="40">
        <v>0</v>
      </c>
      <c r="J1566" s="40">
        <v>0</v>
      </c>
      <c r="K1566" s="40">
        <v>0</v>
      </c>
      <c r="L1566" s="40">
        <v>0</v>
      </c>
      <c r="M1566" s="40" cm="1">
        <f t="array" ref="M1566:N1566">VLOOKUP(B1566,'Fumigation  Room'!B:H,{6,7},0)</f>
        <v>0</v>
      </c>
      <c r="N1566" s="40">
        <v>0</v>
      </c>
      <c r="O1566" s="40">
        <f t="shared" si="49"/>
        <v>0</v>
      </c>
      <c r="P1566" s="40">
        <f t="shared" si="50"/>
        <v>0</v>
      </c>
    </row>
    <row r="1567" spans="1:16" x14ac:dyDescent="0.35">
      <c r="A1567" s="33">
        <v>1564</v>
      </c>
      <c r="B1567" s="34" t="s">
        <v>1934</v>
      </c>
      <c r="C1567" s="33" t="s">
        <v>297</v>
      </c>
      <c r="D1567" s="33" t="s">
        <v>61</v>
      </c>
      <c r="E1567" s="33" t="s">
        <v>1863</v>
      </c>
      <c r="F1567" s="35">
        <v>1</v>
      </c>
      <c r="G1567" s="40">
        <v>0</v>
      </c>
      <c r="H1567" s="40">
        <v>0</v>
      </c>
      <c r="I1567" s="40">
        <v>0</v>
      </c>
      <c r="J1567" s="40">
        <v>0</v>
      </c>
      <c r="K1567" s="40">
        <v>0</v>
      </c>
      <c r="L1567" s="40">
        <v>0</v>
      </c>
      <c r="M1567" s="40" cm="1">
        <f t="array" ref="M1567:N1567">VLOOKUP(B1567,'Fumigation  Room'!B:H,{6,7},0)</f>
        <v>0</v>
      </c>
      <c r="N1567" s="40">
        <v>0</v>
      </c>
      <c r="O1567" s="40">
        <f t="shared" si="49"/>
        <v>0</v>
      </c>
      <c r="P1567" s="40">
        <f t="shared" si="50"/>
        <v>0</v>
      </c>
    </row>
    <row r="1568" spans="1:16" x14ac:dyDescent="0.35">
      <c r="A1568" s="33">
        <v>1565</v>
      </c>
      <c r="B1568" s="34" t="s">
        <v>1935</v>
      </c>
      <c r="C1568" s="33" t="s">
        <v>297</v>
      </c>
      <c r="D1568" s="33" t="s">
        <v>61</v>
      </c>
      <c r="E1568" s="33" t="s">
        <v>1863</v>
      </c>
      <c r="F1568" s="35">
        <v>1</v>
      </c>
      <c r="G1568" s="40">
        <v>0</v>
      </c>
      <c r="H1568" s="40">
        <v>0</v>
      </c>
      <c r="I1568" s="40">
        <v>0</v>
      </c>
      <c r="J1568" s="40">
        <v>0</v>
      </c>
      <c r="K1568" s="40">
        <v>0</v>
      </c>
      <c r="L1568" s="40">
        <v>0</v>
      </c>
      <c r="M1568" s="40" cm="1">
        <f t="array" ref="M1568:N1568">VLOOKUP(B1568,'Fumigation  Room'!B:H,{6,7},0)</f>
        <v>0</v>
      </c>
      <c r="N1568" s="40">
        <v>0</v>
      </c>
      <c r="O1568" s="40">
        <f t="shared" si="49"/>
        <v>0</v>
      </c>
      <c r="P1568" s="40">
        <f t="shared" si="50"/>
        <v>0</v>
      </c>
    </row>
    <row r="1569" spans="1:16" x14ac:dyDescent="0.35">
      <c r="A1569" s="33">
        <v>1566</v>
      </c>
      <c r="B1569" s="34" t="s">
        <v>1936</v>
      </c>
      <c r="C1569" s="33" t="s">
        <v>297</v>
      </c>
      <c r="D1569" s="33" t="s">
        <v>61</v>
      </c>
      <c r="E1569" s="33" t="s">
        <v>1863</v>
      </c>
      <c r="F1569" s="35">
        <v>1</v>
      </c>
      <c r="G1569" s="40">
        <v>0</v>
      </c>
      <c r="H1569" s="40">
        <v>0</v>
      </c>
      <c r="I1569" s="40">
        <v>0</v>
      </c>
      <c r="J1569" s="40">
        <v>0</v>
      </c>
      <c r="K1569" s="40">
        <v>0</v>
      </c>
      <c r="L1569" s="40">
        <v>0</v>
      </c>
      <c r="M1569" s="40" cm="1">
        <f t="array" ref="M1569:N1569">VLOOKUP(B1569,'Fumigation  Room'!B:H,{6,7},0)</f>
        <v>0</v>
      </c>
      <c r="N1569" s="40">
        <v>0</v>
      </c>
      <c r="O1569" s="40">
        <f t="shared" si="49"/>
        <v>0</v>
      </c>
      <c r="P1569" s="40">
        <f t="shared" si="50"/>
        <v>0</v>
      </c>
    </row>
    <row r="1570" spans="1:16" x14ac:dyDescent="0.35">
      <c r="A1570" s="33">
        <v>1567</v>
      </c>
      <c r="B1570" s="34" t="s">
        <v>1937</v>
      </c>
      <c r="C1570" s="33" t="s">
        <v>297</v>
      </c>
      <c r="D1570" s="33" t="s">
        <v>61</v>
      </c>
      <c r="E1570" s="33" t="s">
        <v>1863</v>
      </c>
      <c r="F1570" s="35">
        <v>1</v>
      </c>
      <c r="G1570" s="40">
        <v>0</v>
      </c>
      <c r="H1570" s="40">
        <v>0</v>
      </c>
      <c r="I1570" s="40">
        <v>0</v>
      </c>
      <c r="J1570" s="40">
        <v>0</v>
      </c>
      <c r="K1570" s="40">
        <v>0</v>
      </c>
      <c r="L1570" s="40">
        <v>0</v>
      </c>
      <c r="M1570" s="40" cm="1">
        <f t="array" ref="M1570:N1570">VLOOKUP(B1570,'Fumigation  Room'!B:H,{6,7},0)</f>
        <v>0</v>
      </c>
      <c r="N1570" s="40">
        <v>0</v>
      </c>
      <c r="O1570" s="40">
        <f t="shared" si="49"/>
        <v>0</v>
      </c>
      <c r="P1570" s="40">
        <f t="shared" si="50"/>
        <v>0</v>
      </c>
    </row>
    <row r="1571" spans="1:16" x14ac:dyDescent="0.35">
      <c r="A1571" s="33">
        <v>1568</v>
      </c>
      <c r="B1571" s="34" t="s">
        <v>169</v>
      </c>
      <c r="C1571" s="33" t="s">
        <v>297</v>
      </c>
      <c r="D1571" s="33" t="s">
        <v>61</v>
      </c>
      <c r="E1571" s="33" t="s">
        <v>1863</v>
      </c>
      <c r="F1571" s="35">
        <v>1</v>
      </c>
      <c r="G1571" s="40">
        <v>0</v>
      </c>
      <c r="H1571" s="40">
        <v>0</v>
      </c>
      <c r="I1571" s="40">
        <v>0</v>
      </c>
      <c r="J1571" s="40">
        <v>0</v>
      </c>
      <c r="K1571" s="40">
        <v>0</v>
      </c>
      <c r="L1571" s="40">
        <v>0</v>
      </c>
      <c r="M1571" s="40" cm="1">
        <f t="array" ref="M1571:N1571">VLOOKUP(B1571,'Fumigation  Room'!B:H,{6,7},0)</f>
        <v>0</v>
      </c>
      <c r="N1571" s="40">
        <v>0</v>
      </c>
      <c r="O1571" s="40">
        <f t="shared" si="49"/>
        <v>0</v>
      </c>
      <c r="P1571" s="40">
        <f t="shared" si="50"/>
        <v>0</v>
      </c>
    </row>
    <row r="1572" spans="1:16" x14ac:dyDescent="0.35">
      <c r="A1572" s="33">
        <v>1569</v>
      </c>
      <c r="B1572" s="34" t="s">
        <v>1938</v>
      </c>
      <c r="C1572" s="33" t="s">
        <v>297</v>
      </c>
      <c r="D1572" s="33" t="s">
        <v>61</v>
      </c>
      <c r="E1572" s="33" t="s">
        <v>1863</v>
      </c>
      <c r="F1572" s="35">
        <v>1</v>
      </c>
      <c r="G1572" s="40">
        <v>0</v>
      </c>
      <c r="H1572" s="40">
        <v>0</v>
      </c>
      <c r="I1572" s="40">
        <v>0</v>
      </c>
      <c r="J1572" s="40">
        <v>0</v>
      </c>
      <c r="K1572" s="40">
        <v>0</v>
      </c>
      <c r="L1572" s="40">
        <v>0</v>
      </c>
      <c r="M1572" s="40" cm="1">
        <f t="array" ref="M1572:N1572">VLOOKUP(B1572,'Fumigation  Room'!B:H,{6,7},0)</f>
        <v>0</v>
      </c>
      <c r="N1572" s="40">
        <v>0</v>
      </c>
      <c r="O1572" s="40">
        <f t="shared" si="49"/>
        <v>0</v>
      </c>
      <c r="P1572" s="40">
        <f t="shared" si="50"/>
        <v>0</v>
      </c>
    </row>
    <row r="1573" spans="1:16" x14ac:dyDescent="0.35">
      <c r="A1573" s="33">
        <v>1570</v>
      </c>
      <c r="B1573" s="34" t="s">
        <v>1939</v>
      </c>
      <c r="C1573" s="33" t="s">
        <v>297</v>
      </c>
      <c r="D1573" s="33" t="s">
        <v>61</v>
      </c>
      <c r="E1573" s="33" t="s">
        <v>1863</v>
      </c>
      <c r="F1573" s="35">
        <v>1</v>
      </c>
      <c r="G1573" s="40">
        <v>0</v>
      </c>
      <c r="H1573" s="40">
        <v>0</v>
      </c>
      <c r="I1573" s="40">
        <v>0</v>
      </c>
      <c r="J1573" s="40">
        <v>0</v>
      </c>
      <c r="K1573" s="40">
        <v>0</v>
      </c>
      <c r="L1573" s="40">
        <v>0</v>
      </c>
      <c r="M1573" s="40" cm="1">
        <f t="array" ref="M1573:N1573">VLOOKUP(B1573,'Fumigation  Room'!B:H,{6,7},0)</f>
        <v>0</v>
      </c>
      <c r="N1573" s="40">
        <v>0</v>
      </c>
      <c r="O1573" s="40">
        <f t="shared" si="49"/>
        <v>0</v>
      </c>
      <c r="P1573" s="40">
        <f t="shared" si="50"/>
        <v>0</v>
      </c>
    </row>
    <row r="1574" spans="1:16" x14ac:dyDescent="0.35">
      <c r="A1574" s="33">
        <v>1571</v>
      </c>
      <c r="B1574" s="34" t="s">
        <v>1940</v>
      </c>
      <c r="C1574" s="33" t="s">
        <v>297</v>
      </c>
      <c r="D1574" s="33" t="s">
        <v>61</v>
      </c>
      <c r="E1574" s="33" t="s">
        <v>1863</v>
      </c>
      <c r="F1574" s="35">
        <v>1</v>
      </c>
      <c r="G1574" s="40">
        <v>0</v>
      </c>
      <c r="H1574" s="40">
        <v>0</v>
      </c>
      <c r="I1574" s="40">
        <v>0</v>
      </c>
      <c r="J1574" s="40">
        <v>0</v>
      </c>
      <c r="K1574" s="40">
        <v>0</v>
      </c>
      <c r="L1574" s="40">
        <v>0</v>
      </c>
      <c r="M1574" s="40" cm="1">
        <f t="array" ref="M1574:N1574">VLOOKUP(B1574,'Fumigation  Room'!B:H,{6,7},0)</f>
        <v>0</v>
      </c>
      <c r="N1574" s="40">
        <v>0</v>
      </c>
      <c r="O1574" s="40">
        <f t="shared" si="49"/>
        <v>0</v>
      </c>
      <c r="P1574" s="40">
        <f t="shared" si="50"/>
        <v>0</v>
      </c>
    </row>
    <row r="1575" spans="1:16" x14ac:dyDescent="0.35">
      <c r="A1575" s="33">
        <v>1572</v>
      </c>
      <c r="B1575" s="34" t="s">
        <v>188</v>
      </c>
      <c r="C1575" s="33" t="s">
        <v>297</v>
      </c>
      <c r="D1575" s="33" t="s">
        <v>61</v>
      </c>
      <c r="E1575" s="33" t="s">
        <v>1863</v>
      </c>
      <c r="F1575" s="35">
        <v>1</v>
      </c>
      <c r="G1575" s="40">
        <v>0</v>
      </c>
      <c r="H1575" s="40">
        <v>0</v>
      </c>
      <c r="I1575" s="40">
        <v>0</v>
      </c>
      <c r="J1575" s="40">
        <v>0</v>
      </c>
      <c r="K1575" s="40">
        <v>0</v>
      </c>
      <c r="L1575" s="40">
        <v>0</v>
      </c>
      <c r="M1575" s="40" cm="1">
        <f t="array" ref="M1575:N1575">VLOOKUP(B1575,'Fumigation  Room'!B:H,{6,7},0)</f>
        <v>0</v>
      </c>
      <c r="N1575" s="40">
        <v>0</v>
      </c>
      <c r="O1575" s="40">
        <f t="shared" si="49"/>
        <v>0</v>
      </c>
      <c r="P1575" s="40">
        <f t="shared" si="50"/>
        <v>0</v>
      </c>
    </row>
    <row r="1576" spans="1:16" x14ac:dyDescent="0.35">
      <c r="A1576" s="33">
        <v>1573</v>
      </c>
      <c r="B1576" s="34" t="s">
        <v>1941</v>
      </c>
      <c r="C1576" s="33" t="s">
        <v>297</v>
      </c>
      <c r="D1576" s="33" t="s">
        <v>61</v>
      </c>
      <c r="E1576" s="33" t="s">
        <v>1863</v>
      </c>
      <c r="F1576" s="35">
        <v>1</v>
      </c>
      <c r="G1576" s="40">
        <v>0</v>
      </c>
      <c r="H1576" s="40">
        <v>0</v>
      </c>
      <c r="I1576" s="40">
        <v>0</v>
      </c>
      <c r="J1576" s="40">
        <v>0</v>
      </c>
      <c r="K1576" s="40">
        <v>0</v>
      </c>
      <c r="L1576" s="40">
        <v>0</v>
      </c>
      <c r="M1576" s="40" cm="1">
        <f t="array" ref="M1576:N1576">VLOOKUP(B1576,'Fumigation  Room'!B:H,{6,7},0)</f>
        <v>0</v>
      </c>
      <c r="N1576" s="40">
        <v>0</v>
      </c>
      <c r="O1576" s="40">
        <f t="shared" si="49"/>
        <v>0</v>
      </c>
      <c r="P1576" s="40">
        <f t="shared" si="50"/>
        <v>0</v>
      </c>
    </row>
    <row r="1577" spans="1:16" x14ac:dyDescent="0.35">
      <c r="A1577" s="33">
        <v>1574</v>
      </c>
      <c r="B1577" s="34" t="s">
        <v>1942</v>
      </c>
      <c r="C1577" s="33" t="s">
        <v>297</v>
      </c>
      <c r="D1577" s="33" t="s">
        <v>61</v>
      </c>
      <c r="E1577" s="33" t="s">
        <v>1863</v>
      </c>
      <c r="F1577" s="35">
        <v>1</v>
      </c>
      <c r="G1577" s="40">
        <v>0</v>
      </c>
      <c r="H1577" s="40">
        <v>0</v>
      </c>
      <c r="I1577" s="40">
        <v>0</v>
      </c>
      <c r="J1577" s="40">
        <v>0</v>
      </c>
      <c r="K1577" s="40">
        <v>0</v>
      </c>
      <c r="L1577" s="40">
        <v>0</v>
      </c>
      <c r="M1577" s="40" cm="1">
        <f t="array" ref="M1577:N1577">VLOOKUP(B1577,'Fumigation  Room'!B:H,{6,7},0)</f>
        <v>0</v>
      </c>
      <c r="N1577" s="40">
        <v>0</v>
      </c>
      <c r="O1577" s="40">
        <f t="shared" si="49"/>
        <v>0</v>
      </c>
      <c r="P1577" s="40">
        <f t="shared" si="50"/>
        <v>0</v>
      </c>
    </row>
    <row r="1578" spans="1:16" x14ac:dyDescent="0.35">
      <c r="A1578" s="33">
        <v>1575</v>
      </c>
      <c r="B1578" s="34" t="s">
        <v>1943</v>
      </c>
      <c r="C1578" s="33" t="s">
        <v>297</v>
      </c>
      <c r="D1578" s="33" t="s">
        <v>61</v>
      </c>
      <c r="E1578" s="33" t="s">
        <v>1863</v>
      </c>
      <c r="F1578" s="35">
        <v>1</v>
      </c>
      <c r="G1578" s="40">
        <v>0</v>
      </c>
      <c r="H1578" s="40">
        <v>0</v>
      </c>
      <c r="I1578" s="40">
        <v>0</v>
      </c>
      <c r="J1578" s="40">
        <v>0</v>
      </c>
      <c r="K1578" s="40">
        <v>0</v>
      </c>
      <c r="L1578" s="40">
        <v>0</v>
      </c>
      <c r="M1578" s="40" cm="1">
        <f t="array" ref="M1578:N1578">VLOOKUP(B1578,'Fumigation  Room'!B:H,{6,7},0)</f>
        <v>0</v>
      </c>
      <c r="N1578" s="40">
        <v>0</v>
      </c>
      <c r="O1578" s="40">
        <f t="shared" si="49"/>
        <v>0</v>
      </c>
      <c r="P1578" s="40">
        <f t="shared" si="50"/>
        <v>0</v>
      </c>
    </row>
    <row r="1579" spans="1:16" x14ac:dyDescent="0.35">
      <c r="A1579" s="33">
        <v>1576</v>
      </c>
      <c r="B1579" s="34" t="s">
        <v>1944</v>
      </c>
      <c r="C1579" s="33" t="s">
        <v>297</v>
      </c>
      <c r="D1579" s="33" t="s">
        <v>61</v>
      </c>
      <c r="E1579" s="33" t="s">
        <v>1863</v>
      </c>
      <c r="F1579" s="35">
        <v>1</v>
      </c>
      <c r="G1579" s="40">
        <v>0</v>
      </c>
      <c r="H1579" s="40">
        <v>0</v>
      </c>
      <c r="I1579" s="40">
        <v>0</v>
      </c>
      <c r="J1579" s="40">
        <v>0</v>
      </c>
      <c r="K1579" s="40">
        <v>0</v>
      </c>
      <c r="L1579" s="40">
        <v>0</v>
      </c>
      <c r="M1579" s="40" cm="1">
        <f t="array" ref="M1579:N1579">VLOOKUP(B1579,'Fumigation  Room'!B:H,{6,7},0)</f>
        <v>0</v>
      </c>
      <c r="N1579" s="40">
        <v>0</v>
      </c>
      <c r="O1579" s="40">
        <f t="shared" si="49"/>
        <v>0</v>
      </c>
      <c r="P1579" s="40">
        <f t="shared" si="50"/>
        <v>0</v>
      </c>
    </row>
    <row r="1580" spans="1:16" x14ac:dyDescent="0.35">
      <c r="A1580" s="33">
        <v>1577</v>
      </c>
      <c r="B1580" s="34" t="s">
        <v>1945</v>
      </c>
      <c r="C1580" s="33" t="s">
        <v>297</v>
      </c>
      <c r="D1580" s="33" t="s">
        <v>61</v>
      </c>
      <c r="E1580" s="33" t="s">
        <v>1863</v>
      </c>
      <c r="F1580" s="35">
        <v>1</v>
      </c>
      <c r="G1580" s="40">
        <v>0</v>
      </c>
      <c r="H1580" s="40">
        <v>0</v>
      </c>
      <c r="I1580" s="40">
        <v>0</v>
      </c>
      <c r="J1580" s="40">
        <v>0</v>
      </c>
      <c r="K1580" s="40">
        <v>0</v>
      </c>
      <c r="L1580" s="40">
        <v>0</v>
      </c>
      <c r="M1580" s="40" cm="1">
        <f t="array" ref="M1580:N1580">VLOOKUP(B1580,'Fumigation  Room'!B:H,{6,7},0)</f>
        <v>0</v>
      </c>
      <c r="N1580" s="40">
        <v>0</v>
      </c>
      <c r="O1580" s="40">
        <f t="shared" si="49"/>
        <v>0</v>
      </c>
      <c r="P1580" s="40">
        <f t="shared" si="50"/>
        <v>0</v>
      </c>
    </row>
    <row r="1581" spans="1:16" x14ac:dyDescent="0.35">
      <c r="A1581" s="33">
        <v>1578</v>
      </c>
      <c r="B1581" s="34" t="s">
        <v>1946</v>
      </c>
      <c r="C1581" s="33" t="s">
        <v>297</v>
      </c>
      <c r="D1581" s="33" t="s">
        <v>61</v>
      </c>
      <c r="E1581" s="33" t="s">
        <v>1863</v>
      </c>
      <c r="F1581" s="35">
        <v>1</v>
      </c>
      <c r="G1581" s="40">
        <v>0</v>
      </c>
      <c r="H1581" s="40">
        <v>0</v>
      </c>
      <c r="I1581" s="40">
        <v>0</v>
      </c>
      <c r="J1581" s="40">
        <v>0</v>
      </c>
      <c r="K1581" s="40">
        <v>0</v>
      </c>
      <c r="L1581" s="40">
        <v>0</v>
      </c>
      <c r="M1581" s="40" cm="1">
        <f t="array" ref="M1581:N1581">VLOOKUP(B1581,'Fumigation  Room'!B:H,{6,7},0)</f>
        <v>0</v>
      </c>
      <c r="N1581" s="40">
        <v>0</v>
      </c>
      <c r="O1581" s="40">
        <f t="shared" si="49"/>
        <v>0</v>
      </c>
      <c r="P1581" s="40">
        <f t="shared" si="50"/>
        <v>0</v>
      </c>
    </row>
    <row r="1582" spans="1:16" x14ac:dyDescent="0.35">
      <c r="A1582" s="33">
        <v>1579</v>
      </c>
      <c r="B1582" s="34" t="s">
        <v>1947</v>
      </c>
      <c r="C1582" s="33" t="s">
        <v>297</v>
      </c>
      <c r="D1582" s="33" t="s">
        <v>61</v>
      </c>
      <c r="E1582" s="33" t="s">
        <v>1863</v>
      </c>
      <c r="F1582" s="35">
        <v>1</v>
      </c>
      <c r="G1582" s="40">
        <v>0</v>
      </c>
      <c r="H1582" s="40">
        <v>0</v>
      </c>
      <c r="I1582" s="40">
        <v>0</v>
      </c>
      <c r="J1582" s="40">
        <v>0</v>
      </c>
      <c r="K1582" s="40">
        <v>0</v>
      </c>
      <c r="L1582" s="40">
        <v>0</v>
      </c>
      <c r="M1582" s="40" cm="1">
        <f t="array" ref="M1582:N1582">VLOOKUP(B1582,'Fumigation  Room'!B:H,{6,7},0)</f>
        <v>0</v>
      </c>
      <c r="N1582" s="40">
        <v>0</v>
      </c>
      <c r="O1582" s="40">
        <f t="shared" si="49"/>
        <v>0</v>
      </c>
      <c r="P1582" s="40">
        <f t="shared" si="50"/>
        <v>0</v>
      </c>
    </row>
    <row r="1583" spans="1:16" x14ac:dyDescent="0.35">
      <c r="A1583" s="33">
        <v>1580</v>
      </c>
      <c r="B1583" s="34" t="s">
        <v>1948</v>
      </c>
      <c r="C1583" s="33" t="s">
        <v>297</v>
      </c>
      <c r="D1583" s="33" t="s">
        <v>61</v>
      </c>
      <c r="E1583" s="33" t="s">
        <v>1863</v>
      </c>
      <c r="F1583" s="35">
        <v>1</v>
      </c>
      <c r="G1583" s="40">
        <v>0</v>
      </c>
      <c r="H1583" s="40">
        <v>0</v>
      </c>
      <c r="I1583" s="40">
        <v>0</v>
      </c>
      <c r="J1583" s="40">
        <v>0</v>
      </c>
      <c r="K1583" s="40">
        <v>0</v>
      </c>
      <c r="L1583" s="40">
        <v>0</v>
      </c>
      <c r="M1583" s="40" cm="1">
        <f t="array" ref="M1583:N1583">VLOOKUP(B1583,'Fumigation  Room'!B:H,{6,7},0)</f>
        <v>0</v>
      </c>
      <c r="N1583" s="40">
        <v>0</v>
      </c>
      <c r="O1583" s="40">
        <f t="shared" si="49"/>
        <v>0</v>
      </c>
      <c r="P1583" s="40">
        <f t="shared" si="50"/>
        <v>0</v>
      </c>
    </row>
    <row r="1584" spans="1:16" x14ac:dyDescent="0.35">
      <c r="A1584" s="33">
        <v>1581</v>
      </c>
      <c r="B1584" s="34" t="s">
        <v>1949</v>
      </c>
      <c r="C1584" s="33" t="s">
        <v>297</v>
      </c>
      <c r="D1584" s="33" t="s">
        <v>61</v>
      </c>
      <c r="E1584" s="33" t="s">
        <v>1863</v>
      </c>
      <c r="F1584" s="35">
        <v>1</v>
      </c>
      <c r="G1584" s="40">
        <v>0</v>
      </c>
      <c r="H1584" s="40">
        <v>0</v>
      </c>
      <c r="I1584" s="40">
        <v>0</v>
      </c>
      <c r="J1584" s="40">
        <v>0</v>
      </c>
      <c r="K1584" s="40">
        <v>0</v>
      </c>
      <c r="L1584" s="40">
        <v>0</v>
      </c>
      <c r="M1584" s="40" cm="1">
        <f t="array" ref="M1584:N1584">VLOOKUP(B1584,'Fumigation  Room'!B:H,{6,7},0)</f>
        <v>0</v>
      </c>
      <c r="N1584" s="40">
        <v>0</v>
      </c>
      <c r="O1584" s="40">
        <f t="shared" si="49"/>
        <v>0</v>
      </c>
      <c r="P1584" s="40">
        <f t="shared" si="50"/>
        <v>0</v>
      </c>
    </row>
    <row r="1585" spans="1:16" x14ac:dyDescent="0.35">
      <c r="A1585" s="33">
        <v>1582</v>
      </c>
      <c r="B1585" s="34" t="s">
        <v>1950</v>
      </c>
      <c r="C1585" s="33" t="s">
        <v>297</v>
      </c>
      <c r="D1585" s="33" t="s">
        <v>13</v>
      </c>
      <c r="E1585" s="33" t="s">
        <v>1951</v>
      </c>
      <c r="F1585" s="35">
        <v>1</v>
      </c>
      <c r="G1585" s="40">
        <v>0</v>
      </c>
      <c r="H1585" s="40">
        <v>0</v>
      </c>
      <c r="I1585" s="40">
        <v>0</v>
      </c>
      <c r="J1585" s="40">
        <v>0</v>
      </c>
      <c r="K1585" s="40">
        <v>0</v>
      </c>
      <c r="L1585" s="40">
        <v>0</v>
      </c>
      <c r="M1585" s="40" cm="1">
        <f t="array" ref="M1585:N1585">VLOOKUP(B1585,'Fumigation  Room'!B:H,{6,7},0)</f>
        <v>0</v>
      </c>
      <c r="N1585" s="40">
        <v>12.5</v>
      </c>
      <c r="O1585" s="40">
        <f t="shared" si="49"/>
        <v>0</v>
      </c>
      <c r="P1585" s="40">
        <f t="shared" si="50"/>
        <v>12.5</v>
      </c>
    </row>
    <row r="1586" spans="1:16" x14ac:dyDescent="0.35">
      <c r="A1586" s="33">
        <v>1583</v>
      </c>
      <c r="B1586" s="34" t="s">
        <v>1981</v>
      </c>
      <c r="C1586" s="33" t="s">
        <v>346</v>
      </c>
      <c r="D1586" s="33" t="s">
        <v>13</v>
      </c>
      <c r="E1586" s="33" t="s">
        <v>1951</v>
      </c>
      <c r="F1586" s="35">
        <v>0.25</v>
      </c>
      <c r="G1586" s="40">
        <v>0</v>
      </c>
      <c r="H1586" s="40">
        <v>0</v>
      </c>
      <c r="I1586" s="40">
        <v>0</v>
      </c>
      <c r="J1586" s="40">
        <v>0</v>
      </c>
      <c r="K1586" s="40">
        <v>0</v>
      </c>
      <c r="L1586" s="40">
        <v>0</v>
      </c>
      <c r="M1586" s="40" cm="1">
        <f t="array" ref="M1586:N1586">VLOOKUP(B1586,'Fumigation  Room'!B:H,{6,7},0)</f>
        <v>0</v>
      </c>
      <c r="N1586" s="40">
        <v>0</v>
      </c>
      <c r="O1586" s="40">
        <f t="shared" si="49"/>
        <v>0</v>
      </c>
      <c r="P1586" s="40">
        <f t="shared" si="50"/>
        <v>0</v>
      </c>
    </row>
    <row r="1587" spans="1:16" x14ac:dyDescent="0.35">
      <c r="A1587" s="33">
        <v>1584</v>
      </c>
      <c r="B1587" s="34" t="s">
        <v>1982</v>
      </c>
      <c r="C1587" s="33" t="s">
        <v>346</v>
      </c>
      <c r="D1587" s="33" t="s">
        <v>13</v>
      </c>
      <c r="E1587" s="33" t="s">
        <v>1951</v>
      </c>
      <c r="F1587" s="35">
        <v>1</v>
      </c>
      <c r="G1587" s="40">
        <v>0</v>
      </c>
      <c r="H1587" s="40">
        <v>0</v>
      </c>
      <c r="I1587" s="40">
        <v>0</v>
      </c>
      <c r="J1587" s="40">
        <v>0</v>
      </c>
      <c r="K1587" s="40">
        <v>0</v>
      </c>
      <c r="L1587" s="40">
        <v>0</v>
      </c>
      <c r="M1587" s="40" cm="1">
        <f t="array" ref="M1587:N1587">VLOOKUP(B1587,'Fumigation  Room'!B:H,{6,7},0)</f>
        <v>0</v>
      </c>
      <c r="N1587" s="40">
        <v>0</v>
      </c>
      <c r="O1587" s="40">
        <f t="shared" si="49"/>
        <v>0</v>
      </c>
      <c r="P1587" s="40">
        <f t="shared" si="50"/>
        <v>0</v>
      </c>
    </row>
    <row r="1588" spans="1:16" x14ac:dyDescent="0.35">
      <c r="A1588" s="33">
        <v>1585</v>
      </c>
      <c r="B1588" s="34" t="s">
        <v>1983</v>
      </c>
      <c r="C1588" s="33" t="s">
        <v>346</v>
      </c>
      <c r="D1588" s="33" t="s">
        <v>13</v>
      </c>
      <c r="E1588" s="33" t="s">
        <v>1951</v>
      </c>
      <c r="F1588" s="35">
        <v>0.1</v>
      </c>
      <c r="G1588" s="40">
        <v>0</v>
      </c>
      <c r="H1588" s="40">
        <v>0</v>
      </c>
      <c r="I1588" s="40">
        <v>0</v>
      </c>
      <c r="J1588" s="40">
        <v>0</v>
      </c>
      <c r="K1588" s="40">
        <v>0</v>
      </c>
      <c r="L1588" s="40">
        <v>0</v>
      </c>
      <c r="M1588" s="40" cm="1">
        <f t="array" ref="M1588:N1588">VLOOKUP(B1588,'Fumigation  Room'!B:H,{6,7},0)</f>
        <v>0</v>
      </c>
      <c r="N1588" s="40">
        <v>0</v>
      </c>
      <c r="O1588" s="40">
        <f t="shared" si="49"/>
        <v>0</v>
      </c>
      <c r="P1588" s="40">
        <f t="shared" si="50"/>
        <v>0</v>
      </c>
    </row>
    <row r="1589" spans="1:16" x14ac:dyDescent="0.35">
      <c r="A1589" s="33">
        <v>1586</v>
      </c>
      <c r="B1589" s="34" t="s">
        <v>1984</v>
      </c>
      <c r="C1589" s="33" t="s">
        <v>346</v>
      </c>
      <c r="D1589" s="33" t="s">
        <v>13</v>
      </c>
      <c r="E1589" s="33" t="s">
        <v>1951</v>
      </c>
      <c r="F1589" s="35">
        <v>0.1</v>
      </c>
      <c r="G1589" s="40">
        <v>0</v>
      </c>
      <c r="H1589" s="40">
        <v>0</v>
      </c>
      <c r="I1589" s="40">
        <v>0</v>
      </c>
      <c r="J1589" s="40">
        <v>0</v>
      </c>
      <c r="K1589" s="40">
        <v>0</v>
      </c>
      <c r="L1589" s="40">
        <v>0</v>
      </c>
      <c r="M1589" s="40" cm="1">
        <f t="array" ref="M1589:N1589">VLOOKUP(B1589,'Fumigation  Room'!B:H,{6,7},0)</f>
        <v>0</v>
      </c>
      <c r="N1589" s="40">
        <v>0</v>
      </c>
      <c r="O1589" s="40">
        <f t="shared" si="49"/>
        <v>0</v>
      </c>
      <c r="P1589" s="40">
        <f t="shared" si="50"/>
        <v>0</v>
      </c>
    </row>
    <row r="1590" spans="1:16" x14ac:dyDescent="0.35">
      <c r="A1590" s="33">
        <v>1587</v>
      </c>
      <c r="B1590" s="34" t="s">
        <v>1985</v>
      </c>
      <c r="C1590" s="33" t="s">
        <v>346</v>
      </c>
      <c r="D1590" s="33" t="s">
        <v>13</v>
      </c>
      <c r="E1590" s="33" t="s">
        <v>1951</v>
      </c>
      <c r="F1590" s="35">
        <v>0.2</v>
      </c>
      <c r="G1590" s="40">
        <v>0</v>
      </c>
      <c r="H1590" s="40">
        <v>0</v>
      </c>
      <c r="I1590" s="40">
        <v>0</v>
      </c>
      <c r="J1590" s="40">
        <v>0</v>
      </c>
      <c r="K1590" s="40">
        <v>0</v>
      </c>
      <c r="L1590" s="40">
        <v>0</v>
      </c>
      <c r="M1590" s="40" cm="1">
        <f t="array" ref="M1590:N1590">VLOOKUP(B1590,'Fumigation  Room'!B:H,{6,7},0)</f>
        <v>0</v>
      </c>
      <c r="N1590" s="40">
        <v>0</v>
      </c>
      <c r="O1590" s="40">
        <f t="shared" si="49"/>
        <v>0</v>
      </c>
      <c r="P1590" s="40">
        <f t="shared" si="50"/>
        <v>0</v>
      </c>
    </row>
    <row r="1591" spans="1:16" x14ac:dyDescent="0.35">
      <c r="A1591" s="33">
        <v>1588</v>
      </c>
      <c r="B1591" s="34" t="s">
        <v>1986</v>
      </c>
      <c r="C1591" s="33" t="s">
        <v>346</v>
      </c>
      <c r="D1591" s="33" t="s">
        <v>13</v>
      </c>
      <c r="E1591" s="33" t="s">
        <v>1951</v>
      </c>
      <c r="F1591" s="35">
        <v>0.5</v>
      </c>
      <c r="G1591" s="40">
        <v>0</v>
      </c>
      <c r="H1591" s="40">
        <v>0</v>
      </c>
      <c r="I1591" s="40">
        <v>0</v>
      </c>
      <c r="J1591" s="40">
        <v>0</v>
      </c>
      <c r="K1591" s="40">
        <v>0</v>
      </c>
      <c r="L1591" s="40">
        <v>0</v>
      </c>
      <c r="M1591" s="40" cm="1">
        <f t="array" ref="M1591:N1591">VLOOKUP(B1591,'Fumigation  Room'!B:H,{6,7},0)</f>
        <v>0</v>
      </c>
      <c r="N1591" s="40">
        <v>0</v>
      </c>
      <c r="O1591" s="40">
        <f t="shared" si="49"/>
        <v>0</v>
      </c>
      <c r="P1591" s="40">
        <f t="shared" si="50"/>
        <v>0</v>
      </c>
    </row>
    <row r="1592" spans="1:16" x14ac:dyDescent="0.35">
      <c r="A1592" s="33">
        <v>1589</v>
      </c>
      <c r="B1592" s="34" t="s">
        <v>1987</v>
      </c>
      <c r="C1592" s="33" t="s">
        <v>346</v>
      </c>
      <c r="D1592" s="33" t="s">
        <v>13</v>
      </c>
      <c r="E1592" s="33" t="s">
        <v>1951</v>
      </c>
      <c r="F1592" s="35">
        <v>0.1</v>
      </c>
      <c r="G1592" s="40">
        <v>0</v>
      </c>
      <c r="H1592" s="40">
        <v>0</v>
      </c>
      <c r="I1592" s="40">
        <v>0</v>
      </c>
      <c r="J1592" s="40">
        <v>0</v>
      </c>
      <c r="K1592" s="40">
        <v>0</v>
      </c>
      <c r="L1592" s="40">
        <v>0</v>
      </c>
      <c r="M1592" s="40" cm="1">
        <f t="array" ref="M1592:N1592">VLOOKUP(B1592,'Fumigation  Room'!B:H,{6,7},0)</f>
        <v>0</v>
      </c>
      <c r="N1592" s="40">
        <v>0</v>
      </c>
      <c r="O1592" s="40">
        <f t="shared" si="49"/>
        <v>0</v>
      </c>
      <c r="P1592" s="40">
        <f t="shared" si="50"/>
        <v>0</v>
      </c>
    </row>
    <row r="1593" spans="1:16" x14ac:dyDescent="0.35">
      <c r="A1593" s="33">
        <v>1590</v>
      </c>
      <c r="B1593" s="34" t="s">
        <v>1988</v>
      </c>
      <c r="C1593" s="33" t="s">
        <v>346</v>
      </c>
      <c r="D1593" s="33" t="s">
        <v>13</v>
      </c>
      <c r="E1593" s="33" t="s">
        <v>1951</v>
      </c>
      <c r="F1593" s="35">
        <v>0.1</v>
      </c>
      <c r="G1593" s="40">
        <v>0</v>
      </c>
      <c r="H1593" s="40">
        <v>0</v>
      </c>
      <c r="I1593" s="40">
        <v>0</v>
      </c>
      <c r="J1593" s="40">
        <v>0</v>
      </c>
      <c r="K1593" s="40">
        <v>0</v>
      </c>
      <c r="L1593" s="40">
        <v>0</v>
      </c>
      <c r="M1593" s="40" cm="1">
        <f t="array" ref="M1593:N1593">VLOOKUP(B1593,'Fumigation  Room'!B:H,{6,7},0)</f>
        <v>0</v>
      </c>
      <c r="N1593" s="40">
        <v>0</v>
      </c>
      <c r="O1593" s="40">
        <f t="shared" si="49"/>
        <v>0</v>
      </c>
      <c r="P1593" s="40">
        <f t="shared" si="50"/>
        <v>0</v>
      </c>
    </row>
    <row r="1594" spans="1:16" x14ac:dyDescent="0.35">
      <c r="A1594" s="33">
        <v>1591</v>
      </c>
      <c r="B1594" s="34" t="s">
        <v>1989</v>
      </c>
      <c r="C1594" s="33" t="s">
        <v>346</v>
      </c>
      <c r="D1594" s="33" t="s">
        <v>13</v>
      </c>
      <c r="E1594" s="33" t="s">
        <v>1951</v>
      </c>
      <c r="F1594" s="35">
        <v>0.2</v>
      </c>
      <c r="G1594" s="40">
        <v>0</v>
      </c>
      <c r="H1594" s="40">
        <v>0</v>
      </c>
      <c r="I1594" s="40">
        <v>0</v>
      </c>
      <c r="J1594" s="40">
        <v>0</v>
      </c>
      <c r="K1594" s="40">
        <v>0</v>
      </c>
      <c r="L1594" s="40">
        <v>0</v>
      </c>
      <c r="M1594" s="40" cm="1">
        <f t="array" ref="M1594:N1594">VLOOKUP(B1594,'Fumigation  Room'!B:H,{6,7},0)</f>
        <v>0</v>
      </c>
      <c r="N1594" s="40">
        <v>0</v>
      </c>
      <c r="O1594" s="40">
        <f t="shared" si="49"/>
        <v>0</v>
      </c>
      <c r="P1594" s="40">
        <f t="shared" si="50"/>
        <v>0</v>
      </c>
    </row>
    <row r="1595" spans="1:16" x14ac:dyDescent="0.35">
      <c r="A1595" s="33">
        <v>1592</v>
      </c>
      <c r="B1595" s="34" t="s">
        <v>1990</v>
      </c>
      <c r="C1595" s="33" t="s">
        <v>346</v>
      </c>
      <c r="D1595" s="33" t="s">
        <v>13</v>
      </c>
      <c r="E1595" s="33" t="s">
        <v>1951</v>
      </c>
      <c r="F1595" s="35">
        <v>1</v>
      </c>
      <c r="G1595" s="40">
        <v>0</v>
      </c>
      <c r="H1595" s="40">
        <v>0</v>
      </c>
      <c r="I1595" s="40">
        <v>0</v>
      </c>
      <c r="J1595" s="40">
        <v>0</v>
      </c>
      <c r="K1595" s="40">
        <v>0</v>
      </c>
      <c r="L1595" s="40">
        <v>0</v>
      </c>
      <c r="M1595" s="40" cm="1">
        <f t="array" ref="M1595:N1595">VLOOKUP(B1595,'Fumigation  Room'!B:H,{6,7},0)</f>
        <v>0</v>
      </c>
      <c r="N1595" s="40">
        <v>0</v>
      </c>
      <c r="O1595" s="40">
        <f t="shared" si="49"/>
        <v>0</v>
      </c>
      <c r="P1595" s="40">
        <f t="shared" si="50"/>
        <v>0</v>
      </c>
    </row>
    <row r="1596" spans="1:16" x14ac:dyDescent="0.35">
      <c r="A1596" s="33">
        <v>1593</v>
      </c>
      <c r="B1596" s="34" t="s">
        <v>1991</v>
      </c>
      <c r="C1596" s="33" t="s">
        <v>346</v>
      </c>
      <c r="D1596" s="33" t="s">
        <v>13</v>
      </c>
      <c r="E1596" s="33" t="s">
        <v>1951</v>
      </c>
      <c r="F1596" s="35">
        <v>0.2</v>
      </c>
      <c r="G1596" s="40">
        <v>0</v>
      </c>
      <c r="H1596" s="40">
        <v>0</v>
      </c>
      <c r="I1596" s="40">
        <v>0</v>
      </c>
      <c r="J1596" s="40">
        <v>0</v>
      </c>
      <c r="K1596" s="40">
        <v>0</v>
      </c>
      <c r="L1596" s="40">
        <v>0</v>
      </c>
      <c r="M1596" s="40" cm="1">
        <f t="array" ref="M1596:N1596">VLOOKUP(B1596,'Fumigation  Room'!B:H,{6,7},0)</f>
        <v>0</v>
      </c>
      <c r="N1596" s="40">
        <v>0</v>
      </c>
      <c r="O1596" s="40">
        <f t="shared" si="49"/>
        <v>0</v>
      </c>
      <c r="P1596" s="40">
        <f t="shared" si="50"/>
        <v>0</v>
      </c>
    </row>
    <row r="1597" spans="1:16" x14ac:dyDescent="0.35">
      <c r="A1597" s="33">
        <v>1594</v>
      </c>
      <c r="B1597" s="34" t="s">
        <v>1992</v>
      </c>
      <c r="C1597" s="33" t="s">
        <v>346</v>
      </c>
      <c r="D1597" s="33" t="s">
        <v>13</v>
      </c>
      <c r="E1597" s="33" t="s">
        <v>1951</v>
      </c>
      <c r="F1597" s="35">
        <v>1</v>
      </c>
      <c r="G1597" s="40">
        <v>0</v>
      </c>
      <c r="H1597" s="40">
        <v>0</v>
      </c>
      <c r="I1597" s="40">
        <v>0</v>
      </c>
      <c r="J1597" s="40">
        <v>0</v>
      </c>
      <c r="K1597" s="40">
        <v>0</v>
      </c>
      <c r="L1597" s="40">
        <v>0</v>
      </c>
      <c r="M1597" s="40" cm="1">
        <f t="array" ref="M1597:N1597">VLOOKUP(B1597,'Fumigation  Room'!B:H,{6,7},0)</f>
        <v>0</v>
      </c>
      <c r="N1597" s="40">
        <v>0</v>
      </c>
      <c r="O1597" s="40">
        <f t="shared" si="49"/>
        <v>0</v>
      </c>
      <c r="P1597" s="40">
        <f t="shared" si="50"/>
        <v>0</v>
      </c>
    </row>
    <row r="1598" spans="1:16" x14ac:dyDescent="0.35">
      <c r="A1598" s="33">
        <v>1595</v>
      </c>
      <c r="B1598" s="34" t="s">
        <v>1952</v>
      </c>
      <c r="C1598" s="33" t="s">
        <v>297</v>
      </c>
      <c r="D1598" s="33" t="s">
        <v>13</v>
      </c>
      <c r="E1598" s="33" t="s">
        <v>1953</v>
      </c>
      <c r="F1598" s="35">
        <v>1</v>
      </c>
      <c r="G1598" s="40">
        <v>0</v>
      </c>
      <c r="H1598" s="40">
        <v>0</v>
      </c>
      <c r="I1598" s="40">
        <v>0</v>
      </c>
      <c r="J1598" s="40">
        <v>0</v>
      </c>
      <c r="K1598" s="40">
        <v>0</v>
      </c>
      <c r="L1598" s="40">
        <v>0</v>
      </c>
      <c r="M1598" s="40" cm="1">
        <f t="array" ref="M1598:N1598">VLOOKUP(B1598,'Fumigation  Room'!B:H,{6,7},0)</f>
        <v>0</v>
      </c>
      <c r="N1598" s="40">
        <v>0</v>
      </c>
      <c r="O1598" s="40">
        <f t="shared" si="49"/>
        <v>0</v>
      </c>
      <c r="P1598" s="40">
        <f t="shared" si="50"/>
        <v>0</v>
      </c>
    </row>
    <row r="1599" spans="1:16" x14ac:dyDescent="0.35">
      <c r="A1599" s="33">
        <v>1596</v>
      </c>
      <c r="B1599" s="34" t="s">
        <v>1954</v>
      </c>
      <c r="C1599" s="33" t="s">
        <v>297</v>
      </c>
      <c r="D1599" s="33" t="s">
        <v>13</v>
      </c>
      <c r="E1599" s="33" t="s">
        <v>1955</v>
      </c>
      <c r="F1599" s="35">
        <v>1</v>
      </c>
      <c r="G1599" s="40">
        <v>0</v>
      </c>
      <c r="H1599" s="40">
        <v>0</v>
      </c>
      <c r="I1599" s="40">
        <v>0</v>
      </c>
      <c r="J1599" s="40">
        <v>0</v>
      </c>
      <c r="K1599" s="40">
        <v>0</v>
      </c>
      <c r="L1599" s="40">
        <v>0</v>
      </c>
      <c r="M1599" s="40" cm="1">
        <f t="array" ref="M1599:N1599">VLOOKUP(B1599,'Fumigation  Room'!B:H,{6,7},0)</f>
        <v>0</v>
      </c>
      <c r="N1599" s="40">
        <v>2.4</v>
      </c>
      <c r="O1599" s="40">
        <f t="shared" si="49"/>
        <v>0</v>
      </c>
      <c r="P1599" s="40">
        <f t="shared" si="50"/>
        <v>2.4</v>
      </c>
    </row>
    <row r="1600" spans="1:16" x14ac:dyDescent="0.35">
      <c r="A1600" s="33">
        <v>1597</v>
      </c>
      <c r="B1600" s="34" t="s">
        <v>1993</v>
      </c>
      <c r="C1600" s="33" t="s">
        <v>346</v>
      </c>
      <c r="D1600" s="33" t="s">
        <v>13</v>
      </c>
      <c r="E1600" s="33" t="s">
        <v>1955</v>
      </c>
      <c r="F1600" s="35">
        <v>0.25</v>
      </c>
      <c r="G1600" s="40">
        <v>0</v>
      </c>
      <c r="H1600" s="40">
        <v>0</v>
      </c>
      <c r="I1600" s="40">
        <v>0</v>
      </c>
      <c r="J1600" s="40">
        <v>0</v>
      </c>
      <c r="K1600" s="40">
        <v>0</v>
      </c>
      <c r="L1600" s="40">
        <v>0</v>
      </c>
      <c r="M1600" s="40" cm="1">
        <f t="array" ref="M1600:N1600">VLOOKUP(B1600,'Fumigation  Room'!B:H,{6,7},0)</f>
        <v>0</v>
      </c>
      <c r="N1600" s="40">
        <v>0</v>
      </c>
      <c r="O1600" s="40">
        <f t="shared" si="49"/>
        <v>0</v>
      </c>
      <c r="P1600" s="40">
        <f t="shared" si="50"/>
        <v>0</v>
      </c>
    </row>
    <row r="1601" spans="1:16" x14ac:dyDescent="0.35">
      <c r="A1601" s="33">
        <v>1598</v>
      </c>
      <c r="B1601" s="34" t="s">
        <v>1994</v>
      </c>
      <c r="C1601" s="33" t="s">
        <v>346</v>
      </c>
      <c r="D1601" s="33" t="s">
        <v>13</v>
      </c>
      <c r="E1601" s="33" t="s">
        <v>1955</v>
      </c>
      <c r="F1601" s="35">
        <v>0.1</v>
      </c>
      <c r="G1601" s="40">
        <v>0</v>
      </c>
      <c r="H1601" s="40">
        <v>0</v>
      </c>
      <c r="I1601" s="40">
        <v>0</v>
      </c>
      <c r="J1601" s="40">
        <v>0</v>
      </c>
      <c r="K1601" s="40">
        <v>0</v>
      </c>
      <c r="L1601" s="40">
        <v>0</v>
      </c>
      <c r="M1601" s="40" cm="1">
        <f t="array" ref="M1601:N1601">VLOOKUP(B1601,'Fumigation  Room'!B:H,{6,7},0)</f>
        <v>0</v>
      </c>
      <c r="N1601" s="40">
        <v>0</v>
      </c>
      <c r="O1601" s="40">
        <f t="shared" si="49"/>
        <v>0</v>
      </c>
      <c r="P1601" s="40">
        <f t="shared" si="50"/>
        <v>0</v>
      </c>
    </row>
    <row r="1602" spans="1:16" x14ac:dyDescent="0.35">
      <c r="A1602" s="33">
        <v>1599</v>
      </c>
      <c r="B1602" s="34" t="s">
        <v>1995</v>
      </c>
      <c r="C1602" s="33" t="s">
        <v>346</v>
      </c>
      <c r="D1602" s="33" t="s">
        <v>13</v>
      </c>
      <c r="E1602" s="33" t="s">
        <v>1955</v>
      </c>
      <c r="F1602" s="35">
        <v>0.1</v>
      </c>
      <c r="G1602" s="40">
        <v>0</v>
      </c>
      <c r="H1602" s="40">
        <v>0</v>
      </c>
      <c r="I1602" s="40">
        <v>0</v>
      </c>
      <c r="J1602" s="40">
        <v>0</v>
      </c>
      <c r="K1602" s="40">
        <v>0</v>
      </c>
      <c r="L1602" s="40">
        <v>0</v>
      </c>
      <c r="M1602" s="40" cm="1">
        <f t="array" ref="M1602:N1602">VLOOKUP(B1602,'Fumigation  Room'!B:H,{6,7},0)</f>
        <v>0</v>
      </c>
      <c r="N1602" s="40">
        <v>0</v>
      </c>
      <c r="O1602" s="40">
        <f t="shared" si="49"/>
        <v>0</v>
      </c>
      <c r="P1602" s="40">
        <f t="shared" si="50"/>
        <v>0</v>
      </c>
    </row>
    <row r="1603" spans="1:16" x14ac:dyDescent="0.35">
      <c r="A1603" s="33">
        <v>1600</v>
      </c>
      <c r="B1603" s="34" t="s">
        <v>1996</v>
      </c>
      <c r="C1603" s="33" t="s">
        <v>346</v>
      </c>
      <c r="D1603" s="33" t="s">
        <v>13</v>
      </c>
      <c r="E1603" s="33" t="s">
        <v>1955</v>
      </c>
      <c r="F1603" s="35">
        <v>0.2</v>
      </c>
      <c r="G1603" s="40">
        <v>0</v>
      </c>
      <c r="H1603" s="40">
        <v>0</v>
      </c>
      <c r="I1603" s="40">
        <v>0</v>
      </c>
      <c r="J1603" s="40">
        <v>0</v>
      </c>
      <c r="K1603" s="40">
        <v>0</v>
      </c>
      <c r="L1603" s="40">
        <v>0</v>
      </c>
      <c r="M1603" s="40" cm="1">
        <f t="array" ref="M1603:N1603">VLOOKUP(B1603,'Fumigation  Room'!B:H,{6,7},0)</f>
        <v>0</v>
      </c>
      <c r="N1603" s="40">
        <v>0</v>
      </c>
      <c r="O1603" s="40">
        <f t="shared" si="49"/>
        <v>0</v>
      </c>
      <c r="P1603" s="40">
        <f t="shared" si="50"/>
        <v>0</v>
      </c>
    </row>
    <row r="1604" spans="1:16" x14ac:dyDescent="0.35">
      <c r="A1604" s="33">
        <v>1601</v>
      </c>
      <c r="B1604" s="34" t="s">
        <v>1997</v>
      </c>
      <c r="C1604" s="33" t="s">
        <v>346</v>
      </c>
      <c r="D1604" s="33" t="s">
        <v>13</v>
      </c>
      <c r="E1604" s="33" t="s">
        <v>1955</v>
      </c>
      <c r="F1604" s="35">
        <v>0.5</v>
      </c>
      <c r="G1604" s="40">
        <v>0</v>
      </c>
      <c r="H1604" s="40">
        <v>0</v>
      </c>
      <c r="I1604" s="40">
        <v>0</v>
      </c>
      <c r="J1604" s="40">
        <v>0</v>
      </c>
      <c r="K1604" s="40">
        <v>0</v>
      </c>
      <c r="L1604" s="40">
        <v>0</v>
      </c>
      <c r="M1604" s="40" cm="1">
        <f t="array" ref="M1604:N1604">VLOOKUP(B1604,'Fumigation  Room'!B:H,{6,7},0)</f>
        <v>0</v>
      </c>
      <c r="N1604" s="40">
        <v>0</v>
      </c>
      <c r="O1604" s="40">
        <f t="shared" si="49"/>
        <v>0</v>
      </c>
      <c r="P1604" s="40">
        <f t="shared" si="50"/>
        <v>0</v>
      </c>
    </row>
    <row r="1605" spans="1:16" x14ac:dyDescent="0.35">
      <c r="A1605" s="33">
        <v>1602</v>
      </c>
      <c r="B1605" s="34" t="s">
        <v>1998</v>
      </c>
      <c r="C1605" s="33" t="s">
        <v>346</v>
      </c>
      <c r="D1605" s="33" t="s">
        <v>13</v>
      </c>
      <c r="E1605" s="33" t="s">
        <v>1955</v>
      </c>
      <c r="F1605" s="35">
        <v>0.1</v>
      </c>
      <c r="G1605" s="40">
        <v>0</v>
      </c>
      <c r="H1605" s="40">
        <v>0</v>
      </c>
      <c r="I1605" s="40">
        <v>0</v>
      </c>
      <c r="J1605" s="40">
        <v>0</v>
      </c>
      <c r="K1605" s="40">
        <v>0</v>
      </c>
      <c r="L1605" s="40">
        <v>0</v>
      </c>
      <c r="M1605" s="40" cm="1">
        <f t="array" ref="M1605:N1605">VLOOKUP(B1605,'Fumigation  Room'!B:H,{6,7},0)</f>
        <v>0</v>
      </c>
      <c r="N1605" s="40">
        <v>0</v>
      </c>
      <c r="O1605" s="40">
        <f t="shared" ref="O1605:O1668" si="51">G1605+I1605+K1605+M1605</f>
        <v>0</v>
      </c>
      <c r="P1605" s="40">
        <f t="shared" ref="P1605:P1668" si="52">H1605+J1605+L1605+N1605</f>
        <v>0</v>
      </c>
    </row>
    <row r="1606" spans="1:16" x14ac:dyDescent="0.35">
      <c r="A1606" s="33">
        <v>1603</v>
      </c>
      <c r="B1606" s="34" t="s">
        <v>1999</v>
      </c>
      <c r="C1606" s="33" t="s">
        <v>346</v>
      </c>
      <c r="D1606" s="33" t="s">
        <v>13</v>
      </c>
      <c r="E1606" s="33" t="s">
        <v>1955</v>
      </c>
      <c r="F1606" s="35">
        <v>1</v>
      </c>
      <c r="G1606" s="40">
        <v>0</v>
      </c>
      <c r="H1606" s="40">
        <v>0</v>
      </c>
      <c r="I1606" s="40">
        <v>0</v>
      </c>
      <c r="J1606" s="40">
        <v>0</v>
      </c>
      <c r="K1606" s="40">
        <v>0</v>
      </c>
      <c r="L1606" s="40">
        <v>0</v>
      </c>
      <c r="M1606" s="40" cm="1">
        <f t="array" ref="M1606:N1606">VLOOKUP(B1606,'Fumigation  Room'!B:H,{6,7},0)</f>
        <v>0</v>
      </c>
      <c r="N1606" s="40">
        <v>0</v>
      </c>
      <c r="O1606" s="40">
        <f t="shared" si="51"/>
        <v>0</v>
      </c>
      <c r="P1606" s="40">
        <f t="shared" si="52"/>
        <v>0</v>
      </c>
    </row>
    <row r="1607" spans="1:16" x14ac:dyDescent="0.35">
      <c r="A1607" s="33">
        <v>1604</v>
      </c>
      <c r="B1607" s="34" t="s">
        <v>2000</v>
      </c>
      <c r="C1607" s="33" t="s">
        <v>346</v>
      </c>
      <c r="D1607" s="33" t="s">
        <v>13</v>
      </c>
      <c r="E1607" s="33" t="s">
        <v>2001</v>
      </c>
      <c r="F1607" s="35">
        <v>1</v>
      </c>
      <c r="G1607" s="40">
        <v>0</v>
      </c>
      <c r="H1607" s="40">
        <v>0</v>
      </c>
      <c r="I1607" s="40">
        <v>0</v>
      </c>
      <c r="J1607" s="40">
        <v>0</v>
      </c>
      <c r="K1607" s="40">
        <v>0</v>
      </c>
      <c r="L1607" s="40">
        <v>0</v>
      </c>
      <c r="M1607" s="40" cm="1">
        <f t="array" ref="M1607:N1607">VLOOKUP(B1607,'Fumigation  Room'!B:H,{6,7},0)</f>
        <v>0</v>
      </c>
      <c r="N1607" s="40">
        <v>0</v>
      </c>
      <c r="O1607" s="40">
        <f t="shared" si="51"/>
        <v>0</v>
      </c>
      <c r="P1607" s="40">
        <f t="shared" si="52"/>
        <v>0</v>
      </c>
    </row>
    <row r="1608" spans="1:16" x14ac:dyDescent="0.35">
      <c r="A1608" s="33">
        <v>1605</v>
      </c>
      <c r="B1608" s="34" t="s">
        <v>2002</v>
      </c>
      <c r="C1608" s="33" t="s">
        <v>346</v>
      </c>
      <c r="D1608" s="33" t="s">
        <v>13</v>
      </c>
      <c r="E1608" s="33" t="s">
        <v>1955</v>
      </c>
      <c r="F1608" s="35">
        <v>1</v>
      </c>
      <c r="G1608" s="40">
        <v>0</v>
      </c>
      <c r="H1608" s="40">
        <v>0</v>
      </c>
      <c r="I1608" s="40">
        <v>0</v>
      </c>
      <c r="J1608" s="40">
        <v>0</v>
      </c>
      <c r="K1608" s="40">
        <v>0</v>
      </c>
      <c r="L1608" s="40">
        <v>0</v>
      </c>
      <c r="M1608" s="40" cm="1">
        <f t="array" ref="M1608:N1608">VLOOKUP(B1608,'Fumigation  Room'!B:H,{6,7},0)</f>
        <v>0</v>
      </c>
      <c r="N1608" s="40">
        <v>0</v>
      </c>
      <c r="O1608" s="40">
        <f t="shared" si="51"/>
        <v>0</v>
      </c>
      <c r="P1608" s="40">
        <f t="shared" si="52"/>
        <v>0</v>
      </c>
    </row>
    <row r="1609" spans="1:16" x14ac:dyDescent="0.35">
      <c r="A1609" s="33">
        <v>1606</v>
      </c>
      <c r="B1609" s="34" t="s">
        <v>2003</v>
      </c>
      <c r="C1609" s="33" t="s">
        <v>346</v>
      </c>
      <c r="D1609" s="33" t="s">
        <v>13</v>
      </c>
      <c r="E1609" s="33" t="s">
        <v>1955</v>
      </c>
      <c r="F1609" s="35">
        <v>1</v>
      </c>
      <c r="G1609" s="40">
        <v>0</v>
      </c>
      <c r="H1609" s="40">
        <v>0</v>
      </c>
      <c r="I1609" s="40">
        <v>0</v>
      </c>
      <c r="J1609" s="40">
        <v>0</v>
      </c>
      <c r="K1609" s="40">
        <v>0</v>
      </c>
      <c r="L1609" s="40">
        <v>0</v>
      </c>
      <c r="M1609" s="40" cm="1">
        <f t="array" ref="M1609:N1609">VLOOKUP(B1609,'Fumigation  Room'!B:H,{6,7},0)</f>
        <v>0</v>
      </c>
      <c r="N1609" s="40">
        <v>0</v>
      </c>
      <c r="O1609" s="40">
        <f t="shared" si="51"/>
        <v>0</v>
      </c>
      <c r="P1609" s="40">
        <f t="shared" si="52"/>
        <v>0</v>
      </c>
    </row>
    <row r="1610" spans="1:16" x14ac:dyDescent="0.35">
      <c r="A1610" s="33">
        <v>1607</v>
      </c>
      <c r="B1610" s="34" t="s">
        <v>1956</v>
      </c>
      <c r="C1610" s="33" t="s">
        <v>297</v>
      </c>
      <c r="D1610" s="33" t="s">
        <v>13</v>
      </c>
      <c r="E1610" s="33" t="s">
        <v>1957</v>
      </c>
      <c r="F1610" s="35">
        <v>1</v>
      </c>
      <c r="G1610" s="40">
        <v>0</v>
      </c>
      <c r="H1610" s="40">
        <v>0</v>
      </c>
      <c r="I1610" s="40">
        <v>0</v>
      </c>
      <c r="J1610" s="40">
        <v>0</v>
      </c>
      <c r="K1610" s="40">
        <v>0</v>
      </c>
      <c r="L1610" s="40">
        <v>0</v>
      </c>
      <c r="M1610" s="40" cm="1">
        <f t="array" ref="M1610:N1610">VLOOKUP(B1610,'Fumigation  Room'!B:H,{6,7},0)</f>
        <v>0</v>
      </c>
      <c r="N1610" s="40">
        <v>0</v>
      </c>
      <c r="O1610" s="40">
        <f t="shared" si="51"/>
        <v>0</v>
      </c>
      <c r="P1610" s="40">
        <f t="shared" si="52"/>
        <v>0</v>
      </c>
    </row>
    <row r="1611" spans="1:16" x14ac:dyDescent="0.35">
      <c r="A1611" s="33">
        <v>1608</v>
      </c>
      <c r="B1611" s="34" t="s">
        <v>1958</v>
      </c>
      <c r="C1611" s="33" t="s">
        <v>297</v>
      </c>
      <c r="D1611" s="33" t="s">
        <v>13</v>
      </c>
      <c r="E1611" s="33" t="s">
        <v>1959</v>
      </c>
      <c r="F1611" s="35">
        <v>1</v>
      </c>
      <c r="G1611" s="40">
        <v>0</v>
      </c>
      <c r="H1611" s="40">
        <v>0</v>
      </c>
      <c r="I1611" s="40">
        <v>0</v>
      </c>
      <c r="J1611" s="40">
        <v>0</v>
      </c>
      <c r="K1611" s="40">
        <v>0</v>
      </c>
      <c r="L1611" s="40">
        <v>0</v>
      </c>
      <c r="M1611" s="40" cm="1">
        <f t="array" ref="M1611:N1611">VLOOKUP(B1611,'Fumigation  Room'!B:H,{6,7},0)</f>
        <v>0</v>
      </c>
      <c r="N1611" s="40">
        <v>0</v>
      </c>
      <c r="O1611" s="40">
        <f t="shared" si="51"/>
        <v>0</v>
      </c>
      <c r="P1611" s="40">
        <f t="shared" si="52"/>
        <v>0</v>
      </c>
    </row>
    <row r="1612" spans="1:16" x14ac:dyDescent="0.35">
      <c r="A1612" s="33">
        <v>1609</v>
      </c>
      <c r="B1612" s="34" t="s">
        <v>1960</v>
      </c>
      <c r="C1612" s="33" t="s">
        <v>297</v>
      </c>
      <c r="D1612" s="33" t="s">
        <v>13</v>
      </c>
      <c r="E1612" s="33" t="s">
        <v>1961</v>
      </c>
      <c r="F1612" s="35">
        <v>1</v>
      </c>
      <c r="G1612" s="40">
        <v>0</v>
      </c>
      <c r="H1612" s="40">
        <v>0</v>
      </c>
      <c r="I1612" s="40">
        <v>0</v>
      </c>
      <c r="J1612" s="40">
        <v>0</v>
      </c>
      <c r="K1612" s="40">
        <v>0</v>
      </c>
      <c r="L1612" s="40">
        <v>0</v>
      </c>
      <c r="M1612" s="40" cm="1">
        <f t="array" ref="M1612:N1612">VLOOKUP(B1612,'Fumigation  Room'!B:H,{6,7},0)</f>
        <v>0</v>
      </c>
      <c r="N1612" s="40">
        <v>0</v>
      </c>
      <c r="O1612" s="40">
        <f t="shared" si="51"/>
        <v>0</v>
      </c>
      <c r="P1612" s="40">
        <f t="shared" si="52"/>
        <v>0</v>
      </c>
    </row>
    <row r="1613" spans="1:16" x14ac:dyDescent="0.35">
      <c r="A1613" s="33">
        <v>1610</v>
      </c>
      <c r="B1613" s="34" t="s">
        <v>1963</v>
      </c>
      <c r="C1613" s="33" t="s">
        <v>297</v>
      </c>
      <c r="D1613" s="33" t="s">
        <v>13</v>
      </c>
      <c r="E1613" s="33" t="s">
        <v>1961</v>
      </c>
      <c r="F1613" s="35">
        <v>1</v>
      </c>
      <c r="G1613" s="40">
        <v>0</v>
      </c>
      <c r="H1613" s="40">
        <v>0</v>
      </c>
      <c r="I1613" s="40">
        <v>0</v>
      </c>
      <c r="J1613" s="40">
        <v>0</v>
      </c>
      <c r="K1613" s="40">
        <v>0</v>
      </c>
      <c r="L1613" s="40">
        <v>0</v>
      </c>
      <c r="M1613" s="40" cm="1">
        <f t="array" ref="M1613:N1613">VLOOKUP(B1613,'Fumigation  Room'!B:H,{6,7},0)</f>
        <v>0</v>
      </c>
      <c r="N1613" s="40">
        <v>0</v>
      </c>
      <c r="O1613" s="40">
        <f t="shared" si="51"/>
        <v>0</v>
      </c>
      <c r="P1613" s="40">
        <f t="shared" si="52"/>
        <v>0</v>
      </c>
    </row>
    <row r="1614" spans="1:16" x14ac:dyDescent="0.35">
      <c r="A1614" s="33">
        <v>1611</v>
      </c>
      <c r="B1614" s="34" t="s">
        <v>1962</v>
      </c>
      <c r="C1614" s="33" t="s">
        <v>297</v>
      </c>
      <c r="D1614" s="33" t="s">
        <v>13</v>
      </c>
      <c r="E1614" s="33" t="s">
        <v>1961</v>
      </c>
      <c r="F1614" s="35">
        <v>1</v>
      </c>
      <c r="G1614" s="40">
        <v>0</v>
      </c>
      <c r="H1614" s="40">
        <v>0</v>
      </c>
      <c r="I1614" s="40">
        <v>0</v>
      </c>
      <c r="J1614" s="40">
        <v>0</v>
      </c>
      <c r="K1614" s="40">
        <v>0</v>
      </c>
      <c r="L1614" s="40">
        <v>0</v>
      </c>
      <c r="M1614" s="40" cm="1">
        <f t="array" ref="M1614:N1614">VLOOKUP(B1614,'Fumigation  Room'!B:H,{6,7},0)</f>
        <v>0</v>
      </c>
      <c r="N1614" s="40">
        <v>0</v>
      </c>
      <c r="O1614" s="40">
        <f t="shared" si="51"/>
        <v>0</v>
      </c>
      <c r="P1614" s="40">
        <f t="shared" si="52"/>
        <v>0</v>
      </c>
    </row>
    <row r="1615" spans="1:16" x14ac:dyDescent="0.35">
      <c r="A1615" s="33">
        <v>1612</v>
      </c>
      <c r="B1615" s="34" t="s">
        <v>2004</v>
      </c>
      <c r="C1615" s="33" t="s">
        <v>346</v>
      </c>
      <c r="D1615" s="33" t="s">
        <v>13</v>
      </c>
      <c r="E1615" s="33" t="s">
        <v>1961</v>
      </c>
      <c r="F1615" s="35">
        <v>0.1</v>
      </c>
      <c r="G1615" s="40">
        <v>0</v>
      </c>
      <c r="H1615" s="40">
        <v>0</v>
      </c>
      <c r="I1615" s="40">
        <v>0</v>
      </c>
      <c r="J1615" s="40">
        <v>0</v>
      </c>
      <c r="K1615" s="40">
        <v>0</v>
      </c>
      <c r="L1615" s="40">
        <v>0</v>
      </c>
      <c r="M1615" s="40" cm="1">
        <f t="array" ref="M1615:N1615">VLOOKUP(B1615,'Fumigation  Room'!B:H,{6,7},0)</f>
        <v>0</v>
      </c>
      <c r="N1615" s="40">
        <v>0</v>
      </c>
      <c r="O1615" s="40">
        <f t="shared" si="51"/>
        <v>0</v>
      </c>
      <c r="P1615" s="40">
        <f t="shared" si="52"/>
        <v>0</v>
      </c>
    </row>
    <row r="1616" spans="1:16" x14ac:dyDescent="0.35">
      <c r="A1616" s="33">
        <v>1613</v>
      </c>
      <c r="B1616" s="34" t="s">
        <v>1965</v>
      </c>
      <c r="C1616" s="33" t="s">
        <v>297</v>
      </c>
      <c r="D1616" s="33" t="s">
        <v>13</v>
      </c>
      <c r="E1616" s="33" t="s">
        <v>1965</v>
      </c>
      <c r="F1616" s="35">
        <v>1</v>
      </c>
      <c r="G1616" s="40">
        <v>0</v>
      </c>
      <c r="H1616" s="40">
        <v>0</v>
      </c>
      <c r="I1616" s="40">
        <v>0</v>
      </c>
      <c r="J1616" s="40">
        <v>0</v>
      </c>
      <c r="K1616" s="40">
        <v>0</v>
      </c>
      <c r="L1616" s="40">
        <v>0</v>
      </c>
      <c r="M1616" s="40" cm="1">
        <f t="array" ref="M1616:N1616">VLOOKUP(B1616,'Fumigation  Room'!B:H,{6,7},0)</f>
        <v>0</v>
      </c>
      <c r="N1616" s="40">
        <v>0</v>
      </c>
      <c r="O1616" s="40">
        <f t="shared" si="51"/>
        <v>0</v>
      </c>
      <c r="P1616" s="40">
        <f t="shared" si="52"/>
        <v>0</v>
      </c>
    </row>
    <row r="1617" spans="1:16" x14ac:dyDescent="0.35">
      <c r="A1617" s="33">
        <v>1614</v>
      </c>
      <c r="B1617" s="34" t="s">
        <v>1966</v>
      </c>
      <c r="C1617" s="33" t="s">
        <v>297</v>
      </c>
      <c r="D1617" s="33" t="s">
        <v>13</v>
      </c>
      <c r="E1617" s="33" t="s">
        <v>1967</v>
      </c>
      <c r="F1617" s="35">
        <v>1</v>
      </c>
      <c r="G1617" s="40">
        <v>0</v>
      </c>
      <c r="H1617" s="40">
        <v>0</v>
      </c>
      <c r="I1617" s="40">
        <v>0</v>
      </c>
      <c r="J1617" s="40">
        <v>0</v>
      </c>
      <c r="K1617" s="40">
        <v>0</v>
      </c>
      <c r="L1617" s="40">
        <v>0</v>
      </c>
      <c r="M1617" s="40" cm="1">
        <f t="array" ref="M1617:N1617">VLOOKUP(B1617,'Fumigation  Room'!B:H,{6,7},0)</f>
        <v>0</v>
      </c>
      <c r="N1617" s="40">
        <v>0</v>
      </c>
      <c r="O1617" s="40">
        <f t="shared" si="51"/>
        <v>0</v>
      </c>
      <c r="P1617" s="40">
        <f t="shared" si="52"/>
        <v>0</v>
      </c>
    </row>
    <row r="1618" spans="1:16" x14ac:dyDescent="0.35">
      <c r="A1618" s="33">
        <v>1615</v>
      </c>
      <c r="B1618" s="34" t="s">
        <v>2006</v>
      </c>
      <c r="C1618" s="33" t="s">
        <v>346</v>
      </c>
      <c r="D1618" s="33" t="s">
        <v>13</v>
      </c>
      <c r="E1618" s="33" t="s">
        <v>1967</v>
      </c>
      <c r="F1618" s="35">
        <v>1</v>
      </c>
      <c r="G1618" s="40">
        <v>0</v>
      </c>
      <c r="H1618" s="40">
        <v>0</v>
      </c>
      <c r="I1618" s="40">
        <v>0</v>
      </c>
      <c r="J1618" s="40">
        <v>0</v>
      </c>
      <c r="K1618" s="40">
        <v>0</v>
      </c>
      <c r="L1618" s="40">
        <v>0</v>
      </c>
      <c r="M1618" s="40" cm="1">
        <f t="array" ref="M1618:N1618">VLOOKUP(B1618,'Fumigation  Room'!B:H,{6,7},0)</f>
        <v>0</v>
      </c>
      <c r="N1618" s="40">
        <v>0</v>
      </c>
      <c r="O1618" s="40">
        <f t="shared" si="51"/>
        <v>0</v>
      </c>
      <c r="P1618" s="40">
        <f t="shared" si="52"/>
        <v>0</v>
      </c>
    </row>
    <row r="1619" spans="1:16" x14ac:dyDescent="0.35">
      <c r="A1619" s="33">
        <v>1616</v>
      </c>
      <c r="B1619" s="34" t="s">
        <v>2007</v>
      </c>
      <c r="C1619" s="33" t="s">
        <v>346</v>
      </c>
      <c r="D1619" s="33" t="s">
        <v>13</v>
      </c>
      <c r="E1619" s="33" t="s">
        <v>1967</v>
      </c>
      <c r="F1619" s="35">
        <v>1</v>
      </c>
      <c r="G1619" s="40">
        <v>0</v>
      </c>
      <c r="H1619" s="40">
        <v>0</v>
      </c>
      <c r="I1619" s="40">
        <v>0</v>
      </c>
      <c r="J1619" s="40">
        <v>0</v>
      </c>
      <c r="K1619" s="40">
        <v>0</v>
      </c>
      <c r="L1619" s="40">
        <v>0</v>
      </c>
      <c r="M1619" s="40" cm="1">
        <f t="array" ref="M1619:N1619">VLOOKUP(B1619,'Fumigation  Room'!B:H,{6,7},0)</f>
        <v>0</v>
      </c>
      <c r="N1619" s="40">
        <v>0</v>
      </c>
      <c r="O1619" s="40">
        <f t="shared" si="51"/>
        <v>0</v>
      </c>
      <c r="P1619" s="40">
        <f t="shared" si="52"/>
        <v>0</v>
      </c>
    </row>
    <row r="1620" spans="1:16" x14ac:dyDescent="0.35">
      <c r="A1620" s="33">
        <v>1617</v>
      </c>
      <c r="B1620" s="34" t="s">
        <v>2008</v>
      </c>
      <c r="C1620" s="33" t="s">
        <v>346</v>
      </c>
      <c r="D1620" s="33" t="s">
        <v>13</v>
      </c>
      <c r="E1620" s="33" t="s">
        <v>1967</v>
      </c>
      <c r="F1620" s="35">
        <v>1</v>
      </c>
      <c r="G1620" s="40">
        <v>0</v>
      </c>
      <c r="H1620" s="40">
        <v>0</v>
      </c>
      <c r="I1620" s="40">
        <v>0</v>
      </c>
      <c r="J1620" s="40">
        <v>0</v>
      </c>
      <c r="K1620" s="40">
        <v>0</v>
      </c>
      <c r="L1620" s="40">
        <v>0</v>
      </c>
      <c r="M1620" s="40" cm="1">
        <f t="array" ref="M1620:N1620">VLOOKUP(B1620,'Fumigation  Room'!B:H,{6,7},0)</f>
        <v>0</v>
      </c>
      <c r="N1620" s="40">
        <v>0</v>
      </c>
      <c r="O1620" s="40">
        <f t="shared" si="51"/>
        <v>0</v>
      </c>
      <c r="P1620" s="40">
        <f t="shared" si="52"/>
        <v>0</v>
      </c>
    </row>
    <row r="1621" spans="1:16" x14ac:dyDescent="0.35">
      <c r="A1621" s="33">
        <v>1618</v>
      </c>
      <c r="B1621" s="34" t="s">
        <v>1968</v>
      </c>
      <c r="C1621" s="33" t="s">
        <v>297</v>
      </c>
      <c r="D1621" s="33" t="s">
        <v>13</v>
      </c>
      <c r="E1621" s="33" t="s">
        <v>1969</v>
      </c>
      <c r="F1621" s="35">
        <v>1</v>
      </c>
      <c r="G1621" s="40">
        <v>0</v>
      </c>
      <c r="H1621" s="40">
        <v>0</v>
      </c>
      <c r="I1621" s="40">
        <v>0</v>
      </c>
      <c r="J1621" s="40">
        <v>0</v>
      </c>
      <c r="K1621" s="40">
        <v>0</v>
      </c>
      <c r="L1621" s="40">
        <v>0</v>
      </c>
      <c r="M1621" s="40" cm="1">
        <f t="array" ref="M1621:N1621">VLOOKUP(B1621,'Fumigation  Room'!B:H,{6,7},0)</f>
        <v>0</v>
      </c>
      <c r="N1621" s="40">
        <v>9.8999999999999986</v>
      </c>
      <c r="O1621" s="40">
        <f t="shared" si="51"/>
        <v>0</v>
      </c>
      <c r="P1621" s="40">
        <f t="shared" si="52"/>
        <v>9.8999999999999986</v>
      </c>
    </row>
    <row r="1622" spans="1:16" x14ac:dyDescent="0.35">
      <c r="A1622" s="33">
        <v>1619</v>
      </c>
      <c r="B1622" s="34" t="s">
        <v>1970</v>
      </c>
      <c r="C1622" s="33" t="s">
        <v>297</v>
      </c>
      <c r="D1622" s="33" t="s">
        <v>13</v>
      </c>
      <c r="E1622" s="33" t="s">
        <v>1969</v>
      </c>
      <c r="F1622" s="35">
        <v>1</v>
      </c>
      <c r="G1622" s="40">
        <v>0</v>
      </c>
      <c r="H1622" s="40">
        <v>0</v>
      </c>
      <c r="I1622" s="40">
        <v>0</v>
      </c>
      <c r="J1622" s="40">
        <v>0</v>
      </c>
      <c r="K1622" s="40">
        <v>0</v>
      </c>
      <c r="L1622" s="40">
        <v>0</v>
      </c>
      <c r="M1622" s="40" cm="1">
        <f t="array" ref="M1622:N1622">VLOOKUP(B1622,'Fumigation  Room'!B:H,{6,7},0)</f>
        <v>0</v>
      </c>
      <c r="N1622" s="40">
        <v>0</v>
      </c>
      <c r="O1622" s="40">
        <f t="shared" si="51"/>
        <v>0</v>
      </c>
      <c r="P1622" s="40">
        <f t="shared" si="52"/>
        <v>0</v>
      </c>
    </row>
    <row r="1623" spans="1:16" x14ac:dyDescent="0.35">
      <c r="A1623" s="33">
        <v>1620</v>
      </c>
      <c r="B1623" s="34" t="s">
        <v>2009</v>
      </c>
      <c r="C1623" s="33" t="s">
        <v>346</v>
      </c>
      <c r="D1623" s="33" t="s">
        <v>13</v>
      </c>
      <c r="E1623" s="33" t="s">
        <v>1969</v>
      </c>
      <c r="F1623" s="35">
        <v>0.25</v>
      </c>
      <c r="G1623" s="40">
        <v>0</v>
      </c>
      <c r="H1623" s="40">
        <v>0</v>
      </c>
      <c r="I1623" s="40">
        <v>0</v>
      </c>
      <c r="J1623" s="40">
        <v>0</v>
      </c>
      <c r="K1623" s="40">
        <v>0</v>
      </c>
      <c r="L1623" s="40">
        <v>0</v>
      </c>
      <c r="M1623" s="40" cm="1">
        <f t="array" ref="M1623:N1623">VLOOKUP(B1623,'Fumigation  Room'!B:H,{6,7},0)</f>
        <v>0</v>
      </c>
      <c r="N1623" s="40">
        <v>0</v>
      </c>
      <c r="O1623" s="40">
        <f t="shared" si="51"/>
        <v>0</v>
      </c>
      <c r="P1623" s="40">
        <f t="shared" si="52"/>
        <v>0</v>
      </c>
    </row>
    <row r="1624" spans="1:16" x14ac:dyDescent="0.35">
      <c r="A1624" s="33">
        <v>1621</v>
      </c>
      <c r="B1624" s="34" t="s">
        <v>2010</v>
      </c>
      <c r="C1624" s="33" t="s">
        <v>346</v>
      </c>
      <c r="D1624" s="33" t="s">
        <v>13</v>
      </c>
      <c r="E1624" s="33" t="s">
        <v>1969</v>
      </c>
      <c r="F1624" s="35">
        <v>0.25</v>
      </c>
      <c r="G1624" s="40">
        <v>0</v>
      </c>
      <c r="H1624" s="40">
        <v>0</v>
      </c>
      <c r="I1624" s="40">
        <v>0</v>
      </c>
      <c r="J1624" s="40">
        <v>0</v>
      </c>
      <c r="K1624" s="40">
        <v>0</v>
      </c>
      <c r="L1624" s="40">
        <v>0</v>
      </c>
      <c r="M1624" s="40" cm="1">
        <f t="array" ref="M1624:N1624">VLOOKUP(B1624,'Fumigation  Room'!B:H,{6,7},0)</f>
        <v>0</v>
      </c>
      <c r="N1624" s="40">
        <v>0</v>
      </c>
      <c r="O1624" s="40">
        <f t="shared" si="51"/>
        <v>0</v>
      </c>
      <c r="P1624" s="40">
        <f t="shared" si="52"/>
        <v>0</v>
      </c>
    </row>
    <row r="1625" spans="1:16" x14ac:dyDescent="0.35">
      <c r="A1625" s="33">
        <v>1622</v>
      </c>
      <c r="B1625" s="34" t="s">
        <v>2011</v>
      </c>
      <c r="C1625" s="33" t="s">
        <v>346</v>
      </c>
      <c r="D1625" s="33" t="s">
        <v>13</v>
      </c>
      <c r="E1625" s="33" t="s">
        <v>1969</v>
      </c>
      <c r="F1625" s="35">
        <v>0.1</v>
      </c>
      <c r="G1625" s="40">
        <v>0</v>
      </c>
      <c r="H1625" s="40">
        <v>0</v>
      </c>
      <c r="I1625" s="40">
        <v>0</v>
      </c>
      <c r="J1625" s="40">
        <v>0</v>
      </c>
      <c r="K1625" s="40">
        <v>0</v>
      </c>
      <c r="L1625" s="40">
        <v>0</v>
      </c>
      <c r="M1625" s="40" cm="1">
        <f t="array" ref="M1625:N1625">VLOOKUP(B1625,'Fumigation  Room'!B:H,{6,7},0)</f>
        <v>0</v>
      </c>
      <c r="N1625" s="40">
        <v>0</v>
      </c>
      <c r="O1625" s="40">
        <f t="shared" si="51"/>
        <v>0</v>
      </c>
      <c r="P1625" s="40">
        <f t="shared" si="52"/>
        <v>0</v>
      </c>
    </row>
    <row r="1626" spans="1:16" x14ac:dyDescent="0.35">
      <c r="A1626" s="33">
        <v>1623</v>
      </c>
      <c r="B1626" s="34" t="s">
        <v>2012</v>
      </c>
      <c r="C1626" s="33" t="s">
        <v>346</v>
      </c>
      <c r="D1626" s="33" t="s">
        <v>13</v>
      </c>
      <c r="E1626" s="33" t="s">
        <v>1969</v>
      </c>
      <c r="F1626" s="35">
        <v>0.1</v>
      </c>
      <c r="G1626" s="40">
        <v>0</v>
      </c>
      <c r="H1626" s="40">
        <v>0</v>
      </c>
      <c r="I1626" s="40">
        <v>0</v>
      </c>
      <c r="J1626" s="40">
        <v>0</v>
      </c>
      <c r="K1626" s="40">
        <v>0</v>
      </c>
      <c r="L1626" s="40">
        <v>0</v>
      </c>
      <c r="M1626" s="40" cm="1">
        <f t="array" ref="M1626:N1626">VLOOKUP(B1626,'Fumigation  Room'!B:H,{6,7},0)</f>
        <v>0</v>
      </c>
      <c r="N1626" s="40">
        <v>0</v>
      </c>
      <c r="O1626" s="40">
        <f t="shared" si="51"/>
        <v>0</v>
      </c>
      <c r="P1626" s="40">
        <f t="shared" si="52"/>
        <v>0</v>
      </c>
    </row>
    <row r="1627" spans="1:16" x14ac:dyDescent="0.35">
      <c r="A1627" s="33">
        <v>1624</v>
      </c>
      <c r="B1627" s="34" t="s">
        <v>2013</v>
      </c>
      <c r="C1627" s="33" t="s">
        <v>346</v>
      </c>
      <c r="D1627" s="33" t="s">
        <v>13</v>
      </c>
      <c r="E1627" s="33" t="s">
        <v>1969</v>
      </c>
      <c r="F1627" s="35">
        <v>0.1</v>
      </c>
      <c r="G1627" s="40">
        <v>0</v>
      </c>
      <c r="H1627" s="40">
        <v>0</v>
      </c>
      <c r="I1627" s="40">
        <v>0</v>
      </c>
      <c r="J1627" s="40">
        <v>0</v>
      </c>
      <c r="K1627" s="40">
        <v>0</v>
      </c>
      <c r="L1627" s="40">
        <v>0</v>
      </c>
      <c r="M1627" s="40" cm="1">
        <f t="array" ref="M1627:N1627">VLOOKUP(B1627,'Fumigation  Room'!B:H,{6,7},0)</f>
        <v>0</v>
      </c>
      <c r="N1627" s="40">
        <v>0</v>
      </c>
      <c r="O1627" s="40">
        <f t="shared" si="51"/>
        <v>0</v>
      </c>
      <c r="P1627" s="40">
        <f t="shared" si="52"/>
        <v>0</v>
      </c>
    </row>
    <row r="1628" spans="1:16" x14ac:dyDescent="0.35">
      <c r="A1628" s="33">
        <v>1625</v>
      </c>
      <c r="B1628" s="34" t="s">
        <v>2014</v>
      </c>
      <c r="C1628" s="33" t="s">
        <v>346</v>
      </c>
      <c r="D1628" s="33" t="s">
        <v>13</v>
      </c>
      <c r="E1628" s="33" t="s">
        <v>1969</v>
      </c>
      <c r="F1628" s="35">
        <v>0.1</v>
      </c>
      <c r="G1628" s="40">
        <v>0</v>
      </c>
      <c r="H1628" s="40">
        <v>0</v>
      </c>
      <c r="I1628" s="40">
        <v>0</v>
      </c>
      <c r="J1628" s="40">
        <v>0</v>
      </c>
      <c r="K1628" s="40">
        <v>0</v>
      </c>
      <c r="L1628" s="40">
        <v>0</v>
      </c>
      <c r="M1628" s="40" cm="1">
        <f t="array" ref="M1628:N1628">VLOOKUP(B1628,'Fumigation  Room'!B:H,{6,7},0)</f>
        <v>0</v>
      </c>
      <c r="N1628" s="40">
        <v>0</v>
      </c>
      <c r="O1628" s="40">
        <f t="shared" si="51"/>
        <v>0</v>
      </c>
      <c r="P1628" s="40">
        <f t="shared" si="52"/>
        <v>0</v>
      </c>
    </row>
    <row r="1629" spans="1:16" x14ac:dyDescent="0.35">
      <c r="A1629" s="33">
        <v>1626</v>
      </c>
      <c r="B1629" s="34" t="s">
        <v>2015</v>
      </c>
      <c r="C1629" s="33" t="s">
        <v>346</v>
      </c>
      <c r="D1629" s="33" t="s">
        <v>13</v>
      </c>
      <c r="E1629" s="33" t="s">
        <v>1969</v>
      </c>
      <c r="F1629" s="35">
        <v>0.2</v>
      </c>
      <c r="G1629" s="40">
        <v>0</v>
      </c>
      <c r="H1629" s="40">
        <v>0</v>
      </c>
      <c r="I1629" s="40">
        <v>0</v>
      </c>
      <c r="J1629" s="40">
        <v>0</v>
      </c>
      <c r="K1629" s="40">
        <v>0</v>
      </c>
      <c r="L1629" s="40">
        <v>0</v>
      </c>
      <c r="M1629" s="40" cm="1">
        <f t="array" ref="M1629:N1629">VLOOKUP(B1629,'Fumigation  Room'!B:H,{6,7},0)</f>
        <v>0</v>
      </c>
      <c r="N1629" s="40">
        <v>0</v>
      </c>
      <c r="O1629" s="40">
        <f t="shared" si="51"/>
        <v>0</v>
      </c>
      <c r="P1629" s="40">
        <f t="shared" si="52"/>
        <v>0</v>
      </c>
    </row>
    <row r="1630" spans="1:16" x14ac:dyDescent="0.35">
      <c r="A1630" s="33">
        <v>1627</v>
      </c>
      <c r="B1630" s="34" t="s">
        <v>2016</v>
      </c>
      <c r="C1630" s="33" t="s">
        <v>346</v>
      </c>
      <c r="D1630" s="33" t="s">
        <v>13</v>
      </c>
      <c r="E1630" s="33" t="s">
        <v>1969</v>
      </c>
      <c r="F1630" s="35">
        <v>1</v>
      </c>
      <c r="G1630" s="40">
        <v>0</v>
      </c>
      <c r="H1630" s="40">
        <v>0</v>
      </c>
      <c r="I1630" s="40">
        <v>0</v>
      </c>
      <c r="J1630" s="40">
        <v>0</v>
      </c>
      <c r="K1630" s="40">
        <v>0</v>
      </c>
      <c r="L1630" s="40">
        <v>0</v>
      </c>
      <c r="M1630" s="40" cm="1">
        <f t="array" ref="M1630:N1630">VLOOKUP(B1630,'Fumigation  Room'!B:H,{6,7},0)</f>
        <v>0</v>
      </c>
      <c r="N1630" s="40">
        <v>0</v>
      </c>
      <c r="O1630" s="40">
        <f t="shared" si="51"/>
        <v>0</v>
      </c>
      <c r="P1630" s="40">
        <f t="shared" si="52"/>
        <v>0</v>
      </c>
    </row>
    <row r="1631" spans="1:16" x14ac:dyDescent="0.35">
      <c r="A1631" s="33">
        <v>1628</v>
      </c>
      <c r="B1631" s="34" t="s">
        <v>2017</v>
      </c>
      <c r="C1631" s="33" t="s">
        <v>346</v>
      </c>
      <c r="D1631" s="33" t="s">
        <v>13</v>
      </c>
      <c r="E1631" s="33" t="s">
        <v>1969</v>
      </c>
      <c r="F1631" s="35">
        <v>0.2</v>
      </c>
      <c r="G1631" s="40">
        <v>0</v>
      </c>
      <c r="H1631" s="40">
        <v>0</v>
      </c>
      <c r="I1631" s="40">
        <v>0</v>
      </c>
      <c r="J1631" s="40">
        <v>0</v>
      </c>
      <c r="K1631" s="40">
        <v>0</v>
      </c>
      <c r="L1631" s="40">
        <v>0</v>
      </c>
      <c r="M1631" s="40" cm="1">
        <f t="array" ref="M1631:N1631">VLOOKUP(B1631,'Fumigation  Room'!B:H,{6,7},0)</f>
        <v>0</v>
      </c>
      <c r="N1631" s="40">
        <v>0</v>
      </c>
      <c r="O1631" s="40">
        <f t="shared" si="51"/>
        <v>0</v>
      </c>
      <c r="P1631" s="40">
        <f t="shared" si="52"/>
        <v>0</v>
      </c>
    </row>
    <row r="1632" spans="1:16" x14ac:dyDescent="0.35">
      <c r="A1632" s="33">
        <v>1629</v>
      </c>
      <c r="B1632" s="34" t="s">
        <v>2018</v>
      </c>
      <c r="C1632" s="33" t="s">
        <v>346</v>
      </c>
      <c r="D1632" s="33" t="s">
        <v>13</v>
      </c>
      <c r="E1632" s="33" t="s">
        <v>1969</v>
      </c>
      <c r="F1632" s="35">
        <v>0.1</v>
      </c>
      <c r="G1632" s="40">
        <v>0</v>
      </c>
      <c r="H1632" s="40">
        <v>0</v>
      </c>
      <c r="I1632" s="40">
        <v>0</v>
      </c>
      <c r="J1632" s="40">
        <v>0</v>
      </c>
      <c r="K1632" s="40">
        <v>0</v>
      </c>
      <c r="L1632" s="40">
        <v>0</v>
      </c>
      <c r="M1632" s="40" cm="1">
        <f t="array" ref="M1632:N1632">VLOOKUP(B1632,'Fumigation  Room'!B:H,{6,7},0)</f>
        <v>0</v>
      </c>
      <c r="N1632" s="40">
        <v>0</v>
      </c>
      <c r="O1632" s="40">
        <f t="shared" si="51"/>
        <v>0</v>
      </c>
      <c r="P1632" s="40">
        <f t="shared" si="52"/>
        <v>0</v>
      </c>
    </row>
    <row r="1633" spans="1:16" x14ac:dyDescent="0.35">
      <c r="A1633" s="33">
        <v>1630</v>
      </c>
      <c r="B1633" s="34" t="s">
        <v>2019</v>
      </c>
      <c r="C1633" s="33" t="s">
        <v>346</v>
      </c>
      <c r="D1633" s="33" t="s">
        <v>13</v>
      </c>
      <c r="E1633" s="33" t="s">
        <v>1969</v>
      </c>
      <c r="F1633" s="35">
        <v>0.5</v>
      </c>
      <c r="G1633" s="40">
        <v>0</v>
      </c>
      <c r="H1633" s="40">
        <v>0</v>
      </c>
      <c r="I1633" s="40">
        <v>0</v>
      </c>
      <c r="J1633" s="40">
        <v>0</v>
      </c>
      <c r="K1633" s="40">
        <v>0</v>
      </c>
      <c r="L1633" s="40">
        <v>0</v>
      </c>
      <c r="M1633" s="40" cm="1">
        <f t="array" ref="M1633:N1633">VLOOKUP(B1633,'Fumigation  Room'!B:H,{6,7},0)</f>
        <v>0</v>
      </c>
      <c r="N1633" s="40">
        <v>0</v>
      </c>
      <c r="O1633" s="40">
        <f t="shared" si="51"/>
        <v>0</v>
      </c>
      <c r="P1633" s="40">
        <f t="shared" si="52"/>
        <v>0</v>
      </c>
    </row>
    <row r="1634" spans="1:16" x14ac:dyDescent="0.35">
      <c r="A1634" s="33">
        <v>1631</v>
      </c>
      <c r="B1634" s="34" t="s">
        <v>2020</v>
      </c>
      <c r="C1634" s="33" t="s">
        <v>346</v>
      </c>
      <c r="D1634" s="33" t="s">
        <v>13</v>
      </c>
      <c r="E1634" s="33" t="s">
        <v>1969</v>
      </c>
      <c r="F1634" s="35">
        <v>1</v>
      </c>
      <c r="G1634" s="40">
        <v>0</v>
      </c>
      <c r="H1634" s="40">
        <v>0</v>
      </c>
      <c r="I1634" s="40">
        <v>0</v>
      </c>
      <c r="J1634" s="40">
        <v>0</v>
      </c>
      <c r="K1634" s="40">
        <v>0</v>
      </c>
      <c r="L1634" s="40">
        <v>0</v>
      </c>
      <c r="M1634" s="40" cm="1">
        <f t="array" ref="M1634:N1634">VLOOKUP(B1634,'Fumigation  Room'!B:H,{6,7},0)</f>
        <v>0</v>
      </c>
      <c r="N1634" s="40">
        <v>0</v>
      </c>
      <c r="O1634" s="40">
        <f t="shared" si="51"/>
        <v>0</v>
      </c>
      <c r="P1634" s="40">
        <f t="shared" si="52"/>
        <v>0</v>
      </c>
    </row>
    <row r="1635" spans="1:16" x14ac:dyDescent="0.35">
      <c r="A1635" s="33">
        <v>1632</v>
      </c>
      <c r="B1635" s="34" t="s">
        <v>2021</v>
      </c>
      <c r="C1635" s="33" t="s">
        <v>346</v>
      </c>
      <c r="D1635" s="33" t="s">
        <v>13</v>
      </c>
      <c r="E1635" s="33" t="s">
        <v>1969</v>
      </c>
      <c r="F1635" s="35">
        <v>1</v>
      </c>
      <c r="G1635" s="40">
        <v>0</v>
      </c>
      <c r="H1635" s="40">
        <v>0</v>
      </c>
      <c r="I1635" s="40">
        <v>0</v>
      </c>
      <c r="J1635" s="40">
        <v>0</v>
      </c>
      <c r="K1635" s="40">
        <v>0</v>
      </c>
      <c r="L1635" s="40">
        <v>0</v>
      </c>
      <c r="M1635" s="40" cm="1">
        <f t="array" ref="M1635:N1635">VLOOKUP(B1635,'Fumigation  Room'!B:H,{6,7},0)</f>
        <v>0</v>
      </c>
      <c r="N1635" s="40">
        <v>0</v>
      </c>
      <c r="O1635" s="40">
        <f t="shared" si="51"/>
        <v>0</v>
      </c>
      <c r="P1635" s="40">
        <f t="shared" si="52"/>
        <v>0</v>
      </c>
    </row>
    <row r="1636" spans="1:16" x14ac:dyDescent="0.35">
      <c r="A1636" s="33">
        <v>1633</v>
      </c>
      <c r="B1636" s="34" t="s">
        <v>2022</v>
      </c>
      <c r="C1636" s="33" t="s">
        <v>346</v>
      </c>
      <c r="D1636" s="33" t="s">
        <v>13</v>
      </c>
      <c r="E1636" s="33" t="s">
        <v>1969</v>
      </c>
      <c r="F1636" s="35">
        <v>0.2</v>
      </c>
      <c r="G1636" s="40">
        <v>0</v>
      </c>
      <c r="H1636" s="40">
        <v>0</v>
      </c>
      <c r="I1636" s="40">
        <v>0</v>
      </c>
      <c r="J1636" s="40">
        <v>0</v>
      </c>
      <c r="K1636" s="40">
        <v>0</v>
      </c>
      <c r="L1636" s="40">
        <v>0</v>
      </c>
      <c r="M1636" s="40" cm="1">
        <f t="array" ref="M1636:N1636">VLOOKUP(B1636,'Fumigation  Room'!B:H,{6,7},0)</f>
        <v>0</v>
      </c>
      <c r="N1636" s="40">
        <v>0</v>
      </c>
      <c r="O1636" s="40">
        <f t="shared" si="51"/>
        <v>0</v>
      </c>
      <c r="P1636" s="40">
        <f t="shared" si="52"/>
        <v>0</v>
      </c>
    </row>
    <row r="1637" spans="1:16" x14ac:dyDescent="0.35">
      <c r="A1637" s="33">
        <v>1634</v>
      </c>
      <c r="B1637" s="34" t="s">
        <v>2023</v>
      </c>
      <c r="C1637" s="33" t="s">
        <v>346</v>
      </c>
      <c r="D1637" s="33" t="s">
        <v>13</v>
      </c>
      <c r="E1637" s="33" t="s">
        <v>1969</v>
      </c>
      <c r="F1637" s="35">
        <v>1</v>
      </c>
      <c r="G1637" s="40">
        <v>0</v>
      </c>
      <c r="H1637" s="40">
        <v>0</v>
      </c>
      <c r="I1637" s="40">
        <v>0</v>
      </c>
      <c r="J1637" s="40">
        <v>0</v>
      </c>
      <c r="K1637" s="40">
        <v>0</v>
      </c>
      <c r="L1637" s="40">
        <v>0</v>
      </c>
      <c r="M1637" s="40" cm="1">
        <f t="array" ref="M1637:N1637">VLOOKUP(B1637,'Fumigation  Room'!B:H,{6,7},0)</f>
        <v>0</v>
      </c>
      <c r="N1637" s="40">
        <v>0</v>
      </c>
      <c r="O1637" s="40">
        <f t="shared" si="51"/>
        <v>0</v>
      </c>
      <c r="P1637" s="40">
        <f t="shared" si="52"/>
        <v>0</v>
      </c>
    </row>
    <row r="1638" spans="1:16" x14ac:dyDescent="0.35">
      <c r="A1638" s="33">
        <v>1635</v>
      </c>
      <c r="B1638" s="34" t="s">
        <v>1971</v>
      </c>
      <c r="C1638" s="33" t="s">
        <v>297</v>
      </c>
      <c r="D1638" s="33" t="s">
        <v>13</v>
      </c>
      <c r="E1638" s="33" t="s">
        <v>1972</v>
      </c>
      <c r="F1638" s="35">
        <v>1</v>
      </c>
      <c r="G1638" s="40">
        <v>0</v>
      </c>
      <c r="H1638" s="40">
        <v>0</v>
      </c>
      <c r="I1638" s="40">
        <v>0</v>
      </c>
      <c r="J1638" s="40">
        <v>0</v>
      </c>
      <c r="K1638" s="40">
        <v>0</v>
      </c>
      <c r="L1638" s="40">
        <v>0</v>
      </c>
      <c r="M1638" s="40" cm="1">
        <f t="array" ref="M1638:N1638">VLOOKUP(B1638,'Fumigation  Room'!B:H,{6,7},0)</f>
        <v>0</v>
      </c>
      <c r="N1638" s="40">
        <v>0</v>
      </c>
      <c r="O1638" s="40">
        <f t="shared" si="51"/>
        <v>0</v>
      </c>
      <c r="P1638" s="40">
        <f t="shared" si="52"/>
        <v>0</v>
      </c>
    </row>
    <row r="1639" spans="1:16" x14ac:dyDescent="0.35">
      <c r="A1639" s="33">
        <v>1636</v>
      </c>
      <c r="B1639" s="34" t="s">
        <v>1973</v>
      </c>
      <c r="C1639" s="33" t="s">
        <v>297</v>
      </c>
      <c r="D1639" s="33" t="s">
        <v>13</v>
      </c>
      <c r="E1639" s="33" t="s">
        <v>1974</v>
      </c>
      <c r="F1639" s="35">
        <v>1</v>
      </c>
      <c r="G1639" s="40">
        <v>0</v>
      </c>
      <c r="H1639" s="40">
        <v>0</v>
      </c>
      <c r="I1639" s="40">
        <v>0</v>
      </c>
      <c r="J1639" s="40">
        <v>0</v>
      </c>
      <c r="K1639" s="40">
        <v>0</v>
      </c>
      <c r="L1639" s="40">
        <v>0</v>
      </c>
      <c r="M1639" s="40" cm="1">
        <f t="array" ref="M1639:N1639">VLOOKUP(B1639,'Fumigation  Room'!B:H,{6,7},0)</f>
        <v>0</v>
      </c>
      <c r="N1639" s="40">
        <v>0</v>
      </c>
      <c r="O1639" s="40">
        <f t="shared" si="51"/>
        <v>0</v>
      </c>
      <c r="P1639" s="40">
        <f t="shared" si="52"/>
        <v>0</v>
      </c>
    </row>
    <row r="1640" spans="1:16" x14ac:dyDescent="0.35">
      <c r="A1640" s="33">
        <v>1637</v>
      </c>
      <c r="B1640" s="34" t="s">
        <v>1975</v>
      </c>
      <c r="C1640" s="33" t="s">
        <v>297</v>
      </c>
      <c r="D1640" s="33" t="s">
        <v>13</v>
      </c>
      <c r="E1640" s="33" t="s">
        <v>1976</v>
      </c>
      <c r="F1640" s="35">
        <v>1</v>
      </c>
      <c r="G1640" s="40">
        <v>0</v>
      </c>
      <c r="H1640" s="40">
        <v>0</v>
      </c>
      <c r="I1640" s="40">
        <v>0</v>
      </c>
      <c r="J1640" s="40">
        <v>0</v>
      </c>
      <c r="K1640" s="40">
        <v>0</v>
      </c>
      <c r="L1640" s="40">
        <f>VLOOKUP(B1640,'Packing Off Grade'!I:J,2,0)</f>
        <v>19.149999999999999</v>
      </c>
      <c r="M1640" s="40" cm="1">
        <f t="array" ref="M1640:N1640">VLOOKUP(B1640,'Fumigation  Room'!B:H,{6,7},0)</f>
        <v>0</v>
      </c>
      <c r="N1640" s="40">
        <v>0</v>
      </c>
      <c r="O1640" s="40">
        <f t="shared" si="51"/>
        <v>0</v>
      </c>
      <c r="P1640" s="40">
        <f t="shared" si="52"/>
        <v>19.149999999999999</v>
      </c>
    </row>
    <row r="1641" spans="1:16" x14ac:dyDescent="0.35">
      <c r="A1641" s="33">
        <v>1638</v>
      </c>
      <c r="B1641" s="34" t="s">
        <v>1977</v>
      </c>
      <c r="C1641" s="33" t="s">
        <v>297</v>
      </c>
      <c r="D1641" s="33" t="s">
        <v>13</v>
      </c>
      <c r="E1641" s="33" t="s">
        <v>1976</v>
      </c>
      <c r="F1641" s="35">
        <v>1</v>
      </c>
      <c r="G1641" s="40">
        <v>0</v>
      </c>
      <c r="H1641" s="40">
        <v>0</v>
      </c>
      <c r="I1641" s="40">
        <v>0</v>
      </c>
      <c r="J1641" s="40">
        <v>0</v>
      </c>
      <c r="K1641" s="40">
        <v>0</v>
      </c>
      <c r="L1641" s="40">
        <v>0</v>
      </c>
      <c r="M1641" s="40" cm="1">
        <f t="array" ref="M1641:N1641">VLOOKUP(B1641,'Fumigation  Room'!B:H,{6,7},0)</f>
        <v>0</v>
      </c>
      <c r="N1641" s="40">
        <v>0</v>
      </c>
      <c r="O1641" s="40">
        <f t="shared" si="51"/>
        <v>0</v>
      </c>
      <c r="P1641" s="40">
        <f t="shared" si="52"/>
        <v>0</v>
      </c>
    </row>
    <row r="1642" spans="1:16" x14ac:dyDescent="0.35">
      <c r="A1642" s="33">
        <v>1639</v>
      </c>
      <c r="B1642" s="34" t="s">
        <v>2024</v>
      </c>
      <c r="C1642" s="33" t="s">
        <v>346</v>
      </c>
      <c r="D1642" s="33" t="s">
        <v>13</v>
      </c>
      <c r="E1642" s="33" t="s">
        <v>1976</v>
      </c>
      <c r="F1642" s="35">
        <v>1</v>
      </c>
      <c r="G1642" s="40">
        <v>0</v>
      </c>
      <c r="H1642" s="40">
        <v>0</v>
      </c>
      <c r="I1642" s="40">
        <v>0</v>
      </c>
      <c r="J1642" s="40">
        <v>0</v>
      </c>
      <c r="K1642" s="40">
        <v>0</v>
      </c>
      <c r="L1642" s="40">
        <v>0</v>
      </c>
      <c r="M1642" s="40" cm="1">
        <f t="array" ref="M1642:N1642">VLOOKUP(B1642,'Fumigation  Room'!B:H,{6,7},0)</f>
        <v>0</v>
      </c>
      <c r="N1642" s="40">
        <v>0</v>
      </c>
      <c r="O1642" s="40">
        <f t="shared" si="51"/>
        <v>0</v>
      </c>
      <c r="P1642" s="40">
        <f t="shared" si="52"/>
        <v>0</v>
      </c>
    </row>
    <row r="1643" spans="1:16" x14ac:dyDescent="0.35">
      <c r="A1643" s="33">
        <v>1640</v>
      </c>
      <c r="B1643" s="34" t="s">
        <v>2025</v>
      </c>
      <c r="C1643" s="33" t="s">
        <v>346</v>
      </c>
      <c r="D1643" s="33" t="s">
        <v>13</v>
      </c>
      <c r="E1643" s="33" t="s">
        <v>1976</v>
      </c>
      <c r="F1643" s="35">
        <v>0.25</v>
      </c>
      <c r="G1643" s="40">
        <v>0</v>
      </c>
      <c r="H1643" s="40">
        <v>0</v>
      </c>
      <c r="I1643" s="40">
        <v>0</v>
      </c>
      <c r="J1643" s="40">
        <v>0</v>
      </c>
      <c r="K1643" s="40">
        <v>0</v>
      </c>
      <c r="L1643" s="40">
        <v>0</v>
      </c>
      <c r="M1643" s="40" cm="1">
        <f t="array" ref="M1643:N1643">VLOOKUP(B1643,'Fumigation  Room'!B:H,{6,7},0)</f>
        <v>0</v>
      </c>
      <c r="N1643" s="40">
        <v>0</v>
      </c>
      <c r="O1643" s="40">
        <f t="shared" si="51"/>
        <v>0</v>
      </c>
      <c r="P1643" s="40">
        <f t="shared" si="52"/>
        <v>0</v>
      </c>
    </row>
    <row r="1644" spans="1:16" x14ac:dyDescent="0.35">
      <c r="A1644" s="33">
        <v>1641</v>
      </c>
      <c r="B1644" s="34" t="s">
        <v>2026</v>
      </c>
      <c r="C1644" s="33" t="s">
        <v>346</v>
      </c>
      <c r="D1644" s="33" t="s">
        <v>13</v>
      </c>
      <c r="E1644" s="33" t="s">
        <v>1976</v>
      </c>
      <c r="F1644" s="35">
        <v>0.1</v>
      </c>
      <c r="G1644" s="40">
        <v>0</v>
      </c>
      <c r="H1644" s="40">
        <v>0</v>
      </c>
      <c r="I1644" s="40">
        <v>0</v>
      </c>
      <c r="J1644" s="40">
        <v>0</v>
      </c>
      <c r="K1644" s="40">
        <v>0</v>
      </c>
      <c r="L1644" s="40">
        <v>0</v>
      </c>
      <c r="M1644" s="40" cm="1">
        <f t="array" ref="M1644:N1644">VLOOKUP(B1644,'Fumigation  Room'!B:H,{6,7},0)</f>
        <v>0</v>
      </c>
      <c r="N1644" s="40">
        <v>0</v>
      </c>
      <c r="O1644" s="40">
        <f t="shared" si="51"/>
        <v>0</v>
      </c>
      <c r="P1644" s="40">
        <f t="shared" si="52"/>
        <v>0</v>
      </c>
    </row>
    <row r="1645" spans="1:16" x14ac:dyDescent="0.35">
      <c r="A1645" s="33">
        <v>1642</v>
      </c>
      <c r="B1645" s="34" t="s">
        <v>2027</v>
      </c>
      <c r="C1645" s="33" t="s">
        <v>346</v>
      </c>
      <c r="D1645" s="33" t="s">
        <v>13</v>
      </c>
      <c r="E1645" s="33" t="s">
        <v>1976</v>
      </c>
      <c r="F1645" s="35">
        <v>0.1</v>
      </c>
      <c r="G1645" s="40">
        <v>0</v>
      </c>
      <c r="H1645" s="40">
        <v>0</v>
      </c>
      <c r="I1645" s="40">
        <v>0</v>
      </c>
      <c r="J1645" s="40">
        <v>0</v>
      </c>
      <c r="K1645" s="40">
        <v>0</v>
      </c>
      <c r="L1645" s="40">
        <v>0</v>
      </c>
      <c r="M1645" s="40" cm="1">
        <f t="array" ref="M1645:N1645">VLOOKUP(B1645,'Fumigation  Room'!B:H,{6,7},0)</f>
        <v>0</v>
      </c>
      <c r="N1645" s="40">
        <v>0</v>
      </c>
      <c r="O1645" s="40">
        <f t="shared" si="51"/>
        <v>0</v>
      </c>
      <c r="P1645" s="40">
        <f t="shared" si="52"/>
        <v>0</v>
      </c>
    </row>
    <row r="1646" spans="1:16" x14ac:dyDescent="0.35">
      <c r="A1646" s="33">
        <v>1643</v>
      </c>
      <c r="B1646" s="34" t="s">
        <v>2028</v>
      </c>
      <c r="C1646" s="33" t="s">
        <v>346</v>
      </c>
      <c r="D1646" s="33" t="s">
        <v>13</v>
      </c>
      <c r="E1646" s="33" t="s">
        <v>1976</v>
      </c>
      <c r="F1646" s="35">
        <v>0.1</v>
      </c>
      <c r="G1646" s="40">
        <v>0</v>
      </c>
      <c r="H1646" s="40">
        <v>0</v>
      </c>
      <c r="I1646" s="40">
        <v>0</v>
      </c>
      <c r="J1646" s="40">
        <v>0</v>
      </c>
      <c r="K1646" s="40">
        <v>0</v>
      </c>
      <c r="L1646" s="40">
        <v>0</v>
      </c>
      <c r="M1646" s="40" cm="1">
        <f t="array" ref="M1646:N1646">VLOOKUP(B1646,'Fumigation  Room'!B:H,{6,7},0)</f>
        <v>0</v>
      </c>
      <c r="N1646" s="40">
        <v>0</v>
      </c>
      <c r="O1646" s="40">
        <f t="shared" si="51"/>
        <v>0</v>
      </c>
      <c r="P1646" s="40">
        <f t="shared" si="52"/>
        <v>0</v>
      </c>
    </row>
    <row r="1647" spans="1:16" x14ac:dyDescent="0.35">
      <c r="A1647" s="33">
        <v>1644</v>
      </c>
      <c r="B1647" s="34" t="s">
        <v>2029</v>
      </c>
      <c r="C1647" s="33" t="s">
        <v>346</v>
      </c>
      <c r="D1647" s="33" t="s">
        <v>13</v>
      </c>
      <c r="E1647" s="33" t="s">
        <v>1976</v>
      </c>
      <c r="F1647" s="35">
        <v>0.1</v>
      </c>
      <c r="G1647" s="40">
        <v>0</v>
      </c>
      <c r="H1647" s="40">
        <v>0</v>
      </c>
      <c r="I1647" s="40">
        <v>0</v>
      </c>
      <c r="J1647" s="40">
        <v>0</v>
      </c>
      <c r="K1647" s="40">
        <v>0</v>
      </c>
      <c r="L1647" s="40">
        <v>0</v>
      </c>
      <c r="M1647" s="40" cm="1">
        <f t="array" ref="M1647:N1647">VLOOKUP(B1647,'Fumigation  Room'!B:H,{6,7},0)</f>
        <v>0</v>
      </c>
      <c r="N1647" s="40">
        <v>0</v>
      </c>
      <c r="O1647" s="40">
        <f t="shared" si="51"/>
        <v>0</v>
      </c>
      <c r="P1647" s="40">
        <f t="shared" si="52"/>
        <v>0</v>
      </c>
    </row>
    <row r="1648" spans="1:16" x14ac:dyDescent="0.35">
      <c r="A1648" s="33">
        <v>1645</v>
      </c>
      <c r="B1648" s="34" t="s">
        <v>2030</v>
      </c>
      <c r="C1648" s="33" t="s">
        <v>346</v>
      </c>
      <c r="D1648" s="33" t="s">
        <v>13</v>
      </c>
      <c r="E1648" s="33" t="s">
        <v>1976</v>
      </c>
      <c r="F1648" s="35">
        <v>0.2</v>
      </c>
      <c r="G1648" s="40">
        <v>0</v>
      </c>
      <c r="H1648" s="40">
        <v>0</v>
      </c>
      <c r="I1648" s="40">
        <v>0</v>
      </c>
      <c r="J1648" s="40">
        <v>0</v>
      </c>
      <c r="K1648" s="40">
        <v>0</v>
      </c>
      <c r="L1648" s="40">
        <v>0</v>
      </c>
      <c r="M1648" s="40" cm="1">
        <f t="array" ref="M1648:N1648">VLOOKUP(B1648,'Fumigation  Room'!B:H,{6,7},0)</f>
        <v>300</v>
      </c>
      <c r="N1648" s="40">
        <v>60</v>
      </c>
      <c r="O1648" s="40">
        <f t="shared" si="51"/>
        <v>300</v>
      </c>
      <c r="P1648" s="40">
        <f t="shared" si="52"/>
        <v>60</v>
      </c>
    </row>
    <row r="1649" spans="1:16" x14ac:dyDescent="0.35">
      <c r="A1649" s="33">
        <v>1646</v>
      </c>
      <c r="B1649" s="34" t="s">
        <v>2031</v>
      </c>
      <c r="C1649" s="33" t="s">
        <v>346</v>
      </c>
      <c r="D1649" s="33" t="s">
        <v>13</v>
      </c>
      <c r="E1649" s="33" t="s">
        <v>1976</v>
      </c>
      <c r="F1649" s="35">
        <v>1</v>
      </c>
      <c r="G1649" s="40">
        <v>0</v>
      </c>
      <c r="H1649" s="40">
        <v>0</v>
      </c>
      <c r="I1649" s="40">
        <v>0</v>
      </c>
      <c r="J1649" s="40">
        <v>0</v>
      </c>
      <c r="K1649" s="40">
        <v>0</v>
      </c>
      <c r="L1649" s="40">
        <v>0</v>
      </c>
      <c r="M1649" s="40" cm="1">
        <f t="array" ref="M1649:N1649">VLOOKUP(B1649,'Fumigation  Room'!B:H,{6,7},0)</f>
        <v>0</v>
      </c>
      <c r="N1649" s="40">
        <v>0</v>
      </c>
      <c r="O1649" s="40">
        <f t="shared" si="51"/>
        <v>0</v>
      </c>
      <c r="P1649" s="40">
        <f t="shared" si="52"/>
        <v>0</v>
      </c>
    </row>
    <row r="1650" spans="1:16" x14ac:dyDescent="0.35">
      <c r="A1650" s="33">
        <v>1647</v>
      </c>
      <c r="B1650" s="34" t="s">
        <v>2032</v>
      </c>
      <c r="C1650" s="33" t="s">
        <v>346</v>
      </c>
      <c r="D1650" s="33" t="s">
        <v>13</v>
      </c>
      <c r="E1650" s="33" t="s">
        <v>1976</v>
      </c>
      <c r="F1650" s="35">
        <v>0.1</v>
      </c>
      <c r="G1650" s="40">
        <v>0</v>
      </c>
      <c r="H1650" s="40">
        <v>0</v>
      </c>
      <c r="I1650" s="40">
        <v>0</v>
      </c>
      <c r="J1650" s="40">
        <v>0</v>
      </c>
      <c r="K1650" s="40">
        <v>0</v>
      </c>
      <c r="L1650" s="40">
        <v>0</v>
      </c>
      <c r="M1650" s="40" cm="1">
        <f t="array" ref="M1650:N1650">VLOOKUP(B1650,'Fumigation  Room'!B:H,{6,7},0)</f>
        <v>0</v>
      </c>
      <c r="N1650" s="40">
        <v>0</v>
      </c>
      <c r="O1650" s="40">
        <f t="shared" si="51"/>
        <v>0</v>
      </c>
      <c r="P1650" s="40">
        <f t="shared" si="52"/>
        <v>0</v>
      </c>
    </row>
    <row r="1651" spans="1:16" x14ac:dyDescent="0.35">
      <c r="A1651" s="33">
        <v>1648</v>
      </c>
      <c r="B1651" s="34" t="s">
        <v>2033</v>
      </c>
      <c r="C1651" s="33" t="s">
        <v>346</v>
      </c>
      <c r="D1651" s="33" t="s">
        <v>13</v>
      </c>
      <c r="E1651" s="33" t="s">
        <v>1976</v>
      </c>
      <c r="F1651" s="35">
        <v>0.2</v>
      </c>
      <c r="G1651" s="40">
        <v>0</v>
      </c>
      <c r="H1651" s="40">
        <v>0</v>
      </c>
      <c r="I1651" s="40">
        <v>0</v>
      </c>
      <c r="J1651" s="40">
        <v>0</v>
      </c>
      <c r="K1651" s="40">
        <v>0</v>
      </c>
      <c r="L1651" s="40">
        <v>0</v>
      </c>
      <c r="M1651" s="40" cm="1">
        <f t="array" ref="M1651:N1651">VLOOKUP(B1651,'Fumigation  Room'!B:H,{6,7},0)</f>
        <v>0</v>
      </c>
      <c r="N1651" s="40">
        <v>0</v>
      </c>
      <c r="O1651" s="40">
        <f t="shared" si="51"/>
        <v>0</v>
      </c>
      <c r="P1651" s="40">
        <f t="shared" si="52"/>
        <v>0</v>
      </c>
    </row>
    <row r="1652" spans="1:16" x14ac:dyDescent="0.35">
      <c r="A1652" s="33">
        <v>1649</v>
      </c>
      <c r="B1652" s="34" t="s">
        <v>2034</v>
      </c>
      <c r="C1652" s="33" t="s">
        <v>346</v>
      </c>
      <c r="D1652" s="33" t="s">
        <v>13</v>
      </c>
      <c r="E1652" s="33" t="s">
        <v>1976</v>
      </c>
      <c r="F1652" s="35">
        <v>1</v>
      </c>
      <c r="G1652" s="40">
        <v>0</v>
      </c>
      <c r="H1652" s="40">
        <v>0</v>
      </c>
      <c r="I1652" s="40">
        <v>0</v>
      </c>
      <c r="J1652" s="40">
        <v>0</v>
      </c>
      <c r="K1652" s="40">
        <v>0</v>
      </c>
      <c r="L1652" s="40">
        <v>0</v>
      </c>
      <c r="M1652" s="40" cm="1">
        <f t="array" ref="M1652:N1652">VLOOKUP(B1652,'Fumigation  Room'!B:H,{6,7},0)</f>
        <v>0</v>
      </c>
      <c r="N1652" s="40">
        <v>0</v>
      </c>
      <c r="O1652" s="40">
        <f t="shared" si="51"/>
        <v>0</v>
      </c>
      <c r="P1652" s="40">
        <f t="shared" si="52"/>
        <v>0</v>
      </c>
    </row>
    <row r="1653" spans="1:16" x14ac:dyDescent="0.35">
      <c r="A1653" s="33">
        <v>1650</v>
      </c>
      <c r="B1653" s="34" t="s">
        <v>2035</v>
      </c>
      <c r="C1653" s="33" t="s">
        <v>346</v>
      </c>
      <c r="D1653" s="33" t="s">
        <v>13</v>
      </c>
      <c r="E1653" s="33" t="s">
        <v>1976</v>
      </c>
      <c r="F1653" s="35">
        <v>0.5</v>
      </c>
      <c r="G1653" s="40">
        <v>0</v>
      </c>
      <c r="H1653" s="40">
        <v>0</v>
      </c>
      <c r="I1653" s="40">
        <v>0</v>
      </c>
      <c r="J1653" s="40">
        <v>0</v>
      </c>
      <c r="K1653" s="40">
        <v>0</v>
      </c>
      <c r="L1653" s="40">
        <v>0</v>
      </c>
      <c r="M1653" s="40" cm="1">
        <f t="array" ref="M1653:N1653">VLOOKUP(B1653,'Fumigation  Room'!B:H,{6,7},0)</f>
        <v>0</v>
      </c>
      <c r="N1653" s="40">
        <v>0</v>
      </c>
      <c r="O1653" s="40">
        <f t="shared" si="51"/>
        <v>0</v>
      </c>
      <c r="P1653" s="40">
        <f t="shared" si="52"/>
        <v>0</v>
      </c>
    </row>
    <row r="1654" spans="1:16" x14ac:dyDescent="0.35">
      <c r="A1654" s="33">
        <v>1651</v>
      </c>
      <c r="B1654" s="34" t="s">
        <v>1978</v>
      </c>
      <c r="C1654" s="33" t="s">
        <v>297</v>
      </c>
      <c r="D1654" s="33" t="s">
        <v>13</v>
      </c>
      <c r="E1654" s="33" t="s">
        <v>1979</v>
      </c>
      <c r="F1654" s="35">
        <v>1</v>
      </c>
      <c r="G1654" s="40">
        <v>0</v>
      </c>
      <c r="H1654" s="40">
        <v>0</v>
      </c>
      <c r="I1654" s="40">
        <v>0</v>
      </c>
      <c r="J1654" s="40">
        <v>0</v>
      </c>
      <c r="K1654" s="40">
        <v>0</v>
      </c>
      <c r="L1654" s="40">
        <f>VLOOKUP(B1654,'Packing Off Grade'!I:J,2,0)</f>
        <v>2.7</v>
      </c>
      <c r="M1654" s="40" cm="1">
        <f t="array" ref="M1654:N1654">VLOOKUP(B1654,'Fumigation  Room'!B:H,{6,7},0)</f>
        <v>0</v>
      </c>
      <c r="N1654" s="40">
        <v>0</v>
      </c>
      <c r="O1654" s="40">
        <f t="shared" si="51"/>
        <v>0</v>
      </c>
      <c r="P1654" s="40">
        <f t="shared" si="52"/>
        <v>2.7</v>
      </c>
    </row>
    <row r="1655" spans="1:16" x14ac:dyDescent="0.35">
      <c r="A1655" s="33">
        <v>1652</v>
      </c>
      <c r="B1655" s="34" t="s">
        <v>1980</v>
      </c>
      <c r="C1655" s="33" t="s">
        <v>297</v>
      </c>
      <c r="D1655" s="33" t="s">
        <v>13</v>
      </c>
      <c r="E1655" s="33" t="s">
        <v>1979</v>
      </c>
      <c r="F1655" s="35">
        <v>1</v>
      </c>
      <c r="G1655" s="40">
        <v>0</v>
      </c>
      <c r="H1655" s="40">
        <v>0</v>
      </c>
      <c r="I1655" s="40">
        <v>0</v>
      </c>
      <c r="J1655" s="40">
        <v>0</v>
      </c>
      <c r="K1655" s="40">
        <v>0</v>
      </c>
      <c r="L1655" s="40">
        <v>0</v>
      </c>
      <c r="M1655" s="40" cm="1">
        <f t="array" ref="M1655:N1655">VLOOKUP(B1655,'Fumigation  Room'!B:H,{6,7},0)</f>
        <v>0</v>
      </c>
      <c r="N1655" s="40">
        <v>0</v>
      </c>
      <c r="O1655" s="40">
        <f t="shared" si="51"/>
        <v>0</v>
      </c>
      <c r="P1655" s="40">
        <f t="shared" si="52"/>
        <v>0</v>
      </c>
    </row>
    <row r="1656" spans="1:16" x14ac:dyDescent="0.35">
      <c r="A1656" s="33">
        <v>1653</v>
      </c>
      <c r="B1656" s="34" t="s">
        <v>2036</v>
      </c>
      <c r="C1656" s="33" t="s">
        <v>346</v>
      </c>
      <c r="D1656" s="33" t="s">
        <v>13</v>
      </c>
      <c r="E1656" s="33" t="s">
        <v>1979</v>
      </c>
      <c r="F1656" s="35">
        <v>0.1</v>
      </c>
      <c r="G1656" s="40">
        <v>0</v>
      </c>
      <c r="H1656" s="40">
        <v>0</v>
      </c>
      <c r="I1656" s="40">
        <v>0</v>
      </c>
      <c r="J1656" s="40">
        <v>0</v>
      </c>
      <c r="K1656" s="40">
        <v>0</v>
      </c>
      <c r="L1656" s="40">
        <v>0</v>
      </c>
      <c r="M1656" s="40" cm="1">
        <f t="array" ref="M1656:N1656">VLOOKUP(B1656,'Fumigation  Room'!B:H,{6,7},0)</f>
        <v>0</v>
      </c>
      <c r="N1656" s="40">
        <v>0</v>
      </c>
      <c r="O1656" s="40">
        <f t="shared" si="51"/>
        <v>0</v>
      </c>
      <c r="P1656" s="40">
        <f t="shared" si="52"/>
        <v>0</v>
      </c>
    </row>
    <row r="1657" spans="1:16" x14ac:dyDescent="0.35">
      <c r="A1657" s="33">
        <v>1654</v>
      </c>
      <c r="B1657" s="34" t="s">
        <v>2037</v>
      </c>
      <c r="C1657" s="33" t="s">
        <v>346</v>
      </c>
      <c r="D1657" s="33" t="s">
        <v>13</v>
      </c>
      <c r="E1657" s="33" t="s">
        <v>1979</v>
      </c>
      <c r="F1657" s="35">
        <v>0.2</v>
      </c>
      <c r="G1657" s="40">
        <v>0</v>
      </c>
      <c r="H1657" s="40">
        <v>0</v>
      </c>
      <c r="I1657" s="40">
        <v>0</v>
      </c>
      <c r="J1657" s="40">
        <v>0</v>
      </c>
      <c r="K1657" s="40">
        <v>0</v>
      </c>
      <c r="L1657" s="40">
        <v>0</v>
      </c>
      <c r="M1657" s="40" cm="1">
        <f t="array" ref="M1657:N1657">VLOOKUP(B1657,'Fumigation  Room'!B:H,{6,7},0)</f>
        <v>50</v>
      </c>
      <c r="N1657" s="40">
        <v>10</v>
      </c>
      <c r="O1657" s="40">
        <f t="shared" si="51"/>
        <v>50</v>
      </c>
      <c r="P1657" s="40">
        <f t="shared" si="52"/>
        <v>10</v>
      </c>
    </row>
    <row r="1658" spans="1:16" x14ac:dyDescent="0.35">
      <c r="A1658" s="33">
        <v>1655</v>
      </c>
      <c r="B1658" s="34" t="s">
        <v>2038</v>
      </c>
      <c r="C1658" s="33" t="s">
        <v>346</v>
      </c>
      <c r="D1658" s="33" t="s">
        <v>13</v>
      </c>
      <c r="E1658" s="33" t="s">
        <v>1979</v>
      </c>
      <c r="F1658" s="35">
        <v>1</v>
      </c>
      <c r="G1658" s="40">
        <v>0</v>
      </c>
      <c r="H1658" s="40">
        <v>0</v>
      </c>
      <c r="I1658" s="40">
        <v>0</v>
      </c>
      <c r="J1658" s="40">
        <v>0</v>
      </c>
      <c r="K1658" s="40">
        <v>0</v>
      </c>
      <c r="L1658" s="40">
        <v>0</v>
      </c>
      <c r="M1658" s="40" cm="1">
        <f t="array" ref="M1658:N1658">VLOOKUP(B1658,'Fumigation  Room'!B:H,{6,7},0)</f>
        <v>0</v>
      </c>
      <c r="N1658" s="40">
        <v>0</v>
      </c>
      <c r="O1658" s="40">
        <f t="shared" si="51"/>
        <v>0</v>
      </c>
      <c r="P1658" s="40">
        <f t="shared" si="52"/>
        <v>0</v>
      </c>
    </row>
    <row r="1659" spans="1:16" x14ac:dyDescent="0.35">
      <c r="A1659" s="33">
        <v>1656</v>
      </c>
      <c r="B1659" s="34" t="s">
        <v>2039</v>
      </c>
      <c r="C1659" s="33" t="s">
        <v>297</v>
      </c>
      <c r="D1659" s="33" t="s">
        <v>2040</v>
      </c>
      <c r="E1659" s="33" t="s">
        <v>2041</v>
      </c>
      <c r="F1659" s="35">
        <v>1</v>
      </c>
      <c r="G1659" s="40">
        <v>0</v>
      </c>
      <c r="H1659" s="40">
        <v>0</v>
      </c>
      <c r="I1659" s="40">
        <v>0</v>
      </c>
      <c r="J1659" s="40">
        <v>0</v>
      </c>
      <c r="K1659" s="40">
        <v>0</v>
      </c>
      <c r="L1659" s="40">
        <v>0</v>
      </c>
      <c r="M1659" s="40" cm="1">
        <f t="array" ref="M1659:N1659">VLOOKUP(B1659,'Fumigation  Room'!B:H,{6,7},0)</f>
        <v>0</v>
      </c>
      <c r="N1659" s="40">
        <v>0</v>
      </c>
      <c r="O1659" s="40">
        <f t="shared" si="51"/>
        <v>0</v>
      </c>
      <c r="P1659" s="40">
        <f t="shared" si="52"/>
        <v>0</v>
      </c>
    </row>
    <row r="1660" spans="1:16" x14ac:dyDescent="0.35">
      <c r="A1660" s="33">
        <v>1657</v>
      </c>
      <c r="B1660" s="34" t="s">
        <v>2042</v>
      </c>
      <c r="C1660" s="33" t="s">
        <v>297</v>
      </c>
      <c r="D1660" s="33" t="s">
        <v>2040</v>
      </c>
      <c r="E1660" s="33" t="s">
        <v>2041</v>
      </c>
      <c r="F1660" s="35">
        <v>1</v>
      </c>
      <c r="G1660" s="40">
        <v>0</v>
      </c>
      <c r="H1660" s="40">
        <v>0</v>
      </c>
      <c r="I1660" s="40">
        <v>0</v>
      </c>
      <c r="J1660" s="40">
        <v>0</v>
      </c>
      <c r="K1660" s="40">
        <v>0</v>
      </c>
      <c r="L1660" s="40">
        <v>0</v>
      </c>
      <c r="M1660" s="40" cm="1">
        <f t="array" ref="M1660:N1660">VLOOKUP(B1660,'Fumigation  Room'!B:H,{6,7},0)</f>
        <v>0</v>
      </c>
      <c r="N1660" s="40">
        <v>0</v>
      </c>
      <c r="O1660" s="40">
        <f t="shared" si="51"/>
        <v>0</v>
      </c>
      <c r="P1660" s="40">
        <f t="shared" si="52"/>
        <v>0</v>
      </c>
    </row>
    <row r="1661" spans="1:16" x14ac:dyDescent="0.35">
      <c r="A1661" s="33">
        <v>1658</v>
      </c>
      <c r="B1661" s="34" t="s">
        <v>2043</v>
      </c>
      <c r="C1661" s="33" t="s">
        <v>297</v>
      </c>
      <c r="D1661" s="33" t="s">
        <v>2040</v>
      </c>
      <c r="E1661" s="33" t="s">
        <v>2041</v>
      </c>
      <c r="F1661" s="35">
        <v>1</v>
      </c>
      <c r="G1661" s="40">
        <v>0</v>
      </c>
      <c r="H1661" s="40">
        <v>0</v>
      </c>
      <c r="I1661" s="40">
        <v>0</v>
      </c>
      <c r="J1661" s="40">
        <v>0</v>
      </c>
      <c r="K1661" s="40">
        <v>0</v>
      </c>
      <c r="L1661" s="40">
        <v>0</v>
      </c>
      <c r="M1661" s="40" cm="1">
        <f t="array" ref="M1661:N1661">VLOOKUP(B1661,'Fumigation  Room'!B:H,{6,7},0)</f>
        <v>0</v>
      </c>
      <c r="N1661" s="40">
        <v>0</v>
      </c>
      <c r="O1661" s="40">
        <f t="shared" si="51"/>
        <v>0</v>
      </c>
      <c r="P1661" s="40">
        <f t="shared" si="52"/>
        <v>0</v>
      </c>
    </row>
    <row r="1662" spans="1:16" x14ac:dyDescent="0.35">
      <c r="A1662" s="33">
        <v>1659</v>
      </c>
      <c r="B1662" s="34" t="s">
        <v>2044</v>
      </c>
      <c r="C1662" s="33" t="s">
        <v>297</v>
      </c>
      <c r="D1662" s="33" t="s">
        <v>2040</v>
      </c>
      <c r="E1662" s="33" t="s">
        <v>2045</v>
      </c>
      <c r="F1662" s="35">
        <v>1</v>
      </c>
      <c r="G1662" s="40">
        <v>0</v>
      </c>
      <c r="H1662" s="40">
        <v>0</v>
      </c>
      <c r="I1662" s="40">
        <v>0</v>
      </c>
      <c r="J1662" s="40">
        <v>0</v>
      </c>
      <c r="K1662" s="40">
        <v>0</v>
      </c>
      <c r="L1662" s="40">
        <v>0</v>
      </c>
      <c r="M1662" s="40" cm="1">
        <f t="array" ref="M1662:N1662">VLOOKUP(B1662,'Fumigation  Room'!B:H,{6,7},0)</f>
        <v>0</v>
      </c>
      <c r="N1662" s="40">
        <v>0</v>
      </c>
      <c r="O1662" s="40">
        <f t="shared" si="51"/>
        <v>0</v>
      </c>
      <c r="P1662" s="40">
        <f t="shared" si="52"/>
        <v>0</v>
      </c>
    </row>
    <row r="1663" spans="1:16" x14ac:dyDescent="0.35">
      <c r="A1663" s="33">
        <v>1660</v>
      </c>
      <c r="B1663" s="34" t="s">
        <v>2046</v>
      </c>
      <c r="C1663" s="33" t="s">
        <v>297</v>
      </c>
      <c r="D1663" s="33" t="s">
        <v>2040</v>
      </c>
      <c r="E1663" s="33" t="s">
        <v>2045</v>
      </c>
      <c r="F1663" s="35">
        <v>1</v>
      </c>
      <c r="G1663" s="40">
        <v>0</v>
      </c>
      <c r="H1663" s="40">
        <v>0</v>
      </c>
      <c r="I1663" s="40">
        <v>0</v>
      </c>
      <c r="J1663" s="40">
        <v>0</v>
      </c>
      <c r="K1663" s="40">
        <v>0</v>
      </c>
      <c r="L1663" s="40">
        <v>0</v>
      </c>
      <c r="M1663" s="40" cm="1">
        <f t="array" ref="M1663:N1663">VLOOKUP(B1663,'Fumigation  Room'!B:H,{6,7},0)</f>
        <v>0</v>
      </c>
      <c r="N1663" s="40">
        <v>0</v>
      </c>
      <c r="O1663" s="40">
        <f t="shared" si="51"/>
        <v>0</v>
      </c>
      <c r="P1663" s="40">
        <f t="shared" si="52"/>
        <v>0</v>
      </c>
    </row>
    <row r="1664" spans="1:16" x14ac:dyDescent="0.35">
      <c r="A1664" s="33">
        <v>1661</v>
      </c>
      <c r="B1664" s="34" t="s">
        <v>2047</v>
      </c>
      <c r="C1664" s="33" t="s">
        <v>297</v>
      </c>
      <c r="D1664" s="33" t="s">
        <v>2040</v>
      </c>
      <c r="E1664" s="33" t="s">
        <v>2045</v>
      </c>
      <c r="F1664" s="35">
        <v>1</v>
      </c>
      <c r="G1664" s="40">
        <v>0</v>
      </c>
      <c r="H1664" s="40">
        <v>0</v>
      </c>
      <c r="I1664" s="40">
        <v>0</v>
      </c>
      <c r="J1664" s="40">
        <v>0</v>
      </c>
      <c r="K1664" s="40">
        <v>0</v>
      </c>
      <c r="L1664" s="40">
        <v>0</v>
      </c>
      <c r="M1664" s="40" cm="1">
        <f t="array" ref="M1664:N1664">VLOOKUP(B1664,'Fumigation  Room'!B:H,{6,7},0)</f>
        <v>0</v>
      </c>
      <c r="N1664" s="40">
        <v>0</v>
      </c>
      <c r="O1664" s="40">
        <f t="shared" si="51"/>
        <v>0</v>
      </c>
      <c r="P1664" s="40">
        <f t="shared" si="52"/>
        <v>0</v>
      </c>
    </row>
    <row r="1665" spans="1:16" x14ac:dyDescent="0.35">
      <c r="A1665" s="33">
        <v>1662</v>
      </c>
      <c r="B1665" s="34" t="s">
        <v>2048</v>
      </c>
      <c r="C1665" s="33" t="s">
        <v>297</v>
      </c>
      <c r="D1665" s="33" t="s">
        <v>2040</v>
      </c>
      <c r="E1665" s="33" t="s">
        <v>2045</v>
      </c>
      <c r="F1665" s="35">
        <v>1</v>
      </c>
      <c r="G1665" s="40">
        <v>0</v>
      </c>
      <c r="H1665" s="40">
        <v>0</v>
      </c>
      <c r="I1665" s="40">
        <v>0</v>
      </c>
      <c r="J1665" s="40">
        <v>0</v>
      </c>
      <c r="K1665" s="40">
        <v>0</v>
      </c>
      <c r="L1665" s="40">
        <v>0</v>
      </c>
      <c r="M1665" s="40" cm="1">
        <f t="array" ref="M1665:N1665">VLOOKUP(B1665,'Fumigation  Room'!B:H,{6,7},0)</f>
        <v>0</v>
      </c>
      <c r="N1665" s="40">
        <v>0</v>
      </c>
      <c r="O1665" s="40">
        <f t="shared" si="51"/>
        <v>0</v>
      </c>
      <c r="P1665" s="40">
        <f t="shared" si="52"/>
        <v>0</v>
      </c>
    </row>
    <row r="1666" spans="1:16" x14ac:dyDescent="0.35">
      <c r="A1666" s="33">
        <v>1663</v>
      </c>
      <c r="B1666" s="34" t="s">
        <v>2049</v>
      </c>
      <c r="C1666" s="33" t="s">
        <v>297</v>
      </c>
      <c r="D1666" s="33" t="s">
        <v>2040</v>
      </c>
      <c r="E1666" s="33" t="s">
        <v>2045</v>
      </c>
      <c r="F1666" s="35">
        <v>1</v>
      </c>
      <c r="G1666" s="40">
        <v>0</v>
      </c>
      <c r="H1666" s="40">
        <v>0</v>
      </c>
      <c r="I1666" s="40">
        <v>0</v>
      </c>
      <c r="J1666" s="40">
        <v>0</v>
      </c>
      <c r="K1666" s="40">
        <v>0</v>
      </c>
      <c r="L1666" s="40">
        <v>0</v>
      </c>
      <c r="M1666" s="40" cm="1">
        <f t="array" ref="M1666:N1666">VLOOKUP(B1666,'Fumigation  Room'!B:H,{6,7},0)</f>
        <v>0</v>
      </c>
      <c r="N1666" s="40">
        <v>0</v>
      </c>
      <c r="O1666" s="40">
        <f t="shared" si="51"/>
        <v>0</v>
      </c>
      <c r="P1666" s="40">
        <f t="shared" si="52"/>
        <v>0</v>
      </c>
    </row>
    <row r="1667" spans="1:16" x14ac:dyDescent="0.35">
      <c r="A1667" s="33">
        <v>1664</v>
      </c>
      <c r="B1667" s="34" t="s">
        <v>2050</v>
      </c>
      <c r="C1667" s="33" t="s">
        <v>297</v>
      </c>
      <c r="D1667" s="33" t="s">
        <v>2040</v>
      </c>
      <c r="E1667" s="33" t="s">
        <v>2045</v>
      </c>
      <c r="F1667" s="35">
        <v>1</v>
      </c>
      <c r="G1667" s="40">
        <v>0</v>
      </c>
      <c r="H1667" s="40">
        <v>0</v>
      </c>
      <c r="I1667" s="40">
        <v>0</v>
      </c>
      <c r="J1667" s="40">
        <v>0</v>
      </c>
      <c r="K1667" s="40">
        <v>0</v>
      </c>
      <c r="L1667" s="40">
        <v>0</v>
      </c>
      <c r="M1667" s="40" cm="1">
        <f t="array" ref="M1667:N1667">VLOOKUP(B1667,'Fumigation  Room'!B:H,{6,7},0)</f>
        <v>0</v>
      </c>
      <c r="N1667" s="40">
        <v>0</v>
      </c>
      <c r="O1667" s="40">
        <f t="shared" si="51"/>
        <v>0</v>
      </c>
      <c r="P1667" s="40">
        <f t="shared" si="52"/>
        <v>0</v>
      </c>
    </row>
    <row r="1668" spans="1:16" x14ac:dyDescent="0.35">
      <c r="A1668" s="33">
        <v>1665</v>
      </c>
      <c r="B1668" s="34" t="s">
        <v>2051</v>
      </c>
      <c r="C1668" s="33" t="s">
        <v>297</v>
      </c>
      <c r="D1668" s="33" t="s">
        <v>2040</v>
      </c>
      <c r="E1668" s="33" t="s">
        <v>2045</v>
      </c>
      <c r="F1668" s="35">
        <v>1</v>
      </c>
      <c r="G1668" s="40">
        <v>0</v>
      </c>
      <c r="H1668" s="40">
        <v>0</v>
      </c>
      <c r="I1668" s="40">
        <v>0</v>
      </c>
      <c r="J1668" s="40">
        <v>0</v>
      </c>
      <c r="K1668" s="40">
        <v>0</v>
      </c>
      <c r="L1668" s="40">
        <v>0</v>
      </c>
      <c r="M1668" s="40" cm="1">
        <f t="array" ref="M1668:N1668">VLOOKUP(B1668,'Fumigation  Room'!B:H,{6,7},0)</f>
        <v>0</v>
      </c>
      <c r="N1668" s="40">
        <v>0</v>
      </c>
      <c r="O1668" s="40">
        <f t="shared" si="51"/>
        <v>0</v>
      </c>
      <c r="P1668" s="40">
        <f t="shared" si="52"/>
        <v>0</v>
      </c>
    </row>
    <row r="1669" spans="1:16" x14ac:dyDescent="0.35">
      <c r="A1669" s="33">
        <v>1666</v>
      </c>
      <c r="B1669" s="34" t="s">
        <v>2052</v>
      </c>
      <c r="C1669" s="33" t="s">
        <v>297</v>
      </c>
      <c r="D1669" s="33" t="s">
        <v>2040</v>
      </c>
      <c r="E1669" s="33" t="s">
        <v>2045</v>
      </c>
      <c r="F1669" s="35">
        <v>1</v>
      </c>
      <c r="G1669" s="40">
        <v>0</v>
      </c>
      <c r="H1669" s="40">
        <v>0</v>
      </c>
      <c r="I1669" s="40">
        <v>0</v>
      </c>
      <c r="J1669" s="40">
        <v>0</v>
      </c>
      <c r="K1669" s="40">
        <v>0</v>
      </c>
      <c r="L1669" s="40">
        <v>0</v>
      </c>
      <c r="M1669" s="40" cm="1">
        <f t="array" ref="M1669:N1669">VLOOKUP(B1669,'Fumigation  Room'!B:H,{6,7},0)</f>
        <v>0</v>
      </c>
      <c r="N1669" s="40">
        <v>0</v>
      </c>
      <c r="O1669" s="40">
        <f t="shared" ref="O1669:O1732" si="53">G1669+I1669+K1669+M1669</f>
        <v>0</v>
      </c>
      <c r="P1669" s="40">
        <f t="shared" ref="P1669:P1732" si="54">H1669+J1669+L1669+N1669</f>
        <v>0</v>
      </c>
    </row>
    <row r="1670" spans="1:16" x14ac:dyDescent="0.35">
      <c r="A1670" s="33">
        <v>1667</v>
      </c>
      <c r="B1670" s="34" t="s">
        <v>2053</v>
      </c>
      <c r="C1670" s="33" t="s">
        <v>346</v>
      </c>
      <c r="D1670" s="33" t="s">
        <v>2040</v>
      </c>
      <c r="E1670" s="33" t="s">
        <v>2045</v>
      </c>
      <c r="F1670" s="35">
        <v>5.0000000000000001E-4</v>
      </c>
      <c r="G1670" s="40">
        <v>0</v>
      </c>
      <c r="H1670" s="40">
        <v>0</v>
      </c>
      <c r="I1670" s="40">
        <v>0</v>
      </c>
      <c r="J1670" s="40">
        <v>0</v>
      </c>
      <c r="K1670" s="40">
        <v>0</v>
      </c>
      <c r="L1670" s="40">
        <v>0</v>
      </c>
      <c r="M1670" s="40" cm="1">
        <f t="array" ref="M1670:N1670">VLOOKUP(B1670,'Fumigation  Room'!B:H,{6,7},0)</f>
        <v>0</v>
      </c>
      <c r="N1670" s="40">
        <v>0</v>
      </c>
      <c r="O1670" s="40">
        <f t="shared" si="53"/>
        <v>0</v>
      </c>
      <c r="P1670" s="40">
        <f t="shared" si="54"/>
        <v>0</v>
      </c>
    </row>
    <row r="1671" spans="1:16" x14ac:dyDescent="0.35">
      <c r="A1671" s="33">
        <v>1668</v>
      </c>
      <c r="B1671" s="34" t="s">
        <v>2054</v>
      </c>
      <c r="C1671" s="33" t="s">
        <v>297</v>
      </c>
      <c r="D1671" s="33" t="s">
        <v>33</v>
      </c>
      <c r="E1671" s="33" t="s">
        <v>2055</v>
      </c>
      <c r="F1671" s="35">
        <v>1</v>
      </c>
      <c r="G1671" s="40">
        <v>0</v>
      </c>
      <c r="H1671" s="40">
        <v>0</v>
      </c>
      <c r="I1671" s="40">
        <v>0</v>
      </c>
      <c r="J1671" s="40">
        <v>0</v>
      </c>
      <c r="K1671" s="40">
        <v>0</v>
      </c>
      <c r="L1671" s="40">
        <v>0</v>
      </c>
      <c r="M1671" s="40" cm="1">
        <f t="array" ref="M1671:N1671">VLOOKUP(B1671,'Fumigation  Room'!B:H,{6,7},0)</f>
        <v>0</v>
      </c>
      <c r="N1671" s="40">
        <v>0</v>
      </c>
      <c r="O1671" s="40">
        <f t="shared" si="53"/>
        <v>0</v>
      </c>
      <c r="P1671" s="40">
        <f t="shared" si="54"/>
        <v>0</v>
      </c>
    </row>
    <row r="1672" spans="1:16" x14ac:dyDescent="0.35">
      <c r="A1672" s="33">
        <v>1669</v>
      </c>
      <c r="B1672" s="34" t="s">
        <v>2056</v>
      </c>
      <c r="C1672" s="33" t="s">
        <v>297</v>
      </c>
      <c r="D1672" s="33" t="s">
        <v>33</v>
      </c>
      <c r="E1672" s="33" t="s">
        <v>2055</v>
      </c>
      <c r="F1672" s="35">
        <v>1</v>
      </c>
      <c r="G1672" s="40">
        <v>0</v>
      </c>
      <c r="H1672" s="40">
        <v>0</v>
      </c>
      <c r="I1672" s="40">
        <v>0</v>
      </c>
      <c r="J1672" s="40">
        <v>0</v>
      </c>
      <c r="K1672" s="40">
        <v>0</v>
      </c>
      <c r="L1672" s="40">
        <v>0</v>
      </c>
      <c r="M1672" s="40" cm="1">
        <f t="array" ref="M1672:N1672">VLOOKUP(B1672,'Fumigation  Room'!B:H,{6,7},0)</f>
        <v>0</v>
      </c>
      <c r="N1672" s="40">
        <v>0</v>
      </c>
      <c r="O1672" s="40">
        <f t="shared" si="53"/>
        <v>0</v>
      </c>
      <c r="P1672" s="40">
        <f t="shared" si="54"/>
        <v>0</v>
      </c>
    </row>
    <row r="1673" spans="1:16" x14ac:dyDescent="0.35">
      <c r="A1673" s="33">
        <v>1670</v>
      </c>
      <c r="B1673" s="34" t="s">
        <v>2072</v>
      </c>
      <c r="C1673" s="33" t="s">
        <v>346</v>
      </c>
      <c r="D1673" s="33" t="s">
        <v>33</v>
      </c>
      <c r="E1673" s="33" t="s">
        <v>2055</v>
      </c>
      <c r="F1673" s="35">
        <v>1</v>
      </c>
      <c r="G1673" s="40">
        <v>0</v>
      </c>
      <c r="H1673" s="40">
        <v>0</v>
      </c>
      <c r="I1673" s="40">
        <v>0</v>
      </c>
      <c r="J1673" s="40">
        <v>0</v>
      </c>
      <c r="K1673" s="40">
        <v>0</v>
      </c>
      <c r="L1673" s="40">
        <v>0</v>
      </c>
      <c r="M1673" s="40" cm="1">
        <f t="array" ref="M1673:N1673">VLOOKUP(B1673,'Fumigation  Room'!B:H,{6,7},0)</f>
        <v>0</v>
      </c>
      <c r="N1673" s="40">
        <v>0</v>
      </c>
      <c r="O1673" s="40">
        <f t="shared" si="53"/>
        <v>0</v>
      </c>
      <c r="P1673" s="40">
        <f t="shared" si="54"/>
        <v>0</v>
      </c>
    </row>
    <row r="1674" spans="1:16" x14ac:dyDescent="0.35">
      <c r="A1674" s="33">
        <v>1671</v>
      </c>
      <c r="B1674" s="34" t="s">
        <v>2073</v>
      </c>
      <c r="C1674" s="33" t="s">
        <v>346</v>
      </c>
      <c r="D1674" s="33" t="s">
        <v>33</v>
      </c>
      <c r="E1674" s="33" t="s">
        <v>2055</v>
      </c>
      <c r="F1674" s="35">
        <v>1</v>
      </c>
      <c r="G1674" s="40">
        <v>0</v>
      </c>
      <c r="H1674" s="40">
        <v>0</v>
      </c>
      <c r="I1674" s="40">
        <v>0</v>
      </c>
      <c r="J1674" s="40">
        <v>0</v>
      </c>
      <c r="K1674" s="40">
        <v>0</v>
      </c>
      <c r="L1674" s="40">
        <v>0</v>
      </c>
      <c r="M1674" s="40" cm="1">
        <f t="array" ref="M1674:N1674">VLOOKUP(B1674,'Fumigation  Room'!B:H,{6,7},0)</f>
        <v>0</v>
      </c>
      <c r="N1674" s="40">
        <v>0</v>
      </c>
      <c r="O1674" s="40">
        <f t="shared" si="53"/>
        <v>0</v>
      </c>
      <c r="P1674" s="40">
        <f t="shared" si="54"/>
        <v>0</v>
      </c>
    </row>
    <row r="1675" spans="1:16" x14ac:dyDescent="0.35">
      <c r="A1675" s="33">
        <v>1672</v>
      </c>
      <c r="B1675" s="34" t="s">
        <v>2074</v>
      </c>
      <c r="C1675" s="33" t="s">
        <v>346</v>
      </c>
      <c r="D1675" s="33" t="s">
        <v>33</v>
      </c>
      <c r="E1675" s="33" t="s">
        <v>2055</v>
      </c>
      <c r="F1675" s="35">
        <v>1</v>
      </c>
      <c r="G1675" s="40">
        <v>0</v>
      </c>
      <c r="H1675" s="40">
        <v>0</v>
      </c>
      <c r="I1675" s="40">
        <v>0</v>
      </c>
      <c r="J1675" s="40">
        <v>0</v>
      </c>
      <c r="K1675" s="40">
        <v>0</v>
      </c>
      <c r="L1675" s="40">
        <v>0</v>
      </c>
      <c r="M1675" s="40" cm="1">
        <f t="array" ref="M1675:N1675">VLOOKUP(B1675,'Fumigation  Room'!B:H,{6,7},0)</f>
        <v>0</v>
      </c>
      <c r="N1675" s="40">
        <v>0</v>
      </c>
      <c r="O1675" s="40">
        <f t="shared" si="53"/>
        <v>0</v>
      </c>
      <c r="P1675" s="40">
        <f t="shared" si="54"/>
        <v>0</v>
      </c>
    </row>
    <row r="1676" spans="1:16" x14ac:dyDescent="0.35">
      <c r="A1676" s="33">
        <v>1673</v>
      </c>
      <c r="B1676" s="34" t="s">
        <v>2057</v>
      </c>
      <c r="C1676" s="33" t="s">
        <v>297</v>
      </c>
      <c r="D1676" s="33" t="s">
        <v>33</v>
      </c>
      <c r="E1676" s="33" t="s">
        <v>2058</v>
      </c>
      <c r="F1676" s="35">
        <v>1</v>
      </c>
      <c r="G1676" s="40">
        <v>0</v>
      </c>
      <c r="H1676" s="40">
        <v>0</v>
      </c>
      <c r="I1676" s="40">
        <v>0</v>
      </c>
      <c r="J1676" s="40">
        <v>0</v>
      </c>
      <c r="K1676" s="40">
        <v>0</v>
      </c>
      <c r="L1676" s="40">
        <v>0</v>
      </c>
      <c r="M1676" s="40" cm="1">
        <f t="array" ref="M1676:N1676">VLOOKUP(B1676,'Fumigation  Room'!B:H,{6,7},0)</f>
        <v>0</v>
      </c>
      <c r="N1676" s="40">
        <v>0</v>
      </c>
      <c r="O1676" s="40">
        <f t="shared" si="53"/>
        <v>0</v>
      </c>
      <c r="P1676" s="40">
        <f t="shared" si="54"/>
        <v>0</v>
      </c>
    </row>
    <row r="1677" spans="1:16" x14ac:dyDescent="0.35">
      <c r="A1677" s="33">
        <v>1674</v>
      </c>
      <c r="B1677" s="34" t="s">
        <v>2059</v>
      </c>
      <c r="C1677" s="33" t="s">
        <v>297</v>
      </c>
      <c r="D1677" s="33" t="s">
        <v>33</v>
      </c>
      <c r="E1677" s="33" t="s">
        <v>2058</v>
      </c>
      <c r="F1677" s="35">
        <v>1</v>
      </c>
      <c r="G1677" s="40">
        <v>0</v>
      </c>
      <c r="H1677" s="40">
        <v>0</v>
      </c>
      <c r="I1677" s="40">
        <v>0</v>
      </c>
      <c r="J1677" s="40">
        <v>0</v>
      </c>
      <c r="K1677" s="40">
        <v>0</v>
      </c>
      <c r="L1677" s="40">
        <v>0</v>
      </c>
      <c r="M1677" s="40" cm="1">
        <f t="array" ref="M1677:N1677">VLOOKUP(B1677,'Fumigation  Room'!B:H,{6,7},0)</f>
        <v>0</v>
      </c>
      <c r="N1677" s="40">
        <v>0</v>
      </c>
      <c r="O1677" s="40">
        <f t="shared" si="53"/>
        <v>0</v>
      </c>
      <c r="P1677" s="40">
        <f t="shared" si="54"/>
        <v>0</v>
      </c>
    </row>
    <row r="1678" spans="1:16" x14ac:dyDescent="0.35">
      <c r="A1678" s="33">
        <v>1675</v>
      </c>
      <c r="B1678" s="34" t="s">
        <v>2060</v>
      </c>
      <c r="C1678" s="33" t="s">
        <v>297</v>
      </c>
      <c r="D1678" s="33" t="s">
        <v>33</v>
      </c>
      <c r="E1678" s="33" t="s">
        <v>2058</v>
      </c>
      <c r="F1678" s="35">
        <v>1</v>
      </c>
      <c r="G1678" s="40">
        <v>0</v>
      </c>
      <c r="H1678" s="40">
        <v>0</v>
      </c>
      <c r="I1678" s="40">
        <v>0</v>
      </c>
      <c r="J1678" s="40">
        <v>0</v>
      </c>
      <c r="K1678" s="40">
        <v>0</v>
      </c>
      <c r="L1678" s="40">
        <v>0</v>
      </c>
      <c r="M1678" s="40" cm="1">
        <f t="array" ref="M1678:N1678">VLOOKUP(B1678,'Fumigation  Room'!B:H,{6,7},0)</f>
        <v>0</v>
      </c>
      <c r="N1678" s="40">
        <v>0</v>
      </c>
      <c r="O1678" s="40">
        <f t="shared" si="53"/>
        <v>0</v>
      </c>
      <c r="P1678" s="40">
        <f t="shared" si="54"/>
        <v>0</v>
      </c>
    </row>
    <row r="1679" spans="1:16" x14ac:dyDescent="0.35">
      <c r="A1679" s="33">
        <v>1676</v>
      </c>
      <c r="B1679" s="34" t="s">
        <v>2061</v>
      </c>
      <c r="C1679" s="33" t="s">
        <v>297</v>
      </c>
      <c r="D1679" s="33" t="s">
        <v>33</v>
      </c>
      <c r="E1679" s="33" t="s">
        <v>2058</v>
      </c>
      <c r="F1679" s="35">
        <v>1</v>
      </c>
      <c r="G1679" s="40">
        <v>0</v>
      </c>
      <c r="H1679" s="40">
        <v>0</v>
      </c>
      <c r="I1679" s="40">
        <v>0</v>
      </c>
      <c r="J1679" s="40">
        <v>0</v>
      </c>
      <c r="K1679" s="40">
        <v>0</v>
      </c>
      <c r="L1679" s="40">
        <v>0</v>
      </c>
      <c r="M1679" s="40" cm="1">
        <f t="array" ref="M1679:N1679">VLOOKUP(B1679,'Fumigation  Room'!B:H,{6,7},0)</f>
        <v>0</v>
      </c>
      <c r="N1679" s="40">
        <v>0</v>
      </c>
      <c r="O1679" s="40">
        <f t="shared" si="53"/>
        <v>0</v>
      </c>
      <c r="P1679" s="40">
        <f t="shared" si="54"/>
        <v>0</v>
      </c>
    </row>
    <row r="1680" spans="1:16" x14ac:dyDescent="0.35">
      <c r="A1680" s="33">
        <v>1677</v>
      </c>
      <c r="B1680" s="34" t="s">
        <v>2062</v>
      </c>
      <c r="C1680" s="33" t="s">
        <v>297</v>
      </c>
      <c r="D1680" s="33" t="s">
        <v>33</v>
      </c>
      <c r="E1680" s="33" t="s">
        <v>2058</v>
      </c>
      <c r="F1680" s="35">
        <v>1</v>
      </c>
      <c r="G1680" s="40">
        <v>0</v>
      </c>
      <c r="H1680" s="40">
        <v>0</v>
      </c>
      <c r="I1680" s="40">
        <v>0</v>
      </c>
      <c r="J1680" s="40">
        <v>0</v>
      </c>
      <c r="K1680" s="40">
        <v>0</v>
      </c>
      <c r="L1680" s="40">
        <v>0</v>
      </c>
      <c r="M1680" s="40" cm="1">
        <f t="array" ref="M1680:N1680">VLOOKUP(B1680,'Fumigation  Room'!B:H,{6,7},0)</f>
        <v>0</v>
      </c>
      <c r="N1680" s="40">
        <v>0</v>
      </c>
      <c r="O1680" s="40">
        <f t="shared" si="53"/>
        <v>0</v>
      </c>
      <c r="P1680" s="40">
        <f t="shared" si="54"/>
        <v>0</v>
      </c>
    </row>
    <row r="1681" spans="1:16" x14ac:dyDescent="0.35">
      <c r="A1681" s="33">
        <v>1678</v>
      </c>
      <c r="B1681" s="34" t="s">
        <v>2063</v>
      </c>
      <c r="C1681" s="33" t="s">
        <v>297</v>
      </c>
      <c r="D1681" s="33" t="s">
        <v>33</v>
      </c>
      <c r="E1681" s="33" t="s">
        <v>2058</v>
      </c>
      <c r="F1681" s="35">
        <v>1</v>
      </c>
      <c r="G1681" s="40">
        <v>0</v>
      </c>
      <c r="H1681" s="40">
        <v>0</v>
      </c>
      <c r="I1681" s="40">
        <v>0</v>
      </c>
      <c r="J1681" s="40">
        <v>0</v>
      </c>
      <c r="K1681" s="40">
        <v>0</v>
      </c>
      <c r="L1681" s="40">
        <v>0</v>
      </c>
      <c r="M1681" s="40" cm="1">
        <f t="array" ref="M1681:N1681">VLOOKUP(B1681,'Fumigation  Room'!B:H,{6,7},0)</f>
        <v>0</v>
      </c>
      <c r="N1681" s="40">
        <v>0</v>
      </c>
      <c r="O1681" s="40">
        <f t="shared" si="53"/>
        <v>0</v>
      </c>
      <c r="P1681" s="40">
        <f t="shared" si="54"/>
        <v>0</v>
      </c>
    </row>
    <row r="1682" spans="1:16" x14ac:dyDescent="0.35">
      <c r="A1682" s="33">
        <v>1679</v>
      </c>
      <c r="B1682" s="34" t="s">
        <v>2064</v>
      </c>
      <c r="C1682" s="33" t="s">
        <v>297</v>
      </c>
      <c r="D1682" s="33" t="s">
        <v>33</v>
      </c>
      <c r="E1682" s="33" t="s">
        <v>2058</v>
      </c>
      <c r="F1682" s="35">
        <v>1</v>
      </c>
      <c r="G1682" s="40">
        <v>0</v>
      </c>
      <c r="H1682" s="40">
        <v>0</v>
      </c>
      <c r="I1682" s="40">
        <v>0</v>
      </c>
      <c r="J1682" s="40">
        <v>0</v>
      </c>
      <c r="K1682" s="40">
        <v>0</v>
      </c>
      <c r="L1682" s="40">
        <v>0</v>
      </c>
      <c r="M1682" s="40" cm="1">
        <f t="array" ref="M1682:N1682">VLOOKUP(B1682,'Fumigation  Room'!B:H,{6,7},0)</f>
        <v>0</v>
      </c>
      <c r="N1682" s="40">
        <v>0</v>
      </c>
      <c r="O1682" s="40">
        <f t="shared" si="53"/>
        <v>0</v>
      </c>
      <c r="P1682" s="40">
        <f t="shared" si="54"/>
        <v>0</v>
      </c>
    </row>
    <row r="1683" spans="1:16" x14ac:dyDescent="0.35">
      <c r="A1683" s="33">
        <v>1680</v>
      </c>
      <c r="B1683" s="34" t="s">
        <v>2065</v>
      </c>
      <c r="C1683" s="33" t="s">
        <v>297</v>
      </c>
      <c r="D1683" s="33" t="s">
        <v>33</v>
      </c>
      <c r="E1683" s="33" t="s">
        <v>2058</v>
      </c>
      <c r="F1683" s="35">
        <v>1</v>
      </c>
      <c r="G1683" s="40">
        <v>0</v>
      </c>
      <c r="H1683" s="40">
        <v>0</v>
      </c>
      <c r="I1683" s="40">
        <v>0</v>
      </c>
      <c r="J1683" s="40">
        <v>0</v>
      </c>
      <c r="K1683" s="40">
        <v>0</v>
      </c>
      <c r="L1683" s="40">
        <v>0</v>
      </c>
      <c r="M1683" s="40" cm="1">
        <f t="array" ref="M1683:N1683">VLOOKUP(B1683,'Fumigation  Room'!B:H,{6,7},0)</f>
        <v>0</v>
      </c>
      <c r="N1683" s="40">
        <v>0</v>
      </c>
      <c r="O1683" s="40">
        <f t="shared" si="53"/>
        <v>0</v>
      </c>
      <c r="P1683" s="40">
        <f t="shared" si="54"/>
        <v>0</v>
      </c>
    </row>
    <row r="1684" spans="1:16" x14ac:dyDescent="0.35">
      <c r="A1684" s="33">
        <v>1681</v>
      </c>
      <c r="B1684" s="34" t="s">
        <v>2066</v>
      </c>
      <c r="C1684" s="33" t="s">
        <v>297</v>
      </c>
      <c r="D1684" s="33" t="s">
        <v>33</v>
      </c>
      <c r="E1684" s="33" t="s">
        <v>2058</v>
      </c>
      <c r="F1684" s="35">
        <v>1</v>
      </c>
      <c r="G1684" s="40">
        <v>0</v>
      </c>
      <c r="H1684" s="40">
        <v>0</v>
      </c>
      <c r="I1684" s="40">
        <v>0</v>
      </c>
      <c r="J1684" s="40">
        <v>0</v>
      </c>
      <c r="K1684" s="40">
        <v>0</v>
      </c>
      <c r="L1684" s="40">
        <v>0</v>
      </c>
      <c r="M1684" s="40" cm="1">
        <f t="array" ref="M1684:N1684">VLOOKUP(B1684,'Fumigation  Room'!B:H,{6,7},0)</f>
        <v>0</v>
      </c>
      <c r="N1684" s="40">
        <v>0</v>
      </c>
      <c r="O1684" s="40">
        <f t="shared" si="53"/>
        <v>0</v>
      </c>
      <c r="P1684" s="40">
        <f t="shared" si="54"/>
        <v>0</v>
      </c>
    </row>
    <row r="1685" spans="1:16" x14ac:dyDescent="0.35">
      <c r="A1685" s="33">
        <v>1682</v>
      </c>
      <c r="B1685" s="34" t="s">
        <v>2067</v>
      </c>
      <c r="C1685" s="33" t="s">
        <v>297</v>
      </c>
      <c r="D1685" s="33" t="s">
        <v>33</v>
      </c>
      <c r="E1685" s="33" t="s">
        <v>2058</v>
      </c>
      <c r="F1685" s="35">
        <v>1</v>
      </c>
      <c r="G1685" s="40">
        <v>0</v>
      </c>
      <c r="H1685" s="40">
        <v>0</v>
      </c>
      <c r="I1685" s="40">
        <v>0</v>
      </c>
      <c r="J1685" s="40">
        <v>0</v>
      </c>
      <c r="K1685" s="40">
        <v>0</v>
      </c>
      <c r="L1685" s="40">
        <v>0</v>
      </c>
      <c r="M1685" s="40" cm="1">
        <f t="array" ref="M1685:N1685">VLOOKUP(B1685,'Fumigation  Room'!B:H,{6,7},0)</f>
        <v>0</v>
      </c>
      <c r="N1685" s="40">
        <v>0</v>
      </c>
      <c r="O1685" s="40">
        <f t="shared" si="53"/>
        <v>0</v>
      </c>
      <c r="P1685" s="40">
        <f t="shared" si="54"/>
        <v>0</v>
      </c>
    </row>
    <row r="1686" spans="1:16" x14ac:dyDescent="0.35">
      <c r="A1686" s="33">
        <v>1683</v>
      </c>
      <c r="B1686" s="34" t="s">
        <v>2068</v>
      </c>
      <c r="C1686" s="33" t="s">
        <v>297</v>
      </c>
      <c r="D1686" s="33" t="s">
        <v>33</v>
      </c>
      <c r="E1686" s="33" t="s">
        <v>2058</v>
      </c>
      <c r="F1686" s="35">
        <v>1</v>
      </c>
      <c r="G1686" s="40">
        <v>0</v>
      </c>
      <c r="H1686" s="40">
        <v>0</v>
      </c>
      <c r="I1686" s="40">
        <v>0</v>
      </c>
      <c r="J1686" s="40">
        <v>0</v>
      </c>
      <c r="K1686" s="40">
        <v>0</v>
      </c>
      <c r="L1686" s="40">
        <v>0</v>
      </c>
      <c r="M1686" s="40" cm="1">
        <f t="array" ref="M1686:N1686">VLOOKUP(B1686,'Fumigation  Room'!B:H,{6,7},0)</f>
        <v>0</v>
      </c>
      <c r="N1686" s="40">
        <v>0</v>
      </c>
      <c r="O1686" s="40">
        <f t="shared" si="53"/>
        <v>0</v>
      </c>
      <c r="P1686" s="40">
        <f t="shared" si="54"/>
        <v>0</v>
      </c>
    </row>
    <row r="1687" spans="1:16" x14ac:dyDescent="0.35">
      <c r="A1687" s="33">
        <v>1684</v>
      </c>
      <c r="B1687" s="34" t="s">
        <v>2069</v>
      </c>
      <c r="C1687" s="33" t="s">
        <v>297</v>
      </c>
      <c r="D1687" s="33" t="s">
        <v>33</v>
      </c>
      <c r="E1687" s="33" t="s">
        <v>2058</v>
      </c>
      <c r="F1687" s="35">
        <v>1</v>
      </c>
      <c r="G1687" s="40">
        <v>0</v>
      </c>
      <c r="H1687" s="40">
        <v>0</v>
      </c>
      <c r="I1687" s="40">
        <v>0</v>
      </c>
      <c r="J1687" s="40">
        <v>0</v>
      </c>
      <c r="K1687" s="40">
        <v>0</v>
      </c>
      <c r="L1687" s="40">
        <v>0</v>
      </c>
      <c r="M1687" s="40" cm="1">
        <f t="array" ref="M1687:N1687">VLOOKUP(B1687,'Fumigation  Room'!B:H,{6,7},0)</f>
        <v>0</v>
      </c>
      <c r="N1687" s="40">
        <v>0</v>
      </c>
      <c r="O1687" s="40">
        <f t="shared" si="53"/>
        <v>0</v>
      </c>
      <c r="P1687" s="40">
        <f t="shared" si="54"/>
        <v>0</v>
      </c>
    </row>
    <row r="1688" spans="1:16" x14ac:dyDescent="0.35">
      <c r="A1688" s="33">
        <v>1685</v>
      </c>
      <c r="B1688" s="34" t="s">
        <v>2070</v>
      </c>
      <c r="C1688" s="33" t="s">
        <v>297</v>
      </c>
      <c r="D1688" s="33" t="s">
        <v>33</v>
      </c>
      <c r="E1688" s="33" t="s">
        <v>2058</v>
      </c>
      <c r="F1688" s="35">
        <v>1</v>
      </c>
      <c r="G1688" s="40">
        <v>0</v>
      </c>
      <c r="H1688" s="40">
        <v>0</v>
      </c>
      <c r="I1688" s="40">
        <v>0</v>
      </c>
      <c r="J1688" s="40">
        <v>0</v>
      </c>
      <c r="K1688" s="40">
        <v>0</v>
      </c>
      <c r="L1688" s="40">
        <v>0</v>
      </c>
      <c r="M1688" s="40" cm="1">
        <f t="array" ref="M1688:N1688">VLOOKUP(B1688,'Fumigation  Room'!B:H,{6,7},0)</f>
        <v>0</v>
      </c>
      <c r="N1688" s="40">
        <v>0</v>
      </c>
      <c r="O1688" s="40">
        <f t="shared" si="53"/>
        <v>0</v>
      </c>
      <c r="P1688" s="40">
        <f t="shared" si="54"/>
        <v>0</v>
      </c>
    </row>
    <row r="1689" spans="1:16" x14ac:dyDescent="0.35">
      <c r="A1689" s="33">
        <v>1686</v>
      </c>
      <c r="B1689" s="34" t="s">
        <v>2071</v>
      </c>
      <c r="C1689" s="33" t="s">
        <v>297</v>
      </c>
      <c r="D1689" s="33" t="s">
        <v>33</v>
      </c>
      <c r="E1689" s="33" t="s">
        <v>2058</v>
      </c>
      <c r="F1689" s="35">
        <v>1</v>
      </c>
      <c r="G1689" s="40">
        <v>0</v>
      </c>
      <c r="H1689" s="40">
        <v>0</v>
      </c>
      <c r="I1689" s="40">
        <v>0</v>
      </c>
      <c r="J1689" s="40">
        <v>0</v>
      </c>
      <c r="K1689" s="40">
        <v>0</v>
      </c>
      <c r="L1689" s="40">
        <v>0</v>
      </c>
      <c r="M1689" s="40" cm="1">
        <f t="array" ref="M1689:N1689">VLOOKUP(B1689,'Fumigation  Room'!B:H,{6,7},0)</f>
        <v>0</v>
      </c>
      <c r="N1689" s="40">
        <v>0</v>
      </c>
      <c r="O1689" s="40">
        <f t="shared" si="53"/>
        <v>0</v>
      </c>
      <c r="P1689" s="40">
        <f t="shared" si="54"/>
        <v>0</v>
      </c>
    </row>
    <row r="1690" spans="1:16" x14ac:dyDescent="0.35">
      <c r="A1690" s="33">
        <v>1687</v>
      </c>
      <c r="B1690" s="34" t="s">
        <v>2075</v>
      </c>
      <c r="C1690" s="33" t="s">
        <v>346</v>
      </c>
      <c r="D1690" s="33" t="s">
        <v>33</v>
      </c>
      <c r="E1690" s="33" t="s">
        <v>2058</v>
      </c>
      <c r="F1690" s="35">
        <v>1</v>
      </c>
      <c r="G1690" s="40">
        <v>0</v>
      </c>
      <c r="H1690" s="40">
        <v>0</v>
      </c>
      <c r="I1690" s="40">
        <v>0</v>
      </c>
      <c r="J1690" s="40">
        <v>0</v>
      </c>
      <c r="K1690" s="40">
        <v>0</v>
      </c>
      <c r="L1690" s="40">
        <v>0</v>
      </c>
      <c r="M1690" s="40" cm="1">
        <f t="array" ref="M1690:N1690">VLOOKUP(B1690,'Fumigation  Room'!B:H,{6,7},0)</f>
        <v>0</v>
      </c>
      <c r="N1690" s="40">
        <v>0</v>
      </c>
      <c r="O1690" s="40">
        <f t="shared" si="53"/>
        <v>0</v>
      </c>
      <c r="P1690" s="40">
        <f t="shared" si="54"/>
        <v>0</v>
      </c>
    </row>
    <row r="1691" spans="1:16" x14ac:dyDescent="0.35">
      <c r="A1691" s="33">
        <v>1688</v>
      </c>
      <c r="B1691" s="34" t="s">
        <v>2076</v>
      </c>
      <c r="C1691" s="33" t="s">
        <v>346</v>
      </c>
      <c r="D1691" s="33" t="s">
        <v>33</v>
      </c>
      <c r="E1691" s="33" t="s">
        <v>2058</v>
      </c>
      <c r="F1691" s="35">
        <v>1</v>
      </c>
      <c r="G1691" s="40">
        <v>0</v>
      </c>
      <c r="H1691" s="40">
        <v>0</v>
      </c>
      <c r="I1691" s="40">
        <v>0</v>
      </c>
      <c r="J1691" s="40">
        <v>0</v>
      </c>
      <c r="K1691" s="40">
        <v>0</v>
      </c>
      <c r="L1691" s="40">
        <v>0</v>
      </c>
      <c r="M1691" s="40" cm="1">
        <f t="array" ref="M1691:N1691">VLOOKUP(B1691,'Fumigation  Room'!B:H,{6,7},0)</f>
        <v>0</v>
      </c>
      <c r="N1691" s="40">
        <v>0</v>
      </c>
      <c r="O1691" s="40">
        <f t="shared" si="53"/>
        <v>0</v>
      </c>
      <c r="P1691" s="40">
        <f t="shared" si="54"/>
        <v>0</v>
      </c>
    </row>
    <row r="1692" spans="1:16" x14ac:dyDescent="0.35">
      <c r="A1692" s="33">
        <v>1689</v>
      </c>
      <c r="B1692" s="34" t="s">
        <v>2077</v>
      </c>
      <c r="C1692" s="33" t="s">
        <v>346</v>
      </c>
      <c r="D1692" s="33" t="s">
        <v>33</v>
      </c>
      <c r="E1692" s="33" t="s">
        <v>2058</v>
      </c>
      <c r="F1692" s="35">
        <v>1</v>
      </c>
      <c r="G1692" s="40">
        <v>0</v>
      </c>
      <c r="H1692" s="40">
        <v>0</v>
      </c>
      <c r="I1692" s="40">
        <v>0</v>
      </c>
      <c r="J1692" s="40">
        <v>0</v>
      </c>
      <c r="K1692" s="40">
        <v>0</v>
      </c>
      <c r="L1692" s="40">
        <v>0</v>
      </c>
      <c r="M1692" s="40" cm="1">
        <f t="array" ref="M1692:N1692">VLOOKUP(B1692,'Fumigation  Room'!B:H,{6,7},0)</f>
        <v>0</v>
      </c>
      <c r="N1692" s="40">
        <v>0</v>
      </c>
      <c r="O1692" s="40">
        <f t="shared" si="53"/>
        <v>0</v>
      </c>
      <c r="P1692" s="40">
        <f t="shared" si="54"/>
        <v>0</v>
      </c>
    </row>
    <row r="1693" spans="1:16" x14ac:dyDescent="0.35">
      <c r="A1693" s="33">
        <v>1690</v>
      </c>
      <c r="B1693" s="34" t="s">
        <v>2078</v>
      </c>
      <c r="C1693" s="33" t="s">
        <v>346</v>
      </c>
      <c r="D1693" s="33" t="s">
        <v>33</v>
      </c>
      <c r="E1693" s="33" t="s">
        <v>2058</v>
      </c>
      <c r="F1693" s="35">
        <v>1</v>
      </c>
      <c r="G1693" s="40">
        <v>0</v>
      </c>
      <c r="H1693" s="40">
        <v>0</v>
      </c>
      <c r="I1693" s="40">
        <v>0</v>
      </c>
      <c r="J1693" s="40">
        <v>0</v>
      </c>
      <c r="K1693" s="40">
        <v>0</v>
      </c>
      <c r="L1693" s="40">
        <v>0</v>
      </c>
      <c r="M1693" s="40" cm="1">
        <f t="array" ref="M1693:N1693">VLOOKUP(B1693,'Fumigation  Room'!B:H,{6,7},0)</f>
        <v>0</v>
      </c>
      <c r="N1693" s="40">
        <v>0</v>
      </c>
      <c r="O1693" s="40">
        <f t="shared" si="53"/>
        <v>0</v>
      </c>
      <c r="P1693" s="40">
        <f t="shared" si="54"/>
        <v>0</v>
      </c>
    </row>
    <row r="1694" spans="1:16" x14ac:dyDescent="0.35">
      <c r="A1694" s="33">
        <v>1691</v>
      </c>
      <c r="B1694" s="34" t="s">
        <v>2079</v>
      </c>
      <c r="C1694" s="33" t="s">
        <v>346</v>
      </c>
      <c r="D1694" s="33" t="s">
        <v>33</v>
      </c>
      <c r="E1694" s="33" t="s">
        <v>2058</v>
      </c>
      <c r="F1694" s="35">
        <v>1</v>
      </c>
      <c r="G1694" s="40">
        <v>0</v>
      </c>
      <c r="H1694" s="40">
        <v>0</v>
      </c>
      <c r="I1694" s="40">
        <v>0</v>
      </c>
      <c r="J1694" s="40">
        <v>0</v>
      </c>
      <c r="K1694" s="40">
        <v>0</v>
      </c>
      <c r="L1694" s="40">
        <v>0</v>
      </c>
      <c r="M1694" s="40" cm="1">
        <f t="array" ref="M1694:N1694">VLOOKUP(B1694,'Fumigation  Room'!B:H,{6,7},0)</f>
        <v>0</v>
      </c>
      <c r="N1694" s="40">
        <v>0</v>
      </c>
      <c r="O1694" s="40">
        <f t="shared" si="53"/>
        <v>0</v>
      </c>
      <c r="P1694" s="40">
        <f t="shared" si="54"/>
        <v>0</v>
      </c>
    </row>
    <row r="1695" spans="1:16" x14ac:dyDescent="0.35">
      <c r="A1695" s="33">
        <v>1692</v>
      </c>
      <c r="B1695" s="34" t="s">
        <v>2080</v>
      </c>
      <c r="C1695" s="33" t="s">
        <v>346</v>
      </c>
      <c r="D1695" s="33" t="s">
        <v>33</v>
      </c>
      <c r="E1695" s="33" t="s">
        <v>2058</v>
      </c>
      <c r="F1695" s="35">
        <v>1</v>
      </c>
      <c r="G1695" s="40">
        <v>0</v>
      </c>
      <c r="H1695" s="40">
        <v>0</v>
      </c>
      <c r="I1695" s="40">
        <v>0</v>
      </c>
      <c r="J1695" s="40">
        <v>0</v>
      </c>
      <c r="K1695" s="40">
        <v>0</v>
      </c>
      <c r="L1695" s="40">
        <v>0</v>
      </c>
      <c r="M1695" s="40" cm="1">
        <f t="array" ref="M1695:N1695">VLOOKUP(B1695,'Fumigation  Room'!B:H,{6,7},0)</f>
        <v>0</v>
      </c>
      <c r="N1695" s="40">
        <v>0</v>
      </c>
      <c r="O1695" s="40">
        <f t="shared" si="53"/>
        <v>0</v>
      </c>
      <c r="P1695" s="40">
        <f t="shared" si="54"/>
        <v>0</v>
      </c>
    </row>
    <row r="1696" spans="1:16" x14ac:dyDescent="0.35">
      <c r="A1696" s="33">
        <v>1693</v>
      </c>
      <c r="B1696" s="34" t="s">
        <v>2082</v>
      </c>
      <c r="C1696" s="33" t="s">
        <v>346</v>
      </c>
      <c r="D1696" s="33" t="s">
        <v>70</v>
      </c>
      <c r="E1696" s="33" t="s">
        <v>524</v>
      </c>
      <c r="F1696" s="35">
        <v>0.4</v>
      </c>
      <c r="G1696" s="40">
        <v>0</v>
      </c>
      <c r="H1696" s="40">
        <v>0</v>
      </c>
      <c r="I1696" s="40">
        <v>0</v>
      </c>
      <c r="J1696" s="40">
        <v>0</v>
      </c>
      <c r="K1696" s="40">
        <v>0</v>
      </c>
      <c r="L1696" s="40">
        <v>0</v>
      </c>
      <c r="M1696" s="40" cm="1">
        <f t="array" ref="M1696:N1696">VLOOKUP(B1696,'Fumigation  Room'!B:H,{6,7},0)</f>
        <v>0</v>
      </c>
      <c r="N1696" s="40">
        <v>0</v>
      </c>
      <c r="O1696" s="40">
        <f t="shared" si="53"/>
        <v>0</v>
      </c>
      <c r="P1696" s="40">
        <f t="shared" si="54"/>
        <v>0</v>
      </c>
    </row>
    <row r="1697" spans="1:16" x14ac:dyDescent="0.35">
      <c r="A1697" s="33">
        <v>1694</v>
      </c>
      <c r="B1697" s="34" t="s">
        <v>2083</v>
      </c>
      <c r="C1697" s="33" t="s">
        <v>346</v>
      </c>
      <c r="D1697" s="33" t="s">
        <v>70</v>
      </c>
      <c r="E1697" s="33" t="s">
        <v>524</v>
      </c>
      <c r="F1697" s="35">
        <v>1</v>
      </c>
      <c r="G1697" s="40">
        <v>0</v>
      </c>
      <c r="H1697" s="40">
        <v>0</v>
      </c>
      <c r="I1697" s="40">
        <v>0</v>
      </c>
      <c r="J1697" s="40">
        <v>0</v>
      </c>
      <c r="K1697" s="40">
        <v>0</v>
      </c>
      <c r="L1697" s="40">
        <v>0</v>
      </c>
      <c r="M1697" s="40" cm="1">
        <f t="array" ref="M1697:N1697">VLOOKUP(B1697,'Fumigation  Room'!B:H,{6,7},0)</f>
        <v>0</v>
      </c>
      <c r="N1697" s="40">
        <v>0</v>
      </c>
      <c r="O1697" s="40">
        <f t="shared" si="53"/>
        <v>0</v>
      </c>
      <c r="P1697" s="40">
        <f t="shared" si="54"/>
        <v>0</v>
      </c>
    </row>
    <row r="1698" spans="1:16" x14ac:dyDescent="0.35">
      <c r="A1698" s="33">
        <v>1695</v>
      </c>
      <c r="B1698" s="34" t="s">
        <v>2084</v>
      </c>
      <c r="C1698" s="33" t="s">
        <v>346</v>
      </c>
      <c r="D1698" s="33" t="s">
        <v>70</v>
      </c>
      <c r="E1698" s="33" t="s">
        <v>524</v>
      </c>
      <c r="F1698" s="35">
        <v>8.9999999999999993E-3</v>
      </c>
      <c r="G1698" s="40">
        <v>0</v>
      </c>
      <c r="H1698" s="40">
        <v>0</v>
      </c>
      <c r="I1698" s="40">
        <v>0</v>
      </c>
      <c r="J1698" s="40">
        <v>0</v>
      </c>
      <c r="K1698" s="40">
        <v>0</v>
      </c>
      <c r="L1698" s="40">
        <v>0</v>
      </c>
      <c r="M1698" s="40" cm="1">
        <f t="array" ref="M1698:N1698">VLOOKUP(B1698,'Fumigation  Room'!B:H,{6,7},0)</f>
        <v>0</v>
      </c>
      <c r="N1698" s="40">
        <v>0</v>
      </c>
      <c r="O1698" s="40">
        <f t="shared" si="53"/>
        <v>0</v>
      </c>
      <c r="P1698" s="40">
        <f t="shared" si="54"/>
        <v>0</v>
      </c>
    </row>
    <row r="1699" spans="1:16" x14ac:dyDescent="0.35">
      <c r="A1699" s="33">
        <v>1696</v>
      </c>
      <c r="B1699" s="34" t="s">
        <v>2085</v>
      </c>
      <c r="C1699" s="33" t="s">
        <v>346</v>
      </c>
      <c r="D1699" s="33" t="s">
        <v>70</v>
      </c>
      <c r="E1699" s="33" t="s">
        <v>524</v>
      </c>
      <c r="F1699" s="35">
        <v>0.05</v>
      </c>
      <c r="G1699" s="40">
        <v>0</v>
      </c>
      <c r="H1699" s="40">
        <v>0</v>
      </c>
      <c r="I1699" s="40">
        <v>0</v>
      </c>
      <c r="J1699" s="40">
        <v>0</v>
      </c>
      <c r="K1699" s="40">
        <v>0</v>
      </c>
      <c r="L1699" s="40">
        <v>0</v>
      </c>
      <c r="M1699" s="40" cm="1">
        <f t="array" ref="M1699:N1699">VLOOKUP(B1699,'Fumigation  Room'!B:H,{6,7},0)</f>
        <v>0</v>
      </c>
      <c r="N1699" s="40">
        <v>0</v>
      </c>
      <c r="O1699" s="40">
        <f t="shared" si="53"/>
        <v>0</v>
      </c>
      <c r="P1699" s="40">
        <f t="shared" si="54"/>
        <v>0</v>
      </c>
    </row>
    <row r="1700" spans="1:16" x14ac:dyDescent="0.35">
      <c r="A1700" s="33">
        <v>1697</v>
      </c>
      <c r="B1700" s="34" t="s">
        <v>2086</v>
      </c>
      <c r="C1700" s="33" t="s">
        <v>346</v>
      </c>
      <c r="D1700" s="33" t="s">
        <v>70</v>
      </c>
      <c r="E1700" s="33" t="s">
        <v>561</v>
      </c>
      <c r="F1700" s="35">
        <v>6.6000000000000003E-2</v>
      </c>
      <c r="G1700" s="40">
        <v>0</v>
      </c>
      <c r="H1700" s="40">
        <v>0</v>
      </c>
      <c r="I1700" s="40">
        <v>0</v>
      </c>
      <c r="J1700" s="40">
        <v>0</v>
      </c>
      <c r="K1700" s="40">
        <v>0</v>
      </c>
      <c r="L1700" s="40">
        <v>0</v>
      </c>
      <c r="M1700" s="40" cm="1">
        <f t="array" ref="M1700:N1700">VLOOKUP(B1700,'Fumigation  Room'!B:H,{6,7},0)</f>
        <v>0</v>
      </c>
      <c r="N1700" s="40">
        <v>0</v>
      </c>
      <c r="O1700" s="40">
        <f t="shared" si="53"/>
        <v>0</v>
      </c>
      <c r="P1700" s="40">
        <f t="shared" si="54"/>
        <v>0</v>
      </c>
    </row>
    <row r="1701" spans="1:16" x14ac:dyDescent="0.35">
      <c r="A1701" s="33">
        <v>1698</v>
      </c>
      <c r="B1701" s="34" t="s">
        <v>2087</v>
      </c>
      <c r="C1701" s="33" t="s">
        <v>346</v>
      </c>
      <c r="D1701" s="33" t="s">
        <v>70</v>
      </c>
      <c r="E1701" s="33" t="s">
        <v>561</v>
      </c>
      <c r="F1701" s="35">
        <v>6.6000000000000003E-2</v>
      </c>
      <c r="G1701" s="40">
        <v>0</v>
      </c>
      <c r="H1701" s="40">
        <v>0</v>
      </c>
      <c r="I1701" s="40">
        <v>0</v>
      </c>
      <c r="J1701" s="40">
        <v>0</v>
      </c>
      <c r="K1701" s="40">
        <v>0</v>
      </c>
      <c r="L1701" s="40">
        <v>0</v>
      </c>
      <c r="M1701" s="40" cm="1">
        <f t="array" ref="M1701:N1701">VLOOKUP(B1701,'Fumigation  Room'!B:H,{6,7},0)</f>
        <v>0</v>
      </c>
      <c r="N1701" s="40">
        <v>0</v>
      </c>
      <c r="O1701" s="40">
        <f t="shared" si="53"/>
        <v>0</v>
      </c>
      <c r="P1701" s="40">
        <f t="shared" si="54"/>
        <v>0</v>
      </c>
    </row>
    <row r="1702" spans="1:16" x14ac:dyDescent="0.35">
      <c r="A1702" s="33">
        <v>1699</v>
      </c>
      <c r="B1702" s="34" t="s">
        <v>2088</v>
      </c>
      <c r="C1702" s="33" t="s">
        <v>346</v>
      </c>
      <c r="D1702" s="33" t="s">
        <v>70</v>
      </c>
      <c r="E1702" s="33" t="s">
        <v>561</v>
      </c>
      <c r="F1702" s="35">
        <v>6.6000000000000003E-2</v>
      </c>
      <c r="G1702" s="40">
        <v>0</v>
      </c>
      <c r="H1702" s="40">
        <v>0</v>
      </c>
      <c r="I1702" s="40">
        <v>0</v>
      </c>
      <c r="J1702" s="40">
        <v>0</v>
      </c>
      <c r="K1702" s="40">
        <v>0</v>
      </c>
      <c r="L1702" s="40">
        <v>0</v>
      </c>
      <c r="M1702" s="40" cm="1">
        <f t="array" ref="M1702:N1702">VLOOKUP(B1702,'Fumigation  Room'!B:H,{6,7},0)</f>
        <v>0</v>
      </c>
      <c r="N1702" s="40">
        <v>0</v>
      </c>
      <c r="O1702" s="40">
        <f t="shared" si="53"/>
        <v>0</v>
      </c>
      <c r="P1702" s="40">
        <f t="shared" si="54"/>
        <v>0</v>
      </c>
    </row>
    <row r="1703" spans="1:16" x14ac:dyDescent="0.35">
      <c r="A1703" s="33">
        <v>1700</v>
      </c>
      <c r="B1703" s="34" t="s">
        <v>2089</v>
      </c>
      <c r="C1703" s="33" t="s">
        <v>346</v>
      </c>
      <c r="D1703" s="33" t="s">
        <v>70</v>
      </c>
      <c r="E1703" s="33" t="s">
        <v>561</v>
      </c>
      <c r="F1703" s="35">
        <v>6.6000000000000003E-2</v>
      </c>
      <c r="G1703" s="40">
        <v>0</v>
      </c>
      <c r="H1703" s="40">
        <v>0</v>
      </c>
      <c r="I1703" s="40">
        <v>0</v>
      </c>
      <c r="J1703" s="40">
        <v>0</v>
      </c>
      <c r="K1703" s="40">
        <v>0</v>
      </c>
      <c r="L1703" s="40">
        <v>0</v>
      </c>
      <c r="M1703" s="40" cm="1">
        <f t="array" ref="M1703:N1703">VLOOKUP(B1703,'Fumigation  Room'!B:H,{6,7},0)</f>
        <v>0</v>
      </c>
      <c r="N1703" s="40">
        <v>0</v>
      </c>
      <c r="O1703" s="40">
        <f t="shared" si="53"/>
        <v>0</v>
      </c>
      <c r="P1703" s="40">
        <f t="shared" si="54"/>
        <v>0</v>
      </c>
    </row>
    <row r="1704" spans="1:16" x14ac:dyDescent="0.35">
      <c r="A1704" s="33">
        <v>1701</v>
      </c>
      <c r="B1704" s="34" t="s">
        <v>2081</v>
      </c>
      <c r="C1704" s="33" t="s">
        <v>297</v>
      </c>
      <c r="D1704" s="33" t="s">
        <v>70</v>
      </c>
      <c r="E1704" s="33" t="s">
        <v>2081</v>
      </c>
      <c r="F1704" s="35">
        <v>1</v>
      </c>
      <c r="G1704" s="40">
        <v>0</v>
      </c>
      <c r="H1704" s="40">
        <v>0</v>
      </c>
      <c r="I1704" s="40">
        <v>0</v>
      </c>
      <c r="J1704" s="40">
        <v>0</v>
      </c>
      <c r="K1704" s="40">
        <v>0</v>
      </c>
      <c r="L1704" s="40">
        <v>0</v>
      </c>
      <c r="M1704" s="40" cm="1">
        <f t="array" ref="M1704:N1704">VLOOKUP(B1704,'Fumigation  Room'!B:H,{6,7},0)</f>
        <v>0</v>
      </c>
      <c r="N1704" s="40">
        <v>0</v>
      </c>
      <c r="O1704" s="40">
        <f t="shared" si="53"/>
        <v>0</v>
      </c>
      <c r="P1704" s="40">
        <f t="shared" si="54"/>
        <v>0</v>
      </c>
    </row>
    <row r="1705" spans="1:16" x14ac:dyDescent="0.35">
      <c r="A1705" s="33">
        <v>1702</v>
      </c>
      <c r="B1705" s="34" t="s">
        <v>2090</v>
      </c>
      <c r="C1705" s="33" t="s">
        <v>346</v>
      </c>
      <c r="D1705" s="33" t="s">
        <v>70</v>
      </c>
      <c r="E1705" s="33" t="s">
        <v>2091</v>
      </c>
      <c r="F1705" s="35">
        <v>0.125</v>
      </c>
      <c r="G1705" s="40">
        <v>0</v>
      </c>
      <c r="H1705" s="40">
        <v>0</v>
      </c>
      <c r="I1705" s="40">
        <v>0</v>
      </c>
      <c r="J1705" s="40">
        <v>0</v>
      </c>
      <c r="K1705" s="40">
        <v>0</v>
      </c>
      <c r="L1705" s="40">
        <v>0</v>
      </c>
      <c r="M1705" s="40" cm="1">
        <f t="array" ref="M1705:N1705">VLOOKUP(B1705,'Fumigation  Room'!B:H,{6,7},0)</f>
        <v>0</v>
      </c>
      <c r="N1705" s="40">
        <v>0</v>
      </c>
      <c r="O1705" s="40">
        <f t="shared" si="53"/>
        <v>0</v>
      </c>
      <c r="P1705" s="40">
        <f t="shared" si="54"/>
        <v>0</v>
      </c>
    </row>
    <row r="1706" spans="1:16" x14ac:dyDescent="0.35">
      <c r="A1706" s="33">
        <v>1703</v>
      </c>
      <c r="B1706" s="34" t="s">
        <v>2092</v>
      </c>
      <c r="C1706" s="33" t="s">
        <v>346</v>
      </c>
      <c r="D1706" s="33" t="s">
        <v>70</v>
      </c>
      <c r="E1706" s="33" t="s">
        <v>2091</v>
      </c>
      <c r="F1706" s="35">
        <v>0.125</v>
      </c>
      <c r="G1706" s="40">
        <v>0</v>
      </c>
      <c r="H1706" s="40">
        <v>0</v>
      </c>
      <c r="I1706" s="40">
        <v>0</v>
      </c>
      <c r="J1706" s="40">
        <v>0</v>
      </c>
      <c r="K1706" s="40">
        <v>0</v>
      </c>
      <c r="L1706" s="40">
        <v>0</v>
      </c>
      <c r="M1706" s="40" cm="1">
        <f t="array" ref="M1706:N1706">VLOOKUP(B1706,'Fumigation  Room'!B:H,{6,7},0)</f>
        <v>0</v>
      </c>
      <c r="N1706" s="40">
        <v>0</v>
      </c>
      <c r="O1706" s="40">
        <f t="shared" si="53"/>
        <v>0</v>
      </c>
      <c r="P1706" s="40">
        <f t="shared" si="54"/>
        <v>0</v>
      </c>
    </row>
    <row r="1707" spans="1:16" x14ac:dyDescent="0.35">
      <c r="A1707" s="33">
        <v>1704</v>
      </c>
      <c r="B1707" s="34" t="s">
        <v>2093</v>
      </c>
      <c r="C1707" s="33" t="s">
        <v>346</v>
      </c>
      <c r="D1707" s="33" t="s">
        <v>70</v>
      </c>
      <c r="E1707" s="33" t="s">
        <v>2091</v>
      </c>
      <c r="F1707" s="35">
        <v>0.125</v>
      </c>
      <c r="G1707" s="40">
        <v>0</v>
      </c>
      <c r="H1707" s="40">
        <v>0</v>
      </c>
      <c r="I1707" s="40">
        <v>0</v>
      </c>
      <c r="J1707" s="40">
        <v>0</v>
      </c>
      <c r="K1707" s="40">
        <v>0</v>
      </c>
      <c r="L1707" s="40">
        <v>0</v>
      </c>
      <c r="M1707" s="40" cm="1">
        <f t="array" ref="M1707:N1707">VLOOKUP(B1707,'Fumigation  Room'!B:H,{6,7},0)</f>
        <v>0</v>
      </c>
      <c r="N1707" s="40">
        <v>0</v>
      </c>
      <c r="O1707" s="40">
        <f t="shared" si="53"/>
        <v>0</v>
      </c>
      <c r="P1707" s="40">
        <f t="shared" si="54"/>
        <v>0</v>
      </c>
    </row>
    <row r="1708" spans="1:16" x14ac:dyDescent="0.35">
      <c r="A1708" s="33">
        <v>1705</v>
      </c>
      <c r="B1708" s="34" t="s">
        <v>2094</v>
      </c>
      <c r="C1708" s="33" t="s">
        <v>346</v>
      </c>
      <c r="D1708" s="33" t="s">
        <v>70</v>
      </c>
      <c r="E1708" s="33" t="s">
        <v>2091</v>
      </c>
      <c r="F1708" s="35">
        <v>4.8000000000000001E-2</v>
      </c>
      <c r="G1708" s="40">
        <v>0</v>
      </c>
      <c r="H1708" s="40">
        <v>0</v>
      </c>
      <c r="I1708" s="40">
        <v>0</v>
      </c>
      <c r="J1708" s="40">
        <v>0</v>
      </c>
      <c r="K1708" s="40">
        <v>0</v>
      </c>
      <c r="L1708" s="40">
        <v>0</v>
      </c>
      <c r="M1708" s="40" cm="1">
        <f t="array" ref="M1708:N1708">VLOOKUP(B1708,'Fumigation  Room'!B:H,{6,7},0)</f>
        <v>0</v>
      </c>
      <c r="N1708" s="40">
        <v>0</v>
      </c>
      <c r="O1708" s="40">
        <f t="shared" si="53"/>
        <v>0</v>
      </c>
      <c r="P1708" s="40">
        <f t="shared" si="54"/>
        <v>0</v>
      </c>
    </row>
    <row r="1709" spans="1:16" x14ac:dyDescent="0.35">
      <c r="A1709" s="33">
        <v>1706</v>
      </c>
      <c r="B1709" s="34" t="s">
        <v>2095</v>
      </c>
      <c r="C1709" s="33" t="s">
        <v>346</v>
      </c>
      <c r="D1709" s="33" t="s">
        <v>70</v>
      </c>
      <c r="E1709" s="33" t="s">
        <v>2091</v>
      </c>
      <c r="F1709" s="35">
        <v>4.8000000000000001E-2</v>
      </c>
      <c r="G1709" s="40">
        <v>0</v>
      </c>
      <c r="H1709" s="40">
        <v>0</v>
      </c>
      <c r="I1709" s="40">
        <v>0</v>
      </c>
      <c r="J1709" s="40">
        <v>0</v>
      </c>
      <c r="K1709" s="40">
        <v>0</v>
      </c>
      <c r="L1709" s="40">
        <v>0</v>
      </c>
      <c r="M1709" s="40" cm="1">
        <f t="array" ref="M1709:N1709">VLOOKUP(B1709,'Fumigation  Room'!B:H,{6,7},0)</f>
        <v>0</v>
      </c>
      <c r="N1709" s="40">
        <v>0</v>
      </c>
      <c r="O1709" s="40">
        <f t="shared" si="53"/>
        <v>0</v>
      </c>
      <c r="P1709" s="40">
        <f t="shared" si="54"/>
        <v>0</v>
      </c>
    </row>
    <row r="1710" spans="1:16" x14ac:dyDescent="0.35">
      <c r="A1710" s="33">
        <v>1707</v>
      </c>
      <c r="B1710" s="34" t="s">
        <v>2096</v>
      </c>
      <c r="C1710" s="33" t="s">
        <v>346</v>
      </c>
      <c r="D1710" s="33" t="s">
        <v>70</v>
      </c>
      <c r="E1710" s="33" t="s">
        <v>2091</v>
      </c>
      <c r="F1710" s="35">
        <v>0.2</v>
      </c>
      <c r="G1710" s="40">
        <v>0</v>
      </c>
      <c r="H1710" s="40">
        <v>0</v>
      </c>
      <c r="I1710" s="40">
        <v>0</v>
      </c>
      <c r="J1710" s="40">
        <v>0</v>
      </c>
      <c r="K1710" s="40">
        <v>0</v>
      </c>
      <c r="L1710" s="40">
        <v>0</v>
      </c>
      <c r="M1710" s="40" cm="1">
        <f t="array" ref="M1710:N1710">VLOOKUP(B1710,'Fumigation  Room'!B:H,{6,7},0)</f>
        <v>0</v>
      </c>
      <c r="N1710" s="40">
        <v>0</v>
      </c>
      <c r="O1710" s="40">
        <f t="shared" si="53"/>
        <v>0</v>
      </c>
      <c r="P1710" s="40">
        <f t="shared" si="54"/>
        <v>0</v>
      </c>
    </row>
    <row r="1711" spans="1:16" x14ac:dyDescent="0.35">
      <c r="A1711" s="33">
        <v>1708</v>
      </c>
      <c r="B1711" s="34" t="s">
        <v>2097</v>
      </c>
      <c r="C1711" s="33" t="s">
        <v>346</v>
      </c>
      <c r="D1711" s="33" t="s">
        <v>70</v>
      </c>
      <c r="E1711" s="33" t="s">
        <v>2091</v>
      </c>
      <c r="F1711" s="35">
        <v>0.2</v>
      </c>
      <c r="G1711" s="40">
        <v>0</v>
      </c>
      <c r="H1711" s="40">
        <v>0</v>
      </c>
      <c r="I1711" s="40">
        <v>0</v>
      </c>
      <c r="J1711" s="40">
        <v>0</v>
      </c>
      <c r="K1711" s="40">
        <v>0</v>
      </c>
      <c r="L1711" s="40">
        <v>0</v>
      </c>
      <c r="M1711" s="40" cm="1">
        <f t="array" ref="M1711:N1711">VLOOKUP(B1711,'Fumigation  Room'!B:H,{6,7},0)</f>
        <v>0</v>
      </c>
      <c r="N1711" s="40">
        <v>0</v>
      </c>
      <c r="O1711" s="40">
        <f t="shared" si="53"/>
        <v>0</v>
      </c>
      <c r="P1711" s="40">
        <f t="shared" si="54"/>
        <v>0</v>
      </c>
    </row>
    <row r="1712" spans="1:16" x14ac:dyDescent="0.35">
      <c r="A1712" s="33">
        <v>1709</v>
      </c>
      <c r="B1712" s="34" t="s">
        <v>2098</v>
      </c>
      <c r="C1712" s="33" t="s">
        <v>346</v>
      </c>
      <c r="D1712" s="33" t="s">
        <v>70</v>
      </c>
      <c r="E1712" s="33" t="s">
        <v>2091</v>
      </c>
      <c r="F1712" s="35">
        <v>0.2</v>
      </c>
      <c r="G1712" s="40">
        <v>0</v>
      </c>
      <c r="H1712" s="40">
        <v>0</v>
      </c>
      <c r="I1712" s="40">
        <v>0</v>
      </c>
      <c r="J1712" s="40">
        <v>0</v>
      </c>
      <c r="K1712" s="40">
        <v>0</v>
      </c>
      <c r="L1712" s="40">
        <v>0</v>
      </c>
      <c r="M1712" s="40" cm="1">
        <f t="array" ref="M1712:N1712">VLOOKUP(B1712,'Fumigation  Room'!B:H,{6,7},0)</f>
        <v>0</v>
      </c>
      <c r="N1712" s="40">
        <v>0</v>
      </c>
      <c r="O1712" s="40">
        <f t="shared" si="53"/>
        <v>0</v>
      </c>
      <c r="P1712" s="40">
        <f t="shared" si="54"/>
        <v>0</v>
      </c>
    </row>
    <row r="1713" spans="1:16" x14ac:dyDescent="0.35">
      <c r="A1713" s="33">
        <v>1710</v>
      </c>
      <c r="B1713" s="34" t="s">
        <v>2099</v>
      </c>
      <c r="C1713" s="33" t="s">
        <v>346</v>
      </c>
      <c r="D1713" s="33" t="s">
        <v>70</v>
      </c>
      <c r="E1713" s="33" t="s">
        <v>2091</v>
      </c>
      <c r="F1713" s="35">
        <v>3.3000000000000002E-2</v>
      </c>
      <c r="G1713" s="40">
        <v>0</v>
      </c>
      <c r="H1713" s="40">
        <v>0</v>
      </c>
      <c r="I1713" s="40">
        <v>0</v>
      </c>
      <c r="J1713" s="40">
        <v>0</v>
      </c>
      <c r="K1713" s="40">
        <v>0</v>
      </c>
      <c r="L1713" s="40">
        <v>0</v>
      </c>
      <c r="M1713" s="40" cm="1">
        <f t="array" ref="M1713:N1713">VLOOKUP(B1713,'Fumigation  Room'!B:H,{6,7},0)</f>
        <v>0</v>
      </c>
      <c r="N1713" s="40">
        <v>0</v>
      </c>
      <c r="O1713" s="40">
        <f t="shared" si="53"/>
        <v>0</v>
      </c>
      <c r="P1713" s="40">
        <f t="shared" si="54"/>
        <v>0</v>
      </c>
    </row>
    <row r="1714" spans="1:16" x14ac:dyDescent="0.35">
      <c r="A1714" s="33">
        <v>1711</v>
      </c>
      <c r="B1714" s="34" t="s">
        <v>2100</v>
      </c>
      <c r="C1714" s="33" t="s">
        <v>346</v>
      </c>
      <c r="D1714" s="33" t="s">
        <v>70</v>
      </c>
      <c r="E1714" s="33" t="s">
        <v>2091</v>
      </c>
      <c r="F1714" s="35">
        <v>3.5000000000000003E-2</v>
      </c>
      <c r="G1714" s="40">
        <v>0</v>
      </c>
      <c r="H1714" s="40">
        <v>0</v>
      </c>
      <c r="I1714" s="40">
        <v>0</v>
      </c>
      <c r="J1714" s="40">
        <v>0</v>
      </c>
      <c r="K1714" s="40">
        <v>0</v>
      </c>
      <c r="L1714" s="40">
        <v>0</v>
      </c>
      <c r="M1714" s="40" cm="1">
        <f t="array" ref="M1714:N1714">VLOOKUP(B1714,'Fumigation  Room'!B:H,{6,7},0)</f>
        <v>0</v>
      </c>
      <c r="N1714" s="40">
        <v>0</v>
      </c>
      <c r="O1714" s="40">
        <f t="shared" si="53"/>
        <v>0</v>
      </c>
      <c r="P1714" s="40">
        <f t="shared" si="54"/>
        <v>0</v>
      </c>
    </row>
    <row r="1715" spans="1:16" x14ac:dyDescent="0.35">
      <c r="A1715" s="33">
        <v>1712</v>
      </c>
      <c r="B1715" s="34" t="s">
        <v>2101</v>
      </c>
      <c r="C1715" s="33" t="s">
        <v>346</v>
      </c>
      <c r="D1715" s="33" t="s">
        <v>70</v>
      </c>
      <c r="E1715" s="33" t="s">
        <v>2091</v>
      </c>
      <c r="F1715" s="35">
        <v>1</v>
      </c>
      <c r="G1715" s="40">
        <v>0</v>
      </c>
      <c r="H1715" s="40">
        <v>0</v>
      </c>
      <c r="I1715" s="40">
        <v>0</v>
      </c>
      <c r="J1715" s="40">
        <v>0</v>
      </c>
      <c r="K1715" s="40">
        <v>0</v>
      </c>
      <c r="L1715" s="40">
        <v>0</v>
      </c>
      <c r="M1715" s="40" cm="1">
        <f t="array" ref="M1715:N1715">VLOOKUP(B1715,'Fumigation  Room'!B:H,{6,7},0)</f>
        <v>0</v>
      </c>
      <c r="N1715" s="40">
        <v>0</v>
      </c>
      <c r="O1715" s="40">
        <f t="shared" si="53"/>
        <v>0</v>
      </c>
      <c r="P1715" s="40">
        <f t="shared" si="54"/>
        <v>0</v>
      </c>
    </row>
    <row r="1716" spans="1:16" x14ac:dyDescent="0.35">
      <c r="A1716" s="33">
        <v>1713</v>
      </c>
      <c r="B1716" s="34" t="s">
        <v>2102</v>
      </c>
      <c r="C1716" s="33" t="s">
        <v>346</v>
      </c>
      <c r="D1716" s="33" t="s">
        <v>70</v>
      </c>
      <c r="E1716" s="33" t="s">
        <v>2091</v>
      </c>
      <c r="F1716" s="35">
        <v>0.25</v>
      </c>
      <c r="G1716" s="40">
        <v>0</v>
      </c>
      <c r="H1716" s="40">
        <v>0</v>
      </c>
      <c r="I1716" s="40">
        <v>0</v>
      </c>
      <c r="J1716" s="40">
        <v>0</v>
      </c>
      <c r="K1716" s="40">
        <v>0</v>
      </c>
      <c r="L1716" s="40">
        <v>0</v>
      </c>
      <c r="M1716" s="40" cm="1">
        <f t="array" ref="M1716:N1716">VLOOKUP(B1716,'Fumigation  Room'!B:H,{6,7},0)</f>
        <v>0</v>
      </c>
      <c r="N1716" s="40">
        <v>0</v>
      </c>
      <c r="O1716" s="40">
        <f t="shared" si="53"/>
        <v>0</v>
      </c>
      <c r="P1716" s="40">
        <f t="shared" si="54"/>
        <v>0</v>
      </c>
    </row>
    <row r="1717" spans="1:16" x14ac:dyDescent="0.35">
      <c r="A1717" s="33">
        <v>1714</v>
      </c>
      <c r="B1717" s="34" t="s">
        <v>2103</v>
      </c>
      <c r="C1717" s="33" t="s">
        <v>346</v>
      </c>
      <c r="D1717" s="33" t="s">
        <v>70</v>
      </c>
      <c r="E1717" s="33" t="s">
        <v>2091</v>
      </c>
      <c r="F1717" s="35">
        <v>4.8000000000000001E-2</v>
      </c>
      <c r="G1717" s="40">
        <v>0</v>
      </c>
      <c r="H1717" s="40">
        <v>0</v>
      </c>
      <c r="I1717" s="40">
        <v>0</v>
      </c>
      <c r="J1717" s="40">
        <v>0</v>
      </c>
      <c r="K1717" s="40">
        <v>0</v>
      </c>
      <c r="L1717" s="40">
        <v>0</v>
      </c>
      <c r="M1717" s="40" cm="1">
        <f t="array" ref="M1717:N1717">VLOOKUP(B1717,'Fumigation  Room'!B:H,{6,7},0)</f>
        <v>0</v>
      </c>
      <c r="N1717" s="40">
        <v>0</v>
      </c>
      <c r="O1717" s="40">
        <f t="shared" si="53"/>
        <v>0</v>
      </c>
      <c r="P1717" s="40">
        <f t="shared" si="54"/>
        <v>0</v>
      </c>
    </row>
    <row r="1718" spans="1:16" x14ac:dyDescent="0.35">
      <c r="A1718" s="33">
        <v>1715</v>
      </c>
      <c r="B1718" s="34" t="s">
        <v>2104</v>
      </c>
      <c r="C1718" s="33" t="s">
        <v>346</v>
      </c>
      <c r="D1718" s="33" t="s">
        <v>70</v>
      </c>
      <c r="E1718" s="33" t="s">
        <v>2091</v>
      </c>
      <c r="F1718" s="35">
        <v>3.3000000000000002E-2</v>
      </c>
      <c r="G1718" s="40">
        <v>0</v>
      </c>
      <c r="H1718" s="40">
        <v>0</v>
      </c>
      <c r="I1718" s="40">
        <v>0</v>
      </c>
      <c r="J1718" s="40">
        <v>0</v>
      </c>
      <c r="K1718" s="40">
        <v>0</v>
      </c>
      <c r="L1718" s="40">
        <v>0</v>
      </c>
      <c r="M1718" s="40" cm="1">
        <f t="array" ref="M1718:N1718">VLOOKUP(B1718,'Fumigation  Room'!B:H,{6,7},0)</f>
        <v>0</v>
      </c>
      <c r="N1718" s="40">
        <v>0</v>
      </c>
      <c r="O1718" s="40">
        <f t="shared" si="53"/>
        <v>0</v>
      </c>
      <c r="P1718" s="40">
        <f t="shared" si="54"/>
        <v>0</v>
      </c>
    </row>
    <row r="1719" spans="1:16" x14ac:dyDescent="0.35">
      <c r="A1719" s="33">
        <v>1716</v>
      </c>
      <c r="B1719" s="34" t="s">
        <v>2105</v>
      </c>
      <c r="C1719" s="33" t="s">
        <v>346</v>
      </c>
      <c r="D1719" s="33" t="s">
        <v>70</v>
      </c>
      <c r="E1719" s="33" t="s">
        <v>2091</v>
      </c>
      <c r="F1719" s="35">
        <v>3.5000000000000003E-2</v>
      </c>
      <c r="G1719" s="40">
        <v>0</v>
      </c>
      <c r="H1719" s="40">
        <v>0</v>
      </c>
      <c r="I1719" s="40">
        <v>0</v>
      </c>
      <c r="J1719" s="40">
        <v>0</v>
      </c>
      <c r="K1719" s="40">
        <v>0</v>
      </c>
      <c r="L1719" s="40">
        <v>0</v>
      </c>
      <c r="M1719" s="40" cm="1">
        <f t="array" ref="M1719:N1719">VLOOKUP(B1719,'Fumigation  Room'!B:H,{6,7},0)</f>
        <v>0</v>
      </c>
      <c r="N1719" s="40">
        <v>0</v>
      </c>
      <c r="O1719" s="40">
        <f t="shared" si="53"/>
        <v>0</v>
      </c>
      <c r="P1719" s="40">
        <f t="shared" si="54"/>
        <v>0</v>
      </c>
    </row>
    <row r="1720" spans="1:16" x14ac:dyDescent="0.35">
      <c r="A1720" s="33">
        <v>1717</v>
      </c>
      <c r="B1720" s="34" t="s">
        <v>2106</v>
      </c>
      <c r="C1720" s="33" t="s">
        <v>346</v>
      </c>
      <c r="D1720" s="33" t="s">
        <v>70</v>
      </c>
      <c r="E1720" s="33" t="s">
        <v>2091</v>
      </c>
      <c r="F1720" s="35">
        <v>1</v>
      </c>
      <c r="G1720" s="40">
        <v>0</v>
      </c>
      <c r="H1720" s="40">
        <v>0</v>
      </c>
      <c r="I1720" s="40">
        <v>0</v>
      </c>
      <c r="J1720" s="40">
        <v>0</v>
      </c>
      <c r="K1720" s="40">
        <v>0</v>
      </c>
      <c r="L1720" s="40">
        <v>0</v>
      </c>
      <c r="M1720" s="40" cm="1">
        <f t="array" ref="M1720:N1720">VLOOKUP(B1720,'Fumigation  Room'!B:H,{6,7},0)</f>
        <v>0</v>
      </c>
      <c r="N1720" s="40">
        <v>0</v>
      </c>
      <c r="O1720" s="40">
        <f t="shared" si="53"/>
        <v>0</v>
      </c>
      <c r="P1720" s="40">
        <f t="shared" si="54"/>
        <v>0</v>
      </c>
    </row>
    <row r="1721" spans="1:16" x14ac:dyDescent="0.35">
      <c r="A1721" s="33">
        <v>1718</v>
      </c>
      <c r="B1721" s="34" t="s">
        <v>2107</v>
      </c>
      <c r="C1721" s="33" t="s">
        <v>346</v>
      </c>
      <c r="D1721" s="33" t="s">
        <v>70</v>
      </c>
      <c r="E1721" s="33" t="s">
        <v>2091</v>
      </c>
      <c r="F1721" s="35">
        <v>0.25</v>
      </c>
      <c r="G1721" s="40">
        <v>0</v>
      </c>
      <c r="H1721" s="40">
        <v>0</v>
      </c>
      <c r="I1721" s="40">
        <v>0</v>
      </c>
      <c r="J1721" s="40">
        <v>0</v>
      </c>
      <c r="K1721" s="40">
        <v>0</v>
      </c>
      <c r="L1721" s="40">
        <v>0</v>
      </c>
      <c r="M1721" s="40" cm="1">
        <f t="array" ref="M1721:N1721">VLOOKUP(B1721,'Fumigation  Room'!B:H,{6,7},0)</f>
        <v>0</v>
      </c>
      <c r="N1721" s="40">
        <v>0</v>
      </c>
      <c r="O1721" s="40">
        <f t="shared" si="53"/>
        <v>0</v>
      </c>
      <c r="P1721" s="40">
        <f t="shared" si="54"/>
        <v>0</v>
      </c>
    </row>
    <row r="1722" spans="1:16" x14ac:dyDescent="0.35">
      <c r="A1722" s="33">
        <v>1719</v>
      </c>
      <c r="B1722" s="34" t="s">
        <v>2108</v>
      </c>
      <c r="C1722" s="33" t="s">
        <v>346</v>
      </c>
      <c r="D1722" s="33" t="s">
        <v>70</v>
      </c>
      <c r="E1722" s="33" t="s">
        <v>2091</v>
      </c>
      <c r="F1722" s="35">
        <v>0.25</v>
      </c>
      <c r="G1722" s="40">
        <v>0</v>
      </c>
      <c r="H1722" s="40">
        <v>0</v>
      </c>
      <c r="I1722" s="40">
        <v>0</v>
      </c>
      <c r="J1722" s="40">
        <v>0</v>
      </c>
      <c r="K1722" s="40">
        <v>0</v>
      </c>
      <c r="L1722" s="40">
        <v>0</v>
      </c>
      <c r="M1722" s="40" cm="1">
        <f t="array" ref="M1722:N1722">VLOOKUP(B1722,'Fumigation  Room'!B:H,{6,7},0)</f>
        <v>0</v>
      </c>
      <c r="N1722" s="40">
        <v>0</v>
      </c>
      <c r="O1722" s="40">
        <f t="shared" si="53"/>
        <v>0</v>
      </c>
      <c r="P1722" s="40">
        <f t="shared" si="54"/>
        <v>0</v>
      </c>
    </row>
    <row r="1723" spans="1:16" x14ac:dyDescent="0.35">
      <c r="A1723" s="33">
        <v>1720</v>
      </c>
      <c r="B1723" s="34" t="s">
        <v>2109</v>
      </c>
      <c r="C1723" s="33" t="s">
        <v>346</v>
      </c>
      <c r="D1723" s="33" t="s">
        <v>70</v>
      </c>
      <c r="E1723" s="33" t="s">
        <v>2091</v>
      </c>
      <c r="F1723" s="35">
        <v>0.25</v>
      </c>
      <c r="G1723" s="40">
        <v>0</v>
      </c>
      <c r="H1723" s="40">
        <v>0</v>
      </c>
      <c r="I1723" s="40">
        <v>0</v>
      </c>
      <c r="J1723" s="40">
        <v>0</v>
      </c>
      <c r="K1723" s="40">
        <v>0</v>
      </c>
      <c r="L1723" s="40">
        <v>0</v>
      </c>
      <c r="M1723" s="40" cm="1">
        <f t="array" ref="M1723:N1723">VLOOKUP(B1723,'Fumigation  Room'!B:H,{6,7},0)</f>
        <v>0</v>
      </c>
      <c r="N1723" s="40">
        <v>0</v>
      </c>
      <c r="O1723" s="40">
        <f t="shared" si="53"/>
        <v>0</v>
      </c>
      <c r="P1723" s="40">
        <f t="shared" si="54"/>
        <v>0</v>
      </c>
    </row>
    <row r="1724" spans="1:16" x14ac:dyDescent="0.35">
      <c r="A1724" s="33">
        <v>1721</v>
      </c>
      <c r="B1724" s="34" t="s">
        <v>2110</v>
      </c>
      <c r="C1724" s="33" t="s">
        <v>346</v>
      </c>
      <c r="D1724" s="33" t="s">
        <v>70</v>
      </c>
      <c r="E1724" s="33" t="s">
        <v>2091</v>
      </c>
      <c r="F1724" s="35">
        <v>0.25</v>
      </c>
      <c r="G1724" s="40">
        <v>0</v>
      </c>
      <c r="H1724" s="40">
        <v>0</v>
      </c>
      <c r="I1724" s="40">
        <v>0</v>
      </c>
      <c r="J1724" s="40">
        <v>0</v>
      </c>
      <c r="K1724" s="40">
        <v>0</v>
      </c>
      <c r="L1724" s="40">
        <v>0</v>
      </c>
      <c r="M1724" s="40" cm="1">
        <f t="array" ref="M1724:N1724">VLOOKUP(B1724,'Fumigation  Room'!B:H,{6,7},0)</f>
        <v>0</v>
      </c>
      <c r="N1724" s="40">
        <v>0</v>
      </c>
      <c r="O1724" s="40">
        <f t="shared" si="53"/>
        <v>0</v>
      </c>
      <c r="P1724" s="40">
        <f t="shared" si="54"/>
        <v>0</v>
      </c>
    </row>
    <row r="1725" spans="1:16" x14ac:dyDescent="0.35">
      <c r="A1725" s="33">
        <v>1722</v>
      </c>
      <c r="B1725" s="34" t="s">
        <v>2111</v>
      </c>
      <c r="C1725" s="33" t="s">
        <v>346</v>
      </c>
      <c r="D1725" s="33" t="s">
        <v>70</v>
      </c>
      <c r="E1725" s="33" t="s">
        <v>2091</v>
      </c>
      <c r="F1725" s="35">
        <v>0.2</v>
      </c>
      <c r="G1725" s="40">
        <v>0</v>
      </c>
      <c r="H1725" s="40">
        <v>0</v>
      </c>
      <c r="I1725" s="40">
        <v>0</v>
      </c>
      <c r="J1725" s="40">
        <v>0</v>
      </c>
      <c r="K1725" s="40">
        <v>0</v>
      </c>
      <c r="L1725" s="40">
        <v>0</v>
      </c>
      <c r="M1725" s="40" cm="1">
        <f t="array" ref="M1725:N1725">VLOOKUP(B1725,'Fumigation  Room'!B:H,{6,7},0)</f>
        <v>0</v>
      </c>
      <c r="N1725" s="40">
        <v>0</v>
      </c>
      <c r="O1725" s="40">
        <f t="shared" si="53"/>
        <v>0</v>
      </c>
      <c r="P1725" s="40">
        <f t="shared" si="54"/>
        <v>0</v>
      </c>
    </row>
    <row r="1726" spans="1:16" x14ac:dyDescent="0.35">
      <c r="A1726" s="33">
        <v>1723</v>
      </c>
      <c r="B1726" s="34" t="s">
        <v>2112</v>
      </c>
      <c r="C1726" s="33" t="s">
        <v>346</v>
      </c>
      <c r="D1726" s="33" t="s">
        <v>70</v>
      </c>
      <c r="E1726" s="33" t="s">
        <v>2091</v>
      </c>
      <c r="F1726" s="35">
        <v>0.1</v>
      </c>
      <c r="G1726" s="40">
        <v>0</v>
      </c>
      <c r="H1726" s="40">
        <v>0</v>
      </c>
      <c r="I1726" s="40">
        <v>0</v>
      </c>
      <c r="J1726" s="40">
        <v>0</v>
      </c>
      <c r="K1726" s="40">
        <v>0</v>
      </c>
      <c r="L1726" s="40">
        <v>0</v>
      </c>
      <c r="M1726" s="40" cm="1">
        <f t="array" ref="M1726:N1726">VLOOKUP(B1726,'Fumigation  Room'!B:H,{6,7},0)</f>
        <v>0</v>
      </c>
      <c r="N1726" s="40">
        <v>0</v>
      </c>
      <c r="O1726" s="40">
        <f t="shared" si="53"/>
        <v>0</v>
      </c>
      <c r="P1726" s="40">
        <f t="shared" si="54"/>
        <v>0</v>
      </c>
    </row>
    <row r="1727" spans="1:16" x14ac:dyDescent="0.35">
      <c r="A1727" s="33">
        <v>1724</v>
      </c>
      <c r="B1727" s="34" t="s">
        <v>2113</v>
      </c>
      <c r="C1727" s="33" t="s">
        <v>346</v>
      </c>
      <c r="D1727" s="33" t="s">
        <v>70</v>
      </c>
      <c r="E1727" s="33" t="s">
        <v>2091</v>
      </c>
      <c r="F1727" s="35">
        <v>0.02</v>
      </c>
      <c r="G1727" s="40">
        <v>0</v>
      </c>
      <c r="H1727" s="40">
        <v>0</v>
      </c>
      <c r="I1727" s="40">
        <v>0</v>
      </c>
      <c r="J1727" s="40">
        <v>0</v>
      </c>
      <c r="K1727" s="40">
        <v>0</v>
      </c>
      <c r="L1727" s="40">
        <v>0</v>
      </c>
      <c r="M1727" s="40" cm="1">
        <f t="array" ref="M1727:N1727">VLOOKUP(B1727,'Fumigation  Room'!B:H,{6,7},0)</f>
        <v>0</v>
      </c>
      <c r="N1727" s="40">
        <v>0</v>
      </c>
      <c r="O1727" s="40">
        <f t="shared" si="53"/>
        <v>0</v>
      </c>
      <c r="P1727" s="40">
        <f t="shared" si="54"/>
        <v>0</v>
      </c>
    </row>
    <row r="1728" spans="1:16" x14ac:dyDescent="0.35">
      <c r="A1728" s="33">
        <v>1725</v>
      </c>
      <c r="B1728" s="34" t="s">
        <v>2114</v>
      </c>
      <c r="C1728" s="33" t="s">
        <v>346</v>
      </c>
      <c r="D1728" s="33" t="s">
        <v>70</v>
      </c>
      <c r="E1728" s="33" t="s">
        <v>2091</v>
      </c>
      <c r="F1728" s="35">
        <v>0.25</v>
      </c>
      <c r="G1728" s="40">
        <v>0</v>
      </c>
      <c r="H1728" s="40">
        <v>0</v>
      </c>
      <c r="I1728" s="40">
        <v>0</v>
      </c>
      <c r="J1728" s="40">
        <v>0</v>
      </c>
      <c r="K1728" s="40">
        <v>0</v>
      </c>
      <c r="L1728" s="40">
        <v>0</v>
      </c>
      <c r="M1728" s="40" cm="1">
        <f t="array" ref="M1728:N1728">VLOOKUP(B1728,'Fumigation  Room'!B:H,{6,7},0)</f>
        <v>0</v>
      </c>
      <c r="N1728" s="40">
        <v>0</v>
      </c>
      <c r="O1728" s="40">
        <f t="shared" si="53"/>
        <v>0</v>
      </c>
      <c r="P1728" s="40">
        <f t="shared" si="54"/>
        <v>0</v>
      </c>
    </row>
    <row r="1729" spans="1:16" x14ac:dyDescent="0.35">
      <c r="A1729" s="33">
        <v>1726</v>
      </c>
      <c r="B1729" s="34" t="s">
        <v>2115</v>
      </c>
      <c r="C1729" s="33" t="s">
        <v>346</v>
      </c>
      <c r="D1729" s="33" t="s">
        <v>70</v>
      </c>
      <c r="E1729" s="33" t="s">
        <v>2091</v>
      </c>
      <c r="F1729" s="35">
        <v>0.1</v>
      </c>
      <c r="G1729" s="40">
        <v>0</v>
      </c>
      <c r="H1729" s="40">
        <v>0</v>
      </c>
      <c r="I1729" s="40">
        <v>0</v>
      </c>
      <c r="J1729" s="40">
        <v>0</v>
      </c>
      <c r="K1729" s="40">
        <v>0</v>
      </c>
      <c r="L1729" s="40">
        <v>0</v>
      </c>
      <c r="M1729" s="40" cm="1">
        <f t="array" ref="M1729:N1729">VLOOKUP(B1729,'Fumigation  Room'!B:H,{6,7},0)</f>
        <v>0</v>
      </c>
      <c r="N1729" s="40">
        <v>0</v>
      </c>
      <c r="O1729" s="40">
        <f t="shared" si="53"/>
        <v>0</v>
      </c>
      <c r="P1729" s="40">
        <f t="shared" si="54"/>
        <v>0</v>
      </c>
    </row>
    <row r="1730" spans="1:16" x14ac:dyDescent="0.35">
      <c r="A1730" s="33">
        <v>1727</v>
      </c>
      <c r="B1730" s="34" t="s">
        <v>2116</v>
      </c>
      <c r="C1730" s="33" t="s">
        <v>346</v>
      </c>
      <c r="D1730" s="33" t="s">
        <v>70</v>
      </c>
      <c r="E1730" s="33" t="s">
        <v>2091</v>
      </c>
      <c r="F1730" s="35">
        <v>0.1</v>
      </c>
      <c r="G1730" s="40">
        <v>0</v>
      </c>
      <c r="H1730" s="40">
        <v>0</v>
      </c>
      <c r="I1730" s="40">
        <v>0</v>
      </c>
      <c r="J1730" s="40">
        <v>0</v>
      </c>
      <c r="K1730" s="40">
        <v>0</v>
      </c>
      <c r="L1730" s="40">
        <v>0</v>
      </c>
      <c r="M1730" s="40" cm="1">
        <f t="array" ref="M1730:N1730">VLOOKUP(B1730,'Fumigation  Room'!B:H,{6,7},0)</f>
        <v>0</v>
      </c>
      <c r="N1730" s="40">
        <v>0</v>
      </c>
      <c r="O1730" s="40">
        <f t="shared" si="53"/>
        <v>0</v>
      </c>
      <c r="P1730" s="40">
        <f t="shared" si="54"/>
        <v>0</v>
      </c>
    </row>
    <row r="1731" spans="1:16" x14ac:dyDescent="0.35">
      <c r="A1731" s="33">
        <v>1728</v>
      </c>
      <c r="B1731" s="34" t="s">
        <v>2117</v>
      </c>
      <c r="C1731" s="33" t="s">
        <v>346</v>
      </c>
      <c r="D1731" s="33" t="s">
        <v>70</v>
      </c>
      <c r="E1731" s="33" t="s">
        <v>2091</v>
      </c>
      <c r="F1731" s="35">
        <v>0.2</v>
      </c>
      <c r="G1731" s="40">
        <v>0</v>
      </c>
      <c r="H1731" s="40">
        <v>0</v>
      </c>
      <c r="I1731" s="40">
        <v>0</v>
      </c>
      <c r="J1731" s="40">
        <v>0</v>
      </c>
      <c r="K1731" s="40">
        <v>0</v>
      </c>
      <c r="L1731" s="40">
        <v>0</v>
      </c>
      <c r="M1731" s="40" cm="1">
        <f t="array" ref="M1731:N1731">VLOOKUP(B1731,'Fumigation  Room'!B:H,{6,7},0)</f>
        <v>0</v>
      </c>
      <c r="N1731" s="40">
        <v>0</v>
      </c>
      <c r="O1731" s="40">
        <f t="shared" si="53"/>
        <v>0</v>
      </c>
      <c r="P1731" s="40">
        <f t="shared" si="54"/>
        <v>0</v>
      </c>
    </row>
    <row r="1732" spans="1:16" x14ac:dyDescent="0.35">
      <c r="A1732" s="33">
        <v>1729</v>
      </c>
      <c r="B1732" s="34" t="s">
        <v>2118</v>
      </c>
      <c r="C1732" s="33" t="s">
        <v>346</v>
      </c>
      <c r="D1732" s="33" t="s">
        <v>70</v>
      </c>
      <c r="E1732" s="33" t="s">
        <v>2091</v>
      </c>
      <c r="F1732" s="35">
        <v>0.25</v>
      </c>
      <c r="G1732" s="40">
        <v>0</v>
      </c>
      <c r="H1732" s="40">
        <v>0</v>
      </c>
      <c r="I1732" s="40">
        <v>0</v>
      </c>
      <c r="J1732" s="40">
        <v>0</v>
      </c>
      <c r="K1732" s="40">
        <v>0</v>
      </c>
      <c r="L1732" s="40">
        <v>0</v>
      </c>
      <c r="M1732" s="40" cm="1">
        <f t="array" ref="M1732:N1732">VLOOKUP(B1732,'Fumigation  Room'!B:H,{6,7},0)</f>
        <v>0</v>
      </c>
      <c r="N1732" s="40">
        <v>0</v>
      </c>
      <c r="O1732" s="40">
        <f t="shared" si="53"/>
        <v>0</v>
      </c>
      <c r="P1732" s="40">
        <f t="shared" si="54"/>
        <v>0</v>
      </c>
    </row>
    <row r="1733" spans="1:16" x14ac:dyDescent="0.35">
      <c r="A1733" s="33">
        <v>1730</v>
      </c>
      <c r="B1733" s="34" t="s">
        <v>2119</v>
      </c>
      <c r="C1733" s="33" t="s">
        <v>346</v>
      </c>
      <c r="D1733" s="33" t="s">
        <v>70</v>
      </c>
      <c r="E1733" s="33" t="s">
        <v>2091</v>
      </c>
      <c r="F1733" s="35">
        <v>0.25</v>
      </c>
      <c r="G1733" s="40">
        <v>0</v>
      </c>
      <c r="H1733" s="40">
        <v>0</v>
      </c>
      <c r="I1733" s="40">
        <v>0</v>
      </c>
      <c r="J1733" s="40">
        <v>0</v>
      </c>
      <c r="K1733" s="40">
        <v>0</v>
      </c>
      <c r="L1733" s="40">
        <v>0</v>
      </c>
      <c r="M1733" s="40" cm="1">
        <f t="array" ref="M1733:N1733">VLOOKUP(B1733,'Fumigation  Room'!B:H,{6,7},0)</f>
        <v>0</v>
      </c>
      <c r="N1733" s="40">
        <v>0</v>
      </c>
      <c r="O1733" s="40">
        <f t="shared" ref="O1733:O1796" si="55">G1733+I1733+K1733+M1733</f>
        <v>0</v>
      </c>
      <c r="P1733" s="40">
        <f t="shared" ref="P1733:P1796" si="56">H1733+J1733+L1733+N1733</f>
        <v>0</v>
      </c>
    </row>
    <row r="1734" spans="1:16" x14ac:dyDescent="0.35">
      <c r="A1734" s="33">
        <v>1731</v>
      </c>
      <c r="B1734" s="34" t="s">
        <v>2120</v>
      </c>
      <c r="C1734" s="33" t="s">
        <v>346</v>
      </c>
      <c r="D1734" s="33" t="s">
        <v>70</v>
      </c>
      <c r="E1734" s="33" t="s">
        <v>2091</v>
      </c>
      <c r="F1734" s="35">
        <v>0.25</v>
      </c>
      <c r="G1734" s="40">
        <v>0</v>
      </c>
      <c r="H1734" s="40">
        <v>0</v>
      </c>
      <c r="I1734" s="40">
        <v>0</v>
      </c>
      <c r="J1734" s="40">
        <v>0</v>
      </c>
      <c r="K1734" s="40">
        <v>0</v>
      </c>
      <c r="L1734" s="40">
        <v>0</v>
      </c>
      <c r="M1734" s="40" cm="1">
        <f t="array" ref="M1734:N1734">VLOOKUP(B1734,'Fumigation  Room'!B:H,{6,7},0)</f>
        <v>0</v>
      </c>
      <c r="N1734" s="40">
        <v>0</v>
      </c>
      <c r="O1734" s="40">
        <f t="shared" si="55"/>
        <v>0</v>
      </c>
      <c r="P1734" s="40">
        <f t="shared" si="56"/>
        <v>0</v>
      </c>
    </row>
    <row r="1735" spans="1:16" x14ac:dyDescent="0.35">
      <c r="A1735" s="33">
        <v>1732</v>
      </c>
      <c r="B1735" s="34" t="s">
        <v>2121</v>
      </c>
      <c r="C1735" s="33" t="s">
        <v>346</v>
      </c>
      <c r="D1735" s="33" t="s">
        <v>70</v>
      </c>
      <c r="E1735" s="33" t="s">
        <v>2091</v>
      </c>
      <c r="F1735" s="35">
        <v>0.12</v>
      </c>
      <c r="G1735" s="40">
        <v>0</v>
      </c>
      <c r="H1735" s="40">
        <v>0</v>
      </c>
      <c r="I1735" s="40">
        <v>0</v>
      </c>
      <c r="J1735" s="40">
        <v>0</v>
      </c>
      <c r="K1735" s="40">
        <v>0</v>
      </c>
      <c r="L1735" s="40">
        <v>0</v>
      </c>
      <c r="M1735" s="40" cm="1">
        <f t="array" ref="M1735:N1735">VLOOKUP(B1735,'Fumigation  Room'!B:H,{6,7},0)</f>
        <v>0</v>
      </c>
      <c r="N1735" s="40">
        <v>0</v>
      </c>
      <c r="O1735" s="40">
        <f t="shared" si="55"/>
        <v>0</v>
      </c>
      <c r="P1735" s="40">
        <f t="shared" si="56"/>
        <v>0</v>
      </c>
    </row>
    <row r="1736" spans="1:16" x14ac:dyDescent="0.35">
      <c r="A1736" s="33">
        <v>1733</v>
      </c>
      <c r="B1736" s="34" t="s">
        <v>2122</v>
      </c>
      <c r="C1736" s="33" t="s">
        <v>346</v>
      </c>
      <c r="D1736" s="33" t="s">
        <v>70</v>
      </c>
      <c r="E1736" s="33" t="s">
        <v>2091</v>
      </c>
      <c r="F1736" s="35">
        <v>0.1</v>
      </c>
      <c r="G1736" s="40">
        <v>0</v>
      </c>
      <c r="H1736" s="40">
        <v>0</v>
      </c>
      <c r="I1736" s="40">
        <v>0</v>
      </c>
      <c r="J1736" s="40">
        <v>0</v>
      </c>
      <c r="K1736" s="40">
        <v>0</v>
      </c>
      <c r="L1736" s="40">
        <v>0</v>
      </c>
      <c r="M1736" s="40" cm="1">
        <f t="array" ref="M1736:N1736">VLOOKUP(B1736,'Fumigation  Room'!B:H,{6,7},0)</f>
        <v>0</v>
      </c>
      <c r="N1736" s="40">
        <v>0</v>
      </c>
      <c r="O1736" s="40">
        <f t="shared" si="55"/>
        <v>0</v>
      </c>
      <c r="P1736" s="40">
        <f t="shared" si="56"/>
        <v>0</v>
      </c>
    </row>
    <row r="1737" spans="1:16" x14ac:dyDescent="0.35">
      <c r="A1737" s="33">
        <v>1734</v>
      </c>
      <c r="B1737" s="34" t="s">
        <v>2123</v>
      </c>
      <c r="C1737" s="33" t="s">
        <v>346</v>
      </c>
      <c r="D1737" s="33" t="s">
        <v>70</v>
      </c>
      <c r="E1737" s="33" t="s">
        <v>2091</v>
      </c>
      <c r="F1737" s="35">
        <v>0.1</v>
      </c>
      <c r="G1737" s="40">
        <v>0</v>
      </c>
      <c r="H1737" s="40">
        <v>0</v>
      </c>
      <c r="I1737" s="40">
        <v>0</v>
      </c>
      <c r="J1737" s="40">
        <v>0</v>
      </c>
      <c r="K1737" s="40">
        <v>0</v>
      </c>
      <c r="L1737" s="40">
        <v>0</v>
      </c>
      <c r="M1737" s="40" cm="1">
        <f t="array" ref="M1737:N1737">VLOOKUP(B1737,'Fumigation  Room'!B:H,{6,7},0)</f>
        <v>0</v>
      </c>
      <c r="N1737" s="40">
        <v>0</v>
      </c>
      <c r="O1737" s="40">
        <f t="shared" si="55"/>
        <v>0</v>
      </c>
      <c r="P1737" s="40">
        <f t="shared" si="56"/>
        <v>0</v>
      </c>
    </row>
    <row r="1738" spans="1:16" x14ac:dyDescent="0.35">
      <c r="A1738" s="33">
        <v>1735</v>
      </c>
      <c r="B1738" s="34" t="s">
        <v>2124</v>
      </c>
      <c r="C1738" s="33" t="s">
        <v>346</v>
      </c>
      <c r="D1738" s="33" t="s">
        <v>70</v>
      </c>
      <c r="E1738" s="33" t="s">
        <v>2091</v>
      </c>
      <c r="F1738" s="35">
        <v>0.2</v>
      </c>
      <c r="G1738" s="40">
        <v>0</v>
      </c>
      <c r="H1738" s="40">
        <v>0</v>
      </c>
      <c r="I1738" s="40">
        <v>0</v>
      </c>
      <c r="J1738" s="40">
        <v>0</v>
      </c>
      <c r="K1738" s="40">
        <v>0</v>
      </c>
      <c r="L1738" s="40">
        <v>0</v>
      </c>
      <c r="M1738" s="40" cm="1">
        <f t="array" ref="M1738:N1738">VLOOKUP(B1738,'Fumigation  Room'!B:H,{6,7},0)</f>
        <v>0</v>
      </c>
      <c r="N1738" s="40">
        <v>0</v>
      </c>
      <c r="O1738" s="40">
        <f t="shared" si="55"/>
        <v>0</v>
      </c>
      <c r="P1738" s="40">
        <f t="shared" si="56"/>
        <v>0</v>
      </c>
    </row>
    <row r="1739" spans="1:16" x14ac:dyDescent="0.35">
      <c r="A1739" s="33">
        <v>1736</v>
      </c>
      <c r="B1739" s="34" t="s">
        <v>2125</v>
      </c>
      <c r="C1739" s="33" t="s">
        <v>346</v>
      </c>
      <c r="D1739" s="33" t="s">
        <v>70</v>
      </c>
      <c r="E1739" s="33" t="s">
        <v>2091</v>
      </c>
      <c r="F1739" s="35">
        <v>0.25</v>
      </c>
      <c r="G1739" s="40">
        <v>0</v>
      </c>
      <c r="H1739" s="40">
        <v>0</v>
      </c>
      <c r="I1739" s="40">
        <v>0</v>
      </c>
      <c r="J1739" s="40">
        <v>0</v>
      </c>
      <c r="K1739" s="40">
        <v>0</v>
      </c>
      <c r="L1739" s="40">
        <v>0</v>
      </c>
      <c r="M1739" s="40" cm="1">
        <f t="array" ref="M1739:N1739">VLOOKUP(B1739,'Fumigation  Room'!B:H,{6,7},0)</f>
        <v>0</v>
      </c>
      <c r="N1739" s="40">
        <v>0</v>
      </c>
      <c r="O1739" s="40">
        <f t="shared" si="55"/>
        <v>0</v>
      </c>
      <c r="P1739" s="40">
        <f t="shared" si="56"/>
        <v>0</v>
      </c>
    </row>
    <row r="1740" spans="1:16" x14ac:dyDescent="0.35">
      <c r="A1740" s="33">
        <v>1737</v>
      </c>
      <c r="B1740" s="34" t="s">
        <v>2126</v>
      </c>
      <c r="C1740" s="33" t="s">
        <v>346</v>
      </c>
      <c r="D1740" s="33" t="s">
        <v>70</v>
      </c>
      <c r="E1740" s="33" t="s">
        <v>2091</v>
      </c>
      <c r="F1740" s="35">
        <v>0.1</v>
      </c>
      <c r="G1740" s="40">
        <v>0</v>
      </c>
      <c r="H1740" s="40">
        <v>0</v>
      </c>
      <c r="I1740" s="40">
        <v>0</v>
      </c>
      <c r="J1740" s="40">
        <v>0</v>
      </c>
      <c r="K1740" s="40">
        <v>0</v>
      </c>
      <c r="L1740" s="40">
        <v>0</v>
      </c>
      <c r="M1740" s="40" cm="1">
        <f t="array" ref="M1740:N1740">VLOOKUP(B1740,'Fumigation  Room'!B:H,{6,7},0)</f>
        <v>0</v>
      </c>
      <c r="N1740" s="40">
        <v>0</v>
      </c>
      <c r="O1740" s="40">
        <f t="shared" si="55"/>
        <v>0</v>
      </c>
      <c r="P1740" s="40">
        <f t="shared" si="56"/>
        <v>0</v>
      </c>
    </row>
    <row r="1741" spans="1:16" x14ac:dyDescent="0.35">
      <c r="A1741" s="33">
        <v>1738</v>
      </c>
      <c r="B1741" s="34" t="s">
        <v>2127</v>
      </c>
      <c r="C1741" s="33" t="s">
        <v>346</v>
      </c>
      <c r="D1741" s="33" t="s">
        <v>70</v>
      </c>
      <c r="E1741" s="33" t="s">
        <v>2091</v>
      </c>
      <c r="F1741" s="35">
        <v>0.1</v>
      </c>
      <c r="G1741" s="40">
        <v>0</v>
      </c>
      <c r="H1741" s="40">
        <v>0</v>
      </c>
      <c r="I1741" s="40">
        <v>0</v>
      </c>
      <c r="J1741" s="40">
        <v>0</v>
      </c>
      <c r="K1741" s="40">
        <v>0</v>
      </c>
      <c r="L1741" s="40">
        <v>0</v>
      </c>
      <c r="M1741" s="40" cm="1">
        <f t="array" ref="M1741:N1741">VLOOKUP(B1741,'Fumigation  Room'!B:H,{6,7},0)</f>
        <v>0</v>
      </c>
      <c r="N1741" s="40">
        <v>0</v>
      </c>
      <c r="O1741" s="40">
        <f t="shared" si="55"/>
        <v>0</v>
      </c>
      <c r="P1741" s="40">
        <f t="shared" si="56"/>
        <v>0</v>
      </c>
    </row>
    <row r="1742" spans="1:16" x14ac:dyDescent="0.35">
      <c r="A1742" s="33">
        <v>1739</v>
      </c>
      <c r="B1742" s="34" t="s">
        <v>2128</v>
      </c>
      <c r="C1742" s="33" t="s">
        <v>346</v>
      </c>
      <c r="D1742" s="33" t="s">
        <v>70</v>
      </c>
      <c r="E1742" s="33" t="s">
        <v>2091</v>
      </c>
      <c r="F1742" s="35">
        <v>0.25</v>
      </c>
      <c r="G1742" s="40">
        <v>0</v>
      </c>
      <c r="H1742" s="40">
        <v>0</v>
      </c>
      <c r="I1742" s="40">
        <v>0</v>
      </c>
      <c r="J1742" s="40">
        <v>0</v>
      </c>
      <c r="K1742" s="40">
        <v>0</v>
      </c>
      <c r="L1742" s="40">
        <v>0</v>
      </c>
      <c r="M1742" s="40" cm="1">
        <f t="array" ref="M1742:N1742">VLOOKUP(B1742,'Fumigation  Room'!B:H,{6,7},0)</f>
        <v>0</v>
      </c>
      <c r="N1742" s="40">
        <v>0</v>
      </c>
      <c r="O1742" s="40">
        <f t="shared" si="55"/>
        <v>0</v>
      </c>
      <c r="P1742" s="40">
        <f t="shared" si="56"/>
        <v>0</v>
      </c>
    </row>
    <row r="1743" spans="1:16" x14ac:dyDescent="0.35">
      <c r="A1743" s="33">
        <v>1740</v>
      </c>
      <c r="B1743" s="34" t="s">
        <v>2129</v>
      </c>
      <c r="C1743" s="33" t="s">
        <v>346</v>
      </c>
      <c r="D1743" s="33" t="s">
        <v>70</v>
      </c>
      <c r="E1743" s="33" t="s">
        <v>2091</v>
      </c>
      <c r="F1743" s="35">
        <v>0.1</v>
      </c>
      <c r="G1743" s="40">
        <v>0</v>
      </c>
      <c r="H1743" s="40">
        <v>0</v>
      </c>
      <c r="I1743" s="40">
        <v>0</v>
      </c>
      <c r="J1743" s="40">
        <v>0</v>
      </c>
      <c r="K1743" s="40">
        <v>0</v>
      </c>
      <c r="L1743" s="40">
        <v>0</v>
      </c>
      <c r="M1743" s="40" cm="1">
        <f t="array" ref="M1743:N1743">VLOOKUP(B1743,'Fumigation  Room'!B:H,{6,7},0)</f>
        <v>0</v>
      </c>
      <c r="N1743" s="40">
        <v>0</v>
      </c>
      <c r="O1743" s="40">
        <f t="shared" si="55"/>
        <v>0</v>
      </c>
      <c r="P1743" s="40">
        <f t="shared" si="56"/>
        <v>0</v>
      </c>
    </row>
    <row r="1744" spans="1:16" x14ac:dyDescent="0.35">
      <c r="A1744" s="33">
        <v>1741</v>
      </c>
      <c r="B1744" s="34" t="s">
        <v>2130</v>
      </c>
      <c r="C1744" s="33" t="s">
        <v>346</v>
      </c>
      <c r="D1744" s="33" t="s">
        <v>70</v>
      </c>
      <c r="E1744" s="33" t="s">
        <v>2091</v>
      </c>
      <c r="F1744" s="35">
        <v>0.2</v>
      </c>
      <c r="G1744" s="40">
        <v>0</v>
      </c>
      <c r="H1744" s="40">
        <v>0</v>
      </c>
      <c r="I1744" s="40">
        <v>0</v>
      </c>
      <c r="J1744" s="40">
        <v>0</v>
      </c>
      <c r="K1744" s="40">
        <v>0</v>
      </c>
      <c r="L1744" s="40">
        <v>0</v>
      </c>
      <c r="M1744" s="40" cm="1">
        <f t="array" ref="M1744:N1744">VLOOKUP(B1744,'Fumigation  Room'!B:H,{6,7},0)</f>
        <v>0</v>
      </c>
      <c r="N1744" s="40">
        <v>0</v>
      </c>
      <c r="O1744" s="40">
        <f t="shared" si="55"/>
        <v>0</v>
      </c>
      <c r="P1744" s="40">
        <f t="shared" si="56"/>
        <v>0</v>
      </c>
    </row>
    <row r="1745" spans="1:16" x14ac:dyDescent="0.35">
      <c r="A1745" s="33">
        <v>1742</v>
      </c>
      <c r="B1745" s="34" t="s">
        <v>268</v>
      </c>
      <c r="C1745" s="33" t="s">
        <v>346</v>
      </c>
      <c r="D1745" s="33" t="s">
        <v>70</v>
      </c>
      <c r="E1745" s="33" t="s">
        <v>2091</v>
      </c>
      <c r="F1745" s="35">
        <v>1</v>
      </c>
      <c r="G1745" s="40">
        <v>0</v>
      </c>
      <c r="H1745" s="40">
        <v>0</v>
      </c>
      <c r="I1745" s="40">
        <v>0</v>
      </c>
      <c r="J1745" s="40">
        <v>0</v>
      </c>
      <c r="K1745" s="40">
        <v>0</v>
      </c>
      <c r="L1745" s="40">
        <v>0</v>
      </c>
      <c r="M1745" s="40" cm="1">
        <f t="array" ref="M1745:N1745">VLOOKUP(B1745,'Fumigation  Room'!B:H,{6,7},0)</f>
        <v>0</v>
      </c>
      <c r="N1745" s="40">
        <v>0</v>
      </c>
      <c r="O1745" s="40">
        <f t="shared" si="55"/>
        <v>0</v>
      </c>
      <c r="P1745" s="40">
        <f t="shared" si="56"/>
        <v>0</v>
      </c>
    </row>
    <row r="1746" spans="1:16" x14ac:dyDescent="0.35">
      <c r="A1746" s="33">
        <v>1743</v>
      </c>
      <c r="B1746" s="34" t="s">
        <v>2131</v>
      </c>
      <c r="C1746" s="33" t="s">
        <v>346</v>
      </c>
      <c r="D1746" s="33" t="s">
        <v>70</v>
      </c>
      <c r="E1746" s="33" t="s">
        <v>2091</v>
      </c>
      <c r="F1746" s="35">
        <v>0.25</v>
      </c>
      <c r="G1746" s="40">
        <v>0</v>
      </c>
      <c r="H1746" s="40">
        <v>0</v>
      </c>
      <c r="I1746" s="40">
        <v>0</v>
      </c>
      <c r="J1746" s="40">
        <v>0</v>
      </c>
      <c r="K1746" s="40">
        <v>0</v>
      </c>
      <c r="L1746" s="40">
        <v>0</v>
      </c>
      <c r="M1746" s="40" cm="1">
        <f t="array" ref="M1746:N1746">VLOOKUP(B1746,'Fumigation  Room'!B:H,{6,7},0)</f>
        <v>0</v>
      </c>
      <c r="N1746" s="40">
        <v>0</v>
      </c>
      <c r="O1746" s="40">
        <f t="shared" si="55"/>
        <v>0</v>
      </c>
      <c r="P1746" s="40">
        <f t="shared" si="56"/>
        <v>0</v>
      </c>
    </row>
    <row r="1747" spans="1:16" x14ac:dyDescent="0.35">
      <c r="A1747" s="33">
        <v>1744</v>
      </c>
      <c r="B1747" s="34" t="s">
        <v>2132</v>
      </c>
      <c r="C1747" s="33" t="s">
        <v>346</v>
      </c>
      <c r="D1747" s="33" t="s">
        <v>70</v>
      </c>
      <c r="E1747" s="33" t="s">
        <v>2091</v>
      </c>
      <c r="F1747" s="35">
        <v>0.05</v>
      </c>
      <c r="G1747" s="40">
        <v>0</v>
      </c>
      <c r="H1747" s="40">
        <v>0</v>
      </c>
      <c r="I1747" s="40">
        <v>0</v>
      </c>
      <c r="J1747" s="40">
        <v>0</v>
      </c>
      <c r="K1747" s="40">
        <v>0</v>
      </c>
      <c r="L1747" s="40">
        <v>0</v>
      </c>
      <c r="M1747" s="40" cm="1">
        <f t="array" ref="M1747:N1747">VLOOKUP(B1747,'Fumigation  Room'!B:H,{6,7},0)</f>
        <v>0</v>
      </c>
      <c r="N1747" s="40">
        <v>0</v>
      </c>
      <c r="O1747" s="40">
        <f t="shared" si="55"/>
        <v>0</v>
      </c>
      <c r="P1747" s="40">
        <f t="shared" si="56"/>
        <v>0</v>
      </c>
    </row>
    <row r="1748" spans="1:16" x14ac:dyDescent="0.35">
      <c r="A1748" s="33">
        <v>1745</v>
      </c>
      <c r="B1748" s="34" t="s">
        <v>2133</v>
      </c>
      <c r="C1748" s="33" t="s">
        <v>346</v>
      </c>
      <c r="D1748" s="33" t="s">
        <v>70</v>
      </c>
      <c r="E1748" s="33" t="s">
        <v>2091</v>
      </c>
      <c r="F1748" s="35">
        <v>0.05</v>
      </c>
      <c r="G1748" s="40">
        <v>0</v>
      </c>
      <c r="H1748" s="40">
        <v>0</v>
      </c>
      <c r="I1748" s="40">
        <v>0</v>
      </c>
      <c r="J1748" s="40">
        <v>0</v>
      </c>
      <c r="K1748" s="40">
        <v>0</v>
      </c>
      <c r="L1748" s="40">
        <v>0</v>
      </c>
      <c r="M1748" s="40" cm="1">
        <f t="array" ref="M1748:N1748">VLOOKUP(B1748,'Fumigation  Room'!B:H,{6,7},0)</f>
        <v>0</v>
      </c>
      <c r="N1748" s="40">
        <v>0</v>
      </c>
      <c r="O1748" s="40">
        <f t="shared" si="55"/>
        <v>0</v>
      </c>
      <c r="P1748" s="40">
        <f t="shared" si="56"/>
        <v>0</v>
      </c>
    </row>
    <row r="1749" spans="1:16" x14ac:dyDescent="0.35">
      <c r="A1749" s="33">
        <v>1746</v>
      </c>
      <c r="B1749" s="34" t="s">
        <v>2134</v>
      </c>
      <c r="C1749" s="33" t="s">
        <v>346</v>
      </c>
      <c r="D1749" s="33" t="s">
        <v>70</v>
      </c>
      <c r="E1749" s="33" t="s">
        <v>2091</v>
      </c>
      <c r="F1749" s="35">
        <v>0.11</v>
      </c>
      <c r="G1749" s="40">
        <v>0</v>
      </c>
      <c r="H1749" s="40">
        <v>0</v>
      </c>
      <c r="I1749" s="40">
        <v>0</v>
      </c>
      <c r="J1749" s="40">
        <v>0</v>
      </c>
      <c r="K1749" s="40">
        <v>0</v>
      </c>
      <c r="L1749" s="40">
        <v>0</v>
      </c>
      <c r="M1749" s="40" cm="1">
        <f t="array" ref="M1749:N1749">VLOOKUP(B1749,'Fumigation  Room'!B:H,{6,7},0)</f>
        <v>0</v>
      </c>
      <c r="N1749" s="40">
        <v>0</v>
      </c>
      <c r="O1749" s="40">
        <f t="shared" si="55"/>
        <v>0</v>
      </c>
      <c r="P1749" s="40">
        <f t="shared" si="56"/>
        <v>0</v>
      </c>
    </row>
    <row r="1750" spans="1:16" x14ac:dyDescent="0.35">
      <c r="A1750" s="33">
        <v>1747</v>
      </c>
      <c r="B1750" s="34" t="s">
        <v>277</v>
      </c>
      <c r="C1750" s="33" t="s">
        <v>346</v>
      </c>
      <c r="D1750" s="33" t="s">
        <v>70</v>
      </c>
      <c r="E1750" s="33" t="s">
        <v>2091</v>
      </c>
      <c r="F1750" s="35">
        <v>1</v>
      </c>
      <c r="G1750" s="40">
        <v>0</v>
      </c>
      <c r="H1750" s="40">
        <v>0</v>
      </c>
      <c r="I1750" s="40">
        <v>0</v>
      </c>
      <c r="J1750" s="40">
        <v>0</v>
      </c>
      <c r="K1750" s="40">
        <v>0</v>
      </c>
      <c r="L1750" s="40">
        <v>0</v>
      </c>
      <c r="M1750" s="40" cm="1">
        <f t="array" ref="M1750:N1750">VLOOKUP(B1750,'Fumigation  Room'!B:H,{6,7},0)</f>
        <v>0</v>
      </c>
      <c r="N1750" s="40">
        <v>0</v>
      </c>
      <c r="O1750" s="40">
        <f t="shared" si="55"/>
        <v>0</v>
      </c>
      <c r="P1750" s="40">
        <f t="shared" si="56"/>
        <v>0</v>
      </c>
    </row>
    <row r="1751" spans="1:16" x14ac:dyDescent="0.35">
      <c r="A1751" s="33">
        <v>1748</v>
      </c>
      <c r="B1751" s="34" t="s">
        <v>2135</v>
      </c>
      <c r="C1751" s="33" t="s">
        <v>346</v>
      </c>
      <c r="D1751" s="33" t="s">
        <v>70</v>
      </c>
      <c r="E1751" s="33" t="s">
        <v>2091</v>
      </c>
      <c r="F1751" s="35">
        <v>0.23</v>
      </c>
      <c r="G1751" s="40">
        <v>0</v>
      </c>
      <c r="H1751" s="40">
        <v>0</v>
      </c>
      <c r="I1751" s="40">
        <v>0</v>
      </c>
      <c r="J1751" s="40">
        <v>0</v>
      </c>
      <c r="K1751" s="40">
        <v>0</v>
      </c>
      <c r="L1751" s="40">
        <v>0</v>
      </c>
      <c r="M1751" s="40" cm="1">
        <f t="array" ref="M1751:N1751">VLOOKUP(B1751,'Fumigation  Room'!B:H,{6,7},0)</f>
        <v>0</v>
      </c>
      <c r="N1751" s="40">
        <v>0</v>
      </c>
      <c r="O1751" s="40">
        <f t="shared" si="55"/>
        <v>0</v>
      </c>
      <c r="P1751" s="40">
        <f t="shared" si="56"/>
        <v>0</v>
      </c>
    </row>
    <row r="1752" spans="1:16" x14ac:dyDescent="0.35">
      <c r="A1752" s="33">
        <v>1749</v>
      </c>
      <c r="B1752" s="34" t="s">
        <v>2136</v>
      </c>
      <c r="C1752" s="33" t="s">
        <v>346</v>
      </c>
      <c r="D1752" s="33" t="s">
        <v>70</v>
      </c>
      <c r="E1752" s="33" t="s">
        <v>2091</v>
      </c>
      <c r="F1752" s="35">
        <v>4.8000000000000001E-2</v>
      </c>
      <c r="G1752" s="40">
        <v>0</v>
      </c>
      <c r="H1752" s="40">
        <v>0</v>
      </c>
      <c r="I1752" s="40">
        <v>0</v>
      </c>
      <c r="J1752" s="40">
        <v>0</v>
      </c>
      <c r="K1752" s="40">
        <v>0</v>
      </c>
      <c r="L1752" s="40">
        <v>0</v>
      </c>
      <c r="M1752" s="40" cm="1">
        <f t="array" ref="M1752:N1752">VLOOKUP(B1752,'Fumigation  Room'!B:H,{6,7},0)</f>
        <v>0</v>
      </c>
      <c r="N1752" s="40">
        <v>0</v>
      </c>
      <c r="O1752" s="40">
        <f t="shared" si="55"/>
        <v>0</v>
      </c>
      <c r="P1752" s="40">
        <f t="shared" si="56"/>
        <v>0</v>
      </c>
    </row>
    <row r="1753" spans="1:16" x14ac:dyDescent="0.35">
      <c r="A1753" s="33">
        <v>1750</v>
      </c>
      <c r="B1753" s="34" t="s">
        <v>2137</v>
      </c>
      <c r="C1753" s="33" t="s">
        <v>346</v>
      </c>
      <c r="D1753" s="33" t="s">
        <v>70</v>
      </c>
      <c r="E1753" s="33" t="s">
        <v>2091</v>
      </c>
      <c r="F1753" s="35">
        <v>0.06</v>
      </c>
      <c r="G1753" s="40">
        <v>0</v>
      </c>
      <c r="H1753" s="40">
        <v>0</v>
      </c>
      <c r="I1753" s="40">
        <v>0</v>
      </c>
      <c r="J1753" s="40">
        <v>0</v>
      </c>
      <c r="K1753" s="40">
        <v>0</v>
      </c>
      <c r="L1753" s="40">
        <v>0</v>
      </c>
      <c r="M1753" s="40" cm="1">
        <f t="array" ref="M1753:N1753">VLOOKUP(B1753,'Fumigation  Room'!B:H,{6,7},0)</f>
        <v>0</v>
      </c>
      <c r="N1753" s="40">
        <v>0</v>
      </c>
      <c r="O1753" s="40">
        <f t="shared" si="55"/>
        <v>0</v>
      </c>
      <c r="P1753" s="40">
        <f t="shared" si="56"/>
        <v>0</v>
      </c>
    </row>
    <row r="1754" spans="1:16" x14ac:dyDescent="0.35">
      <c r="A1754" s="33">
        <v>1751</v>
      </c>
      <c r="B1754" s="34" t="s">
        <v>2138</v>
      </c>
      <c r="C1754" s="33" t="s">
        <v>346</v>
      </c>
      <c r="D1754" s="33" t="s">
        <v>70</v>
      </c>
      <c r="E1754" s="33" t="s">
        <v>2091</v>
      </c>
      <c r="F1754" s="35">
        <v>0.06</v>
      </c>
      <c r="G1754" s="40">
        <v>0</v>
      </c>
      <c r="H1754" s="40">
        <v>0</v>
      </c>
      <c r="I1754" s="40">
        <v>0</v>
      </c>
      <c r="J1754" s="40">
        <v>0</v>
      </c>
      <c r="K1754" s="40">
        <v>0</v>
      </c>
      <c r="L1754" s="40">
        <v>0</v>
      </c>
      <c r="M1754" s="40" cm="1">
        <f t="array" ref="M1754:N1754">VLOOKUP(B1754,'Fumigation  Room'!B:H,{6,7},0)</f>
        <v>0</v>
      </c>
      <c r="N1754" s="40">
        <v>0</v>
      </c>
      <c r="O1754" s="40">
        <f t="shared" si="55"/>
        <v>0</v>
      </c>
      <c r="P1754" s="40">
        <f t="shared" si="56"/>
        <v>0</v>
      </c>
    </row>
    <row r="1755" spans="1:16" x14ac:dyDescent="0.35">
      <c r="A1755" s="33">
        <v>1752</v>
      </c>
      <c r="B1755" s="34" t="s">
        <v>2139</v>
      </c>
      <c r="C1755" s="33" t="s">
        <v>346</v>
      </c>
      <c r="D1755" s="33" t="s">
        <v>70</v>
      </c>
      <c r="E1755" s="33" t="s">
        <v>2091</v>
      </c>
      <c r="F1755" s="35">
        <v>7.4999999999999997E-2</v>
      </c>
      <c r="G1755" s="40">
        <v>0</v>
      </c>
      <c r="H1755" s="40">
        <v>0</v>
      </c>
      <c r="I1755" s="40">
        <v>0</v>
      </c>
      <c r="J1755" s="40">
        <v>0</v>
      </c>
      <c r="K1755" s="40">
        <v>0</v>
      </c>
      <c r="L1755" s="40">
        <v>0</v>
      </c>
      <c r="M1755" s="40" cm="1">
        <f t="array" ref="M1755:N1755">VLOOKUP(B1755,'Fumigation  Room'!B:H,{6,7},0)</f>
        <v>0</v>
      </c>
      <c r="N1755" s="40">
        <v>0</v>
      </c>
      <c r="O1755" s="40">
        <f t="shared" si="55"/>
        <v>0</v>
      </c>
      <c r="P1755" s="40">
        <f t="shared" si="56"/>
        <v>0</v>
      </c>
    </row>
    <row r="1756" spans="1:16" x14ac:dyDescent="0.35">
      <c r="A1756" s="33">
        <v>1753</v>
      </c>
      <c r="B1756" s="34" t="s">
        <v>2140</v>
      </c>
      <c r="C1756" s="33" t="s">
        <v>346</v>
      </c>
      <c r="D1756" s="33" t="s">
        <v>70</v>
      </c>
      <c r="E1756" s="33" t="s">
        <v>2091</v>
      </c>
      <c r="F1756" s="35">
        <v>0.06</v>
      </c>
      <c r="G1756" s="40">
        <v>0</v>
      </c>
      <c r="H1756" s="40">
        <v>0</v>
      </c>
      <c r="I1756" s="40">
        <v>0</v>
      </c>
      <c r="J1756" s="40">
        <v>0</v>
      </c>
      <c r="K1756" s="40">
        <v>0</v>
      </c>
      <c r="L1756" s="40">
        <v>0</v>
      </c>
      <c r="M1756" s="40" cm="1">
        <f t="array" ref="M1756:N1756">VLOOKUP(B1756,'Fumigation  Room'!B:H,{6,7},0)</f>
        <v>0</v>
      </c>
      <c r="N1756" s="40">
        <v>0</v>
      </c>
      <c r="O1756" s="40">
        <f t="shared" si="55"/>
        <v>0</v>
      </c>
      <c r="P1756" s="40">
        <f t="shared" si="56"/>
        <v>0</v>
      </c>
    </row>
    <row r="1757" spans="1:16" x14ac:dyDescent="0.35">
      <c r="A1757" s="33">
        <v>1754</v>
      </c>
      <c r="B1757" s="34" t="s">
        <v>2141</v>
      </c>
      <c r="C1757" s="33" t="s">
        <v>346</v>
      </c>
      <c r="D1757" s="33" t="s">
        <v>70</v>
      </c>
      <c r="E1757" s="33" t="s">
        <v>2091</v>
      </c>
      <c r="F1757" s="35">
        <v>4.8000000000000001E-2</v>
      </c>
      <c r="G1757" s="40">
        <v>0</v>
      </c>
      <c r="H1757" s="40">
        <v>0</v>
      </c>
      <c r="I1757" s="40">
        <v>0</v>
      </c>
      <c r="J1757" s="40">
        <v>0</v>
      </c>
      <c r="K1757" s="40">
        <v>0</v>
      </c>
      <c r="L1757" s="40">
        <v>0</v>
      </c>
      <c r="M1757" s="40" cm="1">
        <f t="array" ref="M1757:N1757">VLOOKUP(B1757,'Fumigation  Room'!B:H,{6,7},0)</f>
        <v>0</v>
      </c>
      <c r="N1757" s="40">
        <v>0</v>
      </c>
      <c r="O1757" s="40">
        <f t="shared" si="55"/>
        <v>0</v>
      </c>
      <c r="P1757" s="40">
        <f t="shared" si="56"/>
        <v>0</v>
      </c>
    </row>
    <row r="1758" spans="1:16" x14ac:dyDescent="0.35">
      <c r="A1758" s="33">
        <v>1755</v>
      </c>
      <c r="B1758" s="34" t="s">
        <v>2142</v>
      </c>
      <c r="C1758" s="33" t="s">
        <v>346</v>
      </c>
      <c r="D1758" s="33" t="s">
        <v>70</v>
      </c>
      <c r="E1758" s="33" t="s">
        <v>2091</v>
      </c>
      <c r="F1758" s="35">
        <v>1</v>
      </c>
      <c r="G1758" s="40">
        <v>0</v>
      </c>
      <c r="H1758" s="40">
        <v>0</v>
      </c>
      <c r="I1758" s="40">
        <v>0</v>
      </c>
      <c r="J1758" s="40">
        <v>0</v>
      </c>
      <c r="K1758" s="40">
        <v>0</v>
      </c>
      <c r="L1758" s="40">
        <v>0</v>
      </c>
      <c r="M1758" s="40" cm="1">
        <f t="array" ref="M1758:N1758">VLOOKUP(B1758,'Fumigation  Room'!B:H,{6,7},0)</f>
        <v>0</v>
      </c>
      <c r="N1758" s="40">
        <v>0</v>
      </c>
      <c r="O1758" s="40">
        <f t="shared" si="55"/>
        <v>0</v>
      </c>
      <c r="P1758" s="40">
        <f t="shared" si="56"/>
        <v>0</v>
      </c>
    </row>
    <row r="1759" spans="1:16" x14ac:dyDescent="0.35">
      <c r="A1759" s="33">
        <v>1756</v>
      </c>
      <c r="B1759" s="34" t="s">
        <v>2143</v>
      </c>
      <c r="C1759" s="33" t="s">
        <v>346</v>
      </c>
      <c r="D1759" s="33" t="s">
        <v>70</v>
      </c>
      <c r="E1759" s="33" t="s">
        <v>2091</v>
      </c>
      <c r="F1759" s="35">
        <v>0.23</v>
      </c>
      <c r="G1759" s="40">
        <v>0</v>
      </c>
      <c r="H1759" s="40">
        <v>0</v>
      </c>
      <c r="I1759" s="40">
        <v>0</v>
      </c>
      <c r="J1759" s="40">
        <v>0</v>
      </c>
      <c r="K1759" s="40">
        <v>0</v>
      </c>
      <c r="L1759" s="40">
        <v>0</v>
      </c>
      <c r="M1759" s="40" cm="1">
        <f t="array" ref="M1759:N1759">VLOOKUP(B1759,'Fumigation  Room'!B:H,{6,7},0)</f>
        <v>0</v>
      </c>
      <c r="N1759" s="40">
        <v>0</v>
      </c>
      <c r="O1759" s="40">
        <f t="shared" si="55"/>
        <v>0</v>
      </c>
      <c r="P1759" s="40">
        <f t="shared" si="56"/>
        <v>0</v>
      </c>
    </row>
    <row r="1760" spans="1:16" x14ac:dyDescent="0.35">
      <c r="A1760" s="33">
        <v>1757</v>
      </c>
      <c r="B1760" s="34" t="s">
        <v>2144</v>
      </c>
      <c r="C1760" s="33" t="s">
        <v>346</v>
      </c>
      <c r="D1760" s="33" t="s">
        <v>70</v>
      </c>
      <c r="E1760" s="33" t="s">
        <v>2091</v>
      </c>
      <c r="F1760" s="35">
        <v>1</v>
      </c>
      <c r="G1760" s="40">
        <v>0</v>
      </c>
      <c r="H1760" s="40">
        <v>0</v>
      </c>
      <c r="I1760" s="40">
        <v>0</v>
      </c>
      <c r="J1760" s="40">
        <v>0</v>
      </c>
      <c r="K1760" s="40">
        <v>0</v>
      </c>
      <c r="L1760" s="40">
        <v>0</v>
      </c>
      <c r="M1760" s="40" cm="1">
        <f t="array" ref="M1760:N1760">VLOOKUP(B1760,'Fumigation  Room'!B:H,{6,7},0)</f>
        <v>0</v>
      </c>
      <c r="N1760" s="40">
        <v>0</v>
      </c>
      <c r="O1760" s="40">
        <f t="shared" si="55"/>
        <v>0</v>
      </c>
      <c r="P1760" s="40">
        <f t="shared" si="56"/>
        <v>0</v>
      </c>
    </row>
    <row r="1761" spans="1:16" x14ac:dyDescent="0.35">
      <c r="A1761" s="33">
        <v>1758</v>
      </c>
      <c r="B1761" s="34" t="s">
        <v>2145</v>
      </c>
      <c r="C1761" s="33" t="s">
        <v>346</v>
      </c>
      <c r="D1761" s="33" t="s">
        <v>70</v>
      </c>
      <c r="E1761" s="33" t="s">
        <v>2091</v>
      </c>
      <c r="F1761" s="35">
        <v>1.15E-2</v>
      </c>
      <c r="G1761" s="40">
        <v>0</v>
      </c>
      <c r="H1761" s="40">
        <v>0</v>
      </c>
      <c r="I1761" s="40">
        <v>0</v>
      </c>
      <c r="J1761" s="40">
        <v>0</v>
      </c>
      <c r="K1761" s="40">
        <v>0</v>
      </c>
      <c r="L1761" s="40">
        <v>0</v>
      </c>
      <c r="M1761" s="40" cm="1">
        <f t="array" ref="M1761:N1761">VLOOKUP(B1761,'Fumigation  Room'!B:H,{6,7},0)</f>
        <v>0</v>
      </c>
      <c r="N1761" s="40">
        <v>0</v>
      </c>
      <c r="O1761" s="40">
        <f t="shared" si="55"/>
        <v>0</v>
      </c>
      <c r="P1761" s="40">
        <f t="shared" si="56"/>
        <v>0</v>
      </c>
    </row>
    <row r="1762" spans="1:16" x14ac:dyDescent="0.35">
      <c r="A1762" s="33">
        <v>1759</v>
      </c>
      <c r="B1762" s="34" t="s">
        <v>2146</v>
      </c>
      <c r="C1762" s="33" t="s">
        <v>346</v>
      </c>
      <c r="D1762" s="33" t="s">
        <v>70</v>
      </c>
      <c r="E1762" s="33" t="s">
        <v>2091</v>
      </c>
      <c r="F1762" s="35">
        <v>1.15E-2</v>
      </c>
      <c r="G1762" s="40">
        <v>0</v>
      </c>
      <c r="H1762" s="40">
        <v>0</v>
      </c>
      <c r="I1762" s="40">
        <v>0</v>
      </c>
      <c r="J1762" s="40">
        <v>0</v>
      </c>
      <c r="K1762" s="40">
        <v>0</v>
      </c>
      <c r="L1762" s="40">
        <v>0</v>
      </c>
      <c r="M1762" s="40" cm="1">
        <f t="array" ref="M1762:N1762">VLOOKUP(B1762,'Fumigation  Room'!B:H,{6,7},0)</f>
        <v>0</v>
      </c>
      <c r="N1762" s="40">
        <v>0</v>
      </c>
      <c r="O1762" s="40">
        <f t="shared" si="55"/>
        <v>0</v>
      </c>
      <c r="P1762" s="40">
        <f t="shared" si="56"/>
        <v>0</v>
      </c>
    </row>
    <row r="1763" spans="1:16" x14ac:dyDescent="0.35">
      <c r="A1763" s="33">
        <v>1760</v>
      </c>
      <c r="B1763" s="34" t="s">
        <v>2147</v>
      </c>
      <c r="C1763" s="33" t="s">
        <v>346</v>
      </c>
      <c r="D1763" s="33" t="s">
        <v>70</v>
      </c>
      <c r="E1763" s="33" t="s">
        <v>2091</v>
      </c>
      <c r="F1763" s="35">
        <v>1.4500000000000001E-2</v>
      </c>
      <c r="G1763" s="40">
        <v>0</v>
      </c>
      <c r="H1763" s="40">
        <v>0</v>
      </c>
      <c r="I1763" s="40">
        <v>0</v>
      </c>
      <c r="J1763" s="40">
        <v>0</v>
      </c>
      <c r="K1763" s="40">
        <v>0</v>
      </c>
      <c r="L1763" s="40">
        <v>0</v>
      </c>
      <c r="M1763" s="40" cm="1">
        <f t="array" ref="M1763:N1763">VLOOKUP(B1763,'Fumigation  Room'!B:H,{6,7},0)</f>
        <v>0</v>
      </c>
      <c r="N1763" s="40">
        <v>0</v>
      </c>
      <c r="O1763" s="40">
        <f t="shared" si="55"/>
        <v>0</v>
      </c>
      <c r="P1763" s="40">
        <f t="shared" si="56"/>
        <v>0</v>
      </c>
    </row>
    <row r="1764" spans="1:16" x14ac:dyDescent="0.35">
      <c r="A1764" s="33">
        <v>1761</v>
      </c>
      <c r="B1764" s="34" t="s">
        <v>2148</v>
      </c>
      <c r="C1764" s="33" t="s">
        <v>346</v>
      </c>
      <c r="D1764" s="33" t="s">
        <v>70</v>
      </c>
      <c r="E1764" s="33" t="s">
        <v>2091</v>
      </c>
      <c r="F1764" s="35">
        <v>1.35E-2</v>
      </c>
      <c r="G1764" s="40">
        <v>0</v>
      </c>
      <c r="H1764" s="40">
        <v>0</v>
      </c>
      <c r="I1764" s="40">
        <v>0</v>
      </c>
      <c r="J1764" s="40">
        <v>0</v>
      </c>
      <c r="K1764" s="40">
        <v>0</v>
      </c>
      <c r="L1764" s="40">
        <v>0</v>
      </c>
      <c r="M1764" s="40" cm="1">
        <f t="array" ref="M1764:N1764">VLOOKUP(B1764,'Fumigation  Room'!B:H,{6,7},0)</f>
        <v>0</v>
      </c>
      <c r="N1764" s="40">
        <v>0</v>
      </c>
      <c r="O1764" s="40">
        <f t="shared" si="55"/>
        <v>0</v>
      </c>
      <c r="P1764" s="40">
        <f t="shared" si="56"/>
        <v>0</v>
      </c>
    </row>
    <row r="1765" spans="1:16" x14ac:dyDescent="0.35">
      <c r="A1765" s="33">
        <v>1762</v>
      </c>
      <c r="B1765" s="34" t="s">
        <v>2149</v>
      </c>
      <c r="C1765" s="33" t="s">
        <v>346</v>
      </c>
      <c r="D1765" s="33" t="s">
        <v>70</v>
      </c>
      <c r="E1765" s="33" t="s">
        <v>2091</v>
      </c>
      <c r="F1765" s="35">
        <v>0.01</v>
      </c>
      <c r="G1765" s="40">
        <v>0</v>
      </c>
      <c r="H1765" s="40">
        <v>0</v>
      </c>
      <c r="I1765" s="40">
        <v>0</v>
      </c>
      <c r="J1765" s="40">
        <v>0</v>
      </c>
      <c r="K1765" s="40">
        <v>0</v>
      </c>
      <c r="L1765" s="40">
        <v>0</v>
      </c>
      <c r="M1765" s="40" cm="1">
        <f t="array" ref="M1765:N1765">VLOOKUP(B1765,'Fumigation  Room'!B:H,{6,7},0)</f>
        <v>0</v>
      </c>
      <c r="N1765" s="40">
        <v>0</v>
      </c>
      <c r="O1765" s="40">
        <f t="shared" si="55"/>
        <v>0</v>
      </c>
      <c r="P1765" s="40">
        <f t="shared" si="56"/>
        <v>0</v>
      </c>
    </row>
    <row r="1766" spans="1:16" x14ac:dyDescent="0.35">
      <c r="A1766" s="33">
        <v>1763</v>
      </c>
      <c r="B1766" s="34" t="s">
        <v>2150</v>
      </c>
      <c r="C1766" s="33" t="s">
        <v>346</v>
      </c>
      <c r="D1766" s="33" t="s">
        <v>70</v>
      </c>
      <c r="E1766" s="33" t="s">
        <v>2091</v>
      </c>
      <c r="F1766" s="35">
        <v>5.3999999999999999E-2</v>
      </c>
      <c r="G1766" s="40">
        <v>0</v>
      </c>
      <c r="H1766" s="40">
        <v>0</v>
      </c>
      <c r="I1766" s="40">
        <v>0</v>
      </c>
      <c r="J1766" s="40">
        <v>0</v>
      </c>
      <c r="K1766" s="40">
        <v>0</v>
      </c>
      <c r="L1766" s="40">
        <v>0</v>
      </c>
      <c r="M1766" s="40" cm="1">
        <f t="array" ref="M1766:N1766">VLOOKUP(B1766,'Fumigation  Room'!B:H,{6,7},0)</f>
        <v>0</v>
      </c>
      <c r="N1766" s="40">
        <v>0</v>
      </c>
      <c r="O1766" s="40">
        <f t="shared" si="55"/>
        <v>0</v>
      </c>
      <c r="P1766" s="40">
        <f t="shared" si="56"/>
        <v>0</v>
      </c>
    </row>
    <row r="1767" spans="1:16" x14ac:dyDescent="0.35">
      <c r="A1767" s="33">
        <v>1764</v>
      </c>
      <c r="B1767" s="34" t="s">
        <v>2151</v>
      </c>
      <c r="C1767" s="33" t="s">
        <v>346</v>
      </c>
      <c r="D1767" s="33" t="s">
        <v>70</v>
      </c>
      <c r="E1767" s="33" t="s">
        <v>2091</v>
      </c>
      <c r="F1767" s="35">
        <v>1.7999999999999999E-2</v>
      </c>
      <c r="G1767" s="40">
        <v>0</v>
      </c>
      <c r="H1767" s="40">
        <v>0</v>
      </c>
      <c r="I1767" s="40">
        <v>0</v>
      </c>
      <c r="J1767" s="40">
        <v>0</v>
      </c>
      <c r="K1767" s="40">
        <v>0</v>
      </c>
      <c r="L1767" s="40">
        <v>0</v>
      </c>
      <c r="M1767" s="40" cm="1">
        <f t="array" ref="M1767:N1767">VLOOKUP(B1767,'Fumigation  Room'!B:H,{6,7},0)</f>
        <v>0</v>
      </c>
      <c r="N1767" s="40">
        <v>0</v>
      </c>
      <c r="O1767" s="40">
        <f t="shared" si="55"/>
        <v>0</v>
      </c>
      <c r="P1767" s="40">
        <f t="shared" si="56"/>
        <v>0</v>
      </c>
    </row>
    <row r="1768" spans="1:16" x14ac:dyDescent="0.35">
      <c r="A1768" s="33">
        <v>1765</v>
      </c>
      <c r="B1768" s="34" t="s">
        <v>2152</v>
      </c>
      <c r="C1768" s="33" t="s">
        <v>346</v>
      </c>
      <c r="D1768" s="33" t="s">
        <v>70</v>
      </c>
      <c r="E1768" s="33" t="s">
        <v>2091</v>
      </c>
      <c r="F1768" s="35">
        <v>0.375</v>
      </c>
      <c r="G1768" s="40">
        <v>0</v>
      </c>
      <c r="H1768" s="40">
        <v>0</v>
      </c>
      <c r="I1768" s="40">
        <v>0</v>
      </c>
      <c r="J1768" s="40">
        <v>0</v>
      </c>
      <c r="K1768" s="40">
        <v>0</v>
      </c>
      <c r="L1768" s="40">
        <v>0</v>
      </c>
      <c r="M1768" s="40" cm="1">
        <f t="array" ref="M1768:N1768">VLOOKUP(B1768,'Fumigation  Room'!B:H,{6,7},0)</f>
        <v>0</v>
      </c>
      <c r="N1768" s="40">
        <v>0</v>
      </c>
      <c r="O1768" s="40">
        <f t="shared" si="55"/>
        <v>0</v>
      </c>
      <c r="P1768" s="40">
        <f t="shared" si="56"/>
        <v>0</v>
      </c>
    </row>
    <row r="1769" spans="1:16" x14ac:dyDescent="0.35">
      <c r="A1769" s="33">
        <v>1766</v>
      </c>
      <c r="B1769" s="34" t="s">
        <v>2153</v>
      </c>
      <c r="C1769" s="33" t="s">
        <v>346</v>
      </c>
      <c r="D1769" s="33" t="s">
        <v>70</v>
      </c>
      <c r="E1769" s="33" t="s">
        <v>2091</v>
      </c>
      <c r="F1769" s="35">
        <v>0.21</v>
      </c>
      <c r="G1769" s="40">
        <v>0</v>
      </c>
      <c r="H1769" s="40">
        <v>0</v>
      </c>
      <c r="I1769" s="40">
        <v>0</v>
      </c>
      <c r="J1769" s="40">
        <v>0</v>
      </c>
      <c r="K1769" s="40">
        <v>0</v>
      </c>
      <c r="L1769" s="40">
        <v>0</v>
      </c>
      <c r="M1769" s="40" cm="1">
        <f t="array" ref="M1769:N1769">VLOOKUP(B1769,'Fumigation  Room'!B:H,{6,7},0)</f>
        <v>0</v>
      </c>
      <c r="N1769" s="40">
        <v>0</v>
      </c>
      <c r="O1769" s="40">
        <f t="shared" si="55"/>
        <v>0</v>
      </c>
      <c r="P1769" s="40">
        <f t="shared" si="56"/>
        <v>0</v>
      </c>
    </row>
    <row r="1770" spans="1:16" x14ac:dyDescent="0.35">
      <c r="A1770" s="33">
        <v>1767</v>
      </c>
      <c r="B1770" s="34" t="s">
        <v>2154</v>
      </c>
      <c r="C1770" s="33" t="s">
        <v>346</v>
      </c>
      <c r="D1770" s="33" t="s">
        <v>70</v>
      </c>
      <c r="E1770" s="33" t="s">
        <v>2091</v>
      </c>
      <c r="F1770" s="35">
        <v>0.21</v>
      </c>
      <c r="G1770" s="40">
        <v>0</v>
      </c>
      <c r="H1770" s="40">
        <v>0</v>
      </c>
      <c r="I1770" s="40">
        <v>0</v>
      </c>
      <c r="J1770" s="40">
        <v>0</v>
      </c>
      <c r="K1770" s="40">
        <v>0</v>
      </c>
      <c r="L1770" s="40">
        <v>0</v>
      </c>
      <c r="M1770" s="40" cm="1">
        <f t="array" ref="M1770:N1770">VLOOKUP(B1770,'Fumigation  Room'!B:H,{6,7},0)</f>
        <v>0</v>
      </c>
      <c r="N1770" s="40">
        <v>0</v>
      </c>
      <c r="O1770" s="40">
        <f t="shared" si="55"/>
        <v>0</v>
      </c>
      <c r="P1770" s="40">
        <f t="shared" si="56"/>
        <v>0</v>
      </c>
    </row>
    <row r="1771" spans="1:16" x14ac:dyDescent="0.35">
      <c r="A1771" s="33">
        <v>1768</v>
      </c>
      <c r="B1771" s="34" t="s">
        <v>2155</v>
      </c>
      <c r="C1771" s="33" t="s">
        <v>346</v>
      </c>
      <c r="D1771" s="33" t="s">
        <v>70</v>
      </c>
      <c r="E1771" s="33" t="s">
        <v>2091</v>
      </c>
      <c r="F1771" s="35">
        <v>1</v>
      </c>
      <c r="G1771" s="40">
        <v>0</v>
      </c>
      <c r="H1771" s="40">
        <v>0</v>
      </c>
      <c r="I1771" s="40">
        <v>0</v>
      </c>
      <c r="J1771" s="40">
        <v>0</v>
      </c>
      <c r="K1771" s="40">
        <v>0</v>
      </c>
      <c r="L1771" s="40">
        <v>0</v>
      </c>
      <c r="M1771" s="40" cm="1">
        <f t="array" ref="M1771:N1771">VLOOKUP(B1771,'Fumigation  Room'!B:H,{6,7},0)</f>
        <v>0</v>
      </c>
      <c r="N1771" s="40">
        <v>0</v>
      </c>
      <c r="O1771" s="40">
        <f t="shared" si="55"/>
        <v>0</v>
      </c>
      <c r="P1771" s="40">
        <f t="shared" si="56"/>
        <v>0</v>
      </c>
    </row>
    <row r="1772" spans="1:16" x14ac:dyDescent="0.35">
      <c r="A1772" s="33">
        <v>1769</v>
      </c>
      <c r="B1772" s="34" t="s">
        <v>2156</v>
      </c>
      <c r="C1772" s="33" t="s">
        <v>346</v>
      </c>
      <c r="D1772" s="33" t="s">
        <v>70</v>
      </c>
      <c r="E1772" s="33" t="s">
        <v>2091</v>
      </c>
      <c r="F1772" s="35">
        <v>1</v>
      </c>
      <c r="G1772" s="40">
        <v>0</v>
      </c>
      <c r="H1772" s="40">
        <v>0</v>
      </c>
      <c r="I1772" s="40">
        <v>0</v>
      </c>
      <c r="J1772" s="40">
        <v>0</v>
      </c>
      <c r="K1772" s="40">
        <v>0</v>
      </c>
      <c r="L1772" s="40">
        <v>0</v>
      </c>
      <c r="M1772" s="40" cm="1">
        <f t="array" ref="M1772:N1772">VLOOKUP(B1772,'Fumigation  Room'!B:H,{6,7},0)</f>
        <v>0</v>
      </c>
      <c r="N1772" s="40">
        <v>0</v>
      </c>
      <c r="O1772" s="40">
        <f t="shared" si="55"/>
        <v>0</v>
      </c>
      <c r="P1772" s="40">
        <f t="shared" si="56"/>
        <v>0</v>
      </c>
    </row>
    <row r="1773" spans="1:16" x14ac:dyDescent="0.35">
      <c r="A1773" s="33">
        <v>1770</v>
      </c>
      <c r="B1773" s="34" t="s">
        <v>2157</v>
      </c>
      <c r="C1773" s="33" t="s">
        <v>346</v>
      </c>
      <c r="D1773" s="33" t="s">
        <v>70</v>
      </c>
      <c r="E1773" s="33" t="s">
        <v>2091</v>
      </c>
      <c r="F1773" s="35">
        <v>1</v>
      </c>
      <c r="G1773" s="40">
        <v>0</v>
      </c>
      <c r="H1773" s="40">
        <v>0</v>
      </c>
      <c r="I1773" s="40">
        <v>0</v>
      </c>
      <c r="J1773" s="40">
        <v>0</v>
      </c>
      <c r="K1773" s="40">
        <v>0</v>
      </c>
      <c r="L1773" s="40">
        <v>0</v>
      </c>
      <c r="M1773" s="40" cm="1">
        <f t="array" ref="M1773:N1773">VLOOKUP(B1773,'Fumigation  Room'!B:H,{6,7},0)</f>
        <v>0</v>
      </c>
      <c r="N1773" s="40">
        <v>0</v>
      </c>
      <c r="O1773" s="40">
        <f t="shared" si="55"/>
        <v>0</v>
      </c>
      <c r="P1773" s="40">
        <f t="shared" si="56"/>
        <v>0</v>
      </c>
    </row>
    <row r="1774" spans="1:16" x14ac:dyDescent="0.35">
      <c r="A1774" s="33">
        <v>1771</v>
      </c>
      <c r="B1774" s="34" t="s">
        <v>2158</v>
      </c>
      <c r="C1774" s="33" t="s">
        <v>346</v>
      </c>
      <c r="D1774" s="33" t="s">
        <v>70</v>
      </c>
      <c r="E1774" s="33" t="s">
        <v>2091</v>
      </c>
      <c r="F1774" s="35">
        <v>1</v>
      </c>
      <c r="G1774" s="40">
        <v>0</v>
      </c>
      <c r="H1774" s="40">
        <v>0</v>
      </c>
      <c r="I1774" s="40">
        <v>0</v>
      </c>
      <c r="J1774" s="40">
        <v>0</v>
      </c>
      <c r="K1774" s="40">
        <v>0</v>
      </c>
      <c r="L1774" s="40">
        <v>0</v>
      </c>
      <c r="M1774" s="40" cm="1">
        <f t="array" ref="M1774:N1774">VLOOKUP(B1774,'Fumigation  Room'!B:H,{6,7},0)</f>
        <v>0</v>
      </c>
      <c r="N1774" s="40">
        <v>0</v>
      </c>
      <c r="O1774" s="40">
        <f t="shared" si="55"/>
        <v>0</v>
      </c>
      <c r="P1774" s="40">
        <f t="shared" si="56"/>
        <v>0</v>
      </c>
    </row>
    <row r="1775" spans="1:16" x14ac:dyDescent="0.35">
      <c r="A1775" s="33">
        <v>1772</v>
      </c>
      <c r="B1775" s="34" t="s">
        <v>2159</v>
      </c>
      <c r="C1775" s="33" t="s">
        <v>346</v>
      </c>
      <c r="D1775" s="33" t="s">
        <v>70</v>
      </c>
      <c r="E1775" s="33" t="s">
        <v>2091</v>
      </c>
      <c r="F1775" s="35">
        <v>1</v>
      </c>
      <c r="G1775" s="40">
        <v>0</v>
      </c>
      <c r="H1775" s="40">
        <v>0</v>
      </c>
      <c r="I1775" s="40">
        <v>0</v>
      </c>
      <c r="J1775" s="40">
        <v>0</v>
      </c>
      <c r="K1775" s="40">
        <v>0</v>
      </c>
      <c r="L1775" s="40">
        <v>0</v>
      </c>
      <c r="M1775" s="40" cm="1">
        <f t="array" ref="M1775:N1775">VLOOKUP(B1775,'Fumigation  Room'!B:H,{6,7},0)</f>
        <v>0</v>
      </c>
      <c r="N1775" s="40">
        <v>0</v>
      </c>
      <c r="O1775" s="40">
        <f t="shared" si="55"/>
        <v>0</v>
      </c>
      <c r="P1775" s="40">
        <f t="shared" si="56"/>
        <v>0</v>
      </c>
    </row>
    <row r="1776" spans="1:16" x14ac:dyDescent="0.35">
      <c r="A1776" s="33">
        <v>1773</v>
      </c>
      <c r="B1776" s="34" t="s">
        <v>2160</v>
      </c>
      <c r="C1776" s="33" t="s">
        <v>346</v>
      </c>
      <c r="D1776" s="33" t="s">
        <v>70</v>
      </c>
      <c r="E1776" s="33" t="s">
        <v>2091</v>
      </c>
      <c r="F1776" s="35">
        <v>1</v>
      </c>
      <c r="G1776" s="40">
        <v>0</v>
      </c>
      <c r="H1776" s="40">
        <v>0</v>
      </c>
      <c r="I1776" s="40">
        <v>0</v>
      </c>
      <c r="J1776" s="40">
        <v>0</v>
      </c>
      <c r="K1776" s="40">
        <v>0</v>
      </c>
      <c r="L1776" s="40">
        <v>0</v>
      </c>
      <c r="M1776" s="40" cm="1">
        <f t="array" ref="M1776:N1776">VLOOKUP(B1776,'Fumigation  Room'!B:H,{6,7},0)</f>
        <v>0</v>
      </c>
      <c r="N1776" s="40">
        <v>0</v>
      </c>
      <c r="O1776" s="40">
        <f t="shared" si="55"/>
        <v>0</v>
      </c>
      <c r="P1776" s="40">
        <f t="shared" si="56"/>
        <v>0</v>
      </c>
    </row>
    <row r="1777" spans="1:16" x14ac:dyDescent="0.35">
      <c r="A1777" s="33">
        <v>1774</v>
      </c>
      <c r="B1777" s="34" t="s">
        <v>2161</v>
      </c>
      <c r="C1777" s="33" t="s">
        <v>346</v>
      </c>
      <c r="D1777" s="33" t="s">
        <v>70</v>
      </c>
      <c r="E1777" s="33" t="s">
        <v>2091</v>
      </c>
      <c r="F1777" s="35">
        <v>0.2</v>
      </c>
      <c r="G1777" s="40">
        <v>0</v>
      </c>
      <c r="H1777" s="40">
        <v>0</v>
      </c>
      <c r="I1777" s="40">
        <v>0</v>
      </c>
      <c r="J1777" s="40">
        <v>0</v>
      </c>
      <c r="K1777" s="40">
        <v>0</v>
      </c>
      <c r="L1777" s="40">
        <v>0</v>
      </c>
      <c r="M1777" s="40" cm="1">
        <f t="array" ref="M1777:N1777">VLOOKUP(B1777,'Fumigation  Room'!B:H,{6,7},0)</f>
        <v>0</v>
      </c>
      <c r="N1777" s="40">
        <v>0</v>
      </c>
      <c r="O1777" s="40">
        <f t="shared" si="55"/>
        <v>0</v>
      </c>
      <c r="P1777" s="40">
        <f t="shared" si="56"/>
        <v>0</v>
      </c>
    </row>
    <row r="1778" spans="1:16" x14ac:dyDescent="0.35">
      <c r="A1778" s="33">
        <v>1775</v>
      </c>
      <c r="B1778" s="34" t="s">
        <v>2162</v>
      </c>
      <c r="C1778" s="33" t="s">
        <v>346</v>
      </c>
      <c r="D1778" s="33" t="s">
        <v>70</v>
      </c>
      <c r="E1778" s="33" t="s">
        <v>2091</v>
      </c>
      <c r="F1778" s="35">
        <v>1</v>
      </c>
      <c r="G1778" s="40">
        <v>0</v>
      </c>
      <c r="H1778" s="40">
        <v>0</v>
      </c>
      <c r="I1778" s="40">
        <v>0</v>
      </c>
      <c r="J1778" s="40">
        <v>0</v>
      </c>
      <c r="K1778" s="40">
        <v>0</v>
      </c>
      <c r="L1778" s="40">
        <v>0</v>
      </c>
      <c r="M1778" s="40" cm="1">
        <f t="array" ref="M1778:N1778">VLOOKUP(B1778,'Fumigation  Room'!B:H,{6,7},0)</f>
        <v>0</v>
      </c>
      <c r="N1778" s="40">
        <v>0</v>
      </c>
      <c r="O1778" s="40">
        <f t="shared" si="55"/>
        <v>0</v>
      </c>
      <c r="P1778" s="40">
        <f t="shared" si="56"/>
        <v>0</v>
      </c>
    </row>
    <row r="1779" spans="1:16" x14ac:dyDescent="0.35">
      <c r="A1779" s="33">
        <v>1776</v>
      </c>
      <c r="B1779" s="34" t="s">
        <v>2163</v>
      </c>
      <c r="C1779" s="33" t="s">
        <v>346</v>
      </c>
      <c r="D1779" s="33" t="s">
        <v>70</v>
      </c>
      <c r="E1779" s="33" t="s">
        <v>2091</v>
      </c>
      <c r="F1779" s="35">
        <v>1</v>
      </c>
      <c r="G1779" s="40">
        <v>0</v>
      </c>
      <c r="H1779" s="40">
        <v>0</v>
      </c>
      <c r="I1779" s="40">
        <v>0</v>
      </c>
      <c r="J1779" s="40">
        <v>0</v>
      </c>
      <c r="K1779" s="40">
        <v>0</v>
      </c>
      <c r="L1779" s="40">
        <v>0</v>
      </c>
      <c r="M1779" s="40" cm="1">
        <f t="array" ref="M1779:N1779">VLOOKUP(B1779,'Fumigation  Room'!B:H,{6,7},0)</f>
        <v>0</v>
      </c>
      <c r="N1779" s="40">
        <v>0</v>
      </c>
      <c r="O1779" s="40">
        <f t="shared" si="55"/>
        <v>0</v>
      </c>
      <c r="P1779" s="40">
        <f t="shared" si="56"/>
        <v>0</v>
      </c>
    </row>
    <row r="1780" spans="1:16" x14ac:dyDescent="0.35">
      <c r="A1780" s="33">
        <v>1777</v>
      </c>
      <c r="B1780" s="34" t="s">
        <v>2164</v>
      </c>
      <c r="C1780" s="33" t="s">
        <v>346</v>
      </c>
      <c r="D1780" s="33" t="s">
        <v>70</v>
      </c>
      <c r="E1780" s="33" t="s">
        <v>2091</v>
      </c>
      <c r="F1780" s="35">
        <v>0.2</v>
      </c>
      <c r="G1780" s="40">
        <v>0</v>
      </c>
      <c r="H1780" s="40">
        <v>0</v>
      </c>
      <c r="I1780" s="40">
        <v>0</v>
      </c>
      <c r="J1780" s="40">
        <v>0</v>
      </c>
      <c r="K1780" s="40">
        <v>0</v>
      </c>
      <c r="L1780" s="40">
        <v>0</v>
      </c>
      <c r="M1780" s="40" cm="1">
        <f t="array" ref="M1780:N1780">VLOOKUP(B1780,'Fumigation  Room'!B:H,{6,7},0)</f>
        <v>0</v>
      </c>
      <c r="N1780" s="40">
        <v>0</v>
      </c>
      <c r="O1780" s="40">
        <f t="shared" si="55"/>
        <v>0</v>
      </c>
      <c r="P1780" s="40">
        <f t="shared" si="56"/>
        <v>0</v>
      </c>
    </row>
    <row r="1781" spans="1:16" x14ac:dyDescent="0.35">
      <c r="A1781" s="33">
        <v>1778</v>
      </c>
      <c r="B1781" s="34" t="s">
        <v>2165</v>
      </c>
      <c r="C1781" s="33" t="s">
        <v>346</v>
      </c>
      <c r="D1781" s="33" t="s">
        <v>70</v>
      </c>
      <c r="E1781" s="33" t="s">
        <v>2091</v>
      </c>
      <c r="F1781" s="35">
        <v>0.2</v>
      </c>
      <c r="G1781" s="40">
        <v>0</v>
      </c>
      <c r="H1781" s="40">
        <v>0</v>
      </c>
      <c r="I1781" s="40">
        <v>0</v>
      </c>
      <c r="J1781" s="40">
        <v>0</v>
      </c>
      <c r="K1781" s="40">
        <v>0</v>
      </c>
      <c r="L1781" s="40">
        <v>0</v>
      </c>
      <c r="M1781" s="40" cm="1">
        <f t="array" ref="M1781:N1781">VLOOKUP(B1781,'Fumigation  Room'!B:H,{6,7},0)</f>
        <v>0</v>
      </c>
      <c r="N1781" s="40">
        <v>0</v>
      </c>
      <c r="O1781" s="40">
        <f t="shared" si="55"/>
        <v>0</v>
      </c>
      <c r="P1781" s="40">
        <f t="shared" si="56"/>
        <v>0</v>
      </c>
    </row>
    <row r="1782" spans="1:16" x14ac:dyDescent="0.35">
      <c r="A1782" s="33">
        <v>1779</v>
      </c>
      <c r="B1782" s="34" t="s">
        <v>2166</v>
      </c>
      <c r="C1782" s="33" t="s">
        <v>346</v>
      </c>
      <c r="D1782" s="33" t="s">
        <v>70</v>
      </c>
      <c r="E1782" s="33" t="s">
        <v>2091</v>
      </c>
      <c r="F1782" s="35">
        <v>0.2</v>
      </c>
      <c r="G1782" s="40">
        <v>0</v>
      </c>
      <c r="H1782" s="40">
        <v>0</v>
      </c>
      <c r="I1782" s="40">
        <v>0</v>
      </c>
      <c r="J1782" s="40">
        <v>0</v>
      </c>
      <c r="K1782" s="40">
        <v>0</v>
      </c>
      <c r="L1782" s="40">
        <v>0</v>
      </c>
      <c r="M1782" s="40" cm="1">
        <f t="array" ref="M1782:N1782">VLOOKUP(B1782,'Fumigation  Room'!B:H,{6,7},0)</f>
        <v>0</v>
      </c>
      <c r="N1782" s="40">
        <v>0</v>
      </c>
      <c r="O1782" s="40">
        <f t="shared" si="55"/>
        <v>0</v>
      </c>
      <c r="P1782" s="40">
        <f t="shared" si="56"/>
        <v>0</v>
      </c>
    </row>
    <row r="1783" spans="1:16" x14ac:dyDescent="0.35">
      <c r="A1783" s="33">
        <v>1780</v>
      </c>
      <c r="B1783" s="34" t="s">
        <v>2167</v>
      </c>
      <c r="C1783" s="33" t="s">
        <v>346</v>
      </c>
      <c r="D1783" s="33" t="s">
        <v>70</v>
      </c>
      <c r="E1783" s="33" t="s">
        <v>2091</v>
      </c>
      <c r="F1783" s="35">
        <v>0.2</v>
      </c>
      <c r="G1783" s="40">
        <v>0</v>
      </c>
      <c r="H1783" s="40">
        <v>0</v>
      </c>
      <c r="I1783" s="40">
        <v>0</v>
      </c>
      <c r="J1783" s="40">
        <v>0</v>
      </c>
      <c r="K1783" s="40">
        <v>0</v>
      </c>
      <c r="L1783" s="40">
        <v>0</v>
      </c>
      <c r="M1783" s="40" cm="1">
        <f t="array" ref="M1783:N1783">VLOOKUP(B1783,'Fumigation  Room'!B:H,{6,7},0)</f>
        <v>0</v>
      </c>
      <c r="N1783" s="40">
        <v>0</v>
      </c>
      <c r="O1783" s="40">
        <f t="shared" si="55"/>
        <v>0</v>
      </c>
      <c r="P1783" s="40">
        <f t="shared" si="56"/>
        <v>0</v>
      </c>
    </row>
    <row r="1784" spans="1:16" x14ac:dyDescent="0.35">
      <c r="A1784" s="33">
        <v>1781</v>
      </c>
      <c r="B1784" s="34" t="s">
        <v>2168</v>
      </c>
      <c r="C1784" s="33" t="s">
        <v>346</v>
      </c>
      <c r="D1784" s="33" t="s">
        <v>70</v>
      </c>
      <c r="E1784" s="33" t="s">
        <v>2091</v>
      </c>
      <c r="F1784" s="35">
        <v>0.2</v>
      </c>
      <c r="G1784" s="40">
        <v>0</v>
      </c>
      <c r="H1784" s="40">
        <v>0</v>
      </c>
      <c r="I1784" s="40">
        <v>0</v>
      </c>
      <c r="J1784" s="40">
        <v>0</v>
      </c>
      <c r="K1784" s="40">
        <v>0</v>
      </c>
      <c r="L1784" s="40">
        <v>0</v>
      </c>
      <c r="M1784" s="40" cm="1">
        <f t="array" ref="M1784:N1784">VLOOKUP(B1784,'Fumigation  Room'!B:H,{6,7},0)</f>
        <v>0</v>
      </c>
      <c r="N1784" s="40">
        <v>0</v>
      </c>
      <c r="O1784" s="40">
        <f t="shared" si="55"/>
        <v>0</v>
      </c>
      <c r="P1784" s="40">
        <f t="shared" si="56"/>
        <v>0</v>
      </c>
    </row>
    <row r="1785" spans="1:16" x14ac:dyDescent="0.35">
      <c r="A1785" s="33">
        <v>1782</v>
      </c>
      <c r="B1785" s="34" t="s">
        <v>2169</v>
      </c>
      <c r="C1785" s="33" t="s">
        <v>346</v>
      </c>
      <c r="D1785" s="33" t="s">
        <v>70</v>
      </c>
      <c r="E1785" s="33" t="s">
        <v>2091</v>
      </c>
      <c r="F1785" s="35">
        <v>0.2</v>
      </c>
      <c r="G1785" s="40">
        <v>0</v>
      </c>
      <c r="H1785" s="40">
        <v>0</v>
      </c>
      <c r="I1785" s="40">
        <v>0</v>
      </c>
      <c r="J1785" s="40">
        <v>0</v>
      </c>
      <c r="K1785" s="40">
        <v>0</v>
      </c>
      <c r="L1785" s="40">
        <v>0</v>
      </c>
      <c r="M1785" s="40" cm="1">
        <f t="array" ref="M1785:N1785">VLOOKUP(B1785,'Fumigation  Room'!B:H,{6,7},0)</f>
        <v>0</v>
      </c>
      <c r="N1785" s="40">
        <v>0</v>
      </c>
      <c r="O1785" s="40">
        <f t="shared" si="55"/>
        <v>0</v>
      </c>
      <c r="P1785" s="40">
        <f t="shared" si="56"/>
        <v>0</v>
      </c>
    </row>
    <row r="1786" spans="1:16" x14ac:dyDescent="0.35">
      <c r="A1786" s="33">
        <v>1783</v>
      </c>
      <c r="B1786" s="34" t="s">
        <v>2170</v>
      </c>
      <c r="C1786" s="33" t="s">
        <v>346</v>
      </c>
      <c r="D1786" s="33" t="s">
        <v>70</v>
      </c>
      <c r="E1786" s="33" t="s">
        <v>2091</v>
      </c>
      <c r="F1786" s="35">
        <v>0.2</v>
      </c>
      <c r="G1786" s="40">
        <v>0</v>
      </c>
      <c r="H1786" s="40">
        <v>0</v>
      </c>
      <c r="I1786" s="40">
        <v>0</v>
      </c>
      <c r="J1786" s="40">
        <v>0</v>
      </c>
      <c r="K1786" s="40">
        <v>0</v>
      </c>
      <c r="L1786" s="40">
        <v>0</v>
      </c>
      <c r="M1786" s="40" cm="1">
        <f t="array" ref="M1786:N1786">VLOOKUP(B1786,'Fumigation  Room'!B:H,{6,7},0)</f>
        <v>0</v>
      </c>
      <c r="N1786" s="40">
        <v>0</v>
      </c>
      <c r="O1786" s="40">
        <f t="shared" si="55"/>
        <v>0</v>
      </c>
      <c r="P1786" s="40">
        <f t="shared" si="56"/>
        <v>0</v>
      </c>
    </row>
    <row r="1787" spans="1:16" x14ac:dyDescent="0.35">
      <c r="A1787" s="33">
        <v>1784</v>
      </c>
      <c r="B1787" s="34" t="s">
        <v>2326</v>
      </c>
      <c r="C1787" s="33" t="s">
        <v>346</v>
      </c>
      <c r="D1787" s="33" t="s">
        <v>70</v>
      </c>
      <c r="E1787" s="33" t="s">
        <v>2091</v>
      </c>
      <c r="F1787" s="35">
        <v>1</v>
      </c>
      <c r="G1787" s="40">
        <v>0</v>
      </c>
      <c r="H1787" s="40">
        <v>0</v>
      </c>
      <c r="I1787" s="40">
        <v>0</v>
      </c>
      <c r="J1787" s="40">
        <v>0</v>
      </c>
      <c r="K1787" s="40">
        <v>0</v>
      </c>
      <c r="L1787" s="40">
        <v>0</v>
      </c>
      <c r="M1787" s="40">
        <v>0</v>
      </c>
      <c r="N1787" s="40">
        <v>0</v>
      </c>
      <c r="O1787" s="40">
        <f t="shared" si="55"/>
        <v>0</v>
      </c>
      <c r="P1787" s="40">
        <f t="shared" si="56"/>
        <v>0</v>
      </c>
    </row>
    <row r="1788" spans="1:16" x14ac:dyDescent="0.35">
      <c r="A1788" s="33">
        <v>1785</v>
      </c>
      <c r="B1788" s="34" t="s">
        <v>2171</v>
      </c>
      <c r="C1788" s="33" t="s">
        <v>346</v>
      </c>
      <c r="D1788" s="33" t="s">
        <v>70</v>
      </c>
      <c r="E1788" s="33" t="s">
        <v>2091</v>
      </c>
      <c r="F1788" s="35">
        <v>0.15</v>
      </c>
      <c r="G1788" s="40">
        <v>0</v>
      </c>
      <c r="H1788" s="40">
        <v>0</v>
      </c>
      <c r="I1788" s="40">
        <v>0</v>
      </c>
      <c r="J1788" s="40">
        <v>0</v>
      </c>
      <c r="K1788" s="40">
        <v>0</v>
      </c>
      <c r="L1788" s="40">
        <v>0</v>
      </c>
      <c r="M1788" s="40" cm="1">
        <f t="array" ref="M1788:N1788">VLOOKUP(B1788,'Fumigation  Room'!B:H,{6,7},0)</f>
        <v>0</v>
      </c>
      <c r="N1788" s="40">
        <v>0</v>
      </c>
      <c r="O1788" s="40">
        <f t="shared" si="55"/>
        <v>0</v>
      </c>
      <c r="P1788" s="40">
        <f t="shared" si="56"/>
        <v>0</v>
      </c>
    </row>
    <row r="1789" spans="1:16" x14ac:dyDescent="0.35">
      <c r="A1789" s="33">
        <v>1786</v>
      </c>
      <c r="B1789" s="34" t="s">
        <v>2172</v>
      </c>
      <c r="C1789" s="33" t="s">
        <v>346</v>
      </c>
      <c r="D1789" s="33" t="s">
        <v>70</v>
      </c>
      <c r="E1789" s="33" t="s">
        <v>2091</v>
      </c>
      <c r="F1789" s="35">
        <v>1</v>
      </c>
      <c r="G1789" s="40">
        <v>0</v>
      </c>
      <c r="H1789" s="40">
        <v>0</v>
      </c>
      <c r="I1789" s="40">
        <v>0</v>
      </c>
      <c r="J1789" s="40">
        <v>0</v>
      </c>
      <c r="K1789" s="40">
        <v>0</v>
      </c>
      <c r="L1789" s="40">
        <v>0</v>
      </c>
      <c r="M1789" s="40" cm="1">
        <f t="array" ref="M1789:N1789">VLOOKUP(B1789,'Fumigation  Room'!B:H,{6,7},0)</f>
        <v>0</v>
      </c>
      <c r="N1789" s="40">
        <v>0</v>
      </c>
      <c r="O1789" s="40">
        <f t="shared" si="55"/>
        <v>0</v>
      </c>
      <c r="P1789" s="40">
        <f t="shared" si="56"/>
        <v>0</v>
      </c>
    </row>
    <row r="1790" spans="1:16" x14ac:dyDescent="0.35">
      <c r="A1790" s="33">
        <v>1787</v>
      </c>
      <c r="B1790" s="34" t="s">
        <v>2173</v>
      </c>
      <c r="C1790" s="33" t="s">
        <v>346</v>
      </c>
      <c r="D1790" s="33" t="s">
        <v>70</v>
      </c>
      <c r="E1790" s="33" t="s">
        <v>2091</v>
      </c>
      <c r="F1790" s="35">
        <v>0.15</v>
      </c>
      <c r="G1790" s="40">
        <v>0</v>
      </c>
      <c r="H1790" s="40">
        <v>0</v>
      </c>
      <c r="I1790" s="40">
        <v>0</v>
      </c>
      <c r="J1790" s="40">
        <v>0</v>
      </c>
      <c r="K1790" s="40">
        <v>0</v>
      </c>
      <c r="L1790" s="40">
        <v>0</v>
      </c>
      <c r="M1790" s="40" cm="1">
        <f t="array" ref="M1790:N1790">VLOOKUP(B1790,'Fumigation  Room'!B:H,{6,7},0)</f>
        <v>0</v>
      </c>
      <c r="N1790" s="40">
        <v>0</v>
      </c>
      <c r="O1790" s="40">
        <f t="shared" si="55"/>
        <v>0</v>
      </c>
      <c r="P1790" s="40">
        <f t="shared" si="56"/>
        <v>0</v>
      </c>
    </row>
    <row r="1791" spans="1:16" x14ac:dyDescent="0.35">
      <c r="A1791" s="33">
        <v>1788</v>
      </c>
      <c r="B1791" s="34" t="s">
        <v>2174</v>
      </c>
      <c r="C1791" s="33" t="s">
        <v>346</v>
      </c>
      <c r="D1791" s="33" t="s">
        <v>70</v>
      </c>
      <c r="E1791" s="33" t="s">
        <v>2091</v>
      </c>
      <c r="F1791" s="35">
        <v>0.15</v>
      </c>
      <c r="G1791" s="40">
        <v>0</v>
      </c>
      <c r="H1791" s="40">
        <v>0</v>
      </c>
      <c r="I1791" s="40">
        <v>0</v>
      </c>
      <c r="J1791" s="40">
        <v>0</v>
      </c>
      <c r="K1791" s="40">
        <v>0</v>
      </c>
      <c r="L1791" s="40">
        <v>0</v>
      </c>
      <c r="M1791" s="40" cm="1">
        <f t="array" ref="M1791:N1791">VLOOKUP(B1791,'Fumigation  Room'!B:H,{6,7},0)</f>
        <v>0</v>
      </c>
      <c r="N1791" s="40">
        <v>0</v>
      </c>
      <c r="O1791" s="40">
        <f t="shared" si="55"/>
        <v>0</v>
      </c>
      <c r="P1791" s="40">
        <f t="shared" si="56"/>
        <v>0</v>
      </c>
    </row>
    <row r="1792" spans="1:16" x14ac:dyDescent="0.35">
      <c r="A1792" s="33">
        <v>1789</v>
      </c>
      <c r="B1792" s="34" t="s">
        <v>2175</v>
      </c>
      <c r="C1792" s="33" t="s">
        <v>346</v>
      </c>
      <c r="D1792" s="33" t="s">
        <v>70</v>
      </c>
      <c r="E1792" s="33" t="s">
        <v>2091</v>
      </c>
      <c r="F1792" s="35">
        <v>1</v>
      </c>
      <c r="G1792" s="40">
        <v>0</v>
      </c>
      <c r="H1792" s="40">
        <v>0</v>
      </c>
      <c r="I1792" s="40">
        <v>0</v>
      </c>
      <c r="J1792" s="40">
        <v>0</v>
      </c>
      <c r="K1792" s="40">
        <v>0</v>
      </c>
      <c r="L1792" s="40">
        <v>0</v>
      </c>
      <c r="M1792" s="40" cm="1">
        <f t="array" ref="M1792:N1792">VLOOKUP(B1792,'Fumigation  Room'!B:H,{6,7},0)</f>
        <v>0</v>
      </c>
      <c r="N1792" s="40">
        <v>0</v>
      </c>
      <c r="O1792" s="40">
        <f t="shared" si="55"/>
        <v>0</v>
      </c>
      <c r="P1792" s="40">
        <f t="shared" si="56"/>
        <v>0</v>
      </c>
    </row>
    <row r="1793" spans="1:16" x14ac:dyDescent="0.35">
      <c r="A1793" s="33">
        <v>1790</v>
      </c>
      <c r="B1793" s="34" t="s">
        <v>2176</v>
      </c>
      <c r="C1793" s="33" t="s">
        <v>346</v>
      </c>
      <c r="D1793" s="33" t="s">
        <v>70</v>
      </c>
      <c r="E1793" s="33" t="s">
        <v>2091</v>
      </c>
      <c r="F1793" s="35">
        <v>1.15E-2</v>
      </c>
      <c r="G1793" s="40">
        <v>0</v>
      </c>
      <c r="H1793" s="40">
        <v>0</v>
      </c>
      <c r="I1793" s="40">
        <v>0</v>
      </c>
      <c r="J1793" s="40">
        <v>0</v>
      </c>
      <c r="K1793" s="40">
        <v>0</v>
      </c>
      <c r="L1793" s="40">
        <v>0</v>
      </c>
      <c r="M1793" s="40" cm="1">
        <f t="array" ref="M1793:N1793">VLOOKUP(B1793,'Fumigation  Room'!B:H,{6,7},0)</f>
        <v>0</v>
      </c>
      <c r="N1793" s="40">
        <v>0</v>
      </c>
      <c r="O1793" s="40">
        <f t="shared" si="55"/>
        <v>0</v>
      </c>
      <c r="P1793" s="40">
        <f t="shared" si="56"/>
        <v>0</v>
      </c>
    </row>
    <row r="1794" spans="1:16" x14ac:dyDescent="0.35">
      <c r="A1794" s="33">
        <v>1791</v>
      </c>
      <c r="B1794" s="34" t="s">
        <v>2177</v>
      </c>
      <c r="C1794" s="33" t="s">
        <v>346</v>
      </c>
      <c r="D1794" s="33" t="s">
        <v>70</v>
      </c>
      <c r="E1794" s="33" t="s">
        <v>2091</v>
      </c>
      <c r="F1794" s="35">
        <v>1</v>
      </c>
      <c r="G1794" s="40">
        <v>0</v>
      </c>
      <c r="H1794" s="40">
        <v>0</v>
      </c>
      <c r="I1794" s="40">
        <v>0</v>
      </c>
      <c r="J1794" s="40">
        <v>0</v>
      </c>
      <c r="K1794" s="40">
        <v>0</v>
      </c>
      <c r="L1794" s="40">
        <v>0</v>
      </c>
      <c r="M1794" s="40" cm="1">
        <f t="array" ref="M1794:N1794">VLOOKUP(B1794,'Fumigation  Room'!B:H,{6,7},0)</f>
        <v>0</v>
      </c>
      <c r="N1794" s="40">
        <v>0</v>
      </c>
      <c r="O1794" s="40">
        <f t="shared" si="55"/>
        <v>0</v>
      </c>
      <c r="P1794" s="40">
        <f t="shared" si="56"/>
        <v>0</v>
      </c>
    </row>
    <row r="1795" spans="1:16" x14ac:dyDescent="0.35">
      <c r="A1795" s="33">
        <v>1792</v>
      </c>
      <c r="B1795" s="34" t="s">
        <v>2178</v>
      </c>
      <c r="C1795" s="33" t="s">
        <v>346</v>
      </c>
      <c r="D1795" s="33" t="s">
        <v>70</v>
      </c>
      <c r="E1795" s="33" t="s">
        <v>2091</v>
      </c>
      <c r="F1795" s="35">
        <v>1</v>
      </c>
      <c r="G1795" s="40">
        <v>0</v>
      </c>
      <c r="H1795" s="40">
        <v>0</v>
      </c>
      <c r="I1795" s="40">
        <v>0</v>
      </c>
      <c r="J1795" s="40">
        <v>0</v>
      </c>
      <c r="K1795" s="40">
        <v>0</v>
      </c>
      <c r="L1795" s="40">
        <v>0</v>
      </c>
      <c r="M1795" s="40" cm="1">
        <f t="array" ref="M1795:N1795">VLOOKUP(B1795,'Fumigation  Room'!B:H,{6,7},0)</f>
        <v>0</v>
      </c>
      <c r="N1795" s="40">
        <v>0</v>
      </c>
      <c r="O1795" s="40">
        <f t="shared" si="55"/>
        <v>0</v>
      </c>
      <c r="P1795" s="40">
        <f t="shared" si="56"/>
        <v>0</v>
      </c>
    </row>
    <row r="1796" spans="1:16" x14ac:dyDescent="0.35">
      <c r="A1796" s="33">
        <v>1793</v>
      </c>
      <c r="B1796" s="34" t="s">
        <v>2179</v>
      </c>
      <c r="C1796" s="33" t="s">
        <v>346</v>
      </c>
      <c r="D1796" s="33" t="s">
        <v>70</v>
      </c>
      <c r="E1796" s="33" t="s">
        <v>2091</v>
      </c>
      <c r="F1796" s="35">
        <v>0.12</v>
      </c>
      <c r="G1796" s="40">
        <v>0</v>
      </c>
      <c r="H1796" s="40">
        <v>0</v>
      </c>
      <c r="I1796" s="40">
        <v>0</v>
      </c>
      <c r="J1796" s="40">
        <v>0</v>
      </c>
      <c r="K1796" s="40">
        <v>0</v>
      </c>
      <c r="L1796" s="40">
        <v>0</v>
      </c>
      <c r="M1796" s="40" cm="1">
        <f t="array" ref="M1796:N1796">VLOOKUP(B1796,'Fumigation  Room'!B:H,{6,7},0)</f>
        <v>0</v>
      </c>
      <c r="N1796" s="40">
        <v>0</v>
      </c>
      <c r="O1796" s="40">
        <f t="shared" si="55"/>
        <v>0</v>
      </c>
      <c r="P1796" s="40">
        <f t="shared" si="56"/>
        <v>0</v>
      </c>
    </row>
    <row r="1797" spans="1:16" x14ac:dyDescent="0.35">
      <c r="A1797" s="33">
        <v>1794</v>
      </c>
      <c r="B1797" s="34" t="s">
        <v>2180</v>
      </c>
      <c r="C1797" s="33" t="s">
        <v>346</v>
      </c>
      <c r="D1797" s="33" t="s">
        <v>70</v>
      </c>
      <c r="E1797" s="33" t="s">
        <v>2091</v>
      </c>
      <c r="F1797" s="35">
        <v>0.12</v>
      </c>
      <c r="G1797" s="40">
        <v>0</v>
      </c>
      <c r="H1797" s="40">
        <v>0</v>
      </c>
      <c r="I1797" s="40">
        <v>0</v>
      </c>
      <c r="J1797" s="40">
        <v>0</v>
      </c>
      <c r="K1797" s="40">
        <v>0</v>
      </c>
      <c r="L1797" s="40">
        <v>0</v>
      </c>
      <c r="M1797" s="40" cm="1">
        <f t="array" ref="M1797:N1797">VLOOKUP(B1797,'Fumigation  Room'!B:H,{6,7},0)</f>
        <v>0</v>
      </c>
      <c r="N1797" s="40">
        <v>0</v>
      </c>
      <c r="O1797" s="40">
        <f t="shared" ref="O1797:O1860" si="57">G1797+I1797+K1797+M1797</f>
        <v>0</v>
      </c>
      <c r="P1797" s="40">
        <f t="shared" ref="P1797:P1860" si="58">H1797+J1797+L1797+N1797</f>
        <v>0</v>
      </c>
    </row>
    <row r="1798" spans="1:16" x14ac:dyDescent="0.35">
      <c r="A1798" s="33">
        <v>1795</v>
      </c>
      <c r="B1798" s="34" t="s">
        <v>2181</v>
      </c>
      <c r="C1798" s="33" t="s">
        <v>346</v>
      </c>
      <c r="D1798" s="33" t="s">
        <v>70</v>
      </c>
      <c r="E1798" s="33" t="s">
        <v>2091</v>
      </c>
      <c r="F1798" s="35">
        <v>0.12</v>
      </c>
      <c r="G1798" s="40">
        <v>0</v>
      </c>
      <c r="H1798" s="40">
        <v>0</v>
      </c>
      <c r="I1798" s="40">
        <v>0</v>
      </c>
      <c r="J1798" s="40">
        <v>0</v>
      </c>
      <c r="K1798" s="40">
        <v>0</v>
      </c>
      <c r="L1798" s="40">
        <v>0</v>
      </c>
      <c r="M1798" s="40" cm="1">
        <f t="array" ref="M1798:N1798">VLOOKUP(B1798,'Fumigation  Room'!B:H,{6,7},0)</f>
        <v>0</v>
      </c>
      <c r="N1798" s="40">
        <v>0</v>
      </c>
      <c r="O1798" s="40">
        <f t="shared" si="57"/>
        <v>0</v>
      </c>
      <c r="P1798" s="40">
        <f t="shared" si="58"/>
        <v>0</v>
      </c>
    </row>
    <row r="1799" spans="1:16" x14ac:dyDescent="0.35">
      <c r="A1799" s="33">
        <v>1796</v>
      </c>
      <c r="B1799" s="34" t="s">
        <v>2182</v>
      </c>
      <c r="C1799" s="33" t="s">
        <v>346</v>
      </c>
      <c r="D1799" s="33" t="s">
        <v>70</v>
      </c>
      <c r="E1799" s="33" t="s">
        <v>2091</v>
      </c>
      <c r="F1799" s="35">
        <v>0.25</v>
      </c>
      <c r="G1799" s="40">
        <v>0</v>
      </c>
      <c r="H1799" s="40">
        <v>0</v>
      </c>
      <c r="I1799" s="40">
        <v>0</v>
      </c>
      <c r="J1799" s="40">
        <v>0</v>
      </c>
      <c r="K1799" s="40">
        <v>0</v>
      </c>
      <c r="L1799" s="40">
        <v>0</v>
      </c>
      <c r="M1799" s="40" cm="1">
        <f t="array" ref="M1799:N1799">VLOOKUP(B1799,'Fumigation  Room'!B:H,{6,7},0)</f>
        <v>0</v>
      </c>
      <c r="N1799" s="40">
        <v>0</v>
      </c>
      <c r="O1799" s="40">
        <f t="shared" si="57"/>
        <v>0</v>
      </c>
      <c r="P1799" s="40">
        <f t="shared" si="58"/>
        <v>0</v>
      </c>
    </row>
    <row r="1800" spans="1:16" x14ac:dyDescent="0.35">
      <c r="A1800" s="33">
        <v>1797</v>
      </c>
      <c r="B1800" s="34" t="s">
        <v>2183</v>
      </c>
      <c r="C1800" s="33" t="s">
        <v>346</v>
      </c>
      <c r="D1800" s="33" t="s">
        <v>70</v>
      </c>
      <c r="E1800" s="33" t="s">
        <v>2091</v>
      </c>
      <c r="F1800" s="35">
        <v>1</v>
      </c>
      <c r="G1800" s="40">
        <v>0</v>
      </c>
      <c r="H1800" s="40">
        <v>0</v>
      </c>
      <c r="I1800" s="40">
        <v>0</v>
      </c>
      <c r="J1800" s="40">
        <v>0</v>
      </c>
      <c r="K1800" s="40">
        <v>0</v>
      </c>
      <c r="L1800" s="40">
        <v>0</v>
      </c>
      <c r="M1800" s="40" cm="1">
        <f t="array" ref="M1800:N1800">VLOOKUP(B1800,'Fumigation  Room'!B:H,{6,7},0)</f>
        <v>0</v>
      </c>
      <c r="N1800" s="40">
        <v>0</v>
      </c>
      <c r="O1800" s="40">
        <f t="shared" si="57"/>
        <v>0</v>
      </c>
      <c r="P1800" s="40">
        <f t="shared" si="58"/>
        <v>0</v>
      </c>
    </row>
    <row r="1801" spans="1:16" x14ac:dyDescent="0.35">
      <c r="A1801" s="33">
        <v>1798</v>
      </c>
      <c r="B1801" s="34" t="s">
        <v>2184</v>
      </c>
      <c r="C1801" s="33" t="s">
        <v>346</v>
      </c>
      <c r="D1801" s="33" t="s">
        <v>70</v>
      </c>
      <c r="E1801" s="33" t="s">
        <v>2091</v>
      </c>
      <c r="F1801" s="35">
        <v>1</v>
      </c>
      <c r="G1801" s="40">
        <v>0</v>
      </c>
      <c r="H1801" s="40">
        <v>0</v>
      </c>
      <c r="I1801" s="40">
        <v>0</v>
      </c>
      <c r="J1801" s="40">
        <v>0</v>
      </c>
      <c r="K1801" s="40">
        <v>0</v>
      </c>
      <c r="L1801" s="40">
        <v>0</v>
      </c>
      <c r="M1801" s="40" cm="1">
        <f t="array" ref="M1801:N1801">VLOOKUP(B1801,'Fumigation  Room'!B:H,{6,7},0)</f>
        <v>0</v>
      </c>
      <c r="N1801" s="40">
        <v>0</v>
      </c>
      <c r="O1801" s="40">
        <f t="shared" si="57"/>
        <v>0</v>
      </c>
      <c r="P1801" s="40">
        <f t="shared" si="58"/>
        <v>0</v>
      </c>
    </row>
    <row r="1802" spans="1:16" x14ac:dyDescent="0.35">
      <c r="A1802" s="33">
        <v>1799</v>
      </c>
      <c r="B1802" s="34" t="s">
        <v>2185</v>
      </c>
      <c r="C1802" s="33" t="s">
        <v>346</v>
      </c>
      <c r="D1802" s="33" t="s">
        <v>70</v>
      </c>
      <c r="E1802" s="33" t="s">
        <v>2091</v>
      </c>
      <c r="F1802" s="35">
        <v>1</v>
      </c>
      <c r="G1802" s="40">
        <v>0</v>
      </c>
      <c r="H1802" s="40">
        <v>0</v>
      </c>
      <c r="I1802" s="40">
        <v>0</v>
      </c>
      <c r="J1802" s="40">
        <v>0</v>
      </c>
      <c r="K1802" s="40">
        <v>0</v>
      </c>
      <c r="L1802" s="40">
        <v>0</v>
      </c>
      <c r="M1802" s="40" cm="1">
        <f t="array" ref="M1802:N1802">VLOOKUP(B1802,'Fumigation  Room'!B:H,{6,7},0)</f>
        <v>0</v>
      </c>
      <c r="N1802" s="40">
        <v>0</v>
      </c>
      <c r="O1802" s="40">
        <f t="shared" si="57"/>
        <v>0</v>
      </c>
      <c r="P1802" s="40">
        <f t="shared" si="58"/>
        <v>0</v>
      </c>
    </row>
    <row r="1803" spans="1:16" x14ac:dyDescent="0.35">
      <c r="A1803" s="33">
        <v>1800</v>
      </c>
      <c r="B1803" s="34" t="s">
        <v>2186</v>
      </c>
      <c r="C1803" s="33" t="s">
        <v>346</v>
      </c>
      <c r="D1803" s="33" t="s">
        <v>70</v>
      </c>
      <c r="E1803" s="33" t="s">
        <v>2091</v>
      </c>
      <c r="F1803" s="35">
        <v>1</v>
      </c>
      <c r="G1803" s="40">
        <v>0</v>
      </c>
      <c r="H1803" s="40">
        <v>0</v>
      </c>
      <c r="I1803" s="40">
        <v>0</v>
      </c>
      <c r="J1803" s="40">
        <v>0</v>
      </c>
      <c r="K1803" s="40">
        <v>0</v>
      </c>
      <c r="L1803" s="40">
        <v>0</v>
      </c>
      <c r="M1803" s="40" cm="1">
        <f t="array" ref="M1803:N1803">VLOOKUP(B1803,'Fumigation  Room'!B:H,{6,7},0)</f>
        <v>0</v>
      </c>
      <c r="N1803" s="40">
        <v>0</v>
      </c>
      <c r="O1803" s="40">
        <f t="shared" si="57"/>
        <v>0</v>
      </c>
      <c r="P1803" s="40">
        <f t="shared" si="58"/>
        <v>0</v>
      </c>
    </row>
    <row r="1804" spans="1:16" x14ac:dyDescent="0.35">
      <c r="A1804" s="33">
        <v>1801</v>
      </c>
      <c r="B1804" s="34" t="s">
        <v>2187</v>
      </c>
      <c r="C1804" s="33" t="s">
        <v>346</v>
      </c>
      <c r="D1804" s="33" t="s">
        <v>70</v>
      </c>
      <c r="E1804" s="33" t="s">
        <v>2091</v>
      </c>
      <c r="F1804" s="35">
        <v>1</v>
      </c>
      <c r="G1804" s="40">
        <v>0</v>
      </c>
      <c r="H1804" s="40">
        <v>0</v>
      </c>
      <c r="I1804" s="40">
        <v>0</v>
      </c>
      <c r="J1804" s="40">
        <v>0</v>
      </c>
      <c r="K1804" s="40">
        <v>0</v>
      </c>
      <c r="L1804" s="40">
        <v>0</v>
      </c>
      <c r="M1804" s="40" cm="1">
        <f t="array" ref="M1804:N1804">VLOOKUP(B1804,'Fumigation  Room'!B:H,{6,7},0)</f>
        <v>0</v>
      </c>
      <c r="N1804" s="40">
        <v>0</v>
      </c>
      <c r="O1804" s="40">
        <f t="shared" si="57"/>
        <v>0</v>
      </c>
      <c r="P1804" s="40">
        <f t="shared" si="58"/>
        <v>0</v>
      </c>
    </row>
    <row r="1805" spans="1:16" x14ac:dyDescent="0.35">
      <c r="A1805" s="33">
        <v>1802</v>
      </c>
      <c r="B1805" s="34" t="s">
        <v>2327</v>
      </c>
      <c r="C1805" s="33" t="s">
        <v>346</v>
      </c>
      <c r="D1805" s="33" t="s">
        <v>70</v>
      </c>
      <c r="E1805" s="33" t="s">
        <v>2091</v>
      </c>
      <c r="F1805" s="35">
        <v>1</v>
      </c>
      <c r="G1805" s="40">
        <v>0</v>
      </c>
      <c r="H1805" s="40">
        <v>0</v>
      </c>
      <c r="I1805" s="40">
        <v>0</v>
      </c>
      <c r="J1805" s="40">
        <v>0</v>
      </c>
      <c r="K1805" s="40">
        <v>0</v>
      </c>
      <c r="L1805" s="40">
        <v>0</v>
      </c>
      <c r="M1805" s="40">
        <v>0</v>
      </c>
      <c r="N1805" s="40">
        <v>0</v>
      </c>
      <c r="O1805" s="40">
        <f t="shared" si="57"/>
        <v>0</v>
      </c>
      <c r="P1805" s="40">
        <f t="shared" si="58"/>
        <v>0</v>
      </c>
    </row>
    <row r="1806" spans="1:16" x14ac:dyDescent="0.35">
      <c r="A1806" s="33">
        <v>1803</v>
      </c>
      <c r="B1806" s="34" t="s">
        <v>2328</v>
      </c>
      <c r="C1806" s="33" t="s">
        <v>346</v>
      </c>
      <c r="D1806" s="33" t="s">
        <v>70</v>
      </c>
      <c r="E1806" s="33" t="s">
        <v>2091</v>
      </c>
      <c r="F1806" s="35">
        <v>1</v>
      </c>
      <c r="G1806" s="40">
        <v>0</v>
      </c>
      <c r="H1806" s="40">
        <v>0</v>
      </c>
      <c r="I1806" s="40">
        <v>0</v>
      </c>
      <c r="J1806" s="40">
        <v>0</v>
      </c>
      <c r="K1806" s="40">
        <v>0</v>
      </c>
      <c r="L1806" s="40">
        <v>0</v>
      </c>
      <c r="M1806" s="40">
        <v>0</v>
      </c>
      <c r="N1806" s="40">
        <v>0</v>
      </c>
      <c r="O1806" s="40">
        <f t="shared" si="57"/>
        <v>0</v>
      </c>
      <c r="P1806" s="40">
        <f t="shared" si="58"/>
        <v>0</v>
      </c>
    </row>
    <row r="1807" spans="1:16" x14ac:dyDescent="0.35">
      <c r="A1807" s="33">
        <v>1804</v>
      </c>
      <c r="B1807" s="34" t="s">
        <v>2188</v>
      </c>
      <c r="C1807" s="33" t="s">
        <v>346</v>
      </c>
      <c r="D1807" s="33" t="s">
        <v>70</v>
      </c>
      <c r="E1807" s="33" t="s">
        <v>2091</v>
      </c>
      <c r="F1807" s="35">
        <v>3.3000000000000002E-2</v>
      </c>
      <c r="G1807" s="40">
        <v>0</v>
      </c>
      <c r="H1807" s="40">
        <v>0</v>
      </c>
      <c r="I1807" s="40">
        <v>0</v>
      </c>
      <c r="J1807" s="40">
        <v>0</v>
      </c>
      <c r="K1807" s="40">
        <v>0</v>
      </c>
      <c r="L1807" s="40">
        <v>0</v>
      </c>
      <c r="M1807" s="40" cm="1">
        <f t="array" ref="M1807:N1807">VLOOKUP(B1807,'Fumigation  Room'!B:H,{6,7},0)</f>
        <v>0</v>
      </c>
      <c r="N1807" s="40">
        <v>0</v>
      </c>
      <c r="O1807" s="40">
        <f t="shared" si="57"/>
        <v>0</v>
      </c>
      <c r="P1807" s="40">
        <f t="shared" si="58"/>
        <v>0</v>
      </c>
    </row>
    <row r="1808" spans="1:16" x14ac:dyDescent="0.35">
      <c r="A1808" s="33">
        <v>1805</v>
      </c>
      <c r="B1808" s="34" t="s">
        <v>2189</v>
      </c>
      <c r="C1808" s="33" t="s">
        <v>346</v>
      </c>
      <c r="D1808" s="33" t="s">
        <v>70</v>
      </c>
      <c r="E1808" s="33" t="s">
        <v>2091</v>
      </c>
      <c r="F1808" s="35">
        <v>3.5000000000000003E-2</v>
      </c>
      <c r="G1808" s="40">
        <v>0</v>
      </c>
      <c r="H1808" s="40">
        <v>0</v>
      </c>
      <c r="I1808" s="40">
        <v>0</v>
      </c>
      <c r="J1808" s="40">
        <v>0</v>
      </c>
      <c r="K1808" s="40">
        <v>0</v>
      </c>
      <c r="L1808" s="40">
        <v>0</v>
      </c>
      <c r="M1808" s="40" cm="1">
        <f t="array" ref="M1808:N1808">VLOOKUP(B1808,'Fumigation  Room'!B:H,{6,7},0)</f>
        <v>0</v>
      </c>
      <c r="N1808" s="40">
        <v>0</v>
      </c>
      <c r="O1808" s="40">
        <f t="shared" si="57"/>
        <v>0</v>
      </c>
      <c r="P1808" s="40">
        <f t="shared" si="58"/>
        <v>0</v>
      </c>
    </row>
    <row r="1809" spans="1:16" x14ac:dyDescent="0.35">
      <c r="A1809" s="33">
        <v>1806</v>
      </c>
      <c r="B1809" s="34" t="s">
        <v>2190</v>
      </c>
      <c r="C1809" s="33" t="s">
        <v>346</v>
      </c>
      <c r="D1809" s="33" t="s">
        <v>70</v>
      </c>
      <c r="E1809" s="33" t="s">
        <v>2091</v>
      </c>
      <c r="F1809" s="35">
        <v>1</v>
      </c>
      <c r="G1809" s="40">
        <v>0</v>
      </c>
      <c r="H1809" s="40">
        <v>0</v>
      </c>
      <c r="I1809" s="40">
        <v>0</v>
      </c>
      <c r="J1809" s="40">
        <v>0</v>
      </c>
      <c r="K1809" s="40">
        <v>0</v>
      </c>
      <c r="L1809" s="40">
        <v>0</v>
      </c>
      <c r="M1809" s="40" cm="1">
        <f t="array" ref="M1809:N1809">VLOOKUP(B1809,'Fumigation  Room'!B:H,{6,7},0)</f>
        <v>0</v>
      </c>
      <c r="N1809" s="40">
        <v>0</v>
      </c>
      <c r="O1809" s="40">
        <f t="shared" si="57"/>
        <v>0</v>
      </c>
      <c r="P1809" s="40">
        <f t="shared" si="58"/>
        <v>0</v>
      </c>
    </row>
    <row r="1810" spans="1:16" x14ac:dyDescent="0.35">
      <c r="A1810" s="33">
        <v>1807</v>
      </c>
      <c r="B1810" s="34" t="s">
        <v>2191</v>
      </c>
      <c r="C1810" s="33" t="s">
        <v>346</v>
      </c>
      <c r="D1810" s="33" t="s">
        <v>70</v>
      </c>
      <c r="E1810" s="33" t="s">
        <v>2091</v>
      </c>
      <c r="F1810" s="35">
        <v>4.8000000000000001E-2</v>
      </c>
      <c r="G1810" s="40">
        <v>0</v>
      </c>
      <c r="H1810" s="40">
        <v>0</v>
      </c>
      <c r="I1810" s="40">
        <v>0</v>
      </c>
      <c r="J1810" s="40">
        <v>0</v>
      </c>
      <c r="K1810" s="40">
        <v>0</v>
      </c>
      <c r="L1810" s="40">
        <v>0</v>
      </c>
      <c r="M1810" s="40" cm="1">
        <f t="array" ref="M1810:N1810">VLOOKUP(B1810,'Fumigation  Room'!B:H,{6,7},0)</f>
        <v>0</v>
      </c>
      <c r="N1810" s="40">
        <v>0</v>
      </c>
      <c r="O1810" s="40">
        <f t="shared" si="57"/>
        <v>0</v>
      </c>
      <c r="P1810" s="40">
        <f t="shared" si="58"/>
        <v>0</v>
      </c>
    </row>
    <row r="1811" spans="1:16" x14ac:dyDescent="0.35">
      <c r="A1811" s="33">
        <v>1808</v>
      </c>
      <c r="B1811" s="34" t="s">
        <v>2192</v>
      </c>
      <c r="C1811" s="33" t="s">
        <v>346</v>
      </c>
      <c r="D1811" s="33" t="s">
        <v>70</v>
      </c>
      <c r="E1811" s="33" t="s">
        <v>2091</v>
      </c>
      <c r="F1811" s="35">
        <v>3.3000000000000002E-2</v>
      </c>
      <c r="G1811" s="40">
        <v>0</v>
      </c>
      <c r="H1811" s="40">
        <v>0</v>
      </c>
      <c r="I1811" s="40">
        <v>0</v>
      </c>
      <c r="J1811" s="40">
        <v>0</v>
      </c>
      <c r="K1811" s="40">
        <v>0</v>
      </c>
      <c r="L1811" s="40">
        <v>0</v>
      </c>
      <c r="M1811" s="40" cm="1">
        <f t="array" ref="M1811:N1811">VLOOKUP(B1811,'Fumigation  Room'!B:H,{6,7},0)</f>
        <v>0</v>
      </c>
      <c r="N1811" s="40">
        <v>0</v>
      </c>
      <c r="O1811" s="40">
        <f t="shared" si="57"/>
        <v>0</v>
      </c>
      <c r="P1811" s="40">
        <f t="shared" si="58"/>
        <v>0</v>
      </c>
    </row>
    <row r="1812" spans="1:16" x14ac:dyDescent="0.35">
      <c r="A1812" s="33">
        <v>1809</v>
      </c>
      <c r="B1812" s="34" t="s">
        <v>2193</v>
      </c>
      <c r="C1812" s="33" t="s">
        <v>346</v>
      </c>
      <c r="D1812" s="33" t="s">
        <v>70</v>
      </c>
      <c r="E1812" s="33" t="s">
        <v>2091</v>
      </c>
      <c r="F1812" s="35">
        <v>3.5000000000000003E-2</v>
      </c>
      <c r="G1812" s="40">
        <v>0</v>
      </c>
      <c r="H1812" s="40">
        <v>0</v>
      </c>
      <c r="I1812" s="40">
        <v>0</v>
      </c>
      <c r="J1812" s="40">
        <v>0</v>
      </c>
      <c r="K1812" s="40">
        <v>0</v>
      </c>
      <c r="L1812" s="40">
        <v>0</v>
      </c>
      <c r="M1812" s="40" cm="1">
        <f t="array" ref="M1812:N1812">VLOOKUP(B1812,'Fumigation  Room'!B:H,{6,7},0)</f>
        <v>0</v>
      </c>
      <c r="N1812" s="40">
        <v>0</v>
      </c>
      <c r="O1812" s="40">
        <f t="shared" si="57"/>
        <v>0</v>
      </c>
      <c r="P1812" s="40">
        <f t="shared" si="58"/>
        <v>0</v>
      </c>
    </row>
    <row r="1813" spans="1:16" x14ac:dyDescent="0.35">
      <c r="A1813" s="33">
        <v>1810</v>
      </c>
      <c r="B1813" s="34" t="s">
        <v>2194</v>
      </c>
      <c r="C1813" s="33" t="s">
        <v>346</v>
      </c>
      <c r="D1813" s="33" t="s">
        <v>70</v>
      </c>
      <c r="E1813" s="33" t="s">
        <v>2091</v>
      </c>
      <c r="F1813" s="35">
        <v>0.05</v>
      </c>
      <c r="G1813" s="40">
        <v>0</v>
      </c>
      <c r="H1813" s="40">
        <v>0</v>
      </c>
      <c r="I1813" s="40">
        <v>0</v>
      </c>
      <c r="J1813" s="40">
        <v>0</v>
      </c>
      <c r="K1813" s="40">
        <v>0</v>
      </c>
      <c r="L1813" s="40">
        <v>0</v>
      </c>
      <c r="M1813" s="40" cm="1">
        <f t="array" ref="M1813:N1813">VLOOKUP(B1813,'Fumigation  Room'!B:H,{6,7},0)</f>
        <v>0</v>
      </c>
      <c r="N1813" s="40">
        <v>0</v>
      </c>
      <c r="O1813" s="40">
        <f t="shared" si="57"/>
        <v>0</v>
      </c>
      <c r="P1813" s="40">
        <f t="shared" si="58"/>
        <v>0</v>
      </c>
    </row>
    <row r="1814" spans="1:16" x14ac:dyDescent="0.35">
      <c r="A1814" s="33">
        <v>1811</v>
      </c>
      <c r="B1814" s="34" t="s">
        <v>2195</v>
      </c>
      <c r="C1814" s="33" t="s">
        <v>346</v>
      </c>
      <c r="D1814" s="33" t="s">
        <v>70</v>
      </c>
      <c r="E1814" s="33" t="s">
        <v>2091</v>
      </c>
      <c r="F1814" s="35">
        <v>1</v>
      </c>
      <c r="G1814" s="40">
        <v>0</v>
      </c>
      <c r="H1814" s="40">
        <v>0</v>
      </c>
      <c r="I1814" s="40">
        <v>0</v>
      </c>
      <c r="J1814" s="40">
        <v>0</v>
      </c>
      <c r="K1814" s="40">
        <v>0</v>
      </c>
      <c r="L1814" s="40">
        <v>0</v>
      </c>
      <c r="M1814" s="40" cm="1">
        <f t="array" ref="M1814:N1814">VLOOKUP(B1814,'Fumigation  Room'!B:H,{6,7},0)</f>
        <v>0</v>
      </c>
      <c r="N1814" s="40">
        <v>0</v>
      </c>
      <c r="O1814" s="40">
        <f t="shared" si="57"/>
        <v>0</v>
      </c>
      <c r="P1814" s="40">
        <f t="shared" si="58"/>
        <v>0</v>
      </c>
    </row>
    <row r="1815" spans="1:16" x14ac:dyDescent="0.35">
      <c r="A1815" s="33">
        <v>1812</v>
      </c>
      <c r="B1815" s="34" t="s">
        <v>2196</v>
      </c>
      <c r="C1815" s="33" t="s">
        <v>346</v>
      </c>
      <c r="D1815" s="33" t="s">
        <v>70</v>
      </c>
      <c r="E1815" s="33" t="s">
        <v>2091</v>
      </c>
      <c r="F1815" s="35">
        <v>1</v>
      </c>
      <c r="G1815" s="40">
        <v>0</v>
      </c>
      <c r="H1815" s="40">
        <v>0</v>
      </c>
      <c r="I1815" s="40">
        <v>0</v>
      </c>
      <c r="J1815" s="40">
        <v>0</v>
      </c>
      <c r="K1815" s="40">
        <v>0</v>
      </c>
      <c r="L1815" s="40">
        <v>0</v>
      </c>
      <c r="M1815" s="40" cm="1">
        <f t="array" ref="M1815:N1815">VLOOKUP(B1815,'Fumigation  Room'!B:H,{6,7},0)</f>
        <v>0</v>
      </c>
      <c r="N1815" s="40">
        <v>1.3</v>
      </c>
      <c r="O1815" s="40">
        <f t="shared" si="57"/>
        <v>0</v>
      </c>
      <c r="P1815" s="40">
        <f t="shared" si="58"/>
        <v>1.3</v>
      </c>
    </row>
    <row r="1816" spans="1:16" x14ac:dyDescent="0.35">
      <c r="A1816" s="33">
        <v>1813</v>
      </c>
      <c r="B1816" s="34" t="s">
        <v>2197</v>
      </c>
      <c r="C1816" s="33" t="s">
        <v>346</v>
      </c>
      <c r="D1816" s="33" t="s">
        <v>70</v>
      </c>
      <c r="E1816" s="33" t="s">
        <v>2091</v>
      </c>
      <c r="F1816" s="35">
        <v>0.15</v>
      </c>
      <c r="G1816" s="40">
        <v>0</v>
      </c>
      <c r="H1816" s="40">
        <v>0</v>
      </c>
      <c r="I1816" s="40">
        <v>0</v>
      </c>
      <c r="J1816" s="40">
        <v>0</v>
      </c>
      <c r="K1816" s="40">
        <v>0</v>
      </c>
      <c r="L1816" s="40">
        <v>0</v>
      </c>
      <c r="M1816" s="40" cm="1">
        <f t="array" ref="M1816:N1816">VLOOKUP(B1816,'Fumigation  Room'!B:H,{6,7},0)</f>
        <v>0</v>
      </c>
      <c r="N1816" s="40">
        <v>0</v>
      </c>
      <c r="O1816" s="40">
        <f t="shared" si="57"/>
        <v>0</v>
      </c>
      <c r="P1816" s="40">
        <f t="shared" si="58"/>
        <v>0</v>
      </c>
    </row>
    <row r="1817" spans="1:16" x14ac:dyDescent="0.35">
      <c r="A1817" s="33">
        <v>1814</v>
      </c>
      <c r="B1817" s="34" t="s">
        <v>2198</v>
      </c>
      <c r="C1817" s="33" t="s">
        <v>346</v>
      </c>
      <c r="D1817" s="33" t="s">
        <v>70</v>
      </c>
      <c r="E1817" s="33" t="s">
        <v>2091</v>
      </c>
      <c r="F1817" s="35">
        <v>0.03</v>
      </c>
      <c r="G1817" s="40">
        <v>0</v>
      </c>
      <c r="H1817" s="40">
        <v>0</v>
      </c>
      <c r="I1817" s="40">
        <v>0</v>
      </c>
      <c r="J1817" s="40">
        <v>0</v>
      </c>
      <c r="K1817" s="40">
        <v>0</v>
      </c>
      <c r="L1817" s="40">
        <v>0</v>
      </c>
      <c r="M1817" s="40" cm="1">
        <f t="array" ref="M1817:N1817">VLOOKUP(B1817,'Fumigation  Room'!B:H,{6,7},0)</f>
        <v>0</v>
      </c>
      <c r="N1817" s="40">
        <v>0</v>
      </c>
      <c r="O1817" s="40">
        <f t="shared" si="57"/>
        <v>0</v>
      </c>
      <c r="P1817" s="40">
        <f t="shared" si="58"/>
        <v>0</v>
      </c>
    </row>
    <row r="1818" spans="1:16" x14ac:dyDescent="0.35">
      <c r="A1818" s="33">
        <v>1815</v>
      </c>
      <c r="B1818" s="34" t="s">
        <v>2199</v>
      </c>
      <c r="C1818" s="33" t="s">
        <v>346</v>
      </c>
      <c r="D1818" s="33" t="s">
        <v>70</v>
      </c>
      <c r="E1818" s="33" t="s">
        <v>2091</v>
      </c>
      <c r="F1818" s="35">
        <v>0.1</v>
      </c>
      <c r="G1818" s="40">
        <v>0</v>
      </c>
      <c r="H1818" s="40">
        <v>0</v>
      </c>
      <c r="I1818" s="40">
        <v>0</v>
      </c>
      <c r="J1818" s="40">
        <v>0</v>
      </c>
      <c r="K1818" s="40">
        <v>0</v>
      </c>
      <c r="L1818" s="40">
        <v>0</v>
      </c>
      <c r="M1818" s="40" cm="1">
        <f t="array" ref="M1818:N1818">VLOOKUP(B1818,'Fumigation  Room'!B:H,{6,7},0)</f>
        <v>0</v>
      </c>
      <c r="N1818" s="40">
        <v>0</v>
      </c>
      <c r="O1818" s="40">
        <f t="shared" si="57"/>
        <v>0</v>
      </c>
      <c r="P1818" s="40">
        <f t="shared" si="58"/>
        <v>0</v>
      </c>
    </row>
    <row r="1819" spans="1:16" x14ac:dyDescent="0.35">
      <c r="A1819" s="33">
        <v>1816</v>
      </c>
      <c r="B1819" s="34" t="s">
        <v>2329</v>
      </c>
      <c r="C1819" s="33" t="s">
        <v>346</v>
      </c>
      <c r="D1819" s="33" t="s">
        <v>70</v>
      </c>
      <c r="E1819" s="33" t="s">
        <v>2091</v>
      </c>
      <c r="F1819" s="35">
        <v>1</v>
      </c>
      <c r="G1819" s="40">
        <v>0</v>
      </c>
      <c r="H1819" s="40">
        <v>0</v>
      </c>
      <c r="I1819" s="40">
        <v>0</v>
      </c>
      <c r="J1819" s="40">
        <v>0</v>
      </c>
      <c r="K1819" s="40">
        <v>0</v>
      </c>
      <c r="L1819" s="40">
        <v>0</v>
      </c>
      <c r="M1819" s="40">
        <v>0</v>
      </c>
      <c r="N1819" s="40">
        <v>0</v>
      </c>
      <c r="O1819" s="40">
        <f t="shared" si="57"/>
        <v>0</v>
      </c>
      <c r="P1819" s="40">
        <f t="shared" si="58"/>
        <v>0</v>
      </c>
    </row>
    <row r="1820" spans="1:16" x14ac:dyDescent="0.35">
      <c r="A1820" s="33">
        <v>1817</v>
      </c>
      <c r="B1820" s="34" t="s">
        <v>2200</v>
      </c>
      <c r="C1820" s="33" t="s">
        <v>346</v>
      </c>
      <c r="D1820" s="33" t="s">
        <v>70</v>
      </c>
      <c r="E1820" s="33" t="s">
        <v>2091</v>
      </c>
      <c r="F1820" s="35">
        <v>0.1</v>
      </c>
      <c r="G1820" s="40">
        <v>0</v>
      </c>
      <c r="H1820" s="40">
        <v>0</v>
      </c>
      <c r="I1820" s="40">
        <v>0</v>
      </c>
      <c r="J1820" s="40">
        <v>0</v>
      </c>
      <c r="K1820" s="40">
        <v>0</v>
      </c>
      <c r="L1820" s="40">
        <v>0</v>
      </c>
      <c r="M1820" s="40" cm="1">
        <f t="array" ref="M1820:N1820">VLOOKUP(B1820,'Fumigation  Room'!B:H,{6,7},0)</f>
        <v>0</v>
      </c>
      <c r="N1820" s="40">
        <v>0</v>
      </c>
      <c r="O1820" s="40">
        <f t="shared" si="57"/>
        <v>0</v>
      </c>
      <c r="P1820" s="40">
        <f t="shared" si="58"/>
        <v>0</v>
      </c>
    </row>
    <row r="1821" spans="1:16" x14ac:dyDescent="0.35">
      <c r="A1821" s="33">
        <v>1818</v>
      </c>
      <c r="B1821" s="34" t="s">
        <v>2330</v>
      </c>
      <c r="C1821" s="33" t="s">
        <v>346</v>
      </c>
      <c r="D1821" s="33" t="s">
        <v>70</v>
      </c>
      <c r="E1821" s="33" t="s">
        <v>2091</v>
      </c>
      <c r="F1821" s="35">
        <v>1</v>
      </c>
      <c r="G1821" s="40">
        <v>0</v>
      </c>
      <c r="H1821" s="40">
        <v>0</v>
      </c>
      <c r="I1821" s="40">
        <v>0</v>
      </c>
      <c r="J1821" s="40">
        <v>0</v>
      </c>
      <c r="K1821" s="40">
        <v>0</v>
      </c>
      <c r="L1821" s="40">
        <v>0</v>
      </c>
      <c r="M1821" s="40">
        <v>0</v>
      </c>
      <c r="N1821" s="40">
        <v>0</v>
      </c>
      <c r="O1821" s="40">
        <f t="shared" si="57"/>
        <v>0</v>
      </c>
      <c r="P1821" s="40">
        <f t="shared" si="58"/>
        <v>0</v>
      </c>
    </row>
    <row r="1822" spans="1:16" x14ac:dyDescent="0.35">
      <c r="A1822" s="33">
        <v>1819</v>
      </c>
      <c r="B1822" s="34" t="s">
        <v>2201</v>
      </c>
      <c r="C1822" s="33" t="s">
        <v>346</v>
      </c>
      <c r="D1822" s="33" t="s">
        <v>70</v>
      </c>
      <c r="E1822" s="33" t="s">
        <v>2091</v>
      </c>
      <c r="F1822" s="35">
        <v>0.1</v>
      </c>
      <c r="G1822" s="40">
        <v>0</v>
      </c>
      <c r="H1822" s="40">
        <v>0</v>
      </c>
      <c r="I1822" s="40">
        <v>0</v>
      </c>
      <c r="J1822" s="40">
        <v>0</v>
      </c>
      <c r="K1822" s="40">
        <v>0</v>
      </c>
      <c r="L1822" s="40">
        <v>0</v>
      </c>
      <c r="M1822" s="40" cm="1">
        <f t="array" ref="M1822:N1822">VLOOKUP(B1822,'Fumigation  Room'!B:H,{6,7},0)</f>
        <v>0</v>
      </c>
      <c r="N1822" s="40">
        <v>0</v>
      </c>
      <c r="O1822" s="40">
        <f t="shared" si="57"/>
        <v>0</v>
      </c>
      <c r="P1822" s="40">
        <f t="shared" si="58"/>
        <v>0</v>
      </c>
    </row>
    <row r="1823" spans="1:16" x14ac:dyDescent="0.35">
      <c r="A1823" s="33">
        <v>1820</v>
      </c>
      <c r="B1823" s="34" t="s">
        <v>2331</v>
      </c>
      <c r="C1823" s="33" t="s">
        <v>346</v>
      </c>
      <c r="D1823" s="33" t="s">
        <v>70</v>
      </c>
      <c r="E1823" s="33" t="s">
        <v>2091</v>
      </c>
      <c r="F1823" s="35">
        <v>1</v>
      </c>
      <c r="G1823" s="40">
        <v>0</v>
      </c>
      <c r="H1823" s="40">
        <v>0</v>
      </c>
      <c r="I1823" s="40">
        <v>0</v>
      </c>
      <c r="J1823" s="40">
        <v>0</v>
      </c>
      <c r="K1823" s="40">
        <v>0</v>
      </c>
      <c r="L1823" s="40">
        <v>0</v>
      </c>
      <c r="M1823" s="40">
        <v>0</v>
      </c>
      <c r="N1823" s="40">
        <v>0</v>
      </c>
      <c r="O1823" s="40">
        <f t="shared" si="57"/>
        <v>0</v>
      </c>
      <c r="P1823" s="40">
        <f t="shared" si="58"/>
        <v>0</v>
      </c>
    </row>
    <row r="1824" spans="1:16" x14ac:dyDescent="0.35">
      <c r="A1824" s="33">
        <v>1821</v>
      </c>
      <c r="B1824" s="34" t="s">
        <v>2202</v>
      </c>
      <c r="C1824" s="33" t="s">
        <v>346</v>
      </c>
      <c r="D1824" s="33" t="s">
        <v>70</v>
      </c>
      <c r="E1824" s="33" t="s">
        <v>2091</v>
      </c>
      <c r="F1824" s="35">
        <v>0.1</v>
      </c>
      <c r="G1824" s="40">
        <v>0</v>
      </c>
      <c r="H1824" s="40">
        <v>0</v>
      </c>
      <c r="I1824" s="40">
        <v>0</v>
      </c>
      <c r="J1824" s="40">
        <v>0</v>
      </c>
      <c r="K1824" s="40">
        <v>0</v>
      </c>
      <c r="L1824" s="40">
        <v>0</v>
      </c>
      <c r="M1824" s="40" cm="1">
        <f t="array" ref="M1824:N1824">VLOOKUP(B1824,'Fumigation  Room'!B:H,{6,7},0)</f>
        <v>0</v>
      </c>
      <c r="N1824" s="40">
        <v>0</v>
      </c>
      <c r="O1824" s="40">
        <f t="shared" si="57"/>
        <v>0</v>
      </c>
      <c r="P1824" s="40">
        <f t="shared" si="58"/>
        <v>0</v>
      </c>
    </row>
    <row r="1825" spans="1:16" x14ac:dyDescent="0.35">
      <c r="A1825" s="33">
        <v>1822</v>
      </c>
      <c r="B1825" s="34" t="s">
        <v>241</v>
      </c>
      <c r="C1825" s="33" t="s">
        <v>346</v>
      </c>
      <c r="D1825" s="33" t="s">
        <v>70</v>
      </c>
      <c r="E1825" s="33" t="s">
        <v>2091</v>
      </c>
      <c r="F1825" s="35">
        <v>2.5000000000000001E-2</v>
      </c>
      <c r="G1825" s="40">
        <v>0</v>
      </c>
      <c r="H1825" s="40">
        <v>0</v>
      </c>
      <c r="I1825" s="40">
        <v>0</v>
      </c>
      <c r="J1825" s="40">
        <v>0</v>
      </c>
      <c r="K1825" s="40">
        <v>0</v>
      </c>
      <c r="L1825" s="40">
        <v>0</v>
      </c>
      <c r="M1825" s="40" cm="1">
        <f t="array" ref="M1825:N1825">VLOOKUP(B1825,'Fumigation  Room'!B:H,{6,7},0)</f>
        <v>0</v>
      </c>
      <c r="N1825" s="40">
        <v>0</v>
      </c>
      <c r="O1825" s="40">
        <f t="shared" si="57"/>
        <v>0</v>
      </c>
      <c r="P1825" s="40">
        <f t="shared" si="58"/>
        <v>0</v>
      </c>
    </row>
    <row r="1826" spans="1:16" x14ac:dyDescent="0.35">
      <c r="A1826" s="33">
        <v>1823</v>
      </c>
      <c r="B1826" s="34" t="s">
        <v>2203</v>
      </c>
      <c r="C1826" s="33" t="s">
        <v>346</v>
      </c>
      <c r="D1826" s="33" t="s">
        <v>70</v>
      </c>
      <c r="E1826" s="33" t="s">
        <v>2091</v>
      </c>
      <c r="F1826" s="35">
        <v>0.1</v>
      </c>
      <c r="G1826" s="40">
        <v>0</v>
      </c>
      <c r="H1826" s="40">
        <v>0</v>
      </c>
      <c r="I1826" s="40">
        <v>0</v>
      </c>
      <c r="J1826" s="40">
        <v>0</v>
      </c>
      <c r="K1826" s="40">
        <v>0</v>
      </c>
      <c r="L1826" s="40">
        <v>0</v>
      </c>
      <c r="M1826" s="40" cm="1">
        <f t="array" ref="M1826:N1826">VLOOKUP(B1826,'Fumigation  Room'!B:H,{6,7},0)</f>
        <v>0</v>
      </c>
      <c r="N1826" s="40">
        <v>0</v>
      </c>
      <c r="O1826" s="40">
        <f t="shared" si="57"/>
        <v>0</v>
      </c>
      <c r="P1826" s="40">
        <f t="shared" si="58"/>
        <v>0</v>
      </c>
    </row>
    <row r="1827" spans="1:16" x14ac:dyDescent="0.35">
      <c r="A1827" s="33">
        <v>1824</v>
      </c>
      <c r="B1827" s="34" t="s">
        <v>2204</v>
      </c>
      <c r="C1827" s="33" t="s">
        <v>346</v>
      </c>
      <c r="D1827" s="33" t="s">
        <v>70</v>
      </c>
      <c r="E1827" s="33" t="s">
        <v>2091</v>
      </c>
      <c r="F1827" s="35">
        <v>0.1</v>
      </c>
      <c r="G1827" s="40">
        <v>0</v>
      </c>
      <c r="H1827" s="40">
        <v>0</v>
      </c>
      <c r="I1827" s="40">
        <v>0</v>
      </c>
      <c r="J1827" s="40">
        <v>0</v>
      </c>
      <c r="K1827" s="40">
        <v>0</v>
      </c>
      <c r="L1827" s="40">
        <v>0</v>
      </c>
      <c r="M1827" s="40" cm="1">
        <f t="array" ref="M1827:N1827">VLOOKUP(B1827,'Fumigation  Room'!B:H,{6,7},0)</f>
        <v>0</v>
      </c>
      <c r="N1827" s="40">
        <v>0</v>
      </c>
      <c r="O1827" s="40">
        <f t="shared" si="57"/>
        <v>0</v>
      </c>
      <c r="P1827" s="40">
        <f t="shared" si="58"/>
        <v>0</v>
      </c>
    </row>
    <row r="1828" spans="1:16" x14ac:dyDescent="0.35">
      <c r="A1828" s="33">
        <v>1825</v>
      </c>
      <c r="B1828" s="34" t="s">
        <v>2205</v>
      </c>
      <c r="C1828" s="33" t="s">
        <v>346</v>
      </c>
      <c r="D1828" s="33" t="s">
        <v>70</v>
      </c>
      <c r="E1828" s="33" t="s">
        <v>2091</v>
      </c>
      <c r="F1828" s="35">
        <v>0.1</v>
      </c>
      <c r="G1828" s="40">
        <v>0</v>
      </c>
      <c r="H1828" s="40">
        <v>0</v>
      </c>
      <c r="I1828" s="40">
        <v>0</v>
      </c>
      <c r="J1828" s="40">
        <v>0</v>
      </c>
      <c r="K1828" s="40">
        <v>0</v>
      </c>
      <c r="L1828" s="40">
        <v>0</v>
      </c>
      <c r="M1828" s="40" cm="1">
        <f t="array" ref="M1828:N1828">VLOOKUP(B1828,'Fumigation  Room'!B:H,{6,7},0)</f>
        <v>0</v>
      </c>
      <c r="N1828" s="40">
        <v>0</v>
      </c>
      <c r="O1828" s="40">
        <f t="shared" si="57"/>
        <v>0</v>
      </c>
      <c r="P1828" s="40">
        <f t="shared" si="58"/>
        <v>0</v>
      </c>
    </row>
    <row r="1829" spans="1:16" x14ac:dyDescent="0.35">
      <c r="A1829" s="33">
        <v>1826</v>
      </c>
      <c r="B1829" s="34" t="s">
        <v>2206</v>
      </c>
      <c r="C1829" s="33" t="s">
        <v>346</v>
      </c>
      <c r="D1829" s="33" t="s">
        <v>70</v>
      </c>
      <c r="E1829" s="33" t="s">
        <v>2091</v>
      </c>
      <c r="F1829" s="35">
        <v>0.1</v>
      </c>
      <c r="G1829" s="40">
        <v>0</v>
      </c>
      <c r="H1829" s="40">
        <v>0</v>
      </c>
      <c r="I1829" s="40">
        <v>0</v>
      </c>
      <c r="J1829" s="40">
        <v>0</v>
      </c>
      <c r="K1829" s="40">
        <v>0</v>
      </c>
      <c r="L1829" s="40">
        <v>0</v>
      </c>
      <c r="M1829" s="40" cm="1">
        <f t="array" ref="M1829:N1829">VLOOKUP(B1829,'Fumigation  Room'!B:H,{6,7},0)</f>
        <v>0</v>
      </c>
      <c r="N1829" s="40">
        <v>0</v>
      </c>
      <c r="O1829" s="40">
        <f t="shared" si="57"/>
        <v>0</v>
      </c>
      <c r="P1829" s="40">
        <f t="shared" si="58"/>
        <v>0</v>
      </c>
    </row>
    <row r="1830" spans="1:16" x14ac:dyDescent="0.35">
      <c r="A1830" s="33">
        <v>1827</v>
      </c>
      <c r="B1830" s="34" t="s">
        <v>2207</v>
      </c>
      <c r="C1830" s="33" t="s">
        <v>346</v>
      </c>
      <c r="D1830" s="33" t="s">
        <v>70</v>
      </c>
      <c r="E1830" s="33" t="s">
        <v>2091</v>
      </c>
      <c r="F1830" s="35">
        <v>0.1</v>
      </c>
      <c r="G1830" s="40">
        <v>0</v>
      </c>
      <c r="H1830" s="40">
        <v>0</v>
      </c>
      <c r="I1830" s="40">
        <v>0</v>
      </c>
      <c r="J1830" s="40">
        <v>0</v>
      </c>
      <c r="K1830" s="40">
        <v>0</v>
      </c>
      <c r="L1830" s="40">
        <v>0</v>
      </c>
      <c r="M1830" s="40" cm="1">
        <f t="array" ref="M1830:N1830">VLOOKUP(B1830,'Fumigation  Room'!B:H,{6,7},0)</f>
        <v>0</v>
      </c>
      <c r="N1830" s="40">
        <v>0</v>
      </c>
      <c r="O1830" s="40">
        <f t="shared" si="57"/>
        <v>0</v>
      </c>
      <c r="P1830" s="40">
        <f t="shared" si="58"/>
        <v>0</v>
      </c>
    </row>
    <row r="1831" spans="1:16" x14ac:dyDescent="0.35">
      <c r="A1831" s="33">
        <v>1828</v>
      </c>
      <c r="B1831" s="34" t="s">
        <v>243</v>
      </c>
      <c r="C1831" s="33" t="s">
        <v>346</v>
      </c>
      <c r="D1831" s="33" t="s">
        <v>70</v>
      </c>
      <c r="E1831" s="33" t="s">
        <v>2091</v>
      </c>
      <c r="F1831" s="35">
        <v>0.1</v>
      </c>
      <c r="G1831" s="40">
        <v>0</v>
      </c>
      <c r="H1831" s="40">
        <v>0</v>
      </c>
      <c r="I1831" s="40">
        <v>0</v>
      </c>
      <c r="J1831" s="40">
        <v>0</v>
      </c>
      <c r="K1831" s="40">
        <v>0</v>
      </c>
      <c r="L1831" s="40">
        <v>0</v>
      </c>
      <c r="M1831" s="40" cm="1">
        <f t="array" ref="M1831:N1831">VLOOKUP(B1831,'Fumigation  Room'!B:H,{6,7},0)</f>
        <v>0</v>
      </c>
      <c r="N1831" s="40">
        <v>0</v>
      </c>
      <c r="O1831" s="40">
        <f t="shared" si="57"/>
        <v>0</v>
      </c>
      <c r="P1831" s="40">
        <f t="shared" si="58"/>
        <v>0</v>
      </c>
    </row>
    <row r="1832" spans="1:16" x14ac:dyDescent="0.35">
      <c r="A1832" s="33">
        <v>1829</v>
      </c>
      <c r="B1832" s="34" t="s">
        <v>2208</v>
      </c>
      <c r="C1832" s="33" t="s">
        <v>346</v>
      </c>
      <c r="D1832" s="33" t="s">
        <v>70</v>
      </c>
      <c r="E1832" s="33" t="s">
        <v>2091</v>
      </c>
      <c r="F1832" s="35">
        <v>0.1</v>
      </c>
      <c r="G1832" s="40">
        <v>0</v>
      </c>
      <c r="H1832" s="40">
        <v>0</v>
      </c>
      <c r="I1832" s="40">
        <v>0</v>
      </c>
      <c r="J1832" s="40">
        <v>0</v>
      </c>
      <c r="K1832" s="40">
        <v>0</v>
      </c>
      <c r="L1832" s="40">
        <v>0</v>
      </c>
      <c r="M1832" s="40" cm="1">
        <f t="array" ref="M1832:N1832">VLOOKUP(B1832,'Fumigation  Room'!B:H,{6,7},0)</f>
        <v>0</v>
      </c>
      <c r="N1832" s="40">
        <v>0</v>
      </c>
      <c r="O1832" s="40">
        <f t="shared" si="57"/>
        <v>0</v>
      </c>
      <c r="P1832" s="40">
        <f t="shared" si="58"/>
        <v>0</v>
      </c>
    </row>
    <row r="1833" spans="1:16" x14ac:dyDescent="0.35">
      <c r="A1833" s="33">
        <v>1830</v>
      </c>
      <c r="B1833" s="34" t="s">
        <v>2209</v>
      </c>
      <c r="C1833" s="33" t="s">
        <v>346</v>
      </c>
      <c r="D1833" s="33" t="s">
        <v>70</v>
      </c>
      <c r="E1833" s="33" t="s">
        <v>2091</v>
      </c>
      <c r="F1833" s="35">
        <v>1.4E-2</v>
      </c>
      <c r="G1833" s="40">
        <v>0</v>
      </c>
      <c r="H1833" s="40">
        <v>0</v>
      </c>
      <c r="I1833" s="40">
        <v>0</v>
      </c>
      <c r="J1833" s="40">
        <v>0</v>
      </c>
      <c r="K1833" s="40">
        <v>0</v>
      </c>
      <c r="L1833" s="40">
        <v>0</v>
      </c>
      <c r="M1833" s="40" cm="1">
        <f t="array" ref="M1833:N1833">VLOOKUP(B1833,'Fumigation  Room'!B:H,{6,7},0)</f>
        <v>0</v>
      </c>
      <c r="N1833" s="40">
        <v>0</v>
      </c>
      <c r="O1833" s="40">
        <f t="shared" si="57"/>
        <v>0</v>
      </c>
      <c r="P1833" s="40">
        <f t="shared" si="58"/>
        <v>0</v>
      </c>
    </row>
    <row r="1834" spans="1:16" x14ac:dyDescent="0.35">
      <c r="A1834" s="33">
        <v>1831</v>
      </c>
      <c r="B1834" s="34" t="s">
        <v>2210</v>
      </c>
      <c r="C1834" s="33" t="s">
        <v>346</v>
      </c>
      <c r="D1834" s="33" t="s">
        <v>70</v>
      </c>
      <c r="E1834" s="33" t="s">
        <v>2091</v>
      </c>
      <c r="F1834" s="35">
        <v>1.4E-2</v>
      </c>
      <c r="G1834" s="40">
        <v>0</v>
      </c>
      <c r="H1834" s="40">
        <v>0</v>
      </c>
      <c r="I1834" s="40">
        <v>0</v>
      </c>
      <c r="J1834" s="40">
        <v>0</v>
      </c>
      <c r="K1834" s="40">
        <v>0</v>
      </c>
      <c r="L1834" s="40">
        <v>0</v>
      </c>
      <c r="M1834" s="40" cm="1">
        <f t="array" ref="M1834:N1834">VLOOKUP(B1834,'Fumigation  Room'!B:H,{6,7},0)</f>
        <v>0</v>
      </c>
      <c r="N1834" s="40">
        <v>0</v>
      </c>
      <c r="O1834" s="40">
        <f t="shared" si="57"/>
        <v>0</v>
      </c>
      <c r="P1834" s="40">
        <f t="shared" si="58"/>
        <v>0</v>
      </c>
    </row>
    <row r="1835" spans="1:16" x14ac:dyDescent="0.35">
      <c r="A1835" s="33">
        <v>1832</v>
      </c>
      <c r="B1835" s="34" t="s">
        <v>2211</v>
      </c>
      <c r="C1835" s="33" t="s">
        <v>346</v>
      </c>
      <c r="D1835" s="33" t="s">
        <v>70</v>
      </c>
      <c r="E1835" s="33" t="s">
        <v>2091</v>
      </c>
      <c r="F1835" s="35">
        <v>1</v>
      </c>
      <c r="G1835" s="40">
        <v>0</v>
      </c>
      <c r="H1835" s="40">
        <v>0</v>
      </c>
      <c r="I1835" s="40">
        <v>0</v>
      </c>
      <c r="J1835" s="40">
        <v>0</v>
      </c>
      <c r="K1835" s="40">
        <v>0</v>
      </c>
      <c r="L1835" s="40">
        <v>0</v>
      </c>
      <c r="M1835" s="40" cm="1">
        <f t="array" ref="M1835:N1835">VLOOKUP(B1835,'Fumigation  Room'!B:H,{6,7},0)</f>
        <v>0</v>
      </c>
      <c r="N1835" s="40">
        <v>0</v>
      </c>
      <c r="O1835" s="40">
        <f t="shared" si="57"/>
        <v>0</v>
      </c>
      <c r="P1835" s="40">
        <f t="shared" si="58"/>
        <v>0</v>
      </c>
    </row>
    <row r="1836" spans="1:16" x14ac:dyDescent="0.35">
      <c r="A1836" s="33">
        <v>1833</v>
      </c>
      <c r="B1836" s="34" t="s">
        <v>2212</v>
      </c>
      <c r="C1836" s="33" t="s">
        <v>346</v>
      </c>
      <c r="D1836" s="33" t="s">
        <v>70</v>
      </c>
      <c r="E1836" s="33" t="s">
        <v>2091</v>
      </c>
      <c r="F1836" s="35">
        <v>1</v>
      </c>
      <c r="G1836" s="40">
        <v>0</v>
      </c>
      <c r="H1836" s="40">
        <v>0</v>
      </c>
      <c r="I1836" s="40">
        <v>0</v>
      </c>
      <c r="J1836" s="40">
        <v>0</v>
      </c>
      <c r="K1836" s="40">
        <v>0</v>
      </c>
      <c r="L1836" s="40">
        <v>0</v>
      </c>
      <c r="M1836" s="40" cm="1">
        <f t="array" ref="M1836:N1836">VLOOKUP(B1836,'Fumigation  Room'!B:H,{6,7},0)</f>
        <v>0</v>
      </c>
      <c r="N1836" s="40">
        <v>11.17</v>
      </c>
      <c r="O1836" s="40">
        <f t="shared" si="57"/>
        <v>0</v>
      </c>
      <c r="P1836" s="40">
        <f t="shared" si="58"/>
        <v>11.17</v>
      </c>
    </row>
    <row r="1837" spans="1:16" x14ac:dyDescent="0.35">
      <c r="A1837" s="33">
        <v>1834</v>
      </c>
      <c r="B1837" s="34" t="s">
        <v>2213</v>
      </c>
      <c r="C1837" s="33" t="s">
        <v>346</v>
      </c>
      <c r="D1837" s="33" t="s">
        <v>70</v>
      </c>
      <c r="E1837" s="33" t="s">
        <v>2091</v>
      </c>
      <c r="F1837" s="35">
        <v>1</v>
      </c>
      <c r="G1837" s="40">
        <v>0</v>
      </c>
      <c r="H1837" s="40">
        <v>0</v>
      </c>
      <c r="I1837" s="40">
        <v>0</v>
      </c>
      <c r="J1837" s="40">
        <v>0</v>
      </c>
      <c r="K1837" s="40">
        <v>0</v>
      </c>
      <c r="L1837" s="40">
        <v>0</v>
      </c>
      <c r="M1837" s="40" cm="1">
        <f t="array" ref="M1837:N1837">VLOOKUP(B1837,'Fumigation  Room'!B:H,{6,7},0)</f>
        <v>0</v>
      </c>
      <c r="N1837" s="40">
        <v>0</v>
      </c>
      <c r="O1837" s="40">
        <f t="shared" si="57"/>
        <v>0</v>
      </c>
      <c r="P1837" s="40">
        <f t="shared" si="58"/>
        <v>0</v>
      </c>
    </row>
    <row r="1838" spans="1:16" x14ac:dyDescent="0.35">
      <c r="A1838" s="33">
        <v>1835</v>
      </c>
      <c r="B1838" s="34" t="s">
        <v>2214</v>
      </c>
      <c r="C1838" s="33" t="s">
        <v>346</v>
      </c>
      <c r="D1838" s="33" t="s">
        <v>70</v>
      </c>
      <c r="E1838" s="33" t="s">
        <v>2091</v>
      </c>
      <c r="F1838" s="35">
        <v>3.3000000000000002E-2</v>
      </c>
      <c r="G1838" s="40">
        <v>0</v>
      </c>
      <c r="H1838" s="40">
        <v>0</v>
      </c>
      <c r="I1838" s="40">
        <v>0</v>
      </c>
      <c r="J1838" s="40">
        <v>0</v>
      </c>
      <c r="K1838" s="40">
        <v>0</v>
      </c>
      <c r="L1838" s="40">
        <v>0</v>
      </c>
      <c r="M1838" s="40" cm="1">
        <f t="array" ref="M1838:N1838">VLOOKUP(B1838,'Fumigation  Room'!B:H,{6,7},0)</f>
        <v>0</v>
      </c>
      <c r="N1838" s="40">
        <v>0</v>
      </c>
      <c r="O1838" s="40">
        <f t="shared" si="57"/>
        <v>0</v>
      </c>
      <c r="P1838" s="40">
        <f t="shared" si="58"/>
        <v>0</v>
      </c>
    </row>
    <row r="1839" spans="1:16" x14ac:dyDescent="0.35">
      <c r="A1839" s="33">
        <v>1836</v>
      </c>
      <c r="B1839" s="34" t="s">
        <v>2215</v>
      </c>
      <c r="C1839" s="33" t="s">
        <v>346</v>
      </c>
      <c r="D1839" s="33" t="s">
        <v>70</v>
      </c>
      <c r="E1839" s="33" t="s">
        <v>2091</v>
      </c>
      <c r="F1839" s="35">
        <v>3.5000000000000003E-2</v>
      </c>
      <c r="G1839" s="40">
        <v>0</v>
      </c>
      <c r="H1839" s="40">
        <v>0</v>
      </c>
      <c r="I1839" s="40">
        <v>0</v>
      </c>
      <c r="J1839" s="40">
        <v>0</v>
      </c>
      <c r="K1839" s="40">
        <v>0</v>
      </c>
      <c r="L1839" s="40">
        <v>0</v>
      </c>
      <c r="M1839" s="40" cm="1">
        <f t="array" ref="M1839:N1839">VLOOKUP(B1839,'Fumigation  Room'!B:H,{6,7},0)</f>
        <v>0</v>
      </c>
      <c r="N1839" s="40">
        <v>0</v>
      </c>
      <c r="O1839" s="40">
        <f t="shared" si="57"/>
        <v>0</v>
      </c>
      <c r="P1839" s="40">
        <f t="shared" si="58"/>
        <v>0</v>
      </c>
    </row>
    <row r="1840" spans="1:16" x14ac:dyDescent="0.35">
      <c r="A1840" s="33">
        <v>1837</v>
      </c>
      <c r="B1840" s="34" t="s">
        <v>2216</v>
      </c>
      <c r="C1840" s="33" t="s">
        <v>346</v>
      </c>
      <c r="D1840" s="33" t="s">
        <v>70</v>
      </c>
      <c r="E1840" s="33" t="s">
        <v>2091</v>
      </c>
      <c r="F1840" s="35">
        <v>1</v>
      </c>
      <c r="G1840" s="40">
        <v>0</v>
      </c>
      <c r="H1840" s="40">
        <v>0</v>
      </c>
      <c r="I1840" s="40">
        <v>0</v>
      </c>
      <c r="J1840" s="40">
        <v>0</v>
      </c>
      <c r="K1840" s="40">
        <v>0</v>
      </c>
      <c r="L1840" s="40">
        <v>0</v>
      </c>
      <c r="M1840" s="40" cm="1">
        <f t="array" ref="M1840:N1840">VLOOKUP(B1840,'Fumigation  Room'!B:H,{6,7},0)</f>
        <v>0</v>
      </c>
      <c r="N1840" s="40">
        <v>0</v>
      </c>
      <c r="O1840" s="40">
        <f t="shared" si="57"/>
        <v>0</v>
      </c>
      <c r="P1840" s="40">
        <f t="shared" si="58"/>
        <v>0</v>
      </c>
    </row>
    <row r="1841" spans="1:16" x14ac:dyDescent="0.35">
      <c r="A1841" s="33">
        <v>1838</v>
      </c>
      <c r="B1841" s="34" t="s">
        <v>2217</v>
      </c>
      <c r="C1841" s="33" t="s">
        <v>346</v>
      </c>
      <c r="D1841" s="33" t="s">
        <v>70</v>
      </c>
      <c r="E1841" s="33" t="s">
        <v>2091</v>
      </c>
      <c r="F1841" s="35">
        <v>0.2</v>
      </c>
      <c r="G1841" s="40">
        <v>0</v>
      </c>
      <c r="H1841" s="40">
        <v>0</v>
      </c>
      <c r="I1841" s="40">
        <v>0</v>
      </c>
      <c r="J1841" s="40">
        <v>0</v>
      </c>
      <c r="K1841" s="40">
        <v>0</v>
      </c>
      <c r="L1841" s="40">
        <v>0</v>
      </c>
      <c r="M1841" s="40" cm="1">
        <f t="array" ref="M1841:N1841">VLOOKUP(B1841,'Fumigation  Room'!B:H,{6,7},0)</f>
        <v>0</v>
      </c>
      <c r="N1841" s="40">
        <v>0</v>
      </c>
      <c r="O1841" s="40">
        <f t="shared" si="57"/>
        <v>0</v>
      </c>
      <c r="P1841" s="40">
        <f t="shared" si="58"/>
        <v>0</v>
      </c>
    </row>
    <row r="1842" spans="1:16" x14ac:dyDescent="0.35">
      <c r="A1842" s="33">
        <v>1839</v>
      </c>
      <c r="B1842" s="34" t="s">
        <v>2218</v>
      </c>
      <c r="C1842" s="33" t="s">
        <v>346</v>
      </c>
      <c r="D1842" s="33" t="s">
        <v>70</v>
      </c>
      <c r="E1842" s="33" t="s">
        <v>2091</v>
      </c>
      <c r="F1842" s="35">
        <v>0.17499999999999999</v>
      </c>
      <c r="G1842" s="40">
        <v>0</v>
      </c>
      <c r="H1842" s="40">
        <v>0</v>
      </c>
      <c r="I1842" s="40">
        <v>0</v>
      </c>
      <c r="J1842" s="40">
        <v>0</v>
      </c>
      <c r="K1842" s="40">
        <v>0</v>
      </c>
      <c r="L1842" s="40">
        <v>0</v>
      </c>
      <c r="M1842" s="40" cm="1">
        <f t="array" ref="M1842:N1842">VLOOKUP(B1842,'Fumigation  Room'!B:H,{6,7},0)</f>
        <v>0</v>
      </c>
      <c r="N1842" s="40">
        <v>0</v>
      </c>
      <c r="O1842" s="40">
        <f t="shared" si="57"/>
        <v>0</v>
      </c>
      <c r="P1842" s="40">
        <f t="shared" si="58"/>
        <v>0</v>
      </c>
    </row>
    <row r="1843" spans="1:16" x14ac:dyDescent="0.35">
      <c r="A1843" s="33">
        <v>1840</v>
      </c>
      <c r="B1843" s="34" t="s">
        <v>2219</v>
      </c>
      <c r="C1843" s="33" t="s">
        <v>346</v>
      </c>
      <c r="D1843" s="33" t="s">
        <v>70</v>
      </c>
      <c r="E1843" s="33" t="s">
        <v>2091</v>
      </c>
      <c r="F1843" s="35">
        <v>0.17499999999999999</v>
      </c>
      <c r="G1843" s="40">
        <v>0</v>
      </c>
      <c r="H1843" s="40">
        <v>0</v>
      </c>
      <c r="I1843" s="40">
        <v>0</v>
      </c>
      <c r="J1843" s="40">
        <v>0</v>
      </c>
      <c r="K1843" s="40">
        <v>0</v>
      </c>
      <c r="L1843" s="40">
        <v>0</v>
      </c>
      <c r="M1843" s="40" cm="1">
        <f t="array" ref="M1843:N1843">VLOOKUP(B1843,'Fumigation  Room'!B:H,{6,7},0)</f>
        <v>0</v>
      </c>
      <c r="N1843" s="40">
        <v>0</v>
      </c>
      <c r="O1843" s="40">
        <f t="shared" si="57"/>
        <v>0</v>
      </c>
      <c r="P1843" s="40">
        <f t="shared" si="58"/>
        <v>0</v>
      </c>
    </row>
    <row r="1844" spans="1:16" x14ac:dyDescent="0.35">
      <c r="A1844" s="33">
        <v>1841</v>
      </c>
      <c r="B1844" s="34" t="s">
        <v>2220</v>
      </c>
      <c r="C1844" s="33" t="s">
        <v>346</v>
      </c>
      <c r="D1844" s="33" t="s">
        <v>70</v>
      </c>
      <c r="E1844" s="33" t="s">
        <v>2091</v>
      </c>
      <c r="F1844" s="35">
        <v>0.17499999999999999</v>
      </c>
      <c r="G1844" s="40">
        <v>0</v>
      </c>
      <c r="H1844" s="40">
        <v>0</v>
      </c>
      <c r="I1844" s="40">
        <v>0</v>
      </c>
      <c r="J1844" s="40">
        <v>0</v>
      </c>
      <c r="K1844" s="40">
        <v>0</v>
      </c>
      <c r="L1844" s="40">
        <v>0</v>
      </c>
      <c r="M1844" s="40" cm="1">
        <f t="array" ref="M1844:N1844">VLOOKUP(B1844,'Fumigation  Room'!B:H,{6,7},0)</f>
        <v>0</v>
      </c>
      <c r="N1844" s="40">
        <v>0</v>
      </c>
      <c r="O1844" s="40">
        <f t="shared" si="57"/>
        <v>0</v>
      </c>
      <c r="P1844" s="40">
        <f t="shared" si="58"/>
        <v>0</v>
      </c>
    </row>
    <row r="1845" spans="1:16" x14ac:dyDescent="0.35">
      <c r="A1845" s="33">
        <v>1842</v>
      </c>
      <c r="B1845" s="34" t="s">
        <v>2221</v>
      </c>
      <c r="C1845" s="33" t="s">
        <v>346</v>
      </c>
      <c r="D1845" s="33" t="s">
        <v>70</v>
      </c>
      <c r="E1845" s="33" t="s">
        <v>2091</v>
      </c>
      <c r="F1845" s="35">
        <v>0.48</v>
      </c>
      <c r="G1845" s="40">
        <v>0</v>
      </c>
      <c r="H1845" s="40">
        <v>0</v>
      </c>
      <c r="I1845" s="40">
        <v>0</v>
      </c>
      <c r="J1845" s="40">
        <v>0</v>
      </c>
      <c r="K1845" s="40">
        <v>0</v>
      </c>
      <c r="L1845" s="40">
        <v>0</v>
      </c>
      <c r="M1845" s="40" cm="1">
        <f t="array" ref="M1845:N1845">VLOOKUP(B1845,'Fumigation  Room'!B:H,{6,7},0)</f>
        <v>0</v>
      </c>
      <c r="N1845" s="40">
        <v>0</v>
      </c>
      <c r="O1845" s="40">
        <f t="shared" si="57"/>
        <v>0</v>
      </c>
      <c r="P1845" s="40">
        <f t="shared" si="58"/>
        <v>0</v>
      </c>
    </row>
    <row r="1846" spans="1:16" x14ac:dyDescent="0.35">
      <c r="A1846" s="33">
        <v>1843</v>
      </c>
      <c r="B1846" s="34" t="s">
        <v>2222</v>
      </c>
      <c r="C1846" s="33" t="s">
        <v>346</v>
      </c>
      <c r="D1846" s="33" t="s">
        <v>70</v>
      </c>
      <c r="E1846" s="33" t="s">
        <v>2091</v>
      </c>
      <c r="F1846" s="35">
        <v>1</v>
      </c>
      <c r="G1846" s="40">
        <v>0</v>
      </c>
      <c r="H1846" s="40">
        <v>0</v>
      </c>
      <c r="I1846" s="40">
        <v>0</v>
      </c>
      <c r="J1846" s="40">
        <v>0</v>
      </c>
      <c r="K1846" s="40">
        <v>0</v>
      </c>
      <c r="L1846" s="40">
        <v>0</v>
      </c>
      <c r="M1846" s="40" cm="1">
        <f t="array" ref="M1846:N1846">VLOOKUP(B1846,'Fumigation  Room'!B:H,{6,7},0)</f>
        <v>0</v>
      </c>
      <c r="N1846" s="40">
        <v>0</v>
      </c>
      <c r="O1846" s="40">
        <f t="shared" si="57"/>
        <v>0</v>
      </c>
      <c r="P1846" s="40">
        <f t="shared" si="58"/>
        <v>0</v>
      </c>
    </row>
    <row r="1847" spans="1:16" x14ac:dyDescent="0.35">
      <c r="A1847" s="33">
        <v>1844</v>
      </c>
      <c r="B1847" s="34" t="s">
        <v>2223</v>
      </c>
      <c r="C1847" s="33" t="s">
        <v>346</v>
      </c>
      <c r="D1847" s="33" t="s">
        <v>70</v>
      </c>
      <c r="E1847" s="33" t="s">
        <v>2091</v>
      </c>
      <c r="F1847" s="35">
        <v>1.4500000000000001E-2</v>
      </c>
      <c r="G1847" s="40">
        <v>0</v>
      </c>
      <c r="H1847" s="40">
        <v>0</v>
      </c>
      <c r="I1847" s="40">
        <v>0</v>
      </c>
      <c r="J1847" s="40">
        <v>0</v>
      </c>
      <c r="K1847" s="40">
        <v>0</v>
      </c>
      <c r="L1847" s="40">
        <v>0</v>
      </c>
      <c r="M1847" s="40" cm="1">
        <f t="array" ref="M1847:N1847">VLOOKUP(B1847,'Fumigation  Room'!B:H,{6,7},0)</f>
        <v>0</v>
      </c>
      <c r="N1847" s="40">
        <v>0</v>
      </c>
      <c r="O1847" s="40">
        <f t="shared" si="57"/>
        <v>0</v>
      </c>
      <c r="P1847" s="40">
        <f t="shared" si="58"/>
        <v>0</v>
      </c>
    </row>
    <row r="1848" spans="1:16" x14ac:dyDescent="0.35">
      <c r="A1848" s="33">
        <v>1845</v>
      </c>
      <c r="B1848" s="34" t="s">
        <v>2224</v>
      </c>
      <c r="C1848" s="33" t="s">
        <v>346</v>
      </c>
      <c r="D1848" s="33" t="s">
        <v>70</v>
      </c>
      <c r="E1848" s="33" t="s">
        <v>2091</v>
      </c>
      <c r="F1848" s="35">
        <v>1.35E-2</v>
      </c>
      <c r="G1848" s="40">
        <v>0</v>
      </c>
      <c r="H1848" s="40">
        <v>0</v>
      </c>
      <c r="I1848" s="40">
        <v>0</v>
      </c>
      <c r="J1848" s="40">
        <v>0</v>
      </c>
      <c r="K1848" s="40">
        <v>0</v>
      </c>
      <c r="L1848" s="40">
        <v>0</v>
      </c>
      <c r="M1848" s="40" cm="1">
        <f t="array" ref="M1848:N1848">VLOOKUP(B1848,'Fumigation  Room'!B:H,{6,7},0)</f>
        <v>0</v>
      </c>
      <c r="N1848" s="40">
        <v>0</v>
      </c>
      <c r="O1848" s="40">
        <f t="shared" si="57"/>
        <v>0</v>
      </c>
      <c r="P1848" s="40">
        <f t="shared" si="58"/>
        <v>0</v>
      </c>
    </row>
    <row r="1849" spans="1:16" x14ac:dyDescent="0.35">
      <c r="A1849" s="33">
        <v>1846</v>
      </c>
      <c r="B1849" s="34" t="s">
        <v>2225</v>
      </c>
      <c r="C1849" s="33" t="s">
        <v>346</v>
      </c>
      <c r="D1849" s="33" t="s">
        <v>70</v>
      </c>
      <c r="E1849" s="33" t="s">
        <v>2091</v>
      </c>
      <c r="F1849" s="35">
        <v>2.5999999999999999E-2</v>
      </c>
      <c r="G1849" s="40">
        <v>0</v>
      </c>
      <c r="H1849" s="40">
        <v>0</v>
      </c>
      <c r="I1849" s="40">
        <v>0</v>
      </c>
      <c r="J1849" s="40">
        <v>0</v>
      </c>
      <c r="K1849" s="40">
        <v>0</v>
      </c>
      <c r="L1849" s="40">
        <v>0</v>
      </c>
      <c r="M1849" s="40" cm="1">
        <f t="array" ref="M1849:N1849">VLOOKUP(B1849,'Fumigation  Room'!B:H,{6,7},0)</f>
        <v>0</v>
      </c>
      <c r="N1849" s="40">
        <v>0</v>
      </c>
      <c r="O1849" s="40">
        <f t="shared" si="57"/>
        <v>0</v>
      </c>
      <c r="P1849" s="40">
        <f t="shared" si="58"/>
        <v>0</v>
      </c>
    </row>
    <row r="1850" spans="1:16" x14ac:dyDescent="0.35">
      <c r="A1850" s="33">
        <v>1847</v>
      </c>
      <c r="B1850" s="34" t="s">
        <v>2226</v>
      </c>
      <c r="C1850" s="33" t="s">
        <v>346</v>
      </c>
      <c r="D1850" s="33" t="s">
        <v>70</v>
      </c>
      <c r="E1850" s="33" t="s">
        <v>2091</v>
      </c>
      <c r="F1850" s="35">
        <v>7.4999999999999997E-2</v>
      </c>
      <c r="G1850" s="40">
        <v>0</v>
      </c>
      <c r="H1850" s="40">
        <v>0</v>
      </c>
      <c r="I1850" s="40">
        <v>0</v>
      </c>
      <c r="J1850" s="40">
        <v>0</v>
      </c>
      <c r="K1850" s="40">
        <v>0</v>
      </c>
      <c r="L1850" s="40">
        <v>0</v>
      </c>
      <c r="M1850" s="40" cm="1">
        <f t="array" ref="M1850:N1850">VLOOKUP(B1850,'Fumigation  Room'!B:H,{6,7},0)</f>
        <v>0</v>
      </c>
      <c r="N1850" s="40">
        <v>0</v>
      </c>
      <c r="O1850" s="40">
        <f t="shared" si="57"/>
        <v>0</v>
      </c>
      <c r="P1850" s="40">
        <f t="shared" si="58"/>
        <v>0</v>
      </c>
    </row>
    <row r="1851" spans="1:16" x14ac:dyDescent="0.35">
      <c r="A1851" s="33">
        <v>1848</v>
      </c>
      <c r="B1851" s="34" t="s">
        <v>2227</v>
      </c>
      <c r="C1851" s="33" t="s">
        <v>346</v>
      </c>
      <c r="D1851" s="33" t="s">
        <v>70</v>
      </c>
      <c r="E1851" s="33" t="s">
        <v>2091</v>
      </c>
      <c r="F1851" s="35">
        <v>7.4999999999999997E-2</v>
      </c>
      <c r="G1851" s="40">
        <v>0</v>
      </c>
      <c r="H1851" s="40">
        <v>0</v>
      </c>
      <c r="I1851" s="40">
        <v>0</v>
      </c>
      <c r="J1851" s="40">
        <v>0</v>
      </c>
      <c r="K1851" s="40">
        <v>0</v>
      </c>
      <c r="L1851" s="40">
        <v>0</v>
      </c>
      <c r="M1851" s="40" cm="1">
        <f t="array" ref="M1851:N1851">VLOOKUP(B1851,'Fumigation  Room'!B:H,{6,7},0)</f>
        <v>0</v>
      </c>
      <c r="N1851" s="40">
        <v>0</v>
      </c>
      <c r="O1851" s="40">
        <f t="shared" si="57"/>
        <v>0</v>
      </c>
      <c r="P1851" s="40">
        <f t="shared" si="58"/>
        <v>0</v>
      </c>
    </row>
    <row r="1852" spans="1:16" x14ac:dyDescent="0.35">
      <c r="A1852" s="33">
        <v>1849</v>
      </c>
      <c r="B1852" s="34" t="s">
        <v>2228</v>
      </c>
      <c r="C1852" s="33" t="s">
        <v>346</v>
      </c>
      <c r="D1852" s="33" t="s">
        <v>70</v>
      </c>
      <c r="E1852" s="33" t="s">
        <v>2091</v>
      </c>
      <c r="F1852" s="35">
        <v>7.4999999999999997E-2</v>
      </c>
      <c r="G1852" s="40">
        <v>0</v>
      </c>
      <c r="H1852" s="40">
        <v>0</v>
      </c>
      <c r="I1852" s="40">
        <v>0</v>
      </c>
      <c r="J1852" s="40">
        <v>0</v>
      </c>
      <c r="K1852" s="40">
        <v>0</v>
      </c>
      <c r="L1852" s="40">
        <v>0</v>
      </c>
      <c r="M1852" s="40" cm="1">
        <f t="array" ref="M1852:N1852">VLOOKUP(B1852,'Fumigation  Room'!B:H,{6,7},0)</f>
        <v>0</v>
      </c>
      <c r="N1852" s="40">
        <v>0</v>
      </c>
      <c r="O1852" s="40">
        <f t="shared" si="57"/>
        <v>0</v>
      </c>
      <c r="P1852" s="40">
        <f t="shared" si="58"/>
        <v>0</v>
      </c>
    </row>
    <row r="1853" spans="1:16" x14ac:dyDescent="0.35">
      <c r="A1853" s="33">
        <v>1850</v>
      </c>
      <c r="B1853" s="34" t="s">
        <v>2091</v>
      </c>
      <c r="C1853" s="33" t="s">
        <v>346</v>
      </c>
      <c r="D1853" s="33" t="s">
        <v>70</v>
      </c>
      <c r="E1853" s="33" t="s">
        <v>2091</v>
      </c>
      <c r="F1853" s="35">
        <v>1</v>
      </c>
      <c r="G1853" s="40">
        <v>0</v>
      </c>
      <c r="H1853" s="40">
        <v>0</v>
      </c>
      <c r="I1853" s="40">
        <v>0</v>
      </c>
      <c r="J1853" s="40">
        <v>0</v>
      </c>
      <c r="K1853" s="40">
        <v>0</v>
      </c>
      <c r="L1853" s="40">
        <v>0</v>
      </c>
      <c r="M1853" s="40" cm="1">
        <f t="array" ref="M1853:N1853">VLOOKUP(B1853,'Fumigation  Room'!B:H,{6,7},0)</f>
        <v>0</v>
      </c>
      <c r="N1853" s="40">
        <v>0</v>
      </c>
      <c r="O1853" s="40">
        <f t="shared" si="57"/>
        <v>0</v>
      </c>
      <c r="P1853" s="40">
        <f t="shared" si="58"/>
        <v>0</v>
      </c>
    </row>
    <row r="1854" spans="1:16" x14ac:dyDescent="0.35">
      <c r="A1854" s="33">
        <v>1851</v>
      </c>
      <c r="B1854" s="34" t="s">
        <v>2229</v>
      </c>
      <c r="C1854" s="33" t="s">
        <v>346</v>
      </c>
      <c r="D1854" s="33" t="s">
        <v>70</v>
      </c>
      <c r="E1854" s="33" t="s">
        <v>2091</v>
      </c>
      <c r="F1854" s="35">
        <v>1</v>
      </c>
      <c r="G1854" s="40">
        <v>0</v>
      </c>
      <c r="H1854" s="40">
        <v>0</v>
      </c>
      <c r="I1854" s="40">
        <v>0</v>
      </c>
      <c r="J1854" s="40">
        <v>0</v>
      </c>
      <c r="K1854" s="40">
        <v>0</v>
      </c>
      <c r="L1854" s="40">
        <v>0</v>
      </c>
      <c r="M1854" s="40" cm="1">
        <f t="array" ref="M1854:N1854">VLOOKUP(B1854,'Fumigation  Room'!B:H,{6,7},0)</f>
        <v>0</v>
      </c>
      <c r="N1854" s="40">
        <v>0</v>
      </c>
      <c r="O1854" s="40">
        <f t="shared" si="57"/>
        <v>0</v>
      </c>
      <c r="P1854" s="40">
        <f t="shared" si="58"/>
        <v>0</v>
      </c>
    </row>
    <row r="1855" spans="1:16" x14ac:dyDescent="0.35">
      <c r="A1855" s="33">
        <v>1852</v>
      </c>
      <c r="B1855" s="34" t="s">
        <v>2230</v>
      </c>
      <c r="C1855" s="33" t="s">
        <v>346</v>
      </c>
      <c r="D1855" s="33" t="s">
        <v>70</v>
      </c>
      <c r="E1855" s="33" t="s">
        <v>2091</v>
      </c>
      <c r="F1855" s="35">
        <v>1</v>
      </c>
      <c r="G1855" s="40">
        <v>0</v>
      </c>
      <c r="H1855" s="40">
        <v>0</v>
      </c>
      <c r="I1855" s="40">
        <v>0</v>
      </c>
      <c r="J1855" s="40">
        <v>0</v>
      </c>
      <c r="K1855" s="40">
        <v>0</v>
      </c>
      <c r="L1855" s="40">
        <v>0</v>
      </c>
      <c r="M1855" s="40" cm="1">
        <f t="array" ref="M1855:N1855">VLOOKUP(B1855,'Fumigation  Room'!B:H,{6,7},0)</f>
        <v>0</v>
      </c>
      <c r="N1855" s="40">
        <v>0</v>
      </c>
      <c r="O1855" s="40">
        <f t="shared" si="57"/>
        <v>0</v>
      </c>
      <c r="P1855" s="40">
        <f t="shared" si="58"/>
        <v>0</v>
      </c>
    </row>
    <row r="1856" spans="1:16" x14ac:dyDescent="0.35">
      <c r="A1856" s="33">
        <v>1853</v>
      </c>
      <c r="B1856" s="34" t="s">
        <v>2231</v>
      </c>
      <c r="C1856" s="33" t="s">
        <v>346</v>
      </c>
      <c r="D1856" s="33" t="s">
        <v>70</v>
      </c>
      <c r="E1856" s="33" t="s">
        <v>2091</v>
      </c>
      <c r="F1856" s="35">
        <v>1</v>
      </c>
      <c r="G1856" s="40">
        <v>0</v>
      </c>
      <c r="H1856" s="40">
        <v>0</v>
      </c>
      <c r="I1856" s="40">
        <v>0</v>
      </c>
      <c r="J1856" s="40">
        <v>0</v>
      </c>
      <c r="K1856" s="40">
        <v>0</v>
      </c>
      <c r="L1856" s="40">
        <v>0</v>
      </c>
      <c r="M1856" s="40" cm="1">
        <f t="array" ref="M1856:N1856">VLOOKUP(B1856,'Fumigation  Room'!B:H,{6,7},0)</f>
        <v>0</v>
      </c>
      <c r="N1856" s="40">
        <v>0</v>
      </c>
      <c r="O1856" s="40">
        <f t="shared" si="57"/>
        <v>0</v>
      </c>
      <c r="P1856" s="40">
        <f t="shared" si="58"/>
        <v>0</v>
      </c>
    </row>
    <row r="1857" spans="1:16" x14ac:dyDescent="0.35">
      <c r="A1857" s="33">
        <v>1854</v>
      </c>
      <c r="B1857" s="34" t="s">
        <v>2232</v>
      </c>
      <c r="C1857" s="33" t="s">
        <v>346</v>
      </c>
      <c r="D1857" s="33" t="s">
        <v>70</v>
      </c>
      <c r="E1857" s="33" t="s">
        <v>2091</v>
      </c>
      <c r="F1857" s="35">
        <v>1</v>
      </c>
      <c r="G1857" s="40">
        <v>0</v>
      </c>
      <c r="H1857" s="40">
        <v>0</v>
      </c>
      <c r="I1857" s="40">
        <v>0</v>
      </c>
      <c r="J1857" s="40">
        <v>0</v>
      </c>
      <c r="K1857" s="40">
        <v>0</v>
      </c>
      <c r="L1857" s="40">
        <v>0</v>
      </c>
      <c r="M1857" s="40" cm="1">
        <f t="array" ref="M1857:N1857">VLOOKUP(B1857,'Fumigation  Room'!B:H,{6,7},0)</f>
        <v>0</v>
      </c>
      <c r="N1857" s="40">
        <v>0</v>
      </c>
      <c r="O1857" s="40">
        <f t="shared" si="57"/>
        <v>0</v>
      </c>
      <c r="P1857" s="40">
        <f t="shared" si="58"/>
        <v>0</v>
      </c>
    </row>
    <row r="1858" spans="1:16" x14ac:dyDescent="0.35">
      <c r="A1858" s="33">
        <v>1855</v>
      </c>
      <c r="B1858" s="34" t="s">
        <v>2233</v>
      </c>
      <c r="C1858" s="33" t="s">
        <v>346</v>
      </c>
      <c r="D1858" s="33" t="s">
        <v>70</v>
      </c>
      <c r="E1858" s="33" t="s">
        <v>2091</v>
      </c>
      <c r="F1858" s="35">
        <v>1</v>
      </c>
      <c r="G1858" s="40">
        <v>0</v>
      </c>
      <c r="H1858" s="40">
        <v>0</v>
      </c>
      <c r="I1858" s="40">
        <v>0</v>
      </c>
      <c r="J1858" s="40">
        <v>0</v>
      </c>
      <c r="K1858" s="40">
        <v>0</v>
      </c>
      <c r="L1858" s="40">
        <v>0</v>
      </c>
      <c r="M1858" s="40" cm="1">
        <f t="array" ref="M1858:N1858">VLOOKUP(B1858,'Fumigation  Room'!B:H,{6,7},0)</f>
        <v>0</v>
      </c>
      <c r="N1858" s="40">
        <v>0</v>
      </c>
      <c r="O1858" s="40">
        <f t="shared" si="57"/>
        <v>0</v>
      </c>
      <c r="P1858" s="40">
        <f t="shared" si="58"/>
        <v>0</v>
      </c>
    </row>
    <row r="1859" spans="1:16" x14ac:dyDescent="0.35">
      <c r="A1859" s="33">
        <v>1856</v>
      </c>
      <c r="B1859" s="34" t="s">
        <v>2234</v>
      </c>
      <c r="C1859" s="33" t="s">
        <v>346</v>
      </c>
      <c r="D1859" s="33" t="s">
        <v>70</v>
      </c>
      <c r="E1859" s="33" t="s">
        <v>2091</v>
      </c>
      <c r="F1859" s="35">
        <v>1</v>
      </c>
      <c r="G1859" s="40">
        <v>0</v>
      </c>
      <c r="H1859" s="40">
        <v>0</v>
      </c>
      <c r="I1859" s="40">
        <v>0</v>
      </c>
      <c r="J1859" s="40">
        <v>0</v>
      </c>
      <c r="K1859" s="40">
        <v>0</v>
      </c>
      <c r="L1859" s="40">
        <v>0</v>
      </c>
      <c r="M1859" s="40" cm="1">
        <f t="array" ref="M1859:N1859">VLOOKUP(B1859,'Fumigation  Room'!B:H,{6,7},0)</f>
        <v>0</v>
      </c>
      <c r="N1859" s="40">
        <v>0</v>
      </c>
      <c r="O1859" s="40">
        <f t="shared" si="57"/>
        <v>0</v>
      </c>
      <c r="P1859" s="40">
        <f t="shared" si="58"/>
        <v>0</v>
      </c>
    </row>
    <row r="1860" spans="1:16" x14ac:dyDescent="0.35">
      <c r="A1860" s="33">
        <v>1857</v>
      </c>
      <c r="B1860" s="34" t="s">
        <v>2235</v>
      </c>
      <c r="C1860" s="33" t="s">
        <v>346</v>
      </c>
      <c r="D1860" s="33" t="s">
        <v>70</v>
      </c>
      <c r="E1860" s="33" t="s">
        <v>2091</v>
      </c>
      <c r="F1860" s="35">
        <v>1</v>
      </c>
      <c r="G1860" s="40">
        <v>0</v>
      </c>
      <c r="H1860" s="40">
        <v>0</v>
      </c>
      <c r="I1860" s="40">
        <v>0</v>
      </c>
      <c r="J1860" s="40">
        <v>0</v>
      </c>
      <c r="K1860" s="40">
        <v>0</v>
      </c>
      <c r="L1860" s="40">
        <v>0</v>
      </c>
      <c r="M1860" s="40" cm="1">
        <f t="array" ref="M1860:N1860">VLOOKUP(B1860,'Fumigation  Room'!B:H,{6,7},0)</f>
        <v>0</v>
      </c>
      <c r="N1860" s="40">
        <v>0</v>
      </c>
      <c r="O1860" s="40">
        <f t="shared" si="57"/>
        <v>0</v>
      </c>
      <c r="P1860" s="40">
        <f t="shared" si="58"/>
        <v>0</v>
      </c>
    </row>
    <row r="1861" spans="1:16" x14ac:dyDescent="0.35">
      <c r="A1861" s="33">
        <v>1858</v>
      </c>
      <c r="B1861" s="34" t="s">
        <v>2236</v>
      </c>
      <c r="C1861" s="33" t="s">
        <v>346</v>
      </c>
      <c r="D1861" s="33" t="s">
        <v>70</v>
      </c>
      <c r="E1861" s="33" t="s">
        <v>2091</v>
      </c>
      <c r="F1861" s="35">
        <v>0.8</v>
      </c>
      <c r="G1861" s="40">
        <v>0</v>
      </c>
      <c r="H1861" s="40">
        <v>0</v>
      </c>
      <c r="I1861" s="40">
        <v>0</v>
      </c>
      <c r="J1861" s="40">
        <v>0</v>
      </c>
      <c r="K1861" s="40">
        <v>0</v>
      </c>
      <c r="L1861" s="40">
        <v>0</v>
      </c>
      <c r="M1861" s="40" cm="1">
        <f t="array" ref="M1861:N1861">VLOOKUP(B1861,'Fumigation  Room'!B:H,{6,7},0)</f>
        <v>0</v>
      </c>
      <c r="N1861" s="40">
        <v>0</v>
      </c>
      <c r="O1861" s="40">
        <f t="shared" ref="O1861:O1924" si="59">G1861+I1861+K1861+M1861</f>
        <v>0</v>
      </c>
      <c r="P1861" s="40">
        <f t="shared" ref="P1861:P1924" si="60">H1861+J1861+L1861+N1861</f>
        <v>0</v>
      </c>
    </row>
    <row r="1862" spans="1:16" x14ac:dyDescent="0.35">
      <c r="A1862" s="33">
        <v>1859</v>
      </c>
      <c r="B1862" s="34" t="s">
        <v>2237</v>
      </c>
      <c r="C1862" s="33" t="s">
        <v>346</v>
      </c>
      <c r="D1862" s="33" t="s">
        <v>70</v>
      </c>
      <c r="E1862" s="33" t="s">
        <v>2091</v>
      </c>
      <c r="F1862" s="35">
        <v>0.4</v>
      </c>
      <c r="G1862" s="40">
        <v>0</v>
      </c>
      <c r="H1862" s="40">
        <v>0</v>
      </c>
      <c r="I1862" s="40">
        <v>0</v>
      </c>
      <c r="J1862" s="40">
        <v>0</v>
      </c>
      <c r="K1862" s="40">
        <v>0</v>
      </c>
      <c r="L1862" s="40">
        <v>0</v>
      </c>
      <c r="M1862" s="40" cm="1">
        <f t="array" ref="M1862:N1862">VLOOKUP(B1862,'Fumigation  Room'!B:H,{6,7},0)</f>
        <v>0</v>
      </c>
      <c r="N1862" s="40">
        <v>0</v>
      </c>
      <c r="O1862" s="40">
        <f t="shared" si="59"/>
        <v>0</v>
      </c>
      <c r="P1862" s="40">
        <f t="shared" si="60"/>
        <v>0</v>
      </c>
    </row>
    <row r="1863" spans="1:16" x14ac:dyDescent="0.35">
      <c r="A1863" s="33">
        <v>1860</v>
      </c>
      <c r="B1863" s="34" t="s">
        <v>2238</v>
      </c>
      <c r="C1863" s="33" t="s">
        <v>346</v>
      </c>
      <c r="D1863" s="33" t="s">
        <v>70</v>
      </c>
      <c r="E1863" s="33" t="s">
        <v>2091</v>
      </c>
      <c r="F1863" s="35">
        <v>0.4</v>
      </c>
      <c r="G1863" s="40">
        <v>0</v>
      </c>
      <c r="H1863" s="40">
        <v>0</v>
      </c>
      <c r="I1863" s="40">
        <v>0</v>
      </c>
      <c r="J1863" s="40">
        <v>0</v>
      </c>
      <c r="K1863" s="40">
        <v>0</v>
      </c>
      <c r="L1863" s="40">
        <v>0</v>
      </c>
      <c r="M1863" s="40" cm="1">
        <f t="array" ref="M1863:N1863">VLOOKUP(B1863,'Fumigation  Room'!B:H,{6,7},0)</f>
        <v>0</v>
      </c>
      <c r="N1863" s="40">
        <v>0</v>
      </c>
      <c r="O1863" s="40">
        <f t="shared" si="59"/>
        <v>0</v>
      </c>
      <c r="P1863" s="40">
        <f t="shared" si="60"/>
        <v>0</v>
      </c>
    </row>
    <row r="1864" spans="1:16" x14ac:dyDescent="0.35">
      <c r="A1864" s="33">
        <v>1861</v>
      </c>
      <c r="B1864" s="34" t="s">
        <v>2239</v>
      </c>
      <c r="C1864" s="33" t="s">
        <v>346</v>
      </c>
      <c r="D1864" s="33" t="s">
        <v>70</v>
      </c>
      <c r="E1864" s="33" t="s">
        <v>2091</v>
      </c>
      <c r="F1864" s="35">
        <v>0.4</v>
      </c>
      <c r="G1864" s="40">
        <v>0</v>
      </c>
      <c r="H1864" s="40">
        <v>0</v>
      </c>
      <c r="I1864" s="40">
        <v>0</v>
      </c>
      <c r="J1864" s="40">
        <v>0</v>
      </c>
      <c r="K1864" s="40">
        <v>0</v>
      </c>
      <c r="L1864" s="40">
        <v>0</v>
      </c>
      <c r="M1864" s="40" cm="1">
        <f t="array" ref="M1864:N1864">VLOOKUP(B1864,'Fumigation  Room'!B:H,{6,7},0)</f>
        <v>0</v>
      </c>
      <c r="N1864" s="40">
        <v>0</v>
      </c>
      <c r="O1864" s="40">
        <f t="shared" si="59"/>
        <v>0</v>
      </c>
      <c r="P1864" s="40">
        <f t="shared" si="60"/>
        <v>0</v>
      </c>
    </row>
    <row r="1865" spans="1:16" x14ac:dyDescent="0.35">
      <c r="A1865" s="33">
        <v>1862</v>
      </c>
      <c r="B1865" s="34" t="s">
        <v>2240</v>
      </c>
      <c r="C1865" s="33" t="s">
        <v>346</v>
      </c>
      <c r="D1865" s="33" t="s">
        <v>70</v>
      </c>
      <c r="E1865" s="33" t="s">
        <v>2091</v>
      </c>
      <c r="F1865" s="35">
        <v>0.2</v>
      </c>
      <c r="G1865" s="40">
        <v>0</v>
      </c>
      <c r="H1865" s="40">
        <v>0</v>
      </c>
      <c r="I1865" s="40">
        <v>0</v>
      </c>
      <c r="J1865" s="40">
        <v>0</v>
      </c>
      <c r="K1865" s="40">
        <v>0</v>
      </c>
      <c r="L1865" s="40">
        <v>0</v>
      </c>
      <c r="M1865" s="40" cm="1">
        <f t="array" ref="M1865:N1865">VLOOKUP(B1865,'Fumigation  Room'!B:H,{6,7},0)</f>
        <v>0</v>
      </c>
      <c r="N1865" s="40">
        <v>0</v>
      </c>
      <c r="O1865" s="40">
        <f t="shared" si="59"/>
        <v>0</v>
      </c>
      <c r="P1865" s="40">
        <f t="shared" si="60"/>
        <v>0</v>
      </c>
    </row>
    <row r="1866" spans="1:16" x14ac:dyDescent="0.35">
      <c r="A1866" s="33">
        <v>1863</v>
      </c>
      <c r="B1866" s="34" t="s">
        <v>2241</v>
      </c>
      <c r="C1866" s="33" t="s">
        <v>346</v>
      </c>
      <c r="D1866" s="33" t="s">
        <v>70</v>
      </c>
      <c r="E1866" s="33" t="s">
        <v>2091</v>
      </c>
      <c r="F1866" s="35">
        <v>0.34</v>
      </c>
      <c r="G1866" s="40">
        <v>0</v>
      </c>
      <c r="H1866" s="40">
        <v>0</v>
      </c>
      <c r="I1866" s="40">
        <v>0</v>
      </c>
      <c r="J1866" s="40">
        <v>0</v>
      </c>
      <c r="K1866" s="40">
        <v>0</v>
      </c>
      <c r="L1866" s="40">
        <v>0</v>
      </c>
      <c r="M1866" s="40" cm="1">
        <f t="array" ref="M1866:N1866">VLOOKUP(B1866,'Fumigation  Room'!B:H,{6,7},0)</f>
        <v>0</v>
      </c>
      <c r="N1866" s="40">
        <v>0</v>
      </c>
      <c r="O1866" s="40">
        <f t="shared" si="59"/>
        <v>0</v>
      </c>
      <c r="P1866" s="40">
        <f t="shared" si="60"/>
        <v>0</v>
      </c>
    </row>
    <row r="1867" spans="1:16" x14ac:dyDescent="0.35">
      <c r="A1867" s="33">
        <v>1864</v>
      </c>
      <c r="B1867" s="34" t="s">
        <v>2242</v>
      </c>
      <c r="C1867" s="33" t="s">
        <v>297</v>
      </c>
      <c r="D1867" s="33" t="s">
        <v>142</v>
      </c>
      <c r="E1867" s="33" t="s">
        <v>2242</v>
      </c>
      <c r="F1867" s="35">
        <v>1</v>
      </c>
      <c r="G1867" s="40">
        <v>0</v>
      </c>
      <c r="H1867" s="40">
        <v>0</v>
      </c>
      <c r="I1867" s="40">
        <v>0</v>
      </c>
      <c r="J1867" s="40">
        <v>0</v>
      </c>
      <c r="K1867" s="40">
        <v>0</v>
      </c>
      <c r="L1867" s="40">
        <v>0</v>
      </c>
      <c r="M1867" s="40" cm="1">
        <f t="array" ref="M1867:N1867">VLOOKUP(B1867,'Fumigation  Room'!B:H,{6,7},0)</f>
        <v>0</v>
      </c>
      <c r="N1867" s="40">
        <v>0</v>
      </c>
      <c r="O1867" s="40">
        <f t="shared" si="59"/>
        <v>0</v>
      </c>
      <c r="P1867" s="40">
        <f t="shared" si="60"/>
        <v>0</v>
      </c>
    </row>
    <row r="1868" spans="1:16" x14ac:dyDescent="0.35">
      <c r="A1868" s="33">
        <v>1865</v>
      </c>
      <c r="B1868" s="34" t="s">
        <v>2243</v>
      </c>
      <c r="C1868" s="33" t="s">
        <v>297</v>
      </c>
      <c r="D1868" s="33" t="s">
        <v>142</v>
      </c>
      <c r="E1868" s="33" t="s">
        <v>2244</v>
      </c>
      <c r="F1868" s="35">
        <v>1</v>
      </c>
      <c r="G1868" s="40">
        <v>0</v>
      </c>
      <c r="H1868" s="40">
        <v>0</v>
      </c>
      <c r="I1868" s="40">
        <v>0</v>
      </c>
      <c r="J1868" s="40">
        <v>0</v>
      </c>
      <c r="K1868" s="40">
        <v>0</v>
      </c>
      <c r="L1868" s="40">
        <v>0</v>
      </c>
      <c r="M1868" s="40" cm="1">
        <f t="array" ref="M1868:N1868">VLOOKUP(B1868,'Fumigation  Room'!B:H,{6,7},0)</f>
        <v>0</v>
      </c>
      <c r="N1868" s="40">
        <v>0</v>
      </c>
      <c r="O1868" s="40">
        <f t="shared" si="59"/>
        <v>0</v>
      </c>
      <c r="P1868" s="40">
        <f t="shared" si="60"/>
        <v>0</v>
      </c>
    </row>
    <row r="1869" spans="1:16" x14ac:dyDescent="0.35">
      <c r="A1869" s="33">
        <v>1866</v>
      </c>
      <c r="B1869" s="34" t="s">
        <v>2245</v>
      </c>
      <c r="C1869" s="33" t="s">
        <v>297</v>
      </c>
      <c r="D1869" s="33" t="s">
        <v>142</v>
      </c>
      <c r="E1869" s="33" t="s">
        <v>2244</v>
      </c>
      <c r="F1869" s="35">
        <v>1</v>
      </c>
      <c r="G1869" s="40">
        <v>0</v>
      </c>
      <c r="H1869" s="40">
        <v>0</v>
      </c>
      <c r="I1869" s="40">
        <v>0</v>
      </c>
      <c r="J1869" s="40">
        <v>0</v>
      </c>
      <c r="K1869" s="40">
        <v>0</v>
      </c>
      <c r="L1869" s="40">
        <v>0</v>
      </c>
      <c r="M1869" s="40" cm="1">
        <f t="array" ref="M1869:N1869">VLOOKUP(B1869,'Fumigation  Room'!B:H,{6,7},0)</f>
        <v>0</v>
      </c>
      <c r="N1869" s="40">
        <v>0</v>
      </c>
      <c r="O1869" s="40">
        <f t="shared" si="59"/>
        <v>0</v>
      </c>
      <c r="P1869" s="40">
        <f t="shared" si="60"/>
        <v>0</v>
      </c>
    </row>
    <row r="1870" spans="1:16" x14ac:dyDescent="0.35">
      <c r="A1870" s="33">
        <v>1867</v>
      </c>
      <c r="B1870" s="34" t="s">
        <v>2246</v>
      </c>
      <c r="C1870" s="33" t="s">
        <v>297</v>
      </c>
      <c r="D1870" s="33" t="s">
        <v>142</v>
      </c>
      <c r="E1870" s="33" t="s">
        <v>2244</v>
      </c>
      <c r="F1870" s="35">
        <v>1</v>
      </c>
      <c r="G1870" s="40">
        <v>0</v>
      </c>
      <c r="H1870" s="40">
        <v>0</v>
      </c>
      <c r="I1870" s="40">
        <v>0</v>
      </c>
      <c r="J1870" s="40">
        <v>0</v>
      </c>
      <c r="K1870" s="40">
        <v>0</v>
      </c>
      <c r="L1870" s="40">
        <v>0</v>
      </c>
      <c r="M1870" s="40" cm="1">
        <f t="array" ref="M1870:N1870">VLOOKUP(B1870,'Fumigation  Room'!B:H,{6,7},0)</f>
        <v>0</v>
      </c>
      <c r="N1870" s="40">
        <v>0</v>
      </c>
      <c r="O1870" s="40">
        <f t="shared" si="59"/>
        <v>0</v>
      </c>
      <c r="P1870" s="40">
        <f t="shared" si="60"/>
        <v>0</v>
      </c>
    </row>
    <row r="1871" spans="1:16" x14ac:dyDescent="0.35">
      <c r="A1871" s="33">
        <v>1868</v>
      </c>
      <c r="B1871" s="34" t="s">
        <v>2247</v>
      </c>
      <c r="C1871" s="33" t="s">
        <v>297</v>
      </c>
      <c r="D1871" s="33" t="s">
        <v>142</v>
      </c>
      <c r="E1871" s="33" t="s">
        <v>2244</v>
      </c>
      <c r="F1871" s="35">
        <v>1</v>
      </c>
      <c r="G1871" s="40">
        <v>0</v>
      </c>
      <c r="H1871" s="40">
        <v>0</v>
      </c>
      <c r="I1871" s="40">
        <v>0</v>
      </c>
      <c r="J1871" s="40">
        <v>0</v>
      </c>
      <c r="K1871" s="40">
        <v>0</v>
      </c>
      <c r="L1871" s="40">
        <v>0</v>
      </c>
      <c r="M1871" s="40" cm="1">
        <f t="array" ref="M1871:N1871">VLOOKUP(B1871,'Fumigation  Room'!B:H,{6,7},0)</f>
        <v>0</v>
      </c>
      <c r="N1871" s="40">
        <v>0</v>
      </c>
      <c r="O1871" s="40">
        <f t="shared" si="59"/>
        <v>0</v>
      </c>
      <c r="P1871" s="40">
        <f t="shared" si="60"/>
        <v>0</v>
      </c>
    </row>
    <row r="1872" spans="1:16" x14ac:dyDescent="0.35">
      <c r="A1872" s="33">
        <v>1869</v>
      </c>
      <c r="B1872" s="34" t="s">
        <v>2255</v>
      </c>
      <c r="C1872" s="33" t="s">
        <v>346</v>
      </c>
      <c r="D1872" s="33" t="s">
        <v>142</v>
      </c>
      <c r="E1872" s="33" t="s">
        <v>2244</v>
      </c>
      <c r="F1872" s="35">
        <v>0.25</v>
      </c>
      <c r="G1872" s="40">
        <v>0</v>
      </c>
      <c r="H1872" s="40">
        <v>0</v>
      </c>
      <c r="I1872" s="40">
        <v>0</v>
      </c>
      <c r="J1872" s="40">
        <v>0</v>
      </c>
      <c r="K1872" s="40">
        <v>0</v>
      </c>
      <c r="L1872" s="40">
        <v>0</v>
      </c>
      <c r="M1872" s="40" cm="1">
        <f t="array" ref="M1872:N1872">VLOOKUP(B1872,'Fumigation  Room'!B:H,{6,7},0)</f>
        <v>0</v>
      </c>
      <c r="N1872" s="40">
        <v>0</v>
      </c>
      <c r="O1872" s="40">
        <f t="shared" si="59"/>
        <v>0</v>
      </c>
      <c r="P1872" s="40">
        <f t="shared" si="60"/>
        <v>0</v>
      </c>
    </row>
    <row r="1873" spans="1:16" x14ac:dyDescent="0.35">
      <c r="A1873" s="33">
        <v>1870</v>
      </c>
      <c r="B1873" s="34" t="s">
        <v>2256</v>
      </c>
      <c r="C1873" s="33" t="s">
        <v>346</v>
      </c>
      <c r="D1873" s="33" t="s">
        <v>142</v>
      </c>
      <c r="E1873" s="33" t="s">
        <v>2244</v>
      </c>
      <c r="F1873" s="35">
        <v>1</v>
      </c>
      <c r="G1873" s="40">
        <v>0</v>
      </c>
      <c r="H1873" s="40">
        <v>0</v>
      </c>
      <c r="I1873" s="40">
        <v>0</v>
      </c>
      <c r="J1873" s="40">
        <v>0</v>
      </c>
      <c r="K1873" s="40">
        <v>0</v>
      </c>
      <c r="L1873" s="40">
        <v>0</v>
      </c>
      <c r="M1873" s="40" cm="1">
        <f t="array" ref="M1873:N1873">VLOOKUP(B1873,'Fumigation  Room'!B:H,{6,7},0)</f>
        <v>0</v>
      </c>
      <c r="N1873" s="40">
        <v>0</v>
      </c>
      <c r="O1873" s="40">
        <f t="shared" si="59"/>
        <v>0</v>
      </c>
      <c r="P1873" s="40">
        <f t="shared" si="60"/>
        <v>0</v>
      </c>
    </row>
    <row r="1874" spans="1:16" x14ac:dyDescent="0.35">
      <c r="A1874" s="33">
        <v>1871</v>
      </c>
      <c r="B1874" s="34" t="s">
        <v>2257</v>
      </c>
      <c r="C1874" s="33" t="s">
        <v>346</v>
      </c>
      <c r="D1874" s="33" t="s">
        <v>142</v>
      </c>
      <c r="E1874" s="33" t="s">
        <v>2244</v>
      </c>
      <c r="F1874" s="35">
        <v>1</v>
      </c>
      <c r="G1874" s="40">
        <v>0</v>
      </c>
      <c r="H1874" s="40">
        <v>0</v>
      </c>
      <c r="I1874" s="40">
        <v>0</v>
      </c>
      <c r="J1874" s="40">
        <v>0</v>
      </c>
      <c r="K1874" s="40">
        <v>0</v>
      </c>
      <c r="L1874" s="40">
        <v>0</v>
      </c>
      <c r="M1874" s="40" cm="1">
        <f t="array" ref="M1874:N1874">VLOOKUP(B1874,'Fumigation  Room'!B:H,{6,7},0)</f>
        <v>0</v>
      </c>
      <c r="N1874" s="40">
        <v>0</v>
      </c>
      <c r="O1874" s="40">
        <f t="shared" si="59"/>
        <v>0</v>
      </c>
      <c r="P1874" s="40">
        <f t="shared" si="60"/>
        <v>0</v>
      </c>
    </row>
    <row r="1875" spans="1:16" x14ac:dyDescent="0.35">
      <c r="A1875" s="33">
        <v>1872</v>
      </c>
      <c r="B1875" s="34" t="s">
        <v>2258</v>
      </c>
      <c r="C1875" s="33" t="s">
        <v>346</v>
      </c>
      <c r="D1875" s="33" t="s">
        <v>142</v>
      </c>
      <c r="E1875" s="33" t="s">
        <v>2244</v>
      </c>
      <c r="F1875" s="35">
        <v>1</v>
      </c>
      <c r="G1875" s="40">
        <v>0</v>
      </c>
      <c r="H1875" s="40">
        <v>0</v>
      </c>
      <c r="I1875" s="40">
        <v>0</v>
      </c>
      <c r="J1875" s="40">
        <v>0</v>
      </c>
      <c r="K1875" s="40">
        <v>0</v>
      </c>
      <c r="L1875" s="40">
        <v>0</v>
      </c>
      <c r="M1875" s="40" cm="1">
        <f t="array" ref="M1875:N1875">VLOOKUP(B1875,'Fumigation  Room'!B:H,{6,7},0)</f>
        <v>0</v>
      </c>
      <c r="N1875" s="40">
        <v>0</v>
      </c>
      <c r="O1875" s="40">
        <f t="shared" si="59"/>
        <v>0</v>
      </c>
      <c r="P1875" s="40">
        <f t="shared" si="60"/>
        <v>0</v>
      </c>
    </row>
    <row r="1876" spans="1:16" x14ac:dyDescent="0.35">
      <c r="A1876" s="33">
        <v>1873</v>
      </c>
      <c r="B1876" s="34" t="s">
        <v>2259</v>
      </c>
      <c r="C1876" s="33" t="s">
        <v>346</v>
      </c>
      <c r="D1876" s="33" t="s">
        <v>142</v>
      </c>
      <c r="E1876" s="33" t="s">
        <v>2244</v>
      </c>
      <c r="F1876" s="35">
        <v>1</v>
      </c>
      <c r="G1876" s="40">
        <v>0</v>
      </c>
      <c r="H1876" s="40">
        <v>0</v>
      </c>
      <c r="I1876" s="40">
        <v>0</v>
      </c>
      <c r="J1876" s="40">
        <v>0</v>
      </c>
      <c r="K1876" s="40">
        <v>0</v>
      </c>
      <c r="L1876" s="40">
        <v>0</v>
      </c>
      <c r="M1876" s="40" cm="1">
        <f t="array" ref="M1876:N1876">VLOOKUP(B1876,'Fumigation  Room'!B:H,{6,7},0)</f>
        <v>0</v>
      </c>
      <c r="N1876" s="40">
        <v>0</v>
      </c>
      <c r="O1876" s="40">
        <f t="shared" si="59"/>
        <v>0</v>
      </c>
      <c r="P1876" s="40">
        <f t="shared" si="60"/>
        <v>0</v>
      </c>
    </row>
    <row r="1877" spans="1:16" x14ac:dyDescent="0.35">
      <c r="A1877" s="33">
        <v>1874</v>
      </c>
      <c r="B1877" s="34" t="s">
        <v>2260</v>
      </c>
      <c r="C1877" s="33" t="s">
        <v>346</v>
      </c>
      <c r="D1877" s="33" t="s">
        <v>142</v>
      </c>
      <c r="E1877" s="33" t="s">
        <v>2244</v>
      </c>
      <c r="F1877" s="35">
        <v>1</v>
      </c>
      <c r="G1877" s="40">
        <v>0</v>
      </c>
      <c r="H1877" s="40">
        <v>0</v>
      </c>
      <c r="I1877" s="40">
        <v>0</v>
      </c>
      <c r="J1877" s="40">
        <v>0</v>
      </c>
      <c r="K1877" s="40">
        <v>0</v>
      </c>
      <c r="L1877" s="40">
        <v>0</v>
      </c>
      <c r="M1877" s="40" cm="1">
        <f t="array" ref="M1877:N1877">VLOOKUP(B1877,'Fumigation  Room'!B:H,{6,7},0)</f>
        <v>0</v>
      </c>
      <c r="N1877" s="40">
        <v>0</v>
      </c>
      <c r="O1877" s="40">
        <f t="shared" si="59"/>
        <v>0</v>
      </c>
      <c r="P1877" s="40">
        <f t="shared" si="60"/>
        <v>0</v>
      </c>
    </row>
    <row r="1878" spans="1:16" x14ac:dyDescent="0.35">
      <c r="A1878" s="33">
        <v>1875</v>
      </c>
      <c r="B1878" s="34" t="s">
        <v>2261</v>
      </c>
      <c r="C1878" s="33" t="s">
        <v>346</v>
      </c>
      <c r="D1878" s="33" t="s">
        <v>142</v>
      </c>
      <c r="E1878" s="33" t="s">
        <v>2244</v>
      </c>
      <c r="F1878" s="35">
        <v>1</v>
      </c>
      <c r="G1878" s="40">
        <v>0</v>
      </c>
      <c r="H1878" s="40">
        <v>0</v>
      </c>
      <c r="I1878" s="40">
        <v>0</v>
      </c>
      <c r="J1878" s="40">
        <v>0</v>
      </c>
      <c r="K1878" s="40">
        <v>0</v>
      </c>
      <c r="L1878" s="40">
        <v>0</v>
      </c>
      <c r="M1878" s="40" cm="1">
        <f t="array" ref="M1878:N1878">VLOOKUP(B1878,'Fumigation  Room'!B:H,{6,7},0)</f>
        <v>0</v>
      </c>
      <c r="N1878" s="40">
        <v>0</v>
      </c>
      <c r="O1878" s="40">
        <f t="shared" si="59"/>
        <v>0</v>
      </c>
      <c r="P1878" s="40">
        <f t="shared" si="60"/>
        <v>0</v>
      </c>
    </row>
    <row r="1879" spans="1:16" x14ac:dyDescent="0.35">
      <c r="A1879" s="33">
        <v>1876</v>
      </c>
      <c r="B1879" s="34" t="s">
        <v>2262</v>
      </c>
      <c r="C1879" s="33" t="s">
        <v>346</v>
      </c>
      <c r="D1879" s="33" t="s">
        <v>142</v>
      </c>
      <c r="E1879" s="33" t="s">
        <v>2244</v>
      </c>
      <c r="F1879" s="35">
        <v>0.1</v>
      </c>
      <c r="G1879" s="40">
        <v>0</v>
      </c>
      <c r="H1879" s="40">
        <v>0</v>
      </c>
      <c r="I1879" s="40">
        <v>0</v>
      </c>
      <c r="J1879" s="40">
        <v>0</v>
      </c>
      <c r="K1879" s="40">
        <v>0</v>
      </c>
      <c r="L1879" s="40">
        <v>0</v>
      </c>
      <c r="M1879" s="40" cm="1">
        <f t="array" ref="M1879:N1879">VLOOKUP(B1879,'Fumigation  Room'!B:H,{6,7},0)</f>
        <v>0</v>
      </c>
      <c r="N1879" s="40">
        <v>0</v>
      </c>
      <c r="O1879" s="40">
        <f t="shared" si="59"/>
        <v>0</v>
      </c>
      <c r="P1879" s="40">
        <f t="shared" si="60"/>
        <v>0</v>
      </c>
    </row>
    <row r="1880" spans="1:16" x14ac:dyDescent="0.35">
      <c r="A1880" s="33">
        <v>1877</v>
      </c>
      <c r="B1880" s="34" t="s">
        <v>2263</v>
      </c>
      <c r="C1880" s="33" t="s">
        <v>346</v>
      </c>
      <c r="D1880" s="33" t="s">
        <v>142</v>
      </c>
      <c r="E1880" s="33" t="s">
        <v>2244</v>
      </c>
      <c r="F1880" s="35">
        <v>0.25</v>
      </c>
      <c r="G1880" s="40">
        <v>0</v>
      </c>
      <c r="H1880" s="40">
        <v>0</v>
      </c>
      <c r="I1880" s="40">
        <v>0</v>
      </c>
      <c r="J1880" s="40">
        <v>0</v>
      </c>
      <c r="K1880" s="40">
        <v>0</v>
      </c>
      <c r="L1880" s="40">
        <v>0</v>
      </c>
      <c r="M1880" s="40" cm="1">
        <f t="array" ref="M1880:N1880">VLOOKUP(B1880,'Fumigation  Room'!B:H,{6,7},0)</f>
        <v>0</v>
      </c>
      <c r="N1880" s="40">
        <v>0</v>
      </c>
      <c r="O1880" s="40">
        <f t="shared" si="59"/>
        <v>0</v>
      </c>
      <c r="P1880" s="40">
        <f t="shared" si="60"/>
        <v>0</v>
      </c>
    </row>
    <row r="1881" spans="1:16" x14ac:dyDescent="0.35">
      <c r="A1881" s="33">
        <v>1878</v>
      </c>
      <c r="B1881" s="34" t="s">
        <v>2264</v>
      </c>
      <c r="C1881" s="33" t="s">
        <v>346</v>
      </c>
      <c r="D1881" s="33" t="s">
        <v>142</v>
      </c>
      <c r="E1881" s="33" t="s">
        <v>2244</v>
      </c>
      <c r="F1881" s="35">
        <v>0.5</v>
      </c>
      <c r="G1881" s="40">
        <v>0</v>
      </c>
      <c r="H1881" s="40">
        <v>0</v>
      </c>
      <c r="I1881" s="40">
        <v>0</v>
      </c>
      <c r="J1881" s="40">
        <v>0</v>
      </c>
      <c r="K1881" s="40">
        <v>0</v>
      </c>
      <c r="L1881" s="40">
        <v>0</v>
      </c>
      <c r="M1881" s="40" cm="1">
        <f t="array" ref="M1881:N1881">VLOOKUP(B1881,'Fumigation  Room'!B:H,{6,7},0)</f>
        <v>0</v>
      </c>
      <c r="N1881" s="40">
        <v>0</v>
      </c>
      <c r="O1881" s="40">
        <f t="shared" si="59"/>
        <v>0</v>
      </c>
      <c r="P1881" s="40">
        <f t="shared" si="60"/>
        <v>0</v>
      </c>
    </row>
    <row r="1882" spans="1:16" x14ac:dyDescent="0.35">
      <c r="A1882" s="33">
        <v>1879</v>
      </c>
      <c r="B1882" s="34" t="s">
        <v>2265</v>
      </c>
      <c r="C1882" s="33" t="s">
        <v>346</v>
      </c>
      <c r="D1882" s="33" t="s">
        <v>142</v>
      </c>
      <c r="E1882" s="33" t="s">
        <v>2244</v>
      </c>
      <c r="F1882" s="35">
        <v>0.5</v>
      </c>
      <c r="G1882" s="40">
        <v>0</v>
      </c>
      <c r="H1882" s="40">
        <v>0</v>
      </c>
      <c r="I1882" s="40">
        <v>0</v>
      </c>
      <c r="J1882" s="40">
        <v>0</v>
      </c>
      <c r="K1882" s="40">
        <v>0</v>
      </c>
      <c r="L1882" s="40">
        <v>0</v>
      </c>
      <c r="M1882" s="40" cm="1">
        <f t="array" ref="M1882:N1882">VLOOKUP(B1882,'Fumigation  Room'!B:H,{6,7},0)</f>
        <v>0</v>
      </c>
      <c r="N1882" s="40">
        <v>0</v>
      </c>
      <c r="O1882" s="40">
        <f t="shared" si="59"/>
        <v>0</v>
      </c>
      <c r="P1882" s="40">
        <f t="shared" si="60"/>
        <v>0</v>
      </c>
    </row>
    <row r="1883" spans="1:16" x14ac:dyDescent="0.35">
      <c r="A1883" s="33">
        <v>1880</v>
      </c>
      <c r="B1883" s="34" t="s">
        <v>2266</v>
      </c>
      <c r="C1883" s="33" t="s">
        <v>346</v>
      </c>
      <c r="D1883" s="33" t="s">
        <v>142</v>
      </c>
      <c r="E1883" s="33" t="s">
        <v>2244</v>
      </c>
      <c r="F1883" s="35">
        <v>1</v>
      </c>
      <c r="G1883" s="40">
        <v>0</v>
      </c>
      <c r="H1883" s="40">
        <v>0</v>
      </c>
      <c r="I1883" s="40">
        <v>0</v>
      </c>
      <c r="J1883" s="40">
        <v>0</v>
      </c>
      <c r="K1883" s="40">
        <v>0</v>
      </c>
      <c r="L1883" s="40">
        <v>0</v>
      </c>
      <c r="M1883" s="40" cm="1">
        <f t="array" ref="M1883:N1883">VLOOKUP(B1883,'Fumigation  Room'!B:H,{6,7},0)</f>
        <v>0</v>
      </c>
      <c r="N1883" s="40">
        <v>0</v>
      </c>
      <c r="O1883" s="40">
        <f t="shared" si="59"/>
        <v>0</v>
      </c>
      <c r="P1883" s="40">
        <f t="shared" si="60"/>
        <v>0</v>
      </c>
    </row>
    <row r="1884" spans="1:16" x14ac:dyDescent="0.35">
      <c r="A1884" s="33">
        <v>1881</v>
      </c>
      <c r="B1884" s="34" t="s">
        <v>2267</v>
      </c>
      <c r="C1884" s="33" t="s">
        <v>346</v>
      </c>
      <c r="D1884" s="33" t="s">
        <v>142</v>
      </c>
      <c r="E1884" s="33" t="s">
        <v>2244</v>
      </c>
      <c r="F1884" s="35">
        <v>1</v>
      </c>
      <c r="G1884" s="40">
        <v>0</v>
      </c>
      <c r="H1884" s="40">
        <v>0</v>
      </c>
      <c r="I1884" s="40">
        <v>0</v>
      </c>
      <c r="J1884" s="40">
        <v>0</v>
      </c>
      <c r="K1884" s="40">
        <v>0</v>
      </c>
      <c r="L1884" s="40">
        <v>0</v>
      </c>
      <c r="M1884" s="40" cm="1">
        <f t="array" ref="M1884:N1884">VLOOKUP(B1884,'Fumigation  Room'!B:H,{6,7},0)</f>
        <v>0</v>
      </c>
      <c r="N1884" s="40">
        <v>0</v>
      </c>
      <c r="O1884" s="40">
        <f t="shared" si="59"/>
        <v>0</v>
      </c>
      <c r="P1884" s="40">
        <f t="shared" si="60"/>
        <v>0</v>
      </c>
    </row>
    <row r="1885" spans="1:16" x14ac:dyDescent="0.35">
      <c r="A1885" s="33">
        <v>1882</v>
      </c>
      <c r="B1885" s="34" t="s">
        <v>2248</v>
      </c>
      <c r="C1885" s="33" t="s">
        <v>297</v>
      </c>
      <c r="D1885" s="33" t="s">
        <v>142</v>
      </c>
      <c r="E1885" s="33" t="s">
        <v>2249</v>
      </c>
      <c r="F1885" s="35">
        <v>1</v>
      </c>
      <c r="G1885" s="40">
        <v>0</v>
      </c>
      <c r="H1885" s="40">
        <v>0</v>
      </c>
      <c r="I1885" s="40">
        <v>0</v>
      </c>
      <c r="J1885" s="40">
        <v>0</v>
      </c>
      <c r="K1885" s="40">
        <v>0</v>
      </c>
      <c r="L1885" s="40">
        <v>0</v>
      </c>
      <c r="M1885" s="40" cm="1">
        <f t="array" ref="M1885:N1885">VLOOKUP(B1885,'Fumigation  Room'!B:H,{6,7},0)</f>
        <v>0</v>
      </c>
      <c r="N1885" s="40">
        <v>0</v>
      </c>
      <c r="O1885" s="40">
        <f t="shared" si="59"/>
        <v>0</v>
      </c>
      <c r="P1885" s="40">
        <f t="shared" si="60"/>
        <v>0</v>
      </c>
    </row>
    <row r="1886" spans="1:16" x14ac:dyDescent="0.35">
      <c r="A1886" s="33">
        <v>1883</v>
      </c>
      <c r="B1886" s="34" t="s">
        <v>2250</v>
      </c>
      <c r="C1886" s="33" t="s">
        <v>297</v>
      </c>
      <c r="D1886" s="33" t="s">
        <v>142</v>
      </c>
      <c r="E1886" s="33" t="s">
        <v>2249</v>
      </c>
      <c r="F1886" s="35">
        <v>1</v>
      </c>
      <c r="G1886" s="40">
        <v>0</v>
      </c>
      <c r="H1886" s="40">
        <v>0</v>
      </c>
      <c r="I1886" s="40">
        <v>0</v>
      </c>
      <c r="J1886" s="40">
        <v>0</v>
      </c>
      <c r="K1886" s="40">
        <v>0</v>
      </c>
      <c r="L1886" s="40">
        <v>0</v>
      </c>
      <c r="M1886" s="40" cm="1">
        <f t="array" ref="M1886:N1886">VLOOKUP(B1886,'Fumigation  Room'!B:H,{6,7},0)</f>
        <v>0</v>
      </c>
      <c r="N1886" s="40">
        <v>0</v>
      </c>
      <c r="O1886" s="40">
        <f t="shared" si="59"/>
        <v>0</v>
      </c>
      <c r="P1886" s="40">
        <f t="shared" si="60"/>
        <v>0</v>
      </c>
    </row>
    <row r="1887" spans="1:16" x14ac:dyDescent="0.35">
      <c r="A1887" s="33">
        <v>1884</v>
      </c>
      <c r="B1887" s="34" t="s">
        <v>2268</v>
      </c>
      <c r="C1887" s="33" t="s">
        <v>346</v>
      </c>
      <c r="D1887" s="33" t="s">
        <v>142</v>
      </c>
      <c r="E1887" s="33" t="s">
        <v>2249</v>
      </c>
      <c r="F1887" s="35">
        <v>0.5</v>
      </c>
      <c r="G1887" s="40">
        <v>0</v>
      </c>
      <c r="H1887" s="40">
        <v>0</v>
      </c>
      <c r="I1887" s="40">
        <v>0</v>
      </c>
      <c r="J1887" s="40">
        <v>0</v>
      </c>
      <c r="K1887" s="40">
        <v>0</v>
      </c>
      <c r="L1887" s="40">
        <v>0</v>
      </c>
      <c r="M1887" s="40" cm="1">
        <f t="array" ref="M1887:N1887">VLOOKUP(B1887,'Fumigation  Room'!B:H,{6,7},0)</f>
        <v>0</v>
      </c>
      <c r="N1887" s="40">
        <v>0</v>
      </c>
      <c r="O1887" s="40">
        <f t="shared" si="59"/>
        <v>0</v>
      </c>
      <c r="P1887" s="40">
        <f t="shared" si="60"/>
        <v>0</v>
      </c>
    </row>
    <row r="1888" spans="1:16" x14ac:dyDescent="0.35">
      <c r="A1888" s="33">
        <v>1885</v>
      </c>
      <c r="B1888" s="34" t="s">
        <v>2269</v>
      </c>
      <c r="C1888" s="33" t="s">
        <v>346</v>
      </c>
      <c r="D1888" s="33" t="s">
        <v>142</v>
      </c>
      <c r="E1888" s="33" t="s">
        <v>2249</v>
      </c>
      <c r="F1888" s="35">
        <v>1</v>
      </c>
      <c r="G1888" s="40">
        <v>0</v>
      </c>
      <c r="H1888" s="40">
        <v>0</v>
      </c>
      <c r="I1888" s="40">
        <v>0</v>
      </c>
      <c r="J1888" s="40">
        <v>0</v>
      </c>
      <c r="K1888" s="40">
        <v>0</v>
      </c>
      <c r="L1888" s="40">
        <v>0</v>
      </c>
      <c r="M1888" s="40" cm="1">
        <f t="array" ref="M1888:N1888">VLOOKUP(B1888,'Fumigation  Room'!B:H,{6,7},0)</f>
        <v>0</v>
      </c>
      <c r="N1888" s="40">
        <v>0</v>
      </c>
      <c r="O1888" s="40">
        <f t="shared" si="59"/>
        <v>0</v>
      </c>
      <c r="P1888" s="40">
        <f t="shared" si="60"/>
        <v>0</v>
      </c>
    </row>
    <row r="1889" spans="1:16" x14ac:dyDescent="0.35">
      <c r="A1889" s="33">
        <v>1886</v>
      </c>
      <c r="B1889" s="34" t="s">
        <v>2270</v>
      </c>
      <c r="C1889" s="33" t="s">
        <v>346</v>
      </c>
      <c r="D1889" s="33" t="s">
        <v>142</v>
      </c>
      <c r="E1889" s="33" t="s">
        <v>2249</v>
      </c>
      <c r="F1889" s="35">
        <v>1</v>
      </c>
      <c r="G1889" s="40">
        <v>0</v>
      </c>
      <c r="H1889" s="40">
        <v>0</v>
      </c>
      <c r="I1889" s="40">
        <v>0</v>
      </c>
      <c r="J1889" s="40">
        <v>0</v>
      </c>
      <c r="K1889" s="40">
        <v>0</v>
      </c>
      <c r="L1889" s="40">
        <v>0</v>
      </c>
      <c r="M1889" s="40" cm="1">
        <f t="array" ref="M1889:N1889">VLOOKUP(B1889,'Fumigation  Room'!B:H,{6,7},0)</f>
        <v>0</v>
      </c>
      <c r="N1889" s="40">
        <v>0</v>
      </c>
      <c r="O1889" s="40">
        <f t="shared" si="59"/>
        <v>0</v>
      </c>
      <c r="P1889" s="40">
        <f t="shared" si="60"/>
        <v>0</v>
      </c>
    </row>
    <row r="1890" spans="1:16" x14ac:dyDescent="0.35">
      <c r="A1890" s="33">
        <v>1887</v>
      </c>
      <c r="B1890" s="34" t="s">
        <v>2271</v>
      </c>
      <c r="C1890" s="33" t="s">
        <v>346</v>
      </c>
      <c r="D1890" s="33" t="s">
        <v>142</v>
      </c>
      <c r="E1890" s="33" t="s">
        <v>2249</v>
      </c>
      <c r="F1890" s="35">
        <v>0.5</v>
      </c>
      <c r="G1890" s="40">
        <v>0</v>
      </c>
      <c r="H1890" s="40">
        <v>0</v>
      </c>
      <c r="I1890" s="40">
        <v>0</v>
      </c>
      <c r="J1890" s="40">
        <v>0</v>
      </c>
      <c r="K1890" s="40">
        <v>0</v>
      </c>
      <c r="L1890" s="40">
        <v>0</v>
      </c>
      <c r="M1890" s="40" cm="1">
        <f t="array" ref="M1890:N1890">VLOOKUP(B1890,'Fumigation  Room'!B:H,{6,7},0)</f>
        <v>0</v>
      </c>
      <c r="N1890" s="40">
        <v>0</v>
      </c>
      <c r="O1890" s="40">
        <f t="shared" si="59"/>
        <v>0</v>
      </c>
      <c r="P1890" s="40">
        <f t="shared" si="60"/>
        <v>0</v>
      </c>
    </row>
    <row r="1891" spans="1:16" x14ac:dyDescent="0.35">
      <c r="A1891" s="33">
        <v>1888</v>
      </c>
      <c r="B1891" s="34" t="s">
        <v>2251</v>
      </c>
      <c r="C1891" s="33" t="s">
        <v>297</v>
      </c>
      <c r="D1891" s="33" t="s">
        <v>142</v>
      </c>
      <c r="E1891" s="33" t="s">
        <v>2252</v>
      </c>
      <c r="F1891" s="35">
        <v>1</v>
      </c>
      <c r="G1891" s="40">
        <v>0</v>
      </c>
      <c r="H1891" s="40">
        <v>0</v>
      </c>
      <c r="I1891" s="40">
        <v>0</v>
      </c>
      <c r="J1891" s="40">
        <v>0</v>
      </c>
      <c r="K1891" s="40">
        <v>0</v>
      </c>
      <c r="L1891" s="40">
        <v>0</v>
      </c>
      <c r="M1891" s="40" cm="1">
        <f t="array" ref="M1891:N1891">VLOOKUP(B1891,'Fumigation  Room'!B:H,{6,7},0)</f>
        <v>0</v>
      </c>
      <c r="N1891" s="40">
        <v>0</v>
      </c>
      <c r="O1891" s="40">
        <f t="shared" si="59"/>
        <v>0</v>
      </c>
      <c r="P1891" s="40">
        <f t="shared" si="60"/>
        <v>0</v>
      </c>
    </row>
    <row r="1892" spans="1:16" x14ac:dyDescent="0.35">
      <c r="A1892" s="33">
        <v>1889</v>
      </c>
      <c r="B1892" s="34" t="s">
        <v>2253</v>
      </c>
      <c r="C1892" s="33" t="s">
        <v>297</v>
      </c>
      <c r="D1892" s="33" t="s">
        <v>142</v>
      </c>
      <c r="E1892" s="33" t="s">
        <v>2252</v>
      </c>
      <c r="F1892" s="35">
        <v>1</v>
      </c>
      <c r="G1892" s="40">
        <v>0</v>
      </c>
      <c r="H1892" s="40">
        <v>0</v>
      </c>
      <c r="I1892" s="40">
        <v>0</v>
      </c>
      <c r="J1892" s="40">
        <v>0</v>
      </c>
      <c r="K1892" s="40">
        <v>0</v>
      </c>
      <c r="L1892" s="40">
        <v>0</v>
      </c>
      <c r="M1892" s="40" cm="1">
        <f t="array" ref="M1892:N1892">VLOOKUP(B1892,'Fumigation  Room'!B:H,{6,7},0)</f>
        <v>0</v>
      </c>
      <c r="N1892" s="40">
        <v>0</v>
      </c>
      <c r="O1892" s="40">
        <f t="shared" si="59"/>
        <v>0</v>
      </c>
      <c r="P1892" s="40">
        <f t="shared" si="60"/>
        <v>0</v>
      </c>
    </row>
    <row r="1893" spans="1:16" x14ac:dyDescent="0.35">
      <c r="A1893" s="33">
        <v>1890</v>
      </c>
      <c r="B1893" s="34" t="s">
        <v>2254</v>
      </c>
      <c r="C1893" s="33" t="s">
        <v>297</v>
      </c>
      <c r="D1893" s="33" t="s">
        <v>142</v>
      </c>
      <c r="E1893" s="33" t="s">
        <v>2252</v>
      </c>
      <c r="F1893" s="35">
        <v>1</v>
      </c>
      <c r="G1893" s="40">
        <v>0</v>
      </c>
      <c r="H1893" s="40">
        <v>0</v>
      </c>
      <c r="I1893" s="40">
        <v>0</v>
      </c>
      <c r="J1893" s="40">
        <v>0</v>
      </c>
      <c r="K1893" s="40">
        <v>0</v>
      </c>
      <c r="L1893" s="40">
        <v>0</v>
      </c>
      <c r="M1893" s="40" cm="1">
        <f t="array" ref="M1893:N1893">VLOOKUP(B1893,'Fumigation  Room'!B:H,{6,7},0)</f>
        <v>0</v>
      </c>
      <c r="N1893" s="40">
        <v>0</v>
      </c>
      <c r="O1893" s="40">
        <f t="shared" si="59"/>
        <v>0</v>
      </c>
      <c r="P1893" s="40">
        <f t="shared" si="60"/>
        <v>0</v>
      </c>
    </row>
    <row r="1894" spans="1:16" x14ac:dyDescent="0.35">
      <c r="A1894" s="33">
        <v>1891</v>
      </c>
      <c r="B1894" s="34" t="s">
        <v>2272</v>
      </c>
      <c r="C1894" s="33" t="s">
        <v>346</v>
      </c>
      <c r="D1894" s="33" t="s">
        <v>142</v>
      </c>
      <c r="E1894" s="33" t="s">
        <v>2252</v>
      </c>
      <c r="F1894" s="35">
        <v>0.25</v>
      </c>
      <c r="G1894" s="40">
        <v>0</v>
      </c>
      <c r="H1894" s="40">
        <v>0</v>
      </c>
      <c r="I1894" s="40">
        <v>0</v>
      </c>
      <c r="J1894" s="40">
        <v>0</v>
      </c>
      <c r="K1894" s="40">
        <v>0</v>
      </c>
      <c r="L1894" s="40">
        <v>0</v>
      </c>
      <c r="M1894" s="40" cm="1">
        <f t="array" ref="M1894:N1894">VLOOKUP(B1894,'Fumigation  Room'!B:H,{6,7},0)</f>
        <v>0</v>
      </c>
      <c r="N1894" s="40">
        <v>0</v>
      </c>
      <c r="O1894" s="40">
        <f t="shared" si="59"/>
        <v>0</v>
      </c>
      <c r="P1894" s="40">
        <f t="shared" si="60"/>
        <v>0</v>
      </c>
    </row>
    <row r="1895" spans="1:16" x14ac:dyDescent="0.35">
      <c r="A1895" s="33">
        <v>1892</v>
      </c>
      <c r="B1895" s="34" t="s">
        <v>2273</v>
      </c>
      <c r="C1895" s="33" t="s">
        <v>346</v>
      </c>
      <c r="D1895" s="33" t="s">
        <v>142</v>
      </c>
      <c r="E1895" s="33" t="s">
        <v>2252</v>
      </c>
      <c r="F1895" s="35">
        <v>0.25</v>
      </c>
      <c r="G1895" s="40">
        <v>0</v>
      </c>
      <c r="H1895" s="40">
        <v>0</v>
      </c>
      <c r="I1895" s="40">
        <v>0</v>
      </c>
      <c r="J1895" s="40">
        <v>0</v>
      </c>
      <c r="K1895" s="40">
        <v>0</v>
      </c>
      <c r="L1895" s="40">
        <v>0</v>
      </c>
      <c r="M1895" s="40" cm="1">
        <f t="array" ref="M1895:N1895">VLOOKUP(B1895,'Fumigation  Room'!B:H,{6,7},0)</f>
        <v>0</v>
      </c>
      <c r="N1895" s="40">
        <v>0</v>
      </c>
      <c r="O1895" s="40">
        <f t="shared" si="59"/>
        <v>0</v>
      </c>
      <c r="P1895" s="40">
        <f t="shared" si="60"/>
        <v>0</v>
      </c>
    </row>
    <row r="1896" spans="1:16" x14ac:dyDescent="0.35">
      <c r="A1896" s="33">
        <v>1893</v>
      </c>
      <c r="B1896" s="34" t="s">
        <v>2274</v>
      </c>
      <c r="C1896" s="33" t="s">
        <v>346</v>
      </c>
      <c r="D1896" s="33" t="s">
        <v>142</v>
      </c>
      <c r="E1896" s="33" t="s">
        <v>2252</v>
      </c>
      <c r="F1896" s="35">
        <v>0.15</v>
      </c>
      <c r="G1896" s="40">
        <v>0</v>
      </c>
      <c r="H1896" s="40">
        <v>0</v>
      </c>
      <c r="I1896" s="40">
        <v>0</v>
      </c>
      <c r="J1896" s="40">
        <v>0</v>
      </c>
      <c r="K1896" s="40">
        <v>0</v>
      </c>
      <c r="L1896" s="40">
        <v>0</v>
      </c>
      <c r="M1896" s="40" cm="1">
        <f t="array" ref="M1896:N1896">VLOOKUP(B1896,'Fumigation  Room'!B:H,{6,7},0)</f>
        <v>0</v>
      </c>
      <c r="N1896" s="40">
        <v>0</v>
      </c>
      <c r="O1896" s="40">
        <f t="shared" si="59"/>
        <v>0</v>
      </c>
      <c r="P1896" s="40">
        <f t="shared" si="60"/>
        <v>0</v>
      </c>
    </row>
    <row r="1897" spans="1:16" x14ac:dyDescent="0.35">
      <c r="A1897" s="33">
        <v>1894</v>
      </c>
      <c r="B1897" s="34" t="s">
        <v>2275</v>
      </c>
      <c r="C1897" s="33" t="s">
        <v>346</v>
      </c>
      <c r="D1897" s="33" t="s">
        <v>142</v>
      </c>
      <c r="E1897" s="33" t="s">
        <v>2252</v>
      </c>
      <c r="F1897" s="35">
        <v>7.0000000000000007E-2</v>
      </c>
      <c r="G1897" s="40">
        <v>0</v>
      </c>
      <c r="H1897" s="40">
        <v>0</v>
      </c>
      <c r="I1897" s="40">
        <v>0</v>
      </c>
      <c r="J1897" s="40">
        <v>0</v>
      </c>
      <c r="K1897" s="40">
        <v>0</v>
      </c>
      <c r="L1897" s="40">
        <v>0</v>
      </c>
      <c r="M1897" s="40" cm="1">
        <f t="array" ref="M1897:N1897">VLOOKUP(B1897,'Fumigation  Room'!B:H,{6,7},0)</f>
        <v>0</v>
      </c>
      <c r="N1897" s="40">
        <v>0</v>
      </c>
      <c r="O1897" s="40">
        <f t="shared" si="59"/>
        <v>0</v>
      </c>
      <c r="P1897" s="40">
        <f t="shared" si="60"/>
        <v>0</v>
      </c>
    </row>
    <row r="1898" spans="1:16" x14ac:dyDescent="0.35">
      <c r="A1898" s="33">
        <v>1895</v>
      </c>
      <c r="B1898" s="34" t="s">
        <v>2276</v>
      </c>
      <c r="C1898" s="33" t="s">
        <v>346</v>
      </c>
      <c r="D1898" s="33" t="s">
        <v>142</v>
      </c>
      <c r="E1898" s="33" t="s">
        <v>2252</v>
      </c>
      <c r="F1898" s="35">
        <v>0.15</v>
      </c>
      <c r="G1898" s="40">
        <v>0</v>
      </c>
      <c r="H1898" s="40">
        <v>0</v>
      </c>
      <c r="I1898" s="40">
        <v>0</v>
      </c>
      <c r="J1898" s="40">
        <v>0</v>
      </c>
      <c r="K1898" s="40">
        <v>0</v>
      </c>
      <c r="L1898" s="40">
        <v>0</v>
      </c>
      <c r="M1898" s="40" cm="1">
        <f t="array" ref="M1898:N1898">VLOOKUP(B1898,'Fumigation  Room'!B:H,{6,7},0)</f>
        <v>0</v>
      </c>
      <c r="N1898" s="40">
        <v>0</v>
      </c>
      <c r="O1898" s="40">
        <f t="shared" si="59"/>
        <v>0</v>
      </c>
      <c r="P1898" s="40">
        <f t="shared" si="60"/>
        <v>0</v>
      </c>
    </row>
    <row r="1899" spans="1:16" x14ac:dyDescent="0.35">
      <c r="A1899" s="33">
        <v>1896</v>
      </c>
      <c r="B1899" s="34" t="s">
        <v>2277</v>
      </c>
      <c r="C1899" s="33" t="s">
        <v>346</v>
      </c>
      <c r="D1899" s="33" t="s">
        <v>142</v>
      </c>
      <c r="E1899" s="33" t="s">
        <v>2252</v>
      </c>
      <c r="F1899" s="35">
        <v>0.15</v>
      </c>
      <c r="G1899" s="40">
        <v>0</v>
      </c>
      <c r="H1899" s="40">
        <v>0</v>
      </c>
      <c r="I1899" s="40">
        <v>0</v>
      </c>
      <c r="J1899" s="40">
        <v>0</v>
      </c>
      <c r="K1899" s="40">
        <v>0</v>
      </c>
      <c r="L1899" s="40">
        <v>0</v>
      </c>
      <c r="M1899" s="40" cm="1">
        <f t="array" ref="M1899:N1899">VLOOKUP(B1899,'Fumigation  Room'!B:H,{6,7},0)</f>
        <v>0</v>
      </c>
      <c r="N1899" s="40">
        <v>0</v>
      </c>
      <c r="O1899" s="40">
        <f t="shared" si="59"/>
        <v>0</v>
      </c>
      <c r="P1899" s="40">
        <f t="shared" si="60"/>
        <v>0</v>
      </c>
    </row>
    <row r="1900" spans="1:16" x14ac:dyDescent="0.35">
      <c r="A1900" s="33">
        <v>1897</v>
      </c>
      <c r="B1900" s="34" t="s">
        <v>2278</v>
      </c>
      <c r="C1900" s="33" t="s">
        <v>346</v>
      </c>
      <c r="D1900" s="33" t="s">
        <v>142</v>
      </c>
      <c r="E1900" s="33" t="s">
        <v>2252</v>
      </c>
      <c r="F1900" s="35">
        <v>0.25</v>
      </c>
      <c r="G1900" s="40">
        <v>0</v>
      </c>
      <c r="H1900" s="40">
        <v>0</v>
      </c>
      <c r="I1900" s="40">
        <v>0</v>
      </c>
      <c r="J1900" s="40">
        <v>0</v>
      </c>
      <c r="K1900" s="40">
        <v>0</v>
      </c>
      <c r="L1900" s="40">
        <v>0</v>
      </c>
      <c r="M1900" s="40" cm="1">
        <f t="array" ref="M1900:N1900">VLOOKUP(B1900,'Fumigation  Room'!B:H,{6,7},0)</f>
        <v>0</v>
      </c>
      <c r="N1900" s="40">
        <v>0</v>
      </c>
      <c r="O1900" s="40">
        <f t="shared" si="59"/>
        <v>0</v>
      </c>
      <c r="P1900" s="40">
        <f t="shared" si="60"/>
        <v>0</v>
      </c>
    </row>
    <row r="1901" spans="1:16" x14ac:dyDescent="0.35">
      <c r="A1901" s="33">
        <v>1898</v>
      </c>
      <c r="B1901" s="34" t="s">
        <v>2279</v>
      </c>
      <c r="C1901" s="33" t="s">
        <v>346</v>
      </c>
      <c r="D1901" s="33" t="s">
        <v>142</v>
      </c>
      <c r="E1901" s="33" t="s">
        <v>2252</v>
      </c>
      <c r="F1901" s="35">
        <v>0.15</v>
      </c>
      <c r="G1901" s="40">
        <v>0</v>
      </c>
      <c r="H1901" s="40">
        <v>0</v>
      </c>
      <c r="I1901" s="40">
        <v>0</v>
      </c>
      <c r="J1901" s="40">
        <v>0</v>
      </c>
      <c r="K1901" s="40">
        <v>0</v>
      </c>
      <c r="L1901" s="40">
        <v>0</v>
      </c>
      <c r="M1901" s="40" cm="1">
        <f t="array" ref="M1901:N1901">VLOOKUP(B1901,'Fumigation  Room'!B:H,{6,7},0)</f>
        <v>0</v>
      </c>
      <c r="N1901" s="40">
        <v>0</v>
      </c>
      <c r="O1901" s="40">
        <f t="shared" si="59"/>
        <v>0</v>
      </c>
      <c r="P1901" s="40">
        <f t="shared" si="60"/>
        <v>0</v>
      </c>
    </row>
    <row r="1902" spans="1:16" x14ac:dyDescent="0.35">
      <c r="A1902" s="33">
        <v>1899</v>
      </c>
      <c r="B1902" s="34" t="s">
        <v>2280</v>
      </c>
      <c r="C1902" s="33" t="s">
        <v>346</v>
      </c>
      <c r="D1902" s="33" t="s">
        <v>142</v>
      </c>
      <c r="E1902" s="33" t="s">
        <v>2252</v>
      </c>
      <c r="F1902" s="35">
        <v>0.2</v>
      </c>
      <c r="G1902" s="40">
        <v>0</v>
      </c>
      <c r="H1902" s="40">
        <v>0</v>
      </c>
      <c r="I1902" s="40">
        <v>0</v>
      </c>
      <c r="J1902" s="40">
        <v>0</v>
      </c>
      <c r="K1902" s="40">
        <v>0</v>
      </c>
      <c r="L1902" s="40">
        <v>0</v>
      </c>
      <c r="M1902" s="40" cm="1">
        <f t="array" ref="M1902:N1902">VLOOKUP(B1902,'Fumigation  Room'!B:H,{6,7},0)</f>
        <v>0</v>
      </c>
      <c r="N1902" s="40">
        <v>0</v>
      </c>
      <c r="O1902" s="40">
        <f t="shared" si="59"/>
        <v>0</v>
      </c>
      <c r="P1902" s="40">
        <f t="shared" si="60"/>
        <v>0</v>
      </c>
    </row>
    <row r="1903" spans="1:16" x14ac:dyDescent="0.35">
      <c r="A1903" s="33">
        <v>1900</v>
      </c>
      <c r="B1903" s="34" t="s">
        <v>2281</v>
      </c>
      <c r="C1903" s="33" t="s">
        <v>346</v>
      </c>
      <c r="D1903" s="33" t="s">
        <v>142</v>
      </c>
      <c r="E1903" s="33" t="s">
        <v>2252</v>
      </c>
      <c r="F1903" s="35">
        <v>0.23</v>
      </c>
      <c r="G1903" s="40">
        <v>0</v>
      </c>
      <c r="H1903" s="40">
        <v>0</v>
      </c>
      <c r="I1903" s="40">
        <v>0</v>
      </c>
      <c r="J1903" s="40">
        <v>0</v>
      </c>
      <c r="K1903" s="40">
        <v>0</v>
      </c>
      <c r="L1903" s="40">
        <v>0</v>
      </c>
      <c r="M1903" s="40" cm="1">
        <f t="array" ref="M1903:N1903">VLOOKUP(B1903,'Fumigation  Room'!B:H,{6,7},0)</f>
        <v>0</v>
      </c>
      <c r="N1903" s="40">
        <v>0</v>
      </c>
      <c r="O1903" s="40">
        <f t="shared" si="59"/>
        <v>0</v>
      </c>
      <c r="P1903" s="40">
        <f t="shared" si="60"/>
        <v>0</v>
      </c>
    </row>
    <row r="1904" spans="1:16" x14ac:dyDescent="0.35">
      <c r="A1904" s="33">
        <v>1901</v>
      </c>
      <c r="B1904" s="34" t="s">
        <v>2282</v>
      </c>
      <c r="C1904" s="33" t="s">
        <v>346</v>
      </c>
      <c r="D1904" s="33" t="s">
        <v>142</v>
      </c>
      <c r="E1904" s="33" t="s">
        <v>2252</v>
      </c>
      <c r="F1904" s="35">
        <v>1</v>
      </c>
      <c r="G1904" s="40">
        <v>0</v>
      </c>
      <c r="H1904" s="40">
        <v>0</v>
      </c>
      <c r="I1904" s="40">
        <v>0</v>
      </c>
      <c r="J1904" s="40">
        <v>0</v>
      </c>
      <c r="K1904" s="40">
        <v>0</v>
      </c>
      <c r="L1904" s="40">
        <v>0</v>
      </c>
      <c r="M1904" s="40" cm="1">
        <f t="array" ref="M1904:N1904">VLOOKUP(B1904,'Fumigation  Room'!B:H,{6,7},0)</f>
        <v>0</v>
      </c>
      <c r="N1904" s="40">
        <v>0</v>
      </c>
      <c r="O1904" s="40">
        <f t="shared" si="59"/>
        <v>0</v>
      </c>
      <c r="P1904" s="40">
        <f t="shared" si="60"/>
        <v>0</v>
      </c>
    </row>
    <row r="1905" spans="1:16" x14ac:dyDescent="0.35">
      <c r="A1905" s="33">
        <v>1902</v>
      </c>
      <c r="B1905" s="34" t="s">
        <v>2283</v>
      </c>
      <c r="C1905" s="33" t="s">
        <v>346</v>
      </c>
      <c r="D1905" s="33" t="s">
        <v>142</v>
      </c>
      <c r="E1905" s="33" t="s">
        <v>2252</v>
      </c>
      <c r="F1905" s="35">
        <v>1</v>
      </c>
      <c r="G1905" s="40">
        <v>0</v>
      </c>
      <c r="H1905" s="40">
        <v>0</v>
      </c>
      <c r="I1905" s="40">
        <v>0</v>
      </c>
      <c r="J1905" s="40">
        <v>0</v>
      </c>
      <c r="K1905" s="40">
        <v>0</v>
      </c>
      <c r="L1905" s="40">
        <v>0</v>
      </c>
      <c r="M1905" s="40" cm="1">
        <f t="array" ref="M1905:N1905">VLOOKUP(B1905,'Fumigation  Room'!B:H,{6,7},0)</f>
        <v>0</v>
      </c>
      <c r="N1905" s="40">
        <v>0</v>
      </c>
      <c r="O1905" s="40">
        <f t="shared" si="59"/>
        <v>0</v>
      </c>
      <c r="P1905" s="40">
        <f t="shared" si="60"/>
        <v>0</v>
      </c>
    </row>
    <row r="1906" spans="1:16" x14ac:dyDescent="0.35">
      <c r="A1906" s="33">
        <v>1903</v>
      </c>
      <c r="B1906" s="34" t="s">
        <v>2284</v>
      </c>
      <c r="C1906" s="33" t="s">
        <v>346</v>
      </c>
      <c r="D1906" s="33" t="s">
        <v>142</v>
      </c>
      <c r="E1906" s="33" t="s">
        <v>2252</v>
      </c>
      <c r="F1906" s="35">
        <v>1</v>
      </c>
      <c r="G1906" s="40">
        <v>0</v>
      </c>
      <c r="H1906" s="40">
        <v>0</v>
      </c>
      <c r="I1906" s="40">
        <v>0</v>
      </c>
      <c r="J1906" s="40">
        <v>0</v>
      </c>
      <c r="K1906" s="40">
        <v>0</v>
      </c>
      <c r="L1906" s="40">
        <v>0</v>
      </c>
      <c r="M1906" s="40" cm="1">
        <f t="array" ref="M1906:N1906">VLOOKUP(B1906,'Fumigation  Room'!B:H,{6,7},0)</f>
        <v>0</v>
      </c>
      <c r="N1906" s="40">
        <v>0</v>
      </c>
      <c r="O1906" s="40">
        <f t="shared" si="59"/>
        <v>0</v>
      </c>
      <c r="P1906" s="40">
        <f t="shared" si="60"/>
        <v>0</v>
      </c>
    </row>
    <row r="1907" spans="1:16" x14ac:dyDescent="0.35">
      <c r="A1907" s="33">
        <v>1904</v>
      </c>
      <c r="B1907" s="34" t="s">
        <v>2285</v>
      </c>
      <c r="C1907" s="33" t="s">
        <v>346</v>
      </c>
      <c r="D1907" s="33" t="s">
        <v>142</v>
      </c>
      <c r="E1907" s="33" t="s">
        <v>2252</v>
      </c>
      <c r="F1907" s="35">
        <v>0.25</v>
      </c>
      <c r="G1907" s="40">
        <v>0</v>
      </c>
      <c r="H1907" s="40">
        <v>0</v>
      </c>
      <c r="I1907" s="40">
        <v>0</v>
      </c>
      <c r="J1907" s="40">
        <v>0</v>
      </c>
      <c r="K1907" s="40">
        <v>0</v>
      </c>
      <c r="L1907" s="40">
        <v>0</v>
      </c>
      <c r="M1907" s="40" cm="1">
        <f t="array" ref="M1907:N1907">VLOOKUP(B1907,'Fumigation  Room'!B:H,{6,7},0)</f>
        <v>0</v>
      </c>
      <c r="N1907" s="40">
        <v>0</v>
      </c>
      <c r="O1907" s="40">
        <f t="shared" si="59"/>
        <v>0</v>
      </c>
      <c r="P1907" s="40">
        <f t="shared" si="60"/>
        <v>0</v>
      </c>
    </row>
    <row r="1908" spans="1:16" x14ac:dyDescent="0.35">
      <c r="A1908" s="33">
        <v>1905</v>
      </c>
      <c r="B1908" s="34" t="s">
        <v>2286</v>
      </c>
      <c r="C1908" s="33" t="s">
        <v>346</v>
      </c>
      <c r="D1908" s="33" t="s">
        <v>142</v>
      </c>
      <c r="E1908" s="33" t="s">
        <v>2252</v>
      </c>
      <c r="F1908" s="35">
        <v>0.5</v>
      </c>
      <c r="G1908" s="40">
        <v>0</v>
      </c>
      <c r="H1908" s="40">
        <v>0</v>
      </c>
      <c r="I1908" s="40">
        <v>0</v>
      </c>
      <c r="J1908" s="40">
        <v>0</v>
      </c>
      <c r="K1908" s="40">
        <v>0</v>
      </c>
      <c r="L1908" s="40">
        <v>0</v>
      </c>
      <c r="M1908" s="40" cm="1">
        <f t="array" ref="M1908:N1908">VLOOKUP(B1908,'Fumigation  Room'!B:H,{6,7},0)</f>
        <v>0</v>
      </c>
      <c r="N1908" s="40">
        <v>0</v>
      </c>
      <c r="O1908" s="40">
        <f t="shared" si="59"/>
        <v>0</v>
      </c>
      <c r="P1908" s="40">
        <f t="shared" si="60"/>
        <v>0</v>
      </c>
    </row>
    <row r="1909" spans="1:16" x14ac:dyDescent="0.35">
      <c r="A1909" s="33">
        <v>1906</v>
      </c>
      <c r="B1909" s="34" t="s">
        <v>2287</v>
      </c>
      <c r="C1909" s="33" t="s">
        <v>346</v>
      </c>
      <c r="D1909" s="33" t="s">
        <v>142</v>
      </c>
      <c r="E1909" s="33" t="s">
        <v>2252</v>
      </c>
      <c r="F1909" s="35">
        <v>1</v>
      </c>
      <c r="G1909" s="40">
        <v>0</v>
      </c>
      <c r="H1909" s="40">
        <v>0</v>
      </c>
      <c r="I1909" s="40">
        <v>0</v>
      </c>
      <c r="J1909" s="40">
        <v>0</v>
      </c>
      <c r="K1909" s="40">
        <v>0</v>
      </c>
      <c r="L1909" s="40">
        <v>0</v>
      </c>
      <c r="M1909" s="40" cm="1">
        <f t="array" ref="M1909:N1909">VLOOKUP(B1909,'Fumigation  Room'!B:H,{6,7},0)</f>
        <v>0</v>
      </c>
      <c r="N1909" s="40">
        <v>0</v>
      </c>
      <c r="O1909" s="40">
        <f t="shared" si="59"/>
        <v>0</v>
      </c>
      <c r="P1909" s="40">
        <f t="shared" si="60"/>
        <v>0</v>
      </c>
    </row>
    <row r="1910" spans="1:16" x14ac:dyDescent="0.35">
      <c r="A1910" s="33">
        <v>1907</v>
      </c>
      <c r="B1910" s="34" t="s">
        <v>2288</v>
      </c>
      <c r="C1910" s="33" t="s">
        <v>346</v>
      </c>
      <c r="D1910" s="33" t="s">
        <v>142</v>
      </c>
      <c r="E1910" s="33" t="s">
        <v>2252</v>
      </c>
      <c r="F1910" s="35">
        <v>0.8</v>
      </c>
      <c r="G1910" s="40">
        <v>0</v>
      </c>
      <c r="H1910" s="40">
        <v>0</v>
      </c>
      <c r="I1910" s="40">
        <v>0</v>
      </c>
      <c r="J1910" s="40">
        <v>0</v>
      </c>
      <c r="K1910" s="40">
        <v>0</v>
      </c>
      <c r="L1910" s="40">
        <v>0</v>
      </c>
      <c r="M1910" s="40" cm="1">
        <f t="array" ref="M1910:N1910">VLOOKUP(B1910,'Fumigation  Room'!B:H,{6,7},0)</f>
        <v>0</v>
      </c>
      <c r="N1910" s="40">
        <v>0</v>
      </c>
      <c r="O1910" s="40">
        <f t="shared" si="59"/>
        <v>0</v>
      </c>
      <c r="P1910" s="40">
        <f t="shared" si="60"/>
        <v>0</v>
      </c>
    </row>
    <row r="1911" spans="1:16" x14ac:dyDescent="0.35">
      <c r="A1911" s="33">
        <v>1908</v>
      </c>
      <c r="B1911" s="34" t="s">
        <v>2289</v>
      </c>
      <c r="C1911" s="33" t="s">
        <v>346</v>
      </c>
      <c r="D1911" s="33" t="s">
        <v>142</v>
      </c>
      <c r="E1911" s="33" t="s">
        <v>2252</v>
      </c>
      <c r="F1911" s="35">
        <v>0.23</v>
      </c>
      <c r="G1911" s="40">
        <v>0</v>
      </c>
      <c r="H1911" s="40">
        <v>0</v>
      </c>
      <c r="I1911" s="40">
        <v>0</v>
      </c>
      <c r="J1911" s="40">
        <v>0</v>
      </c>
      <c r="K1911" s="40">
        <v>0</v>
      </c>
      <c r="L1911" s="40">
        <v>0</v>
      </c>
      <c r="M1911" s="40" cm="1">
        <f t="array" ref="M1911:N1911">VLOOKUP(B1911,'Fumigation  Room'!B:H,{6,7},0)</f>
        <v>0</v>
      </c>
      <c r="N1911" s="40">
        <v>0</v>
      </c>
      <c r="O1911" s="40">
        <f t="shared" si="59"/>
        <v>0</v>
      </c>
      <c r="P1911" s="40">
        <f t="shared" si="60"/>
        <v>0</v>
      </c>
    </row>
    <row r="1912" spans="1:16" x14ac:dyDescent="0.35">
      <c r="A1912" s="33">
        <v>1909</v>
      </c>
      <c r="B1912" s="34" t="s">
        <v>2290</v>
      </c>
      <c r="C1912" s="33" t="s">
        <v>346</v>
      </c>
      <c r="D1912" s="33" t="s">
        <v>142</v>
      </c>
      <c r="E1912" s="33" t="s">
        <v>2252</v>
      </c>
      <c r="F1912" s="35">
        <v>0.8</v>
      </c>
      <c r="G1912" s="40">
        <v>0</v>
      </c>
      <c r="H1912" s="40">
        <v>0</v>
      </c>
      <c r="I1912" s="40">
        <v>0</v>
      </c>
      <c r="J1912" s="40">
        <v>0</v>
      </c>
      <c r="K1912" s="40">
        <v>0</v>
      </c>
      <c r="L1912" s="40">
        <v>0</v>
      </c>
      <c r="M1912" s="40" cm="1">
        <f t="array" ref="M1912:N1912">VLOOKUP(B1912,'Fumigation  Room'!B:H,{6,7},0)</f>
        <v>0</v>
      </c>
      <c r="N1912" s="40">
        <v>0</v>
      </c>
      <c r="O1912" s="40">
        <f t="shared" si="59"/>
        <v>0</v>
      </c>
      <c r="P1912" s="40">
        <f t="shared" si="60"/>
        <v>0</v>
      </c>
    </row>
    <row r="1913" spans="1:16" x14ac:dyDescent="0.35">
      <c r="A1913" s="33">
        <v>1910</v>
      </c>
      <c r="B1913" s="34" t="s">
        <v>2291</v>
      </c>
      <c r="C1913" s="33" t="s">
        <v>346</v>
      </c>
      <c r="D1913" s="33" t="s">
        <v>142</v>
      </c>
      <c r="E1913" s="33" t="s">
        <v>2252</v>
      </c>
      <c r="F1913" s="35">
        <v>0.25</v>
      </c>
      <c r="G1913" s="40">
        <v>0</v>
      </c>
      <c r="H1913" s="40">
        <v>0</v>
      </c>
      <c r="I1913" s="40">
        <v>0</v>
      </c>
      <c r="J1913" s="40">
        <v>0</v>
      </c>
      <c r="K1913" s="40">
        <v>0</v>
      </c>
      <c r="L1913" s="40">
        <v>0</v>
      </c>
      <c r="M1913" s="40" cm="1">
        <f t="array" ref="M1913:N1913">VLOOKUP(B1913,'Fumigation  Room'!B:H,{6,7},0)</f>
        <v>0</v>
      </c>
      <c r="N1913" s="40">
        <v>0</v>
      </c>
      <c r="O1913" s="40">
        <f t="shared" si="59"/>
        <v>0</v>
      </c>
      <c r="P1913" s="40">
        <f t="shared" si="60"/>
        <v>0</v>
      </c>
    </row>
    <row r="1914" spans="1:16" x14ac:dyDescent="0.35">
      <c r="A1914" s="33">
        <v>1911</v>
      </c>
      <c r="B1914" s="34" t="s">
        <v>2292</v>
      </c>
      <c r="C1914" s="33" t="s">
        <v>346</v>
      </c>
      <c r="D1914" s="33" t="s">
        <v>142</v>
      </c>
      <c r="E1914" s="33" t="s">
        <v>2252</v>
      </c>
      <c r="F1914" s="35">
        <v>0.5</v>
      </c>
      <c r="G1914" s="40">
        <v>0</v>
      </c>
      <c r="H1914" s="40">
        <v>0</v>
      </c>
      <c r="I1914" s="40">
        <v>0</v>
      </c>
      <c r="J1914" s="40">
        <v>0</v>
      </c>
      <c r="K1914" s="40">
        <v>0</v>
      </c>
      <c r="L1914" s="40">
        <v>0</v>
      </c>
      <c r="M1914" s="40" cm="1">
        <f t="array" ref="M1914:N1914">VLOOKUP(B1914,'Fumigation  Room'!B:H,{6,7},0)</f>
        <v>0</v>
      </c>
      <c r="N1914" s="40">
        <v>0</v>
      </c>
      <c r="O1914" s="40">
        <f t="shared" si="59"/>
        <v>0</v>
      </c>
      <c r="P1914" s="40">
        <f t="shared" si="60"/>
        <v>0</v>
      </c>
    </row>
    <row r="1915" spans="1:16" x14ac:dyDescent="0.35">
      <c r="A1915" s="33">
        <v>1912</v>
      </c>
      <c r="B1915" s="34" t="s">
        <v>2293</v>
      </c>
      <c r="C1915" s="33" t="s">
        <v>346</v>
      </c>
      <c r="D1915" s="33" t="s">
        <v>142</v>
      </c>
      <c r="E1915" s="33" t="s">
        <v>2252</v>
      </c>
      <c r="F1915" s="35">
        <v>1</v>
      </c>
      <c r="G1915" s="40">
        <v>0</v>
      </c>
      <c r="H1915" s="40">
        <v>0</v>
      </c>
      <c r="I1915" s="40">
        <v>0</v>
      </c>
      <c r="J1915" s="40">
        <v>0</v>
      </c>
      <c r="K1915" s="40">
        <v>0</v>
      </c>
      <c r="L1915" s="40">
        <v>0</v>
      </c>
      <c r="M1915" s="40" cm="1">
        <f t="array" ref="M1915:N1915">VLOOKUP(B1915,'Fumigation  Room'!B:H,{6,7},0)</f>
        <v>0</v>
      </c>
      <c r="N1915" s="40">
        <v>0</v>
      </c>
      <c r="O1915" s="40">
        <f t="shared" si="59"/>
        <v>0</v>
      </c>
      <c r="P1915" s="40">
        <f t="shared" si="60"/>
        <v>0</v>
      </c>
    </row>
    <row r="1916" spans="1:16" x14ac:dyDescent="0.35">
      <c r="A1916" s="33">
        <v>1893</v>
      </c>
      <c r="B1916" s="51" t="s">
        <v>2332</v>
      </c>
      <c r="C1916" s="33" t="s">
        <v>346</v>
      </c>
      <c r="D1916" s="33" t="s">
        <v>100</v>
      </c>
      <c r="E1916" s="33" t="s">
        <v>1623</v>
      </c>
      <c r="F1916" s="35">
        <v>1</v>
      </c>
      <c r="G1916" s="40">
        <v>0</v>
      </c>
      <c r="H1916" s="40">
        <v>0</v>
      </c>
      <c r="I1916" s="40">
        <v>0</v>
      </c>
      <c r="J1916" s="40">
        <v>0</v>
      </c>
      <c r="K1916" s="40">
        <v>0</v>
      </c>
      <c r="L1916" s="40">
        <v>0</v>
      </c>
      <c r="M1916" s="40">
        <v>0</v>
      </c>
      <c r="N1916" s="40">
        <v>0</v>
      </c>
      <c r="O1916" s="40">
        <f t="shared" si="59"/>
        <v>0</v>
      </c>
      <c r="P1916" s="40">
        <f t="shared" si="60"/>
        <v>0</v>
      </c>
    </row>
    <row r="1917" spans="1:16" x14ac:dyDescent="0.35">
      <c r="A1917" s="33">
        <v>1894</v>
      </c>
      <c r="B1917" s="51" t="s">
        <v>2333</v>
      </c>
      <c r="C1917" s="33" t="s">
        <v>346</v>
      </c>
      <c r="D1917" s="33" t="s">
        <v>70</v>
      </c>
      <c r="E1917" s="33" t="s">
        <v>2091</v>
      </c>
      <c r="F1917" s="35">
        <v>1.4999999999999999E-2</v>
      </c>
      <c r="G1917" s="40">
        <v>0</v>
      </c>
      <c r="H1917" s="40">
        <v>0</v>
      </c>
      <c r="I1917" s="40">
        <v>0</v>
      </c>
      <c r="J1917" s="40">
        <v>0</v>
      </c>
      <c r="K1917" s="40">
        <v>0</v>
      </c>
      <c r="L1917" s="40">
        <v>0</v>
      </c>
      <c r="M1917" s="40">
        <v>0</v>
      </c>
      <c r="N1917" s="40">
        <v>0</v>
      </c>
      <c r="O1917" s="40">
        <f t="shared" si="59"/>
        <v>0</v>
      </c>
      <c r="P1917" s="40">
        <f t="shared" si="60"/>
        <v>0</v>
      </c>
    </row>
    <row r="1918" spans="1:16" x14ac:dyDescent="0.35">
      <c r="A1918" s="33">
        <v>1895</v>
      </c>
      <c r="B1918" s="51" t="s">
        <v>2334</v>
      </c>
      <c r="C1918" s="33" t="s">
        <v>346</v>
      </c>
      <c r="D1918" s="33" t="s">
        <v>70</v>
      </c>
      <c r="E1918" s="33" t="s">
        <v>2091</v>
      </c>
      <c r="F1918" s="35">
        <v>4.7999999999999994E-2</v>
      </c>
      <c r="G1918" s="40">
        <v>0</v>
      </c>
      <c r="H1918" s="40">
        <v>0</v>
      </c>
      <c r="I1918" s="40">
        <v>0</v>
      </c>
      <c r="J1918" s="40">
        <v>0</v>
      </c>
      <c r="K1918" s="40">
        <v>0</v>
      </c>
      <c r="L1918" s="40">
        <v>0</v>
      </c>
      <c r="M1918" s="40">
        <v>0</v>
      </c>
      <c r="N1918" s="40">
        <v>0</v>
      </c>
      <c r="O1918" s="40">
        <f t="shared" si="59"/>
        <v>0</v>
      </c>
      <c r="P1918" s="40">
        <f t="shared" si="60"/>
        <v>0</v>
      </c>
    </row>
    <row r="1919" spans="1:16" x14ac:dyDescent="0.35">
      <c r="A1919" s="33">
        <v>1896</v>
      </c>
      <c r="B1919" s="51" t="s">
        <v>2335</v>
      </c>
      <c r="C1919" s="33" t="s">
        <v>346</v>
      </c>
      <c r="D1919" s="33" t="s">
        <v>469</v>
      </c>
      <c r="E1919" s="33" t="s">
        <v>470</v>
      </c>
      <c r="F1919" s="35">
        <v>1</v>
      </c>
      <c r="G1919" s="40">
        <v>0</v>
      </c>
      <c r="H1919" s="40">
        <v>0</v>
      </c>
      <c r="I1919" s="40">
        <v>0</v>
      </c>
      <c r="J1919" s="40">
        <v>0</v>
      </c>
      <c r="K1919" s="40">
        <v>0</v>
      </c>
      <c r="L1919" s="40">
        <v>0</v>
      </c>
      <c r="M1919" s="40">
        <v>0</v>
      </c>
      <c r="N1919" s="40">
        <v>0</v>
      </c>
      <c r="O1919" s="40">
        <f t="shared" si="59"/>
        <v>0</v>
      </c>
      <c r="P1919" s="40">
        <f t="shared" si="60"/>
        <v>0</v>
      </c>
    </row>
    <row r="1920" spans="1:16" x14ac:dyDescent="0.35">
      <c r="A1920" s="33">
        <v>1897</v>
      </c>
      <c r="B1920" s="51" t="s">
        <v>2336</v>
      </c>
      <c r="C1920" s="33" t="s">
        <v>297</v>
      </c>
      <c r="D1920" s="33" t="s">
        <v>111</v>
      </c>
      <c r="E1920" s="33" t="s">
        <v>1182</v>
      </c>
      <c r="F1920" s="35">
        <v>1</v>
      </c>
      <c r="G1920" s="40">
        <v>0</v>
      </c>
      <c r="H1920" s="40">
        <v>0</v>
      </c>
      <c r="I1920" s="40">
        <v>0</v>
      </c>
      <c r="J1920" s="40">
        <v>0</v>
      </c>
      <c r="K1920" s="40">
        <v>0</v>
      </c>
      <c r="L1920" s="40">
        <v>0</v>
      </c>
      <c r="M1920" s="40">
        <v>0</v>
      </c>
      <c r="N1920" s="40">
        <v>0</v>
      </c>
      <c r="O1920" s="40">
        <f t="shared" si="59"/>
        <v>0</v>
      </c>
      <c r="P1920" s="40">
        <f t="shared" si="60"/>
        <v>0</v>
      </c>
    </row>
    <row r="1921" spans="1:16" x14ac:dyDescent="0.35">
      <c r="A1921" s="33">
        <v>1898</v>
      </c>
      <c r="B1921" s="51" t="s">
        <v>2337</v>
      </c>
      <c r="C1921" s="33"/>
      <c r="D1921" s="33" t="s">
        <v>2040</v>
      </c>
      <c r="E1921" s="52" t="s">
        <v>2045</v>
      </c>
      <c r="F1921" s="35">
        <v>1</v>
      </c>
      <c r="G1921" s="40">
        <v>0</v>
      </c>
      <c r="H1921" s="40">
        <v>0</v>
      </c>
      <c r="I1921" s="40">
        <v>0</v>
      </c>
      <c r="J1921" s="40">
        <v>0</v>
      </c>
      <c r="K1921" s="40">
        <v>0</v>
      </c>
      <c r="L1921" s="40">
        <v>0</v>
      </c>
      <c r="M1921" s="40">
        <v>0</v>
      </c>
      <c r="N1921" s="40">
        <v>0</v>
      </c>
      <c r="O1921" s="40">
        <f t="shared" si="59"/>
        <v>0</v>
      </c>
      <c r="P1921" s="40">
        <f t="shared" si="60"/>
        <v>0</v>
      </c>
    </row>
    <row r="1922" spans="1:16" x14ac:dyDescent="0.35">
      <c r="A1922" s="33">
        <v>1899</v>
      </c>
      <c r="B1922" s="51" t="s">
        <v>2338</v>
      </c>
      <c r="C1922" s="33" t="s">
        <v>346</v>
      </c>
      <c r="D1922" s="33" t="s">
        <v>208</v>
      </c>
      <c r="E1922" s="33" t="s">
        <v>1478</v>
      </c>
      <c r="F1922" s="35">
        <v>1</v>
      </c>
      <c r="G1922" s="40">
        <v>0</v>
      </c>
      <c r="H1922" s="40">
        <v>0</v>
      </c>
      <c r="I1922" s="40">
        <v>0</v>
      </c>
      <c r="J1922" s="40">
        <v>0</v>
      </c>
      <c r="K1922" s="40">
        <v>0</v>
      </c>
      <c r="L1922" s="40">
        <v>0</v>
      </c>
      <c r="M1922" s="40">
        <v>0</v>
      </c>
      <c r="N1922" s="40">
        <v>0</v>
      </c>
      <c r="O1922" s="40">
        <f t="shared" si="59"/>
        <v>0</v>
      </c>
      <c r="P1922" s="40">
        <f t="shared" si="60"/>
        <v>0</v>
      </c>
    </row>
    <row r="1923" spans="1:16" x14ac:dyDescent="0.35">
      <c r="A1923" s="33">
        <v>1900</v>
      </c>
      <c r="B1923" s="51" t="s">
        <v>2300</v>
      </c>
      <c r="C1923" s="33" t="s">
        <v>346</v>
      </c>
      <c r="D1923" s="33" t="s">
        <v>70</v>
      </c>
      <c r="E1923" s="33" t="s">
        <v>2091</v>
      </c>
      <c r="F1923" s="35">
        <v>0.25</v>
      </c>
      <c r="G1923" s="40">
        <v>0</v>
      </c>
      <c r="H1923" s="40">
        <v>0</v>
      </c>
      <c r="I1923" s="40">
        <v>0</v>
      </c>
      <c r="J1923" s="40">
        <v>0</v>
      </c>
      <c r="K1923" s="40">
        <v>0</v>
      </c>
      <c r="L1923" s="40">
        <v>0</v>
      </c>
      <c r="M1923" s="40" cm="1">
        <f t="array" ref="M1923:N1923">VLOOKUP(B1923,'Fumigation  Room'!B:H,{6,7},0)</f>
        <v>0</v>
      </c>
      <c r="N1923" s="40">
        <v>0</v>
      </c>
      <c r="O1923" s="40">
        <f t="shared" si="59"/>
        <v>0</v>
      </c>
      <c r="P1923" s="40">
        <f t="shared" si="60"/>
        <v>0</v>
      </c>
    </row>
    <row r="1924" spans="1:16" x14ac:dyDescent="0.35">
      <c r="A1924" s="33">
        <v>1901</v>
      </c>
      <c r="B1924" s="51" t="s">
        <v>2339</v>
      </c>
      <c r="C1924" s="33" t="s">
        <v>297</v>
      </c>
      <c r="D1924" s="33" t="s">
        <v>22</v>
      </c>
      <c r="E1924" s="33" t="s">
        <v>1359</v>
      </c>
      <c r="F1924" s="35">
        <v>1</v>
      </c>
      <c r="G1924" s="40">
        <v>0</v>
      </c>
      <c r="H1924" s="40">
        <v>0</v>
      </c>
      <c r="I1924" s="40">
        <v>0</v>
      </c>
      <c r="J1924" s="40">
        <v>0</v>
      </c>
      <c r="K1924" s="40">
        <v>0</v>
      </c>
      <c r="L1924" s="40">
        <v>0</v>
      </c>
      <c r="M1924" s="40">
        <v>0</v>
      </c>
      <c r="N1924" s="40">
        <v>0</v>
      </c>
      <c r="O1924" s="40">
        <f t="shared" si="59"/>
        <v>0</v>
      </c>
      <c r="P1924" s="40">
        <f t="shared" si="60"/>
        <v>0</v>
      </c>
    </row>
    <row r="1925" spans="1:16" x14ac:dyDescent="0.35">
      <c r="A1925" s="33">
        <v>1902</v>
      </c>
      <c r="B1925" s="51" t="s">
        <v>2340</v>
      </c>
      <c r="C1925" s="33" t="s">
        <v>346</v>
      </c>
      <c r="D1925" s="33" t="s">
        <v>70</v>
      </c>
      <c r="E1925" s="33" t="s">
        <v>2091</v>
      </c>
      <c r="F1925" s="35">
        <v>1</v>
      </c>
      <c r="G1925" s="40">
        <v>0</v>
      </c>
      <c r="H1925" s="40">
        <v>0</v>
      </c>
      <c r="I1925" s="40">
        <v>0</v>
      </c>
      <c r="J1925" s="40">
        <v>0</v>
      </c>
      <c r="K1925" s="40">
        <v>0</v>
      </c>
      <c r="L1925" s="40">
        <v>0</v>
      </c>
      <c r="M1925" s="40">
        <v>0</v>
      </c>
      <c r="N1925" s="40">
        <v>0</v>
      </c>
      <c r="O1925" s="40">
        <f t="shared" ref="O1925:O1948" si="61">G1925+I1925+K1925+M1925</f>
        <v>0</v>
      </c>
      <c r="P1925" s="40">
        <f t="shared" ref="P1925:P1948" si="62">H1925+J1925+L1925+N1925</f>
        <v>0</v>
      </c>
    </row>
    <row r="1926" spans="1:16" x14ac:dyDescent="0.35">
      <c r="A1926" s="33">
        <v>1903</v>
      </c>
      <c r="B1926" s="51" t="s">
        <v>2341</v>
      </c>
      <c r="C1926" s="33" t="s">
        <v>346</v>
      </c>
      <c r="D1926" s="33" t="s">
        <v>70</v>
      </c>
      <c r="E1926" s="33" t="s">
        <v>2091</v>
      </c>
      <c r="F1926" s="35">
        <v>1</v>
      </c>
      <c r="G1926" s="40">
        <v>0</v>
      </c>
      <c r="H1926" s="40">
        <v>0</v>
      </c>
      <c r="I1926" s="40">
        <v>0</v>
      </c>
      <c r="J1926" s="40">
        <v>0</v>
      </c>
      <c r="K1926" s="40">
        <v>0</v>
      </c>
      <c r="L1926" s="40">
        <v>0</v>
      </c>
      <c r="M1926" s="40">
        <v>0</v>
      </c>
      <c r="N1926" s="40">
        <v>0</v>
      </c>
      <c r="O1926" s="40">
        <f t="shared" si="61"/>
        <v>0</v>
      </c>
      <c r="P1926" s="40">
        <f t="shared" si="62"/>
        <v>0</v>
      </c>
    </row>
    <row r="1927" spans="1:16" x14ac:dyDescent="0.35">
      <c r="A1927" s="33">
        <v>1904</v>
      </c>
      <c r="B1927" s="51" t="s">
        <v>2342</v>
      </c>
      <c r="C1927" s="33" t="s">
        <v>346</v>
      </c>
      <c r="D1927" s="33" t="s">
        <v>70</v>
      </c>
      <c r="E1927" s="33" t="s">
        <v>2091</v>
      </c>
      <c r="F1927" s="35">
        <v>1</v>
      </c>
      <c r="G1927" s="40">
        <v>0</v>
      </c>
      <c r="H1927" s="40">
        <v>0</v>
      </c>
      <c r="I1927" s="40">
        <v>0</v>
      </c>
      <c r="J1927" s="40">
        <v>0</v>
      </c>
      <c r="K1927" s="40">
        <v>0</v>
      </c>
      <c r="L1927" s="40">
        <v>0</v>
      </c>
      <c r="M1927" s="40">
        <v>0</v>
      </c>
      <c r="N1927" s="40">
        <v>0</v>
      </c>
      <c r="O1927" s="40">
        <f t="shared" si="61"/>
        <v>0</v>
      </c>
      <c r="P1927" s="40">
        <f t="shared" si="62"/>
        <v>0</v>
      </c>
    </row>
    <row r="1928" spans="1:16" x14ac:dyDescent="0.35">
      <c r="A1928" s="33">
        <v>1905</v>
      </c>
      <c r="B1928" s="51" t="s">
        <v>2343</v>
      </c>
      <c r="C1928" s="33" t="s">
        <v>346</v>
      </c>
      <c r="D1928" s="33" t="s">
        <v>70</v>
      </c>
      <c r="E1928" s="33" t="s">
        <v>2091</v>
      </c>
      <c r="F1928" s="35">
        <v>1</v>
      </c>
      <c r="G1928" s="40">
        <v>0</v>
      </c>
      <c r="H1928" s="40">
        <v>0</v>
      </c>
      <c r="I1928" s="40">
        <v>0</v>
      </c>
      <c r="J1928" s="40">
        <v>0</v>
      </c>
      <c r="K1928" s="40">
        <v>0</v>
      </c>
      <c r="L1928" s="40">
        <v>0</v>
      </c>
      <c r="M1928" s="40">
        <v>0</v>
      </c>
      <c r="N1928" s="40">
        <v>0</v>
      </c>
      <c r="O1928" s="40">
        <f t="shared" si="61"/>
        <v>0</v>
      </c>
      <c r="P1928" s="40">
        <f t="shared" si="62"/>
        <v>0</v>
      </c>
    </row>
    <row r="1929" spans="1:16" x14ac:dyDescent="0.35">
      <c r="A1929" s="33">
        <v>1906</v>
      </c>
      <c r="B1929" s="51" t="s">
        <v>2344</v>
      </c>
      <c r="C1929" s="33" t="s">
        <v>297</v>
      </c>
      <c r="D1929" s="33" t="s">
        <v>22</v>
      </c>
      <c r="E1929" s="33" t="s">
        <v>1359</v>
      </c>
      <c r="F1929" s="35">
        <v>1</v>
      </c>
      <c r="G1929" s="40">
        <v>0</v>
      </c>
      <c r="H1929" s="40">
        <v>0</v>
      </c>
      <c r="I1929" s="40">
        <v>0</v>
      </c>
      <c r="J1929" s="40">
        <v>0</v>
      </c>
      <c r="K1929" s="40">
        <v>0</v>
      </c>
      <c r="L1929" s="40">
        <v>0</v>
      </c>
      <c r="M1929" s="40">
        <v>0</v>
      </c>
      <c r="N1929" s="40">
        <v>0</v>
      </c>
      <c r="O1929" s="40">
        <f t="shared" si="61"/>
        <v>0</v>
      </c>
      <c r="P1929" s="40">
        <f t="shared" si="62"/>
        <v>0</v>
      </c>
    </row>
    <row r="1930" spans="1:16" x14ac:dyDescent="0.35">
      <c r="A1930" s="33">
        <v>1907</v>
      </c>
      <c r="B1930" s="51" t="s">
        <v>2345</v>
      </c>
      <c r="C1930" s="33" t="s">
        <v>346</v>
      </c>
      <c r="D1930" s="33" t="s">
        <v>208</v>
      </c>
      <c r="E1930" s="33" t="s">
        <v>1474</v>
      </c>
      <c r="F1930" s="35">
        <v>1</v>
      </c>
      <c r="G1930" s="40">
        <v>0</v>
      </c>
      <c r="H1930" s="40">
        <v>0</v>
      </c>
      <c r="I1930" s="40">
        <v>0</v>
      </c>
      <c r="J1930" s="40">
        <v>0</v>
      </c>
      <c r="K1930" s="40">
        <v>0</v>
      </c>
      <c r="L1930" s="40">
        <v>0</v>
      </c>
      <c r="M1930" s="40">
        <v>0</v>
      </c>
      <c r="N1930" s="40">
        <v>0</v>
      </c>
      <c r="O1930" s="40">
        <f t="shared" si="61"/>
        <v>0</v>
      </c>
      <c r="P1930" s="40">
        <f t="shared" si="62"/>
        <v>0</v>
      </c>
    </row>
    <row r="1931" spans="1:16" x14ac:dyDescent="0.35">
      <c r="A1931" s="33">
        <v>1908</v>
      </c>
      <c r="B1931" s="51" t="s">
        <v>2346</v>
      </c>
      <c r="C1931" s="33" t="s">
        <v>346</v>
      </c>
      <c r="D1931" s="33" t="s">
        <v>208</v>
      </c>
      <c r="E1931" s="33" t="s">
        <v>1474</v>
      </c>
      <c r="F1931" s="35">
        <v>1</v>
      </c>
      <c r="G1931" s="40">
        <v>0</v>
      </c>
      <c r="H1931" s="40">
        <v>0</v>
      </c>
      <c r="I1931" s="40">
        <v>0</v>
      </c>
      <c r="J1931" s="40">
        <v>0</v>
      </c>
      <c r="K1931" s="40">
        <v>0</v>
      </c>
      <c r="L1931" s="40">
        <v>0</v>
      </c>
      <c r="M1931" s="40">
        <v>0</v>
      </c>
      <c r="N1931" s="40">
        <v>0</v>
      </c>
      <c r="O1931" s="40">
        <f t="shared" si="61"/>
        <v>0</v>
      </c>
      <c r="P1931" s="40">
        <f t="shared" si="62"/>
        <v>0</v>
      </c>
    </row>
    <row r="1932" spans="1:16" x14ac:dyDescent="0.35">
      <c r="A1932" s="33">
        <v>1909</v>
      </c>
      <c r="B1932" s="51" t="s">
        <v>2347</v>
      </c>
      <c r="C1932" s="33" t="s">
        <v>346</v>
      </c>
      <c r="D1932" s="33" t="s">
        <v>523</v>
      </c>
      <c r="E1932" s="33" t="s">
        <v>556</v>
      </c>
      <c r="F1932" s="35">
        <v>1</v>
      </c>
      <c r="G1932" s="40">
        <v>0</v>
      </c>
      <c r="H1932" s="40">
        <v>0</v>
      </c>
      <c r="I1932" s="40">
        <v>0</v>
      </c>
      <c r="J1932" s="40">
        <v>0</v>
      </c>
      <c r="K1932" s="40">
        <v>0</v>
      </c>
      <c r="L1932" s="40">
        <v>0</v>
      </c>
      <c r="M1932" s="40">
        <v>0</v>
      </c>
      <c r="N1932" s="40">
        <v>0</v>
      </c>
      <c r="O1932" s="40">
        <f t="shared" si="61"/>
        <v>0</v>
      </c>
      <c r="P1932" s="40">
        <f t="shared" si="62"/>
        <v>0</v>
      </c>
    </row>
    <row r="1933" spans="1:16" x14ac:dyDescent="0.35">
      <c r="A1933" s="33">
        <v>1910</v>
      </c>
      <c r="B1933" s="51" t="s">
        <v>2348</v>
      </c>
      <c r="C1933" s="33" t="s">
        <v>346</v>
      </c>
      <c r="D1933" s="33" t="s">
        <v>43</v>
      </c>
      <c r="E1933" s="33" t="s">
        <v>1781</v>
      </c>
      <c r="F1933" s="35">
        <v>0.21</v>
      </c>
      <c r="G1933" s="40">
        <v>0</v>
      </c>
      <c r="H1933" s="40">
        <v>0</v>
      </c>
      <c r="I1933" s="40">
        <v>0</v>
      </c>
      <c r="J1933" s="40">
        <v>0</v>
      </c>
      <c r="K1933" s="40">
        <v>0</v>
      </c>
      <c r="L1933" s="40">
        <v>0</v>
      </c>
      <c r="M1933" s="40">
        <v>0</v>
      </c>
      <c r="N1933" s="40">
        <v>0</v>
      </c>
      <c r="O1933" s="40">
        <f t="shared" si="61"/>
        <v>0</v>
      </c>
      <c r="P1933" s="40">
        <f t="shared" si="62"/>
        <v>0</v>
      </c>
    </row>
    <row r="1934" spans="1:16" x14ac:dyDescent="0.35">
      <c r="A1934" s="33">
        <v>1911</v>
      </c>
      <c r="B1934" s="51" t="s">
        <v>2349</v>
      </c>
      <c r="C1934" s="33" t="s">
        <v>346</v>
      </c>
      <c r="D1934" s="33" t="s">
        <v>17</v>
      </c>
      <c r="E1934" s="33" t="s">
        <v>666</v>
      </c>
      <c r="F1934" s="35">
        <v>0.21</v>
      </c>
      <c r="G1934" s="40">
        <v>0</v>
      </c>
      <c r="H1934" s="40">
        <v>0</v>
      </c>
      <c r="I1934" s="40">
        <v>0</v>
      </c>
      <c r="J1934" s="40">
        <v>0</v>
      </c>
      <c r="K1934" s="40">
        <v>0</v>
      </c>
      <c r="L1934" s="40">
        <v>0</v>
      </c>
      <c r="M1934" s="40">
        <v>0</v>
      </c>
      <c r="N1934" s="40">
        <v>0</v>
      </c>
      <c r="O1934" s="40">
        <f t="shared" si="61"/>
        <v>0</v>
      </c>
      <c r="P1934" s="40">
        <f t="shared" si="62"/>
        <v>0</v>
      </c>
    </row>
    <row r="1935" spans="1:16" x14ac:dyDescent="0.35">
      <c r="A1935" s="33">
        <v>1912</v>
      </c>
      <c r="B1935" s="51" t="s">
        <v>2350</v>
      </c>
      <c r="C1935" s="33" t="s">
        <v>346</v>
      </c>
      <c r="D1935" s="33" t="s">
        <v>208</v>
      </c>
      <c r="E1935" s="33" t="s">
        <v>1478</v>
      </c>
      <c r="F1935" s="35">
        <v>1</v>
      </c>
      <c r="G1935" s="40">
        <v>0</v>
      </c>
      <c r="H1935" s="40">
        <v>0</v>
      </c>
      <c r="I1935" s="40">
        <v>0</v>
      </c>
      <c r="J1935" s="40">
        <v>0</v>
      </c>
      <c r="K1935" s="40">
        <v>0</v>
      </c>
      <c r="L1935" s="40">
        <f>VLOOKUP(B1935,'Packing Off Grade'!I:J,2,0)</f>
        <v>5.6</v>
      </c>
      <c r="M1935" s="40">
        <v>0</v>
      </c>
      <c r="N1935" s="40">
        <v>24.3</v>
      </c>
      <c r="O1935" s="40">
        <f t="shared" si="61"/>
        <v>0</v>
      </c>
      <c r="P1935" s="40">
        <f t="shared" si="62"/>
        <v>29.9</v>
      </c>
    </row>
    <row r="1936" spans="1:16" x14ac:dyDescent="0.35">
      <c r="A1936" s="33">
        <v>1913</v>
      </c>
      <c r="B1936" s="51" t="s">
        <v>2351</v>
      </c>
      <c r="C1936" s="33" t="s">
        <v>346</v>
      </c>
      <c r="D1936" s="33" t="s">
        <v>208</v>
      </c>
      <c r="E1936" s="33" t="s">
        <v>1478</v>
      </c>
      <c r="F1936" s="35">
        <v>1</v>
      </c>
      <c r="G1936" s="40">
        <v>0</v>
      </c>
      <c r="H1936" s="40">
        <v>0</v>
      </c>
      <c r="I1936" s="40">
        <v>0</v>
      </c>
      <c r="J1936" s="40">
        <v>0</v>
      </c>
      <c r="K1936" s="40">
        <v>0</v>
      </c>
      <c r="L1936" s="40">
        <v>0</v>
      </c>
      <c r="M1936" s="40">
        <v>0</v>
      </c>
      <c r="N1936" s="40">
        <v>0</v>
      </c>
      <c r="O1936" s="40">
        <f t="shared" si="61"/>
        <v>0</v>
      </c>
      <c r="P1936" s="40">
        <f t="shared" si="62"/>
        <v>0</v>
      </c>
    </row>
    <row r="1937" spans="1:16" x14ac:dyDescent="0.35">
      <c r="A1937" s="33">
        <v>1914</v>
      </c>
      <c r="B1937" s="46" t="s">
        <v>2352</v>
      </c>
      <c r="C1937" s="33" t="s">
        <v>346</v>
      </c>
      <c r="D1937" s="33" t="s">
        <v>523</v>
      </c>
      <c r="E1937" s="33" t="s">
        <v>524</v>
      </c>
      <c r="F1937" s="35">
        <v>1</v>
      </c>
      <c r="G1937" s="40">
        <v>0</v>
      </c>
      <c r="H1937" s="40">
        <v>0</v>
      </c>
      <c r="I1937" s="40">
        <v>0</v>
      </c>
      <c r="J1937" s="40">
        <v>0</v>
      </c>
      <c r="K1937" s="40">
        <v>0</v>
      </c>
      <c r="L1937" s="40">
        <v>0</v>
      </c>
      <c r="M1937" s="40">
        <v>0</v>
      </c>
      <c r="N1937" s="40">
        <v>0</v>
      </c>
      <c r="O1937" s="40">
        <f t="shared" si="61"/>
        <v>0</v>
      </c>
      <c r="P1937" s="40">
        <f t="shared" si="62"/>
        <v>0</v>
      </c>
    </row>
    <row r="1938" spans="1:16" ht="29" x14ac:dyDescent="0.35">
      <c r="A1938" s="33">
        <v>1915</v>
      </c>
      <c r="B1938" s="46" t="s">
        <v>2353</v>
      </c>
      <c r="C1938" s="33" t="s">
        <v>346</v>
      </c>
      <c r="D1938" s="33" t="s">
        <v>523</v>
      </c>
      <c r="E1938" s="33" t="s">
        <v>524</v>
      </c>
      <c r="F1938" s="35">
        <v>1</v>
      </c>
      <c r="G1938" s="40">
        <v>0</v>
      </c>
      <c r="H1938" s="40">
        <v>0</v>
      </c>
      <c r="I1938" s="40">
        <v>0</v>
      </c>
      <c r="J1938" s="40">
        <v>0</v>
      </c>
      <c r="K1938" s="40">
        <v>0</v>
      </c>
      <c r="L1938" s="40">
        <v>0</v>
      </c>
      <c r="M1938" s="40">
        <v>0</v>
      </c>
      <c r="N1938" s="40">
        <v>0</v>
      </c>
      <c r="O1938" s="40">
        <f t="shared" si="61"/>
        <v>0</v>
      </c>
      <c r="P1938" s="40">
        <f t="shared" si="62"/>
        <v>0</v>
      </c>
    </row>
    <row r="1939" spans="1:16" x14ac:dyDescent="0.35">
      <c r="A1939" s="33">
        <v>1916</v>
      </c>
      <c r="B1939" s="46" t="s">
        <v>2354</v>
      </c>
      <c r="C1939" s="33" t="s">
        <v>346</v>
      </c>
      <c r="D1939" s="33" t="s">
        <v>523</v>
      </c>
      <c r="E1939" s="33" t="s">
        <v>563</v>
      </c>
      <c r="F1939" s="35">
        <v>3.5000000000000003E-2</v>
      </c>
      <c r="G1939" s="40">
        <v>0</v>
      </c>
      <c r="H1939" s="40">
        <v>0</v>
      </c>
      <c r="I1939" s="40">
        <v>0</v>
      </c>
      <c r="J1939" s="40">
        <v>0</v>
      </c>
      <c r="K1939" s="40">
        <v>0</v>
      </c>
      <c r="L1939" s="40">
        <v>0</v>
      </c>
      <c r="M1939" s="40">
        <v>0</v>
      </c>
      <c r="N1939" s="40">
        <v>0</v>
      </c>
      <c r="O1939" s="40">
        <f t="shared" si="61"/>
        <v>0</v>
      </c>
      <c r="P1939" s="40">
        <f t="shared" si="62"/>
        <v>0</v>
      </c>
    </row>
    <row r="1940" spans="1:16" x14ac:dyDescent="0.35">
      <c r="A1940" s="33">
        <v>1917</v>
      </c>
      <c r="B1940" s="46" t="s">
        <v>2355</v>
      </c>
      <c r="C1940" s="33" t="s">
        <v>346</v>
      </c>
      <c r="D1940" s="33" t="s">
        <v>17</v>
      </c>
      <c r="E1940" s="33" t="s">
        <v>666</v>
      </c>
      <c r="F1940" s="35">
        <v>1</v>
      </c>
      <c r="G1940" s="40">
        <v>0</v>
      </c>
      <c r="H1940" s="40">
        <v>0</v>
      </c>
      <c r="I1940" s="40">
        <v>0</v>
      </c>
      <c r="J1940" s="40">
        <v>0</v>
      </c>
      <c r="K1940" s="40">
        <v>0</v>
      </c>
      <c r="L1940" s="40">
        <v>0</v>
      </c>
      <c r="M1940" s="40">
        <v>0</v>
      </c>
      <c r="N1940" s="40">
        <v>0</v>
      </c>
      <c r="O1940" s="40">
        <f t="shared" si="61"/>
        <v>0</v>
      </c>
      <c r="P1940" s="40">
        <f t="shared" si="62"/>
        <v>0</v>
      </c>
    </row>
    <row r="1941" spans="1:16" x14ac:dyDescent="0.35">
      <c r="A1941" s="33">
        <v>1918</v>
      </c>
      <c r="B1941" s="53" t="s">
        <v>2356</v>
      </c>
      <c r="C1941" s="54" t="s">
        <v>297</v>
      </c>
      <c r="D1941" s="55" t="s">
        <v>2040</v>
      </c>
      <c r="E1941" s="52" t="s">
        <v>2045</v>
      </c>
      <c r="F1941" s="35">
        <v>1</v>
      </c>
      <c r="G1941" s="40">
        <v>0</v>
      </c>
      <c r="H1941" s="40">
        <v>0</v>
      </c>
      <c r="I1941" s="40">
        <v>0</v>
      </c>
      <c r="J1941" s="40">
        <v>0</v>
      </c>
      <c r="K1941" s="40">
        <v>0</v>
      </c>
      <c r="L1941" s="40">
        <v>0</v>
      </c>
      <c r="M1941" s="40">
        <v>0</v>
      </c>
      <c r="N1941" s="40">
        <v>0</v>
      </c>
      <c r="O1941" s="40">
        <f t="shared" si="61"/>
        <v>0</v>
      </c>
      <c r="P1941" s="40">
        <f t="shared" si="62"/>
        <v>0</v>
      </c>
    </row>
    <row r="1942" spans="1:16" ht="29" x14ac:dyDescent="0.35">
      <c r="A1942" s="33">
        <v>1919</v>
      </c>
      <c r="B1942" s="53" t="s">
        <v>2357</v>
      </c>
      <c r="C1942" s="54" t="s">
        <v>346</v>
      </c>
      <c r="D1942" s="55" t="s">
        <v>523</v>
      </c>
      <c r="E1942" s="52" t="s">
        <v>561</v>
      </c>
      <c r="F1942" s="35">
        <v>1</v>
      </c>
      <c r="G1942" s="40">
        <v>0</v>
      </c>
      <c r="H1942" s="40">
        <v>0</v>
      </c>
      <c r="I1942" s="40">
        <v>0</v>
      </c>
      <c r="J1942" s="40">
        <v>0</v>
      </c>
      <c r="K1942" s="40">
        <v>0</v>
      </c>
      <c r="L1942" s="40">
        <v>0</v>
      </c>
      <c r="M1942" s="40">
        <v>0</v>
      </c>
      <c r="N1942" s="40">
        <v>0</v>
      </c>
      <c r="O1942" s="40">
        <f t="shared" si="61"/>
        <v>0</v>
      </c>
      <c r="P1942" s="40">
        <f t="shared" si="62"/>
        <v>0</v>
      </c>
    </row>
    <row r="1943" spans="1:16" x14ac:dyDescent="0.35">
      <c r="A1943" s="33">
        <v>1920</v>
      </c>
      <c r="B1943" s="53" t="s">
        <v>2358</v>
      </c>
      <c r="C1943" s="54" t="s">
        <v>346</v>
      </c>
      <c r="D1943" s="55" t="s">
        <v>523</v>
      </c>
      <c r="E1943" s="52" t="s">
        <v>561</v>
      </c>
      <c r="F1943" s="35">
        <v>1</v>
      </c>
      <c r="G1943" s="40">
        <v>0</v>
      </c>
      <c r="H1943" s="40">
        <v>0</v>
      </c>
      <c r="I1943" s="40">
        <v>0</v>
      </c>
      <c r="J1943" s="40">
        <v>0</v>
      </c>
      <c r="K1943" s="40">
        <v>0</v>
      </c>
      <c r="L1943" s="40">
        <v>0</v>
      </c>
      <c r="M1943" s="40">
        <v>0</v>
      </c>
      <c r="N1943" s="40">
        <v>0</v>
      </c>
      <c r="O1943" s="40">
        <f t="shared" si="61"/>
        <v>0</v>
      </c>
      <c r="P1943" s="40">
        <f t="shared" si="62"/>
        <v>0</v>
      </c>
    </row>
    <row r="1944" spans="1:16" x14ac:dyDescent="0.35">
      <c r="A1944" s="33">
        <v>1921</v>
      </c>
      <c r="B1944" s="53" t="s">
        <v>2359</v>
      </c>
      <c r="C1944" s="54" t="s">
        <v>346</v>
      </c>
      <c r="D1944" s="55" t="s">
        <v>523</v>
      </c>
      <c r="E1944" s="52" t="s">
        <v>561</v>
      </c>
      <c r="F1944" s="35">
        <v>1</v>
      </c>
      <c r="G1944" s="40">
        <v>0</v>
      </c>
      <c r="H1944" s="40">
        <v>0</v>
      </c>
      <c r="I1944" s="40">
        <v>0</v>
      </c>
      <c r="J1944" s="40">
        <v>0</v>
      </c>
      <c r="K1944" s="40">
        <v>0</v>
      </c>
      <c r="L1944" s="40">
        <v>0</v>
      </c>
      <c r="M1944" s="40">
        <v>0</v>
      </c>
      <c r="N1944" s="40">
        <v>0</v>
      </c>
      <c r="O1944" s="40">
        <f t="shared" si="61"/>
        <v>0</v>
      </c>
      <c r="P1944" s="40">
        <f t="shared" si="62"/>
        <v>0</v>
      </c>
    </row>
    <row r="1945" spans="1:16" x14ac:dyDescent="0.35">
      <c r="A1945" s="33">
        <v>1922</v>
      </c>
      <c r="B1945" s="53" t="s">
        <v>2360</v>
      </c>
      <c r="C1945" s="54" t="s">
        <v>346</v>
      </c>
      <c r="D1945" s="55" t="s">
        <v>523</v>
      </c>
      <c r="E1945" s="52" t="s">
        <v>561</v>
      </c>
      <c r="F1945" s="35">
        <v>1</v>
      </c>
      <c r="G1945" s="40">
        <v>0</v>
      </c>
      <c r="H1945" s="40">
        <v>0</v>
      </c>
      <c r="I1945" s="40">
        <v>0</v>
      </c>
      <c r="J1945" s="40">
        <v>0</v>
      </c>
      <c r="K1945" s="40">
        <v>0</v>
      </c>
      <c r="L1945" s="40">
        <v>0</v>
      </c>
      <c r="M1945" s="40">
        <v>0</v>
      </c>
      <c r="N1945" s="40">
        <v>0</v>
      </c>
      <c r="O1945" s="40">
        <f t="shared" si="61"/>
        <v>0</v>
      </c>
      <c r="P1945" s="40">
        <f t="shared" si="62"/>
        <v>0</v>
      </c>
    </row>
    <row r="1946" spans="1:16" x14ac:dyDescent="0.35">
      <c r="A1946" s="61">
        <v>1943</v>
      </c>
      <c r="B1946" s="59" t="s">
        <v>273</v>
      </c>
      <c r="C1946" s="33" t="s">
        <v>346</v>
      </c>
      <c r="D1946" s="33" t="s">
        <v>208</v>
      </c>
      <c r="E1946" s="33" t="s">
        <v>1478</v>
      </c>
      <c r="F1946" s="60">
        <v>1</v>
      </c>
      <c r="G1946" s="40">
        <v>0</v>
      </c>
      <c r="H1946" s="40">
        <v>0</v>
      </c>
      <c r="I1946" s="40">
        <v>0</v>
      </c>
      <c r="J1946" s="40">
        <v>0</v>
      </c>
      <c r="K1946" s="40">
        <v>0</v>
      </c>
      <c r="L1946" s="40">
        <v>0</v>
      </c>
      <c r="M1946" s="40">
        <v>0</v>
      </c>
      <c r="N1946" s="40">
        <v>0</v>
      </c>
      <c r="O1946" s="40">
        <f t="shared" si="61"/>
        <v>0</v>
      </c>
      <c r="P1946" s="40">
        <f t="shared" si="62"/>
        <v>0</v>
      </c>
    </row>
    <row r="1947" spans="1:16" x14ac:dyDescent="0.35">
      <c r="A1947" s="61">
        <v>1944</v>
      </c>
      <c r="B1947" s="59" t="s">
        <v>259</v>
      </c>
      <c r="C1947" s="33" t="s">
        <v>346</v>
      </c>
      <c r="D1947" s="33" t="s">
        <v>208</v>
      </c>
      <c r="E1947" s="33" t="s">
        <v>1478</v>
      </c>
      <c r="F1947" s="60">
        <v>1</v>
      </c>
      <c r="G1947" s="40">
        <v>0</v>
      </c>
      <c r="H1947" s="40">
        <v>0</v>
      </c>
      <c r="I1947" s="40">
        <v>0</v>
      </c>
      <c r="J1947" s="40">
        <v>0</v>
      </c>
      <c r="K1947" s="40">
        <v>0</v>
      </c>
      <c r="L1947" s="40">
        <f>VLOOKUP(B1947,'Packing Off Grade'!I:J,2,0)</f>
        <v>1.5</v>
      </c>
      <c r="M1947" s="40">
        <v>0</v>
      </c>
      <c r="N1947" s="40">
        <v>0</v>
      </c>
      <c r="O1947" s="40">
        <f t="shared" si="61"/>
        <v>0</v>
      </c>
      <c r="P1947" s="40">
        <f t="shared" si="62"/>
        <v>1.5</v>
      </c>
    </row>
    <row r="1948" spans="1:16" x14ac:dyDescent="0.35">
      <c r="A1948" s="61">
        <v>1945</v>
      </c>
      <c r="B1948" s="59" t="s">
        <v>260</v>
      </c>
      <c r="C1948" s="33" t="s">
        <v>346</v>
      </c>
      <c r="D1948" s="33" t="s">
        <v>208</v>
      </c>
      <c r="E1948" s="33" t="s">
        <v>1478</v>
      </c>
      <c r="F1948" s="60">
        <v>1</v>
      </c>
      <c r="G1948" s="40">
        <v>0</v>
      </c>
      <c r="H1948" s="40">
        <v>0</v>
      </c>
      <c r="I1948" s="40">
        <v>0</v>
      </c>
      <c r="J1948" s="40">
        <v>0</v>
      </c>
      <c r="K1948" s="40">
        <v>0</v>
      </c>
      <c r="L1948" s="40">
        <v>0</v>
      </c>
      <c r="M1948" s="40">
        <v>0</v>
      </c>
      <c r="N1948" s="40">
        <v>0</v>
      </c>
      <c r="O1948" s="40">
        <f t="shared" si="61"/>
        <v>0</v>
      </c>
      <c r="P1948" s="40">
        <f t="shared" si="62"/>
        <v>0</v>
      </c>
    </row>
  </sheetData>
  <autoFilter ref="A3:P1948" xr:uid="{B2295B2F-B8BD-4835-9049-3DBB90E79264}"/>
  <mergeCells count="5">
    <mergeCell ref="G2:H2"/>
    <mergeCell ref="I2:J2"/>
    <mergeCell ref="K2:L2"/>
    <mergeCell ref="O2:P2"/>
    <mergeCell ref="M2:N2"/>
  </mergeCells>
  <conditionalFormatting sqref="A3">
    <cfRule type="duplicateValues" dxfId="60" priority="27"/>
    <cfRule type="duplicateValues" dxfId="59" priority="28"/>
  </conditionalFormatting>
  <conditionalFormatting sqref="A4:A1915 A1946:A1948">
    <cfRule type="duplicateValues" dxfId="58" priority="5"/>
    <cfRule type="duplicateValues" dxfId="57" priority="6"/>
  </conditionalFormatting>
  <conditionalFormatting sqref="A1916:A1945">
    <cfRule type="duplicateValues" dxfId="56" priority="33"/>
    <cfRule type="duplicateValues" dxfId="55" priority="32"/>
  </conditionalFormatting>
  <conditionalFormatting sqref="B2:B1945">
    <cfRule type="duplicateValues" dxfId="54" priority="1"/>
  </conditionalFormatting>
  <conditionalFormatting sqref="B3">
    <cfRule type="duplicateValues" dxfId="53" priority="23"/>
    <cfRule type="duplicateValues" dxfId="52" priority="24"/>
    <cfRule type="duplicateValues" dxfId="51" priority="25"/>
    <cfRule type="duplicateValues" dxfId="50" priority="26"/>
  </conditionalFormatting>
  <conditionalFormatting sqref="B4:B1915">
    <cfRule type="duplicateValues" dxfId="49" priority="2"/>
    <cfRule type="duplicateValues" dxfId="48" priority="3"/>
    <cfRule type="duplicateValues" dxfId="47" priority="4"/>
  </conditionalFormatting>
  <conditionalFormatting sqref="B1916">
    <cfRule type="duplicateValues" dxfId="46" priority="18"/>
    <cfRule type="duplicateValues" dxfId="45" priority="16"/>
    <cfRule type="duplicateValues" dxfId="44" priority="17"/>
  </conditionalFormatting>
  <conditionalFormatting sqref="B1916:B1936">
    <cfRule type="duplicateValues" dxfId="43" priority="30"/>
  </conditionalFormatting>
  <conditionalFormatting sqref="B1916:B1940 B2:B3">
    <cfRule type="duplicateValues" dxfId="42" priority="31"/>
  </conditionalFormatting>
  <conditionalFormatting sqref="B1916:B1945 B2:B3">
    <cfRule type="duplicateValues" dxfId="41" priority="7"/>
  </conditionalFormatting>
  <conditionalFormatting sqref="B1917">
    <cfRule type="duplicateValues" dxfId="40" priority="15"/>
  </conditionalFormatting>
  <conditionalFormatting sqref="B1918">
    <cfRule type="duplicateValues" dxfId="39" priority="14"/>
  </conditionalFormatting>
  <conditionalFormatting sqref="B1919:B1921">
    <cfRule type="duplicateValues" dxfId="38" priority="13"/>
  </conditionalFormatting>
  <conditionalFormatting sqref="B1925">
    <cfRule type="duplicateValues" dxfId="37" priority="12"/>
  </conditionalFormatting>
  <conditionalFormatting sqref="B1926">
    <cfRule type="duplicateValues" dxfId="36" priority="11"/>
  </conditionalFormatting>
  <conditionalFormatting sqref="B1927">
    <cfRule type="duplicateValues" dxfId="35" priority="10"/>
  </conditionalFormatting>
  <conditionalFormatting sqref="B1928">
    <cfRule type="duplicateValues" dxfId="34" priority="9"/>
  </conditionalFormatting>
  <conditionalFormatting sqref="B1938:B1940">
    <cfRule type="duplicateValues" dxfId="33" priority="29"/>
  </conditionalFormatting>
  <conditionalFormatting sqref="B1940">
    <cfRule type="duplicateValues" dxfId="32" priority="8"/>
  </conditionalFormatting>
  <conditionalFormatting sqref="D2">
    <cfRule type="duplicateValues" dxfId="31" priority="19"/>
    <cfRule type="duplicateValues" dxfId="30" priority="20"/>
    <cfRule type="duplicateValues" dxfId="29" priority="21"/>
    <cfRule type="duplicateValues" dxfId="28" priority="2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DA27-3A78-498D-B602-DD6B137D27BD}">
  <dimension ref="A1:K18"/>
  <sheetViews>
    <sheetView topLeftCell="F1" workbookViewId="0">
      <selection activeCell="K8" sqref="K8"/>
    </sheetView>
  </sheetViews>
  <sheetFormatPr defaultRowHeight="14.5" x14ac:dyDescent="0.35"/>
  <cols>
    <col min="1" max="1" width="6.54296875" bestFit="1" customWidth="1"/>
    <col min="2" max="2" width="16.453125" bestFit="1" customWidth="1"/>
    <col min="3" max="3" width="14.7265625" bestFit="1" customWidth="1"/>
    <col min="4" max="4" width="45.54296875" bestFit="1" customWidth="1"/>
    <col min="5" max="5" width="9.54296875" bestFit="1" customWidth="1"/>
    <col min="6" max="6" width="7" bestFit="1" customWidth="1"/>
    <col min="7" max="7" width="16.453125" bestFit="1" customWidth="1"/>
    <col min="10" max="10" width="42.81640625" bestFit="1" customWidth="1"/>
    <col min="11" max="11" width="21.7265625" bestFit="1" customWidth="1"/>
  </cols>
  <sheetData>
    <row r="1" spans="1:11" ht="21" x14ac:dyDescent="0.5">
      <c r="A1" s="63" t="s">
        <v>221</v>
      </c>
      <c r="B1" s="63"/>
      <c r="C1" s="63"/>
      <c r="D1" s="63"/>
      <c r="E1" s="63"/>
      <c r="F1" s="63"/>
      <c r="G1" s="63"/>
      <c r="H1" s="63"/>
    </row>
    <row r="2" spans="1:11" x14ac:dyDescent="0.35">
      <c r="A2" s="64" t="s">
        <v>1</v>
      </c>
      <c r="B2" s="64"/>
      <c r="C2" s="17" t="s">
        <v>2</v>
      </c>
      <c r="D2" s="64" t="s">
        <v>3</v>
      </c>
      <c r="E2" s="64"/>
      <c r="F2" s="17"/>
      <c r="G2" s="17"/>
      <c r="H2" s="17"/>
    </row>
    <row r="3" spans="1:11" x14ac:dyDescent="0.35">
      <c r="A3" s="64" t="s">
        <v>4</v>
      </c>
      <c r="B3" s="64"/>
      <c r="C3" s="17" t="s">
        <v>2</v>
      </c>
      <c r="D3" s="64" t="s">
        <v>5</v>
      </c>
      <c r="E3" s="64"/>
      <c r="F3" s="17"/>
      <c r="G3" s="17"/>
      <c r="H3" s="17"/>
    </row>
    <row r="5" spans="1:1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9" t="s">
        <v>12</v>
      </c>
      <c r="H5" s="18"/>
      <c r="J5" s="58" t="s">
        <v>2367</v>
      </c>
      <c r="K5" t="s">
        <v>2370</v>
      </c>
    </row>
    <row r="6" spans="1:11" x14ac:dyDescent="0.35">
      <c r="A6" s="5">
        <v>1</v>
      </c>
      <c r="B6" s="6" t="s">
        <v>40</v>
      </c>
      <c r="C6" s="6" t="s">
        <v>41</v>
      </c>
      <c r="D6" s="6" t="s">
        <v>54</v>
      </c>
      <c r="E6" s="5" t="s">
        <v>16</v>
      </c>
      <c r="F6" s="5">
        <v>303</v>
      </c>
      <c r="G6" s="13">
        <v>303</v>
      </c>
      <c r="H6" s="4"/>
      <c r="J6" s="59"/>
      <c r="K6">
        <v>2970.9</v>
      </c>
    </row>
    <row r="7" spans="1:11" x14ac:dyDescent="0.35">
      <c r="A7" s="5">
        <v>2</v>
      </c>
      <c r="B7" s="6" t="s">
        <v>40</v>
      </c>
      <c r="C7" s="6" t="s">
        <v>41</v>
      </c>
      <c r="D7" s="6" t="s">
        <v>42</v>
      </c>
      <c r="E7" s="5" t="s">
        <v>16</v>
      </c>
      <c r="F7" s="5">
        <v>266</v>
      </c>
      <c r="G7" s="13">
        <v>266</v>
      </c>
      <c r="H7" s="4"/>
      <c r="J7" s="59" t="s">
        <v>42</v>
      </c>
      <c r="K7">
        <v>1376.18</v>
      </c>
    </row>
    <row r="8" spans="1:11" x14ac:dyDescent="0.35">
      <c r="A8" s="5">
        <v>3</v>
      </c>
      <c r="B8" s="6" t="s">
        <v>40</v>
      </c>
      <c r="C8" s="6" t="s">
        <v>41</v>
      </c>
      <c r="D8" s="6" t="s">
        <v>54</v>
      </c>
      <c r="E8" s="5" t="s">
        <v>16</v>
      </c>
      <c r="F8" s="5">
        <v>386.42</v>
      </c>
      <c r="G8" s="13">
        <v>386.42</v>
      </c>
      <c r="H8" s="4"/>
      <c r="J8" s="59" t="s">
        <v>54</v>
      </c>
      <c r="K8">
        <v>1594.72</v>
      </c>
    </row>
    <row r="9" spans="1:11" x14ac:dyDescent="0.35">
      <c r="A9" s="5">
        <v>4</v>
      </c>
      <c r="B9" s="6" t="s">
        <v>40</v>
      </c>
      <c r="C9" s="6" t="s">
        <v>41</v>
      </c>
      <c r="D9" s="6" t="s">
        <v>42</v>
      </c>
      <c r="E9" s="5" t="s">
        <v>16</v>
      </c>
      <c r="F9" s="5">
        <v>149</v>
      </c>
      <c r="G9" s="13">
        <v>149</v>
      </c>
      <c r="H9" s="4"/>
      <c r="J9" s="59" t="s">
        <v>2368</v>
      </c>
      <c r="K9">
        <v>5941.8</v>
      </c>
    </row>
    <row r="10" spans="1:11" x14ac:dyDescent="0.35">
      <c r="A10" s="5">
        <v>5</v>
      </c>
      <c r="B10" s="6" t="s">
        <v>40</v>
      </c>
      <c r="C10" s="6" t="s">
        <v>41</v>
      </c>
      <c r="D10" s="6" t="s">
        <v>42</v>
      </c>
      <c r="E10" s="5" t="s">
        <v>16</v>
      </c>
      <c r="F10" s="5">
        <v>240</v>
      </c>
      <c r="G10" s="13">
        <v>240</v>
      </c>
      <c r="H10" s="4"/>
    </row>
    <row r="11" spans="1:11" x14ac:dyDescent="0.35">
      <c r="A11" s="5">
        <v>6</v>
      </c>
      <c r="B11" s="6" t="s">
        <v>40</v>
      </c>
      <c r="C11" s="6" t="s">
        <v>41</v>
      </c>
      <c r="D11" s="6" t="s">
        <v>42</v>
      </c>
      <c r="E11" s="5" t="s">
        <v>16</v>
      </c>
      <c r="F11" s="5">
        <v>331.18</v>
      </c>
      <c r="G11" s="13">
        <v>331.18</v>
      </c>
      <c r="H11" s="4"/>
    </row>
    <row r="12" spans="1:11" x14ac:dyDescent="0.35">
      <c r="A12" s="5">
        <v>7</v>
      </c>
      <c r="B12" s="6" t="s">
        <v>40</v>
      </c>
      <c r="C12" s="6" t="s">
        <v>41</v>
      </c>
      <c r="D12" s="6" t="s">
        <v>42</v>
      </c>
      <c r="E12" s="5" t="s">
        <v>16</v>
      </c>
      <c r="F12" s="5">
        <v>150</v>
      </c>
      <c r="G12" s="13">
        <v>150</v>
      </c>
      <c r="H12" s="4"/>
    </row>
    <row r="13" spans="1:11" x14ac:dyDescent="0.35">
      <c r="A13" s="5">
        <v>8</v>
      </c>
      <c r="B13" s="6" t="s">
        <v>40</v>
      </c>
      <c r="C13" s="6" t="s">
        <v>41</v>
      </c>
      <c r="D13" s="6" t="s">
        <v>54</v>
      </c>
      <c r="E13" s="5" t="s">
        <v>16</v>
      </c>
      <c r="F13" s="5">
        <v>149</v>
      </c>
      <c r="G13" s="13">
        <v>149</v>
      </c>
      <c r="H13" s="4"/>
    </row>
    <row r="14" spans="1:11" x14ac:dyDescent="0.35">
      <c r="A14" s="5">
        <v>9</v>
      </c>
      <c r="B14" s="6" t="s">
        <v>40</v>
      </c>
      <c r="C14" s="6" t="s">
        <v>41</v>
      </c>
      <c r="D14" s="6" t="s">
        <v>42</v>
      </c>
      <c r="E14" s="5" t="s">
        <v>16</v>
      </c>
      <c r="F14" s="5">
        <v>240</v>
      </c>
      <c r="G14" s="13">
        <v>240</v>
      </c>
      <c r="H14" s="4"/>
    </row>
    <row r="15" spans="1:11" x14ac:dyDescent="0.35">
      <c r="A15" s="5">
        <v>10</v>
      </c>
      <c r="B15" s="6" t="s">
        <v>40</v>
      </c>
      <c r="C15" s="6" t="s">
        <v>41</v>
      </c>
      <c r="D15" s="6" t="s">
        <v>54</v>
      </c>
      <c r="E15" s="5" t="s">
        <v>16</v>
      </c>
      <c r="F15" s="5">
        <v>332.28</v>
      </c>
      <c r="G15" s="13">
        <v>332.28</v>
      </c>
      <c r="H15" s="4"/>
    </row>
    <row r="16" spans="1:11" x14ac:dyDescent="0.35">
      <c r="A16" s="5">
        <v>11</v>
      </c>
      <c r="B16" s="6" t="s">
        <v>40</v>
      </c>
      <c r="C16" s="6" t="s">
        <v>41</v>
      </c>
      <c r="D16" s="6" t="s">
        <v>54</v>
      </c>
      <c r="E16" s="5" t="s">
        <v>16</v>
      </c>
      <c r="F16" s="5">
        <v>243.86</v>
      </c>
      <c r="G16" s="13">
        <v>243.86</v>
      </c>
      <c r="H16" s="4"/>
    </row>
    <row r="17" spans="1:7" x14ac:dyDescent="0.35">
      <c r="A17" s="5">
        <v>12</v>
      </c>
      <c r="B17" s="6" t="s">
        <v>40</v>
      </c>
      <c r="C17" s="6" t="s">
        <v>41</v>
      </c>
      <c r="D17" s="6" t="s">
        <v>54</v>
      </c>
      <c r="E17" s="5" t="s">
        <v>16</v>
      </c>
      <c r="F17" s="5">
        <v>180.16</v>
      </c>
      <c r="G17" s="13">
        <v>180.16</v>
      </c>
    </row>
    <row r="18" spans="1:7" x14ac:dyDescent="0.35">
      <c r="A18" s="20" t="s">
        <v>89</v>
      </c>
      <c r="B18" s="20" t="s">
        <v>2</v>
      </c>
      <c r="C18" s="20" t="s">
        <v>2</v>
      </c>
      <c r="D18" s="20" t="s">
        <v>2</v>
      </c>
      <c r="E18" s="20" t="s">
        <v>2</v>
      </c>
      <c r="F18" s="21">
        <v>2970.9</v>
      </c>
      <c r="G18" s="21">
        <v>2970.9</v>
      </c>
    </row>
  </sheetData>
  <mergeCells count="5">
    <mergeCell ref="A1:H1"/>
    <mergeCell ref="A2:B2"/>
    <mergeCell ref="D2:E2"/>
    <mergeCell ref="A3:B3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6E33-E993-41F5-95D6-B7CCCB88CC66}">
  <dimension ref="A1:H8"/>
  <sheetViews>
    <sheetView workbookViewId="0">
      <selection activeCell="D6" sqref="D6"/>
    </sheetView>
  </sheetViews>
  <sheetFormatPr defaultRowHeight="14.5" x14ac:dyDescent="0.35"/>
  <cols>
    <col min="4" max="4" width="50.81640625" bestFit="1" customWidth="1"/>
  </cols>
  <sheetData>
    <row r="1" spans="1:8" ht="21" x14ac:dyDescent="0.5">
      <c r="A1" s="65" t="s">
        <v>221</v>
      </c>
      <c r="B1" s="65"/>
      <c r="C1" s="65"/>
      <c r="D1" s="65"/>
      <c r="E1" s="65"/>
      <c r="F1" s="65"/>
      <c r="G1" s="65"/>
      <c r="H1" s="65"/>
    </row>
    <row r="2" spans="1:8" x14ac:dyDescent="0.35">
      <c r="A2" s="66" t="s">
        <v>1</v>
      </c>
      <c r="B2" s="66"/>
      <c r="C2" s="1" t="s">
        <v>2</v>
      </c>
      <c r="D2" s="66" t="s">
        <v>3</v>
      </c>
      <c r="E2" s="66"/>
      <c r="F2" s="1"/>
      <c r="G2" s="1"/>
      <c r="H2" s="1"/>
    </row>
    <row r="3" spans="1:8" x14ac:dyDescent="0.35">
      <c r="A3" s="66" t="s">
        <v>4</v>
      </c>
      <c r="B3" s="66"/>
      <c r="C3" s="1" t="s">
        <v>2</v>
      </c>
      <c r="D3" s="66" t="s">
        <v>5</v>
      </c>
      <c r="E3" s="66"/>
      <c r="F3" s="1"/>
      <c r="G3" s="1"/>
      <c r="H3" s="1"/>
    </row>
    <row r="5" spans="1:8" x14ac:dyDescent="0.3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2"/>
    </row>
    <row r="6" spans="1:8" x14ac:dyDescent="0.35">
      <c r="A6" s="5">
        <v>1</v>
      </c>
      <c r="B6" s="6" t="s">
        <v>208</v>
      </c>
      <c r="C6" s="6" t="s">
        <v>211</v>
      </c>
      <c r="D6" s="6" t="s">
        <v>222</v>
      </c>
      <c r="E6" s="5" t="s">
        <v>16</v>
      </c>
      <c r="F6" s="13">
        <v>7</v>
      </c>
      <c r="G6" s="5" t="s">
        <v>55</v>
      </c>
      <c r="H6" s="4"/>
    </row>
    <row r="7" spans="1:8" x14ac:dyDescent="0.35">
      <c r="A7" s="5">
        <v>2</v>
      </c>
      <c r="B7" s="6" t="s">
        <v>208</v>
      </c>
      <c r="C7" s="6" t="s">
        <v>211</v>
      </c>
      <c r="D7" s="6" t="s">
        <v>212</v>
      </c>
      <c r="E7" s="5" t="s">
        <v>16</v>
      </c>
      <c r="F7" s="13">
        <v>25</v>
      </c>
      <c r="G7" s="5" t="s">
        <v>60</v>
      </c>
      <c r="H7" s="4"/>
    </row>
    <row r="8" spans="1:8" x14ac:dyDescent="0.35">
      <c r="A8" s="7" t="s">
        <v>89</v>
      </c>
      <c r="B8" s="7" t="s">
        <v>2</v>
      </c>
      <c r="C8" s="7" t="s">
        <v>2</v>
      </c>
      <c r="D8" s="7" t="s">
        <v>2</v>
      </c>
      <c r="E8" s="7" t="s">
        <v>2</v>
      </c>
      <c r="F8" s="8">
        <v>32</v>
      </c>
      <c r="G8" s="8" t="s">
        <v>223</v>
      </c>
      <c r="H8" s="11"/>
    </row>
  </sheetData>
  <mergeCells count="5">
    <mergeCell ref="A1:H1"/>
    <mergeCell ref="A2:B2"/>
    <mergeCell ref="D2:E2"/>
    <mergeCell ref="A3:B3"/>
    <mergeCell ref="D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6321-C1F2-4EE8-934D-761D9E1E2B0F}">
  <dimension ref="A1:J22"/>
  <sheetViews>
    <sheetView topLeftCell="C5" workbookViewId="0">
      <selection activeCell="D7" sqref="D7"/>
    </sheetView>
  </sheetViews>
  <sheetFormatPr defaultRowHeight="14.5" x14ac:dyDescent="0.35"/>
  <cols>
    <col min="1" max="1" width="6.54296875" bestFit="1" customWidth="1"/>
    <col min="2" max="2" width="16.453125" bestFit="1" customWidth="1"/>
    <col min="3" max="3" width="18.453125" bestFit="1" customWidth="1"/>
    <col min="4" max="4" width="45.54296875" bestFit="1" customWidth="1"/>
    <col min="5" max="5" width="9.54296875" bestFit="1" customWidth="1"/>
    <col min="6" max="6" width="7" bestFit="1" customWidth="1"/>
    <col min="7" max="7" width="16.453125" bestFit="1" customWidth="1"/>
    <col min="8" max="8" width="30.7265625" bestFit="1" customWidth="1"/>
    <col min="9" max="9" width="42.81640625" bestFit="1" customWidth="1"/>
    <col min="10" max="10" width="21.7265625" bestFit="1" customWidth="1"/>
  </cols>
  <sheetData>
    <row r="1" spans="1:10" ht="21" x14ac:dyDescent="0.5">
      <c r="A1" s="65" t="s">
        <v>221</v>
      </c>
      <c r="B1" s="65"/>
      <c r="C1" s="65"/>
      <c r="D1" s="65"/>
      <c r="E1" s="65"/>
      <c r="F1" s="65"/>
      <c r="G1" s="65"/>
      <c r="H1" s="65"/>
    </row>
    <row r="2" spans="1:10" x14ac:dyDescent="0.35">
      <c r="A2" s="66" t="s">
        <v>1</v>
      </c>
      <c r="B2" s="66"/>
      <c r="C2" s="1" t="s">
        <v>2</v>
      </c>
      <c r="D2" s="66" t="s">
        <v>3</v>
      </c>
      <c r="E2" s="66"/>
      <c r="F2" s="1"/>
      <c r="G2" s="1"/>
      <c r="H2" s="1"/>
    </row>
    <row r="3" spans="1:10" x14ac:dyDescent="0.35">
      <c r="A3" s="66" t="s">
        <v>4</v>
      </c>
      <c r="B3" s="66"/>
      <c r="C3" s="1" t="s">
        <v>2</v>
      </c>
      <c r="D3" s="66" t="s">
        <v>5</v>
      </c>
      <c r="E3" s="66"/>
      <c r="F3" s="1"/>
      <c r="G3" s="1"/>
      <c r="H3" s="1"/>
    </row>
    <row r="5" spans="1:10" x14ac:dyDescent="0.3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2"/>
      <c r="I5" s="58" t="s">
        <v>2367</v>
      </c>
      <c r="J5" t="s">
        <v>2370</v>
      </c>
    </row>
    <row r="6" spans="1:10" x14ac:dyDescent="0.35">
      <c r="A6" s="5">
        <v>1</v>
      </c>
      <c r="B6" s="6" t="s">
        <v>208</v>
      </c>
      <c r="C6" s="6" t="s">
        <v>211</v>
      </c>
      <c r="D6" s="6" t="s">
        <v>274</v>
      </c>
      <c r="E6" s="5" t="s">
        <v>16</v>
      </c>
      <c r="F6" s="5">
        <v>269.56</v>
      </c>
      <c r="G6" s="14">
        <v>269.56</v>
      </c>
      <c r="H6" s="4"/>
      <c r="I6" s="59"/>
      <c r="J6">
        <v>0</v>
      </c>
    </row>
    <row r="7" spans="1:10" x14ac:dyDescent="0.35">
      <c r="A7" s="5">
        <v>2</v>
      </c>
      <c r="B7" s="6" t="s">
        <v>208</v>
      </c>
      <c r="C7" s="6" t="s">
        <v>211</v>
      </c>
      <c r="D7" s="59" t="s">
        <v>259</v>
      </c>
      <c r="E7" s="5" t="s">
        <v>16</v>
      </c>
      <c r="F7" s="5">
        <v>1.5</v>
      </c>
      <c r="G7" s="14">
        <v>1.5</v>
      </c>
      <c r="H7" s="4"/>
      <c r="I7" s="59" t="s">
        <v>45</v>
      </c>
      <c r="J7">
        <v>5.6</v>
      </c>
    </row>
    <row r="8" spans="1:10" x14ac:dyDescent="0.35">
      <c r="A8" s="5">
        <v>3</v>
      </c>
      <c r="B8" s="6" t="s">
        <v>208</v>
      </c>
      <c r="C8" s="6" t="s">
        <v>211</v>
      </c>
      <c r="D8" s="51" t="s">
        <v>2350</v>
      </c>
      <c r="E8" s="5" t="s">
        <v>16</v>
      </c>
      <c r="F8" s="5">
        <v>5.6</v>
      </c>
      <c r="G8" s="13">
        <v>5.6</v>
      </c>
      <c r="H8" s="4"/>
      <c r="I8" s="59" t="s">
        <v>146</v>
      </c>
      <c r="J8">
        <v>2.7</v>
      </c>
    </row>
    <row r="9" spans="1:10" x14ac:dyDescent="0.35">
      <c r="A9" s="5">
        <v>4</v>
      </c>
      <c r="B9" s="6" t="s">
        <v>17</v>
      </c>
      <c r="C9" s="6" t="s">
        <v>18</v>
      </c>
      <c r="D9" s="6" t="s">
        <v>218</v>
      </c>
      <c r="E9" s="5" t="s">
        <v>16</v>
      </c>
      <c r="F9" s="5">
        <v>31.4</v>
      </c>
      <c r="G9" s="13">
        <v>31.4</v>
      </c>
      <c r="H9" s="4"/>
      <c r="I9" s="59" t="s">
        <v>216</v>
      </c>
      <c r="J9">
        <v>22.7</v>
      </c>
    </row>
    <row r="10" spans="1:10" x14ac:dyDescent="0.35">
      <c r="A10" s="5">
        <v>5</v>
      </c>
      <c r="B10" s="6" t="s">
        <v>17</v>
      </c>
      <c r="C10" s="6" t="s">
        <v>18</v>
      </c>
      <c r="D10" s="6" t="s">
        <v>218</v>
      </c>
      <c r="E10" s="5" t="s">
        <v>16</v>
      </c>
      <c r="F10" s="5">
        <v>5.78</v>
      </c>
      <c r="G10" s="13">
        <v>5.78</v>
      </c>
      <c r="H10" s="4"/>
      <c r="I10" s="59" t="s">
        <v>42</v>
      </c>
      <c r="J10">
        <v>127.4</v>
      </c>
    </row>
    <row r="11" spans="1:10" x14ac:dyDescent="0.35">
      <c r="A11" s="5">
        <v>6</v>
      </c>
      <c r="B11" s="6" t="s">
        <v>17</v>
      </c>
      <c r="C11" s="6" t="s">
        <v>18</v>
      </c>
      <c r="D11" s="6" t="s">
        <v>216</v>
      </c>
      <c r="E11" s="5" t="s">
        <v>16</v>
      </c>
      <c r="F11" s="5">
        <v>22.7</v>
      </c>
      <c r="G11" s="13">
        <v>22.7</v>
      </c>
      <c r="H11" s="4"/>
      <c r="I11" s="59" t="s">
        <v>54</v>
      </c>
      <c r="J11">
        <v>21</v>
      </c>
    </row>
    <row r="12" spans="1:10" x14ac:dyDescent="0.35">
      <c r="A12" s="5">
        <v>7</v>
      </c>
      <c r="B12" s="6" t="s">
        <v>43</v>
      </c>
      <c r="C12" s="6" t="s">
        <v>145</v>
      </c>
      <c r="D12" s="6" t="s">
        <v>146</v>
      </c>
      <c r="E12" s="5" t="s">
        <v>16</v>
      </c>
      <c r="F12" s="5">
        <v>2.7</v>
      </c>
      <c r="G12" s="13">
        <v>2.7</v>
      </c>
      <c r="H12" s="4"/>
      <c r="I12" s="59" t="s">
        <v>2350</v>
      </c>
      <c r="J12">
        <v>5.6</v>
      </c>
    </row>
    <row r="13" spans="1:10" x14ac:dyDescent="0.35">
      <c r="A13" s="5">
        <v>8</v>
      </c>
      <c r="B13" s="6" t="s">
        <v>43</v>
      </c>
      <c r="C13" s="6" t="s">
        <v>44</v>
      </c>
      <c r="D13" s="6" t="s">
        <v>45</v>
      </c>
      <c r="E13" s="5" t="s">
        <v>16</v>
      </c>
      <c r="F13" s="5">
        <v>5.6</v>
      </c>
      <c r="G13" s="13">
        <v>5.6</v>
      </c>
      <c r="H13" s="4"/>
      <c r="I13" s="59" t="s">
        <v>220</v>
      </c>
      <c r="J13">
        <v>14.52</v>
      </c>
    </row>
    <row r="14" spans="1:10" x14ac:dyDescent="0.35">
      <c r="A14" s="5">
        <v>9</v>
      </c>
      <c r="B14" s="6" t="s">
        <v>36</v>
      </c>
      <c r="C14" s="6" t="s">
        <v>37</v>
      </c>
      <c r="D14" s="6" t="s">
        <v>215</v>
      </c>
      <c r="E14" s="5" t="s">
        <v>16</v>
      </c>
      <c r="F14" s="5">
        <v>6.6</v>
      </c>
      <c r="G14" s="13">
        <v>6.6</v>
      </c>
      <c r="H14" s="4"/>
      <c r="I14" s="59" t="s">
        <v>121</v>
      </c>
      <c r="J14">
        <v>2.1</v>
      </c>
    </row>
    <row r="15" spans="1:10" x14ac:dyDescent="0.35">
      <c r="A15" s="5">
        <v>10</v>
      </c>
      <c r="B15" s="6" t="s">
        <v>40</v>
      </c>
      <c r="C15" s="6" t="s">
        <v>48</v>
      </c>
      <c r="D15" s="6" t="s">
        <v>220</v>
      </c>
      <c r="E15" s="5" t="s">
        <v>16</v>
      </c>
      <c r="F15" s="5">
        <v>14.52</v>
      </c>
      <c r="G15" s="13">
        <v>14.52</v>
      </c>
      <c r="H15" s="4"/>
      <c r="I15" s="59" t="s">
        <v>49</v>
      </c>
      <c r="J15">
        <v>14.6</v>
      </c>
    </row>
    <row r="16" spans="1:10" x14ac:dyDescent="0.35">
      <c r="A16" s="5">
        <v>11</v>
      </c>
      <c r="B16" s="6" t="s">
        <v>40</v>
      </c>
      <c r="C16" s="6" t="s">
        <v>48</v>
      </c>
      <c r="D16" s="6" t="s">
        <v>49</v>
      </c>
      <c r="E16" s="5" t="s">
        <v>16</v>
      </c>
      <c r="F16" s="5">
        <v>14.6</v>
      </c>
      <c r="G16" s="13">
        <v>14.6</v>
      </c>
      <c r="H16" s="4"/>
      <c r="I16" s="59" t="s">
        <v>274</v>
      </c>
      <c r="J16">
        <v>269.56</v>
      </c>
    </row>
    <row r="17" spans="1:10" x14ac:dyDescent="0.35">
      <c r="A17" s="5">
        <v>12</v>
      </c>
      <c r="B17" s="6" t="s">
        <v>40</v>
      </c>
      <c r="C17" s="6" t="s">
        <v>48</v>
      </c>
      <c r="D17" s="6" t="s">
        <v>121</v>
      </c>
      <c r="E17" s="5" t="s">
        <v>16</v>
      </c>
      <c r="F17" s="5">
        <v>2.1</v>
      </c>
      <c r="G17" s="13">
        <v>2.1</v>
      </c>
      <c r="I17" s="59" t="s">
        <v>215</v>
      </c>
      <c r="J17">
        <v>6.6</v>
      </c>
    </row>
    <row r="18" spans="1:10" x14ac:dyDescent="0.35">
      <c r="A18" s="5">
        <v>13</v>
      </c>
      <c r="B18" s="6" t="s">
        <v>13</v>
      </c>
      <c r="C18" s="6" t="s">
        <v>31</v>
      </c>
      <c r="D18" s="6" t="s">
        <v>32</v>
      </c>
      <c r="E18" s="5" t="s">
        <v>16</v>
      </c>
      <c r="F18" s="5">
        <v>19.149999999999999</v>
      </c>
      <c r="G18" s="13">
        <v>19.149999999999999</v>
      </c>
      <c r="I18" s="59" t="s">
        <v>218</v>
      </c>
      <c r="J18">
        <v>37.18</v>
      </c>
    </row>
    <row r="19" spans="1:10" x14ac:dyDescent="0.35">
      <c r="A19" s="5">
        <v>14</v>
      </c>
      <c r="B19" s="6" t="s">
        <v>13</v>
      </c>
      <c r="C19" s="6" t="s">
        <v>27</v>
      </c>
      <c r="D19" s="6" t="s">
        <v>28</v>
      </c>
      <c r="E19" s="5" t="s">
        <v>16</v>
      </c>
      <c r="F19" s="5">
        <v>2.7</v>
      </c>
      <c r="G19" s="13">
        <v>2.7</v>
      </c>
      <c r="I19" s="59" t="s">
        <v>259</v>
      </c>
      <c r="J19">
        <v>1.5</v>
      </c>
    </row>
    <row r="20" spans="1:10" x14ac:dyDescent="0.35">
      <c r="A20" s="5">
        <v>15</v>
      </c>
      <c r="B20" s="6" t="s">
        <v>40</v>
      </c>
      <c r="C20" s="6" t="s">
        <v>41</v>
      </c>
      <c r="D20" s="6" t="s">
        <v>42</v>
      </c>
      <c r="E20" s="5" t="s">
        <v>16</v>
      </c>
      <c r="F20" s="5">
        <v>127.4</v>
      </c>
      <c r="G20" s="13">
        <v>127.4</v>
      </c>
      <c r="I20" s="59" t="s">
        <v>32</v>
      </c>
      <c r="J20">
        <v>19.149999999999999</v>
      </c>
    </row>
    <row r="21" spans="1:10" x14ac:dyDescent="0.35">
      <c r="A21" s="5">
        <v>16</v>
      </c>
      <c r="B21" s="6" t="s">
        <v>40</v>
      </c>
      <c r="C21" s="6" t="s">
        <v>41</v>
      </c>
      <c r="D21" s="6" t="s">
        <v>54</v>
      </c>
      <c r="E21" s="5" t="s">
        <v>16</v>
      </c>
      <c r="F21" s="5">
        <v>21</v>
      </c>
      <c r="G21" s="13">
        <v>21</v>
      </c>
      <c r="I21" s="59" t="s">
        <v>28</v>
      </c>
      <c r="J21">
        <v>2.7</v>
      </c>
    </row>
    <row r="22" spans="1:10" x14ac:dyDescent="0.35">
      <c r="A22" s="7" t="s">
        <v>89</v>
      </c>
      <c r="B22" s="7" t="s">
        <v>2</v>
      </c>
      <c r="C22" s="7" t="s">
        <v>2</v>
      </c>
      <c r="D22" s="7" t="s">
        <v>2</v>
      </c>
      <c r="E22" s="7" t="s">
        <v>2</v>
      </c>
      <c r="F22" s="8">
        <v>829.94</v>
      </c>
      <c r="G22" s="8" t="s">
        <v>275</v>
      </c>
      <c r="I22" s="59" t="s">
        <v>2368</v>
      </c>
      <c r="J22">
        <v>552.91</v>
      </c>
    </row>
  </sheetData>
  <mergeCells count="5">
    <mergeCell ref="A1:H1"/>
    <mergeCell ref="A2:B2"/>
    <mergeCell ref="D2:E2"/>
    <mergeCell ref="A3:B3"/>
    <mergeCell ref="D3:E3"/>
  </mergeCells>
  <conditionalFormatting sqref="D8">
    <cfRule type="duplicateValues" dxfId="27" priority="1"/>
    <cfRule type="duplicateValues" dxfId="26" priority="2"/>
    <cfRule type="duplicateValues" dxfId="25" priority="3"/>
    <cfRule type="duplicateValues" dxfId="24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3378-8634-47D4-8182-37B6E8A47F60}">
  <sheetPr filterMode="1"/>
  <dimension ref="A1:I1901"/>
  <sheetViews>
    <sheetView workbookViewId="0">
      <selection activeCell="C1" sqref="C1"/>
    </sheetView>
  </sheetViews>
  <sheetFormatPr defaultRowHeight="14.5" x14ac:dyDescent="0.35"/>
  <cols>
    <col min="1" max="1" width="6.26953125" bestFit="1" customWidth="1"/>
    <col min="2" max="2" width="69.81640625" bestFit="1" customWidth="1"/>
    <col min="3" max="3" width="6" bestFit="1" customWidth="1"/>
    <col min="4" max="4" width="19.7265625" bestFit="1" customWidth="1"/>
    <col min="5" max="5" width="20.81640625" bestFit="1" customWidth="1"/>
    <col min="6" max="6" width="6.54296875" bestFit="1" customWidth="1"/>
  </cols>
  <sheetData>
    <row r="1" spans="1:9" ht="23" x14ac:dyDescent="0.35">
      <c r="A1" s="29" t="s">
        <v>290</v>
      </c>
      <c r="B1" s="30" t="s">
        <v>291</v>
      </c>
      <c r="C1" s="30" t="s">
        <v>292</v>
      </c>
      <c r="D1" s="31" t="s">
        <v>293</v>
      </c>
      <c r="E1" s="31" t="s">
        <v>294</v>
      </c>
      <c r="F1" s="32" t="s">
        <v>295</v>
      </c>
      <c r="G1" s="40" t="s">
        <v>2301</v>
      </c>
      <c r="H1" s="40" t="s">
        <v>2302</v>
      </c>
      <c r="I1" s="40"/>
    </row>
    <row r="2" spans="1:9" hidden="1" x14ac:dyDescent="0.35">
      <c r="A2" s="41">
        <v>1</v>
      </c>
      <c r="B2" s="42" t="s">
        <v>296</v>
      </c>
      <c r="C2" s="41" t="s">
        <v>297</v>
      </c>
      <c r="D2" s="41" t="s">
        <v>36</v>
      </c>
      <c r="E2" s="41" t="s">
        <v>298</v>
      </c>
      <c r="F2" s="43">
        <v>1</v>
      </c>
      <c r="G2" s="44"/>
      <c r="H2" s="44"/>
    </row>
    <row r="3" spans="1:9" x14ac:dyDescent="0.35">
      <c r="A3" s="33">
        <v>2</v>
      </c>
      <c r="B3" s="34" t="s">
        <v>299</v>
      </c>
      <c r="C3" s="33" t="s">
        <v>297</v>
      </c>
      <c r="D3" s="33" t="s">
        <v>36</v>
      </c>
      <c r="E3" s="33" t="s">
        <v>298</v>
      </c>
      <c r="F3" s="35">
        <v>1</v>
      </c>
      <c r="G3" s="40"/>
      <c r="H3" s="40">
        <f>6+20.15</f>
        <v>26.15</v>
      </c>
      <c r="I3" s="40" t="s">
        <v>2303</v>
      </c>
    </row>
    <row r="4" spans="1:9" hidden="1" x14ac:dyDescent="0.35">
      <c r="A4" s="41">
        <v>3</v>
      </c>
      <c r="B4" s="42" t="s">
        <v>300</v>
      </c>
      <c r="C4" s="41" t="s">
        <v>297</v>
      </c>
      <c r="D4" s="41" t="s">
        <v>36</v>
      </c>
      <c r="E4" s="41" t="s">
        <v>298</v>
      </c>
      <c r="F4" s="43">
        <v>1</v>
      </c>
      <c r="G4" s="44"/>
      <c r="H4" s="44"/>
    </row>
    <row r="5" spans="1:9" x14ac:dyDescent="0.35">
      <c r="A5" s="33">
        <v>4</v>
      </c>
      <c r="B5" s="34" t="s">
        <v>301</v>
      </c>
      <c r="C5" s="33" t="s">
        <v>297</v>
      </c>
      <c r="D5" s="33" t="s">
        <v>36</v>
      </c>
      <c r="E5" s="33" t="s">
        <v>298</v>
      </c>
      <c r="F5" s="35">
        <v>1</v>
      </c>
      <c r="G5" s="40"/>
      <c r="H5" s="40">
        <v>0.6</v>
      </c>
      <c r="I5" s="40" t="s">
        <v>2303</v>
      </c>
    </row>
    <row r="6" spans="1:9" hidden="1" x14ac:dyDescent="0.35">
      <c r="A6" s="41">
        <v>5</v>
      </c>
      <c r="B6" s="42" t="s">
        <v>302</v>
      </c>
      <c r="C6" s="41" t="s">
        <v>297</v>
      </c>
      <c r="D6" s="41" t="s">
        <v>36</v>
      </c>
      <c r="E6" s="41" t="s">
        <v>298</v>
      </c>
      <c r="F6" s="43">
        <v>1</v>
      </c>
      <c r="G6" s="44"/>
      <c r="H6" s="44"/>
    </row>
    <row r="7" spans="1:9" hidden="1" x14ac:dyDescent="0.35">
      <c r="A7" s="33">
        <v>6</v>
      </c>
      <c r="B7" s="34" t="s">
        <v>303</v>
      </c>
      <c r="C7" s="33" t="s">
        <v>297</v>
      </c>
      <c r="D7" s="33" t="s">
        <v>36</v>
      </c>
      <c r="E7" s="33" t="s">
        <v>298</v>
      </c>
      <c r="F7" s="35">
        <v>1</v>
      </c>
      <c r="G7" s="40"/>
      <c r="H7" s="40"/>
    </row>
    <row r="8" spans="1:9" hidden="1" x14ac:dyDescent="0.35">
      <c r="A8" s="33">
        <v>7</v>
      </c>
      <c r="B8" s="34" t="s">
        <v>304</v>
      </c>
      <c r="C8" s="33" t="s">
        <v>297</v>
      </c>
      <c r="D8" s="33" t="s">
        <v>36</v>
      </c>
      <c r="E8" s="33" t="s">
        <v>298</v>
      </c>
      <c r="F8" s="35">
        <v>1</v>
      </c>
      <c r="G8" s="40"/>
      <c r="H8" s="40"/>
    </row>
    <row r="9" spans="1:9" hidden="1" x14ac:dyDescent="0.35">
      <c r="A9" s="33">
        <v>8</v>
      </c>
      <c r="B9" s="34" t="s">
        <v>305</v>
      </c>
      <c r="C9" s="33" t="s">
        <v>297</v>
      </c>
      <c r="D9" s="33" t="s">
        <v>36</v>
      </c>
      <c r="E9" s="33" t="s">
        <v>298</v>
      </c>
      <c r="F9" s="35">
        <v>1</v>
      </c>
      <c r="G9" s="40"/>
      <c r="H9" s="40"/>
    </row>
    <row r="10" spans="1:9" hidden="1" x14ac:dyDescent="0.35">
      <c r="A10" s="33">
        <v>9</v>
      </c>
      <c r="B10" s="34" t="s">
        <v>306</v>
      </c>
      <c r="C10" s="33" t="s">
        <v>297</v>
      </c>
      <c r="D10" s="33" t="s">
        <v>36</v>
      </c>
      <c r="E10" s="33" t="s">
        <v>307</v>
      </c>
      <c r="F10" s="35">
        <v>1</v>
      </c>
      <c r="G10" s="40"/>
      <c r="H10" s="40"/>
    </row>
    <row r="11" spans="1:9" hidden="1" x14ac:dyDescent="0.35">
      <c r="A11" s="33">
        <v>10</v>
      </c>
      <c r="B11" s="34" t="s">
        <v>308</v>
      </c>
      <c r="C11" s="33" t="s">
        <v>297</v>
      </c>
      <c r="D11" s="33" t="s">
        <v>36</v>
      </c>
      <c r="E11" s="33" t="s">
        <v>307</v>
      </c>
      <c r="F11" s="35">
        <v>1</v>
      </c>
      <c r="G11" s="40"/>
      <c r="H11" s="40"/>
    </row>
    <row r="12" spans="1:9" hidden="1" x14ac:dyDescent="0.35">
      <c r="A12" s="33">
        <v>11</v>
      </c>
      <c r="B12" s="34" t="s">
        <v>309</v>
      </c>
      <c r="C12" s="33" t="s">
        <v>297</v>
      </c>
      <c r="D12" s="33" t="s">
        <v>36</v>
      </c>
      <c r="E12" s="33" t="s">
        <v>307</v>
      </c>
      <c r="F12" s="35">
        <v>1</v>
      </c>
      <c r="G12" s="40"/>
      <c r="H12" s="40"/>
    </row>
    <row r="13" spans="1:9" hidden="1" x14ac:dyDescent="0.35">
      <c r="A13" s="33">
        <v>12</v>
      </c>
      <c r="B13" s="34" t="s">
        <v>310</v>
      </c>
      <c r="C13" s="33" t="s">
        <v>297</v>
      </c>
      <c r="D13" s="33" t="s">
        <v>36</v>
      </c>
      <c r="E13" s="33" t="s">
        <v>311</v>
      </c>
      <c r="F13" s="35">
        <v>1</v>
      </c>
      <c r="G13" s="40"/>
      <c r="H13" s="40"/>
    </row>
    <row r="14" spans="1:9" hidden="1" x14ac:dyDescent="0.35">
      <c r="A14" s="33">
        <v>13</v>
      </c>
      <c r="B14" s="34" t="s">
        <v>312</v>
      </c>
      <c r="C14" s="33" t="s">
        <v>297</v>
      </c>
      <c r="D14" s="33" t="s">
        <v>36</v>
      </c>
      <c r="E14" s="33" t="s">
        <v>311</v>
      </c>
      <c r="F14" s="35">
        <v>1</v>
      </c>
      <c r="G14" s="40"/>
      <c r="H14" s="40"/>
    </row>
    <row r="15" spans="1:9" hidden="1" x14ac:dyDescent="0.35">
      <c r="A15" s="33">
        <v>14</v>
      </c>
      <c r="B15" s="34" t="s">
        <v>313</v>
      </c>
      <c r="C15" s="33" t="s">
        <v>297</v>
      </c>
      <c r="D15" s="33" t="s">
        <v>36</v>
      </c>
      <c r="E15" s="33" t="s">
        <v>311</v>
      </c>
      <c r="F15" s="35">
        <v>1</v>
      </c>
      <c r="G15" s="40"/>
      <c r="H15" s="40"/>
    </row>
    <row r="16" spans="1:9" hidden="1" x14ac:dyDescent="0.35">
      <c r="A16" s="33">
        <v>15</v>
      </c>
      <c r="B16" s="34" t="s">
        <v>314</v>
      </c>
      <c r="C16" s="33" t="s">
        <v>297</v>
      </c>
      <c r="D16" s="33" t="s">
        <v>36</v>
      </c>
      <c r="E16" s="33" t="s">
        <v>311</v>
      </c>
      <c r="F16" s="35">
        <v>1</v>
      </c>
      <c r="G16" s="40"/>
      <c r="H16" s="40"/>
    </row>
    <row r="17" spans="1:9" hidden="1" x14ac:dyDescent="0.35">
      <c r="A17" s="33">
        <v>16</v>
      </c>
      <c r="B17" s="34" t="s">
        <v>315</v>
      </c>
      <c r="C17" s="33" t="s">
        <v>297</v>
      </c>
      <c r="D17" s="33" t="s">
        <v>36</v>
      </c>
      <c r="E17" s="33" t="s">
        <v>311</v>
      </c>
      <c r="F17" s="35">
        <v>1</v>
      </c>
      <c r="G17" s="40"/>
      <c r="H17" s="40"/>
    </row>
    <row r="18" spans="1:9" hidden="1" x14ac:dyDescent="0.35">
      <c r="A18" s="33">
        <v>17</v>
      </c>
      <c r="B18" s="34" t="s">
        <v>316</v>
      </c>
      <c r="C18" s="33" t="s">
        <v>297</v>
      </c>
      <c r="D18" s="33" t="s">
        <v>36</v>
      </c>
      <c r="E18" s="33" t="s">
        <v>311</v>
      </c>
      <c r="F18" s="35">
        <v>1</v>
      </c>
      <c r="G18" s="40"/>
      <c r="H18" s="40"/>
    </row>
    <row r="19" spans="1:9" hidden="1" x14ac:dyDescent="0.35">
      <c r="A19" s="33">
        <v>18</v>
      </c>
      <c r="B19" s="34" t="s">
        <v>317</v>
      </c>
      <c r="C19" s="33" t="s">
        <v>297</v>
      </c>
      <c r="D19" s="33" t="s">
        <v>36</v>
      </c>
      <c r="E19" s="33" t="s">
        <v>311</v>
      </c>
      <c r="F19" s="35">
        <v>1</v>
      </c>
      <c r="G19" s="40"/>
      <c r="H19" s="40"/>
    </row>
    <row r="20" spans="1:9" hidden="1" x14ac:dyDescent="0.35">
      <c r="A20" s="33">
        <v>19</v>
      </c>
      <c r="B20" s="34" t="s">
        <v>318</v>
      </c>
      <c r="C20" s="33" t="s">
        <v>297</v>
      </c>
      <c r="D20" s="33" t="s">
        <v>36</v>
      </c>
      <c r="E20" s="33" t="s">
        <v>311</v>
      </c>
      <c r="F20" s="35">
        <v>1</v>
      </c>
      <c r="G20" s="40"/>
      <c r="H20" s="40"/>
    </row>
    <row r="21" spans="1:9" hidden="1" x14ac:dyDescent="0.35">
      <c r="A21" s="33">
        <v>20</v>
      </c>
      <c r="B21" s="34" t="s">
        <v>319</v>
      </c>
      <c r="C21" s="33" t="s">
        <v>297</v>
      </c>
      <c r="D21" s="33" t="s">
        <v>36</v>
      </c>
      <c r="E21" s="33" t="s">
        <v>311</v>
      </c>
      <c r="F21" s="35">
        <v>1</v>
      </c>
      <c r="G21" s="40"/>
      <c r="H21" s="40"/>
    </row>
    <row r="22" spans="1:9" hidden="1" x14ac:dyDescent="0.35">
      <c r="A22" s="33">
        <v>21</v>
      </c>
      <c r="B22" s="34" t="s">
        <v>320</v>
      </c>
      <c r="C22" s="33" t="s">
        <v>297</v>
      </c>
      <c r="D22" s="33" t="s">
        <v>36</v>
      </c>
      <c r="E22" s="33" t="s">
        <v>311</v>
      </c>
      <c r="F22" s="35">
        <v>1</v>
      </c>
      <c r="G22" s="40"/>
      <c r="H22" s="40"/>
    </row>
    <row r="23" spans="1:9" hidden="1" x14ac:dyDescent="0.35">
      <c r="A23" s="33">
        <v>22</v>
      </c>
      <c r="B23" s="34" t="s">
        <v>321</v>
      </c>
      <c r="C23" s="33" t="s">
        <v>297</v>
      </c>
      <c r="D23" s="33" t="s">
        <v>36</v>
      </c>
      <c r="E23" s="33" t="s">
        <v>311</v>
      </c>
      <c r="F23" s="35">
        <v>1</v>
      </c>
      <c r="G23" s="40"/>
      <c r="H23" s="40"/>
    </row>
    <row r="24" spans="1:9" hidden="1" x14ac:dyDescent="0.35">
      <c r="A24" s="33">
        <v>23</v>
      </c>
      <c r="B24" s="34" t="s">
        <v>322</v>
      </c>
      <c r="C24" s="33" t="s">
        <v>297</v>
      </c>
      <c r="D24" s="33" t="s">
        <v>36</v>
      </c>
      <c r="E24" s="33" t="s">
        <v>311</v>
      </c>
      <c r="F24" s="35">
        <v>1</v>
      </c>
      <c r="G24" s="40"/>
      <c r="H24" s="40"/>
    </row>
    <row r="25" spans="1:9" hidden="1" x14ac:dyDescent="0.35">
      <c r="A25" s="33">
        <v>24</v>
      </c>
      <c r="B25" s="34" t="s">
        <v>323</v>
      </c>
      <c r="C25" s="33" t="s">
        <v>297</v>
      </c>
      <c r="D25" s="33" t="s">
        <v>36</v>
      </c>
      <c r="E25" s="33" t="s">
        <v>311</v>
      </c>
      <c r="F25" s="35">
        <v>1</v>
      </c>
      <c r="G25" s="40"/>
      <c r="H25" s="40"/>
    </row>
    <row r="26" spans="1:9" hidden="1" x14ac:dyDescent="0.35">
      <c r="A26" s="33">
        <v>25</v>
      </c>
      <c r="B26" s="34" t="s">
        <v>324</v>
      </c>
      <c r="C26" s="33" t="s">
        <v>297</v>
      </c>
      <c r="D26" s="33" t="s">
        <v>36</v>
      </c>
      <c r="E26" s="33" t="s">
        <v>311</v>
      </c>
      <c r="F26" s="35">
        <v>1</v>
      </c>
      <c r="G26" s="40"/>
      <c r="H26" s="40"/>
    </row>
    <row r="27" spans="1:9" hidden="1" x14ac:dyDescent="0.35">
      <c r="A27" s="33">
        <v>26</v>
      </c>
      <c r="B27" s="34" t="s">
        <v>325</v>
      </c>
      <c r="C27" s="33" t="s">
        <v>297</v>
      </c>
      <c r="D27" s="33" t="s">
        <v>36</v>
      </c>
      <c r="E27" s="33" t="s">
        <v>311</v>
      </c>
      <c r="F27" s="35">
        <v>1</v>
      </c>
      <c r="G27" s="40"/>
      <c r="H27" s="40"/>
    </row>
    <row r="28" spans="1:9" hidden="1" x14ac:dyDescent="0.35">
      <c r="A28" s="33">
        <v>27</v>
      </c>
      <c r="B28" s="34" t="s">
        <v>326</v>
      </c>
      <c r="C28" s="33" t="s">
        <v>297</v>
      </c>
      <c r="D28" s="33" t="s">
        <v>36</v>
      </c>
      <c r="E28" s="33" t="s">
        <v>311</v>
      </c>
      <c r="F28" s="35">
        <v>1</v>
      </c>
      <c r="G28" s="40"/>
      <c r="H28" s="40"/>
    </row>
    <row r="29" spans="1:9" x14ac:dyDescent="0.35">
      <c r="A29" s="33">
        <v>28</v>
      </c>
      <c r="B29" s="34" t="s">
        <v>327</v>
      </c>
      <c r="C29" s="33" t="s">
        <v>297</v>
      </c>
      <c r="D29" s="33" t="s">
        <v>36</v>
      </c>
      <c r="E29" s="33" t="s">
        <v>311</v>
      </c>
      <c r="F29" s="35">
        <v>1</v>
      </c>
      <c r="G29" s="40"/>
      <c r="H29" s="40">
        <f>1.3+1.1</f>
        <v>2.4000000000000004</v>
      </c>
      <c r="I29" s="40" t="s">
        <v>2303</v>
      </c>
    </row>
    <row r="30" spans="1:9" hidden="1" x14ac:dyDescent="0.35">
      <c r="A30" s="41">
        <v>29</v>
      </c>
      <c r="B30" s="42" t="s">
        <v>328</v>
      </c>
      <c r="C30" s="41" t="s">
        <v>297</v>
      </c>
      <c r="D30" s="41" t="s">
        <v>36</v>
      </c>
      <c r="E30" s="41" t="s">
        <v>311</v>
      </c>
      <c r="F30" s="43">
        <v>1</v>
      </c>
      <c r="G30" s="44"/>
      <c r="H30" s="44"/>
    </row>
    <row r="31" spans="1:9" hidden="1" x14ac:dyDescent="0.35">
      <c r="A31" s="33">
        <v>30</v>
      </c>
      <c r="B31" s="34" t="s">
        <v>329</v>
      </c>
      <c r="C31" s="33" t="s">
        <v>297</v>
      </c>
      <c r="D31" s="33" t="s">
        <v>36</v>
      </c>
      <c r="E31" s="33" t="s">
        <v>311</v>
      </c>
      <c r="F31" s="35">
        <v>1</v>
      </c>
      <c r="G31" s="40"/>
      <c r="H31" s="40"/>
    </row>
    <row r="32" spans="1:9" hidden="1" x14ac:dyDescent="0.35">
      <c r="A32" s="33">
        <v>31</v>
      </c>
      <c r="B32" s="34" t="s">
        <v>330</v>
      </c>
      <c r="C32" s="33" t="s">
        <v>297</v>
      </c>
      <c r="D32" s="33" t="s">
        <v>36</v>
      </c>
      <c r="E32" s="33" t="s">
        <v>311</v>
      </c>
      <c r="F32" s="35">
        <v>1</v>
      </c>
      <c r="G32" s="40"/>
      <c r="H32" s="40"/>
    </row>
    <row r="33" spans="1:8" hidden="1" x14ac:dyDescent="0.35">
      <c r="A33" s="33">
        <v>32</v>
      </c>
      <c r="B33" s="34" t="s">
        <v>331</v>
      </c>
      <c r="C33" s="33" t="s">
        <v>297</v>
      </c>
      <c r="D33" s="33" t="s">
        <v>36</v>
      </c>
      <c r="E33" s="33" t="s">
        <v>311</v>
      </c>
      <c r="F33" s="35">
        <v>1</v>
      </c>
      <c r="G33" s="40"/>
      <c r="H33" s="40"/>
    </row>
    <row r="34" spans="1:8" hidden="1" x14ac:dyDescent="0.35">
      <c r="A34" s="33">
        <v>33</v>
      </c>
      <c r="B34" s="34" t="s">
        <v>332</v>
      </c>
      <c r="C34" s="33" t="s">
        <v>297</v>
      </c>
      <c r="D34" s="33" t="s">
        <v>36</v>
      </c>
      <c r="E34" s="33" t="s">
        <v>333</v>
      </c>
      <c r="F34" s="35">
        <v>1</v>
      </c>
      <c r="G34" s="40"/>
      <c r="H34" s="40"/>
    </row>
    <row r="35" spans="1:8" hidden="1" x14ac:dyDescent="0.35">
      <c r="A35" s="33">
        <v>34</v>
      </c>
      <c r="B35" s="34" t="s">
        <v>334</v>
      </c>
      <c r="C35" s="33" t="s">
        <v>297</v>
      </c>
      <c r="D35" s="33" t="s">
        <v>36</v>
      </c>
      <c r="E35" s="33" t="s">
        <v>333</v>
      </c>
      <c r="F35" s="35">
        <v>1</v>
      </c>
      <c r="G35" s="40"/>
      <c r="H35" s="40"/>
    </row>
    <row r="36" spans="1:8" hidden="1" x14ac:dyDescent="0.35">
      <c r="A36" s="33">
        <v>35</v>
      </c>
      <c r="B36" s="34" t="s">
        <v>335</v>
      </c>
      <c r="C36" s="33" t="s">
        <v>297</v>
      </c>
      <c r="D36" s="33" t="s">
        <v>36</v>
      </c>
      <c r="E36" s="33" t="s">
        <v>333</v>
      </c>
      <c r="F36" s="35">
        <v>1</v>
      </c>
      <c r="G36" s="40"/>
      <c r="H36" s="40"/>
    </row>
    <row r="37" spans="1:8" hidden="1" x14ac:dyDescent="0.35">
      <c r="A37" s="33">
        <v>36</v>
      </c>
      <c r="B37" s="34" t="s">
        <v>336</v>
      </c>
      <c r="C37" s="33" t="s">
        <v>297</v>
      </c>
      <c r="D37" s="33" t="s">
        <v>36</v>
      </c>
      <c r="E37" s="33" t="s">
        <v>333</v>
      </c>
      <c r="F37" s="35">
        <v>1</v>
      </c>
      <c r="G37" s="40"/>
      <c r="H37" s="40"/>
    </row>
    <row r="38" spans="1:8" hidden="1" x14ac:dyDescent="0.35">
      <c r="A38" s="33">
        <v>37</v>
      </c>
      <c r="B38" s="34" t="s">
        <v>337</v>
      </c>
      <c r="C38" s="33" t="s">
        <v>297</v>
      </c>
      <c r="D38" s="33" t="s">
        <v>36</v>
      </c>
      <c r="E38" s="33" t="s">
        <v>333</v>
      </c>
      <c r="F38" s="35">
        <v>1</v>
      </c>
      <c r="G38" s="40"/>
      <c r="H38" s="40"/>
    </row>
    <row r="39" spans="1:8" hidden="1" x14ac:dyDescent="0.35">
      <c r="A39" s="33">
        <v>38</v>
      </c>
      <c r="B39" s="34" t="s">
        <v>338</v>
      </c>
      <c r="C39" s="33" t="s">
        <v>297</v>
      </c>
      <c r="D39" s="33" t="s">
        <v>36</v>
      </c>
      <c r="E39" s="33" t="s">
        <v>333</v>
      </c>
      <c r="F39" s="35">
        <v>1</v>
      </c>
      <c r="G39" s="40"/>
      <c r="H39" s="40"/>
    </row>
    <row r="40" spans="1:8" hidden="1" x14ac:dyDescent="0.35">
      <c r="A40" s="33">
        <v>39</v>
      </c>
      <c r="B40" s="34" t="s">
        <v>339</v>
      </c>
      <c r="C40" s="33" t="s">
        <v>297</v>
      </c>
      <c r="D40" s="33" t="s">
        <v>36</v>
      </c>
      <c r="E40" s="33" t="s">
        <v>333</v>
      </c>
      <c r="F40" s="35">
        <v>1</v>
      </c>
      <c r="G40" s="40"/>
      <c r="H40" s="40"/>
    </row>
    <row r="41" spans="1:8" hidden="1" x14ac:dyDescent="0.35">
      <c r="A41" s="33">
        <v>40</v>
      </c>
      <c r="B41" s="34" t="s">
        <v>340</v>
      </c>
      <c r="C41" s="33" t="s">
        <v>297</v>
      </c>
      <c r="D41" s="33" t="s">
        <v>36</v>
      </c>
      <c r="E41" s="33" t="s">
        <v>333</v>
      </c>
      <c r="F41" s="35">
        <v>1</v>
      </c>
      <c r="G41" s="40"/>
      <c r="H41" s="40"/>
    </row>
    <row r="42" spans="1:8" hidden="1" x14ac:dyDescent="0.35">
      <c r="A42" s="33">
        <v>41</v>
      </c>
      <c r="B42" s="34" t="s">
        <v>341</v>
      </c>
      <c r="C42" s="33" t="s">
        <v>297</v>
      </c>
      <c r="D42" s="33" t="s">
        <v>36</v>
      </c>
      <c r="E42" s="33" t="s">
        <v>333</v>
      </c>
      <c r="F42" s="35">
        <v>1</v>
      </c>
      <c r="G42" s="40"/>
      <c r="H42" s="40"/>
    </row>
    <row r="43" spans="1:8" hidden="1" x14ac:dyDescent="0.35">
      <c r="A43" s="33">
        <v>42</v>
      </c>
      <c r="B43" s="34" t="s">
        <v>342</v>
      </c>
      <c r="C43" s="33" t="s">
        <v>297</v>
      </c>
      <c r="D43" s="33" t="s">
        <v>36</v>
      </c>
      <c r="E43" s="33" t="s">
        <v>333</v>
      </c>
      <c r="F43" s="35">
        <v>1</v>
      </c>
      <c r="G43" s="40"/>
      <c r="H43" s="40"/>
    </row>
    <row r="44" spans="1:8" hidden="1" x14ac:dyDescent="0.35">
      <c r="A44" s="33">
        <v>43</v>
      </c>
      <c r="B44" s="34" t="s">
        <v>343</v>
      </c>
      <c r="C44" s="33" t="s">
        <v>297</v>
      </c>
      <c r="D44" s="33" t="s">
        <v>36</v>
      </c>
      <c r="E44" s="33" t="s">
        <v>344</v>
      </c>
      <c r="F44" s="35">
        <v>1</v>
      </c>
      <c r="G44" s="40"/>
      <c r="H44" s="40"/>
    </row>
    <row r="45" spans="1:8" hidden="1" x14ac:dyDescent="0.35">
      <c r="A45" s="33">
        <v>44</v>
      </c>
      <c r="B45" s="34" t="s">
        <v>345</v>
      </c>
      <c r="C45" s="33" t="s">
        <v>346</v>
      </c>
      <c r="D45" s="33" t="s">
        <v>36</v>
      </c>
      <c r="E45" s="33" t="s">
        <v>311</v>
      </c>
      <c r="F45" s="35">
        <v>1</v>
      </c>
      <c r="G45" s="40"/>
      <c r="H45" s="40"/>
    </row>
    <row r="46" spans="1:8" hidden="1" x14ac:dyDescent="0.35">
      <c r="A46" s="33">
        <v>45</v>
      </c>
      <c r="B46" s="34" t="s">
        <v>347</v>
      </c>
      <c r="C46" s="33" t="s">
        <v>346</v>
      </c>
      <c r="D46" s="33" t="s">
        <v>36</v>
      </c>
      <c r="E46" s="33" t="s">
        <v>311</v>
      </c>
      <c r="F46" s="35">
        <v>1</v>
      </c>
      <c r="G46" s="40"/>
      <c r="H46" s="40"/>
    </row>
    <row r="47" spans="1:8" hidden="1" x14ac:dyDescent="0.35">
      <c r="A47" s="33">
        <v>46</v>
      </c>
      <c r="B47" s="34" t="s">
        <v>348</v>
      </c>
      <c r="C47" s="33" t="s">
        <v>346</v>
      </c>
      <c r="D47" s="33" t="s">
        <v>36</v>
      </c>
      <c r="E47" s="33" t="s">
        <v>311</v>
      </c>
      <c r="F47" s="35">
        <v>0.15</v>
      </c>
      <c r="G47" s="40"/>
      <c r="H47" s="40"/>
    </row>
    <row r="48" spans="1:8" hidden="1" x14ac:dyDescent="0.35">
      <c r="A48" s="33">
        <v>47</v>
      </c>
      <c r="B48" s="34" t="s">
        <v>349</v>
      </c>
      <c r="C48" s="33" t="s">
        <v>346</v>
      </c>
      <c r="D48" s="33" t="s">
        <v>36</v>
      </c>
      <c r="E48" s="33" t="s">
        <v>311</v>
      </c>
      <c r="F48" s="35">
        <v>0.45</v>
      </c>
      <c r="G48" s="40"/>
      <c r="H48" s="40"/>
    </row>
    <row r="49" spans="1:8" hidden="1" x14ac:dyDescent="0.35">
      <c r="A49" s="33">
        <v>48</v>
      </c>
      <c r="B49" s="34" t="s">
        <v>350</v>
      </c>
      <c r="C49" s="33" t="s">
        <v>346</v>
      </c>
      <c r="D49" s="33" t="s">
        <v>36</v>
      </c>
      <c r="E49" s="33" t="s">
        <v>311</v>
      </c>
      <c r="F49" s="35">
        <v>1</v>
      </c>
      <c r="G49" s="40"/>
      <c r="H49" s="40"/>
    </row>
    <row r="50" spans="1:8" hidden="1" x14ac:dyDescent="0.35">
      <c r="A50" s="33">
        <v>49</v>
      </c>
      <c r="B50" s="34" t="s">
        <v>351</v>
      </c>
      <c r="C50" s="33" t="s">
        <v>346</v>
      </c>
      <c r="D50" s="33" t="s">
        <v>36</v>
      </c>
      <c r="E50" s="33" t="s">
        <v>311</v>
      </c>
      <c r="F50" s="35">
        <v>1</v>
      </c>
      <c r="G50" s="40"/>
      <c r="H50" s="40"/>
    </row>
    <row r="51" spans="1:8" hidden="1" x14ac:dyDescent="0.35">
      <c r="A51" s="33">
        <v>50</v>
      </c>
      <c r="B51" s="34" t="s">
        <v>352</v>
      </c>
      <c r="C51" s="33" t="s">
        <v>346</v>
      </c>
      <c r="D51" s="33" t="s">
        <v>36</v>
      </c>
      <c r="E51" s="33" t="s">
        <v>311</v>
      </c>
      <c r="F51" s="35">
        <v>7.4999999999999997E-2</v>
      </c>
      <c r="G51" s="40"/>
      <c r="H51" s="40"/>
    </row>
    <row r="52" spans="1:8" hidden="1" x14ac:dyDescent="0.35">
      <c r="A52" s="33">
        <v>51</v>
      </c>
      <c r="B52" s="34" t="s">
        <v>353</v>
      </c>
      <c r="C52" s="33" t="s">
        <v>346</v>
      </c>
      <c r="D52" s="33" t="s">
        <v>36</v>
      </c>
      <c r="E52" s="33" t="s">
        <v>311</v>
      </c>
      <c r="F52" s="35">
        <v>1</v>
      </c>
      <c r="G52" s="40"/>
      <c r="H52" s="40"/>
    </row>
    <row r="53" spans="1:8" hidden="1" x14ac:dyDescent="0.35">
      <c r="A53" s="33">
        <v>52</v>
      </c>
      <c r="B53" s="34" t="s">
        <v>354</v>
      </c>
      <c r="C53" s="33" t="s">
        <v>346</v>
      </c>
      <c r="D53" s="33" t="s">
        <v>36</v>
      </c>
      <c r="E53" s="33" t="s">
        <v>311</v>
      </c>
      <c r="F53" s="35">
        <v>0.23</v>
      </c>
      <c r="G53" s="40"/>
      <c r="H53" s="40"/>
    </row>
    <row r="54" spans="1:8" hidden="1" x14ac:dyDescent="0.35">
      <c r="A54" s="33">
        <v>53</v>
      </c>
      <c r="B54" s="34" t="s">
        <v>355</v>
      </c>
      <c r="C54" s="33" t="s">
        <v>346</v>
      </c>
      <c r="D54" s="33" t="s">
        <v>36</v>
      </c>
      <c r="E54" s="33" t="s">
        <v>311</v>
      </c>
      <c r="F54" s="35">
        <v>1</v>
      </c>
      <c r="G54" s="40"/>
      <c r="H54" s="40"/>
    </row>
    <row r="55" spans="1:8" hidden="1" x14ac:dyDescent="0.35">
      <c r="A55" s="33">
        <v>54</v>
      </c>
      <c r="B55" s="34" t="s">
        <v>356</v>
      </c>
      <c r="C55" s="33" t="s">
        <v>346</v>
      </c>
      <c r="D55" s="33" t="s">
        <v>36</v>
      </c>
      <c r="E55" s="33" t="s">
        <v>311</v>
      </c>
      <c r="F55" s="35">
        <v>1</v>
      </c>
      <c r="G55" s="40"/>
      <c r="H55" s="40"/>
    </row>
    <row r="56" spans="1:8" hidden="1" x14ac:dyDescent="0.35">
      <c r="A56" s="33">
        <v>55</v>
      </c>
      <c r="B56" s="34" t="s">
        <v>357</v>
      </c>
      <c r="C56" s="33" t="s">
        <v>346</v>
      </c>
      <c r="D56" s="33" t="s">
        <v>36</v>
      </c>
      <c r="E56" s="33" t="s">
        <v>311</v>
      </c>
      <c r="F56" s="35">
        <v>1</v>
      </c>
      <c r="G56" s="40"/>
      <c r="H56" s="40"/>
    </row>
    <row r="57" spans="1:8" hidden="1" x14ac:dyDescent="0.35">
      <c r="A57" s="33">
        <v>56</v>
      </c>
      <c r="B57" s="34" t="s">
        <v>358</v>
      </c>
      <c r="C57" s="33" t="s">
        <v>346</v>
      </c>
      <c r="D57" s="33" t="s">
        <v>36</v>
      </c>
      <c r="E57" s="33" t="s">
        <v>311</v>
      </c>
      <c r="F57" s="35">
        <v>0.218</v>
      </c>
      <c r="G57" s="40"/>
      <c r="H57" s="40"/>
    </row>
    <row r="58" spans="1:8" hidden="1" x14ac:dyDescent="0.35">
      <c r="A58" s="33">
        <v>57</v>
      </c>
      <c r="B58" s="34" t="s">
        <v>359</v>
      </c>
      <c r="C58" s="33" t="s">
        <v>346</v>
      </c>
      <c r="D58" s="33" t="s">
        <v>36</v>
      </c>
      <c r="E58" s="33" t="s">
        <v>311</v>
      </c>
      <c r="F58" s="35">
        <v>0.25</v>
      </c>
      <c r="G58" s="40"/>
      <c r="H58" s="40"/>
    </row>
    <row r="59" spans="1:8" hidden="1" x14ac:dyDescent="0.35">
      <c r="A59" s="33">
        <v>58</v>
      </c>
      <c r="B59" s="34" t="s">
        <v>360</v>
      </c>
      <c r="C59" s="33" t="s">
        <v>346</v>
      </c>
      <c r="D59" s="33" t="s">
        <v>36</v>
      </c>
      <c r="E59" s="33" t="s">
        <v>311</v>
      </c>
      <c r="F59" s="35">
        <v>0.25</v>
      </c>
      <c r="G59" s="40"/>
      <c r="H59" s="40"/>
    </row>
    <row r="60" spans="1:8" hidden="1" x14ac:dyDescent="0.35">
      <c r="A60" s="33">
        <v>59</v>
      </c>
      <c r="B60" s="34" t="s">
        <v>361</v>
      </c>
      <c r="C60" s="33" t="s">
        <v>346</v>
      </c>
      <c r="D60" s="33" t="s">
        <v>36</v>
      </c>
      <c r="E60" s="33" t="s">
        <v>311</v>
      </c>
      <c r="F60" s="35">
        <v>0.25</v>
      </c>
      <c r="G60" s="40"/>
      <c r="H60" s="40"/>
    </row>
    <row r="61" spans="1:8" hidden="1" x14ac:dyDescent="0.35">
      <c r="A61" s="33">
        <v>60</v>
      </c>
      <c r="B61" s="34" t="s">
        <v>362</v>
      </c>
      <c r="C61" s="33" t="s">
        <v>346</v>
      </c>
      <c r="D61" s="33" t="s">
        <v>36</v>
      </c>
      <c r="E61" s="33" t="s">
        <v>311</v>
      </c>
      <c r="F61" s="35">
        <v>0.1</v>
      </c>
      <c r="G61" s="40"/>
      <c r="H61" s="40"/>
    </row>
    <row r="62" spans="1:8" hidden="1" x14ac:dyDescent="0.35">
      <c r="A62" s="33">
        <v>61</v>
      </c>
      <c r="B62" s="34" t="s">
        <v>363</v>
      </c>
      <c r="C62" s="33" t="s">
        <v>346</v>
      </c>
      <c r="D62" s="33" t="s">
        <v>36</v>
      </c>
      <c r="E62" s="33" t="s">
        <v>311</v>
      </c>
      <c r="F62" s="35">
        <v>0.1</v>
      </c>
      <c r="G62" s="40"/>
      <c r="H62" s="40"/>
    </row>
    <row r="63" spans="1:8" hidden="1" x14ac:dyDescent="0.35">
      <c r="A63" s="33">
        <v>62</v>
      </c>
      <c r="B63" s="34" t="s">
        <v>364</v>
      </c>
      <c r="C63" s="33" t="s">
        <v>346</v>
      </c>
      <c r="D63" s="33" t="s">
        <v>36</v>
      </c>
      <c r="E63" s="33" t="s">
        <v>311</v>
      </c>
      <c r="F63" s="35">
        <v>0.2</v>
      </c>
      <c r="G63" s="40"/>
      <c r="H63" s="40"/>
    </row>
    <row r="64" spans="1:8" hidden="1" x14ac:dyDescent="0.35">
      <c r="A64" s="33">
        <v>63</v>
      </c>
      <c r="B64" s="34" t="s">
        <v>365</v>
      </c>
      <c r="C64" s="33" t="s">
        <v>346</v>
      </c>
      <c r="D64" s="33" t="s">
        <v>36</v>
      </c>
      <c r="E64" s="33" t="s">
        <v>311</v>
      </c>
      <c r="F64" s="35">
        <v>0.2</v>
      </c>
      <c r="G64" s="40"/>
      <c r="H64" s="40"/>
    </row>
    <row r="65" spans="1:8" hidden="1" x14ac:dyDescent="0.35">
      <c r="A65" s="33">
        <v>64</v>
      </c>
      <c r="B65" s="34" t="s">
        <v>366</v>
      </c>
      <c r="C65" s="33" t="s">
        <v>346</v>
      </c>
      <c r="D65" s="33" t="s">
        <v>36</v>
      </c>
      <c r="E65" s="33" t="s">
        <v>311</v>
      </c>
      <c r="F65" s="35">
        <v>0.2</v>
      </c>
      <c r="G65" s="40"/>
      <c r="H65" s="40"/>
    </row>
    <row r="66" spans="1:8" hidden="1" x14ac:dyDescent="0.35">
      <c r="A66" s="33">
        <v>65</v>
      </c>
      <c r="B66" s="34" t="s">
        <v>367</v>
      </c>
      <c r="C66" s="33" t="s">
        <v>346</v>
      </c>
      <c r="D66" s="33" t="s">
        <v>36</v>
      </c>
      <c r="E66" s="33" t="s">
        <v>311</v>
      </c>
      <c r="F66" s="35">
        <v>0.25</v>
      </c>
      <c r="G66" s="40"/>
      <c r="H66" s="40"/>
    </row>
    <row r="67" spans="1:8" hidden="1" x14ac:dyDescent="0.35">
      <c r="A67" s="33">
        <v>66</v>
      </c>
      <c r="B67" s="34" t="s">
        <v>368</v>
      </c>
      <c r="C67" s="33" t="s">
        <v>346</v>
      </c>
      <c r="D67" s="33" t="s">
        <v>36</v>
      </c>
      <c r="E67" s="33" t="s">
        <v>311</v>
      </c>
      <c r="F67" s="35">
        <v>1</v>
      </c>
      <c r="G67" s="40"/>
      <c r="H67" s="40"/>
    </row>
    <row r="68" spans="1:8" hidden="1" x14ac:dyDescent="0.35">
      <c r="A68" s="33">
        <v>67</v>
      </c>
      <c r="B68" s="34" t="s">
        <v>369</v>
      </c>
      <c r="C68" s="33" t="s">
        <v>346</v>
      </c>
      <c r="D68" s="33" t="s">
        <v>36</v>
      </c>
      <c r="E68" s="33" t="s">
        <v>311</v>
      </c>
      <c r="F68" s="35">
        <v>1</v>
      </c>
      <c r="G68" s="40"/>
      <c r="H68" s="40"/>
    </row>
    <row r="69" spans="1:8" hidden="1" x14ac:dyDescent="0.35">
      <c r="A69" s="33">
        <v>68</v>
      </c>
      <c r="B69" s="34" t="s">
        <v>370</v>
      </c>
      <c r="C69" s="33" t="s">
        <v>346</v>
      </c>
      <c r="D69" s="33" t="s">
        <v>36</v>
      </c>
      <c r="E69" s="33" t="s">
        <v>311</v>
      </c>
      <c r="F69" s="35">
        <v>0.1</v>
      </c>
      <c r="G69" s="40"/>
      <c r="H69" s="40"/>
    </row>
    <row r="70" spans="1:8" hidden="1" x14ac:dyDescent="0.35">
      <c r="A70" s="33">
        <v>69</v>
      </c>
      <c r="B70" s="34" t="s">
        <v>371</v>
      </c>
      <c r="C70" s="33" t="s">
        <v>346</v>
      </c>
      <c r="D70" s="33" t="s">
        <v>36</v>
      </c>
      <c r="E70" s="33" t="s">
        <v>311</v>
      </c>
      <c r="F70" s="35">
        <v>0.25</v>
      </c>
      <c r="G70" s="40"/>
      <c r="H70" s="40"/>
    </row>
    <row r="71" spans="1:8" hidden="1" x14ac:dyDescent="0.35">
      <c r="A71" s="33">
        <v>70</v>
      </c>
      <c r="B71" s="34" t="s">
        <v>372</v>
      </c>
      <c r="C71" s="33" t="s">
        <v>346</v>
      </c>
      <c r="D71" s="33" t="s">
        <v>36</v>
      </c>
      <c r="E71" s="33" t="s">
        <v>311</v>
      </c>
      <c r="F71" s="35">
        <v>0.1</v>
      </c>
      <c r="G71" s="40"/>
      <c r="H71" s="40"/>
    </row>
    <row r="72" spans="1:8" hidden="1" x14ac:dyDescent="0.35">
      <c r="A72" s="33">
        <v>71</v>
      </c>
      <c r="B72" s="34" t="s">
        <v>373</v>
      </c>
      <c r="C72" s="33" t="s">
        <v>346</v>
      </c>
      <c r="D72" s="33" t="s">
        <v>36</v>
      </c>
      <c r="E72" s="33" t="s">
        <v>311</v>
      </c>
      <c r="F72" s="35">
        <v>0.125</v>
      </c>
      <c r="G72" s="40"/>
      <c r="H72" s="40"/>
    </row>
    <row r="73" spans="1:8" hidden="1" x14ac:dyDescent="0.35">
      <c r="A73" s="33">
        <v>72</v>
      </c>
      <c r="B73" s="34" t="s">
        <v>374</v>
      </c>
      <c r="C73" s="33" t="s">
        <v>346</v>
      </c>
      <c r="D73" s="33" t="s">
        <v>36</v>
      </c>
      <c r="E73" s="33" t="s">
        <v>311</v>
      </c>
      <c r="F73" s="35">
        <v>0.15</v>
      </c>
      <c r="G73" s="40"/>
      <c r="H73" s="40"/>
    </row>
    <row r="74" spans="1:8" hidden="1" x14ac:dyDescent="0.35">
      <c r="A74" s="33">
        <v>73</v>
      </c>
      <c r="B74" s="34" t="s">
        <v>375</v>
      </c>
      <c r="C74" s="33" t="s">
        <v>346</v>
      </c>
      <c r="D74" s="33" t="s">
        <v>36</v>
      </c>
      <c r="E74" s="33" t="s">
        <v>311</v>
      </c>
      <c r="F74" s="35">
        <v>0.2</v>
      </c>
      <c r="G74" s="40"/>
      <c r="H74" s="40"/>
    </row>
    <row r="75" spans="1:8" hidden="1" x14ac:dyDescent="0.35">
      <c r="A75" s="33">
        <v>74</v>
      </c>
      <c r="B75" s="34" t="s">
        <v>376</v>
      </c>
      <c r="C75" s="33" t="s">
        <v>346</v>
      </c>
      <c r="D75" s="33" t="s">
        <v>36</v>
      </c>
      <c r="E75" s="33" t="s">
        <v>311</v>
      </c>
      <c r="F75" s="35">
        <v>0.1</v>
      </c>
      <c r="G75" s="40"/>
      <c r="H75" s="40"/>
    </row>
    <row r="76" spans="1:8" hidden="1" x14ac:dyDescent="0.35">
      <c r="A76" s="33">
        <v>75</v>
      </c>
      <c r="B76" s="34" t="s">
        <v>377</v>
      </c>
      <c r="C76" s="33" t="s">
        <v>346</v>
      </c>
      <c r="D76" s="33" t="s">
        <v>36</v>
      </c>
      <c r="E76" s="33" t="s">
        <v>311</v>
      </c>
      <c r="F76" s="35">
        <v>0.15</v>
      </c>
      <c r="G76" s="40"/>
      <c r="H76" s="40"/>
    </row>
    <row r="77" spans="1:8" hidden="1" x14ac:dyDescent="0.35">
      <c r="A77" s="33">
        <v>76</v>
      </c>
      <c r="B77" s="34" t="s">
        <v>378</v>
      </c>
      <c r="C77" s="33" t="s">
        <v>346</v>
      </c>
      <c r="D77" s="33" t="s">
        <v>36</v>
      </c>
      <c r="E77" s="33" t="s">
        <v>311</v>
      </c>
      <c r="F77" s="35">
        <v>0.23</v>
      </c>
      <c r="G77" s="40"/>
      <c r="H77" s="40"/>
    </row>
    <row r="78" spans="1:8" hidden="1" x14ac:dyDescent="0.35">
      <c r="A78" s="33">
        <v>77</v>
      </c>
      <c r="B78" s="34" t="s">
        <v>379</v>
      </c>
      <c r="C78" s="33" t="s">
        <v>346</v>
      </c>
      <c r="D78" s="33" t="s">
        <v>36</v>
      </c>
      <c r="E78" s="33" t="s">
        <v>311</v>
      </c>
      <c r="F78" s="35">
        <v>0.08</v>
      </c>
      <c r="G78" s="40"/>
      <c r="H78" s="40"/>
    </row>
    <row r="79" spans="1:8" hidden="1" x14ac:dyDescent="0.35">
      <c r="A79" s="33">
        <v>78</v>
      </c>
      <c r="B79" s="34" t="s">
        <v>380</v>
      </c>
      <c r="C79" s="33" t="s">
        <v>346</v>
      </c>
      <c r="D79" s="33" t="s">
        <v>36</v>
      </c>
      <c r="E79" s="33" t="s">
        <v>311</v>
      </c>
      <c r="F79" s="35">
        <v>0.1</v>
      </c>
      <c r="G79" s="40"/>
      <c r="H79" s="40"/>
    </row>
    <row r="80" spans="1:8" hidden="1" x14ac:dyDescent="0.35">
      <c r="A80" s="33">
        <v>79</v>
      </c>
      <c r="B80" s="34" t="s">
        <v>381</v>
      </c>
      <c r="C80" s="33" t="s">
        <v>346</v>
      </c>
      <c r="D80" s="33" t="s">
        <v>36</v>
      </c>
      <c r="E80" s="33" t="s">
        <v>311</v>
      </c>
      <c r="F80" s="35">
        <v>0.23</v>
      </c>
      <c r="G80" s="40"/>
      <c r="H80" s="40"/>
    </row>
    <row r="81" spans="1:8" hidden="1" x14ac:dyDescent="0.35">
      <c r="A81" s="33">
        <v>80</v>
      </c>
      <c r="B81" s="34" t="s">
        <v>382</v>
      </c>
      <c r="C81" s="33" t="s">
        <v>346</v>
      </c>
      <c r="D81" s="33" t="s">
        <v>36</v>
      </c>
      <c r="E81" s="33" t="s">
        <v>311</v>
      </c>
      <c r="F81" s="35">
        <v>0.125</v>
      </c>
      <c r="G81" s="40"/>
      <c r="H81" s="40"/>
    </row>
    <row r="82" spans="1:8" hidden="1" x14ac:dyDescent="0.35">
      <c r="A82" s="33">
        <v>81</v>
      </c>
      <c r="B82" s="34" t="s">
        <v>383</v>
      </c>
      <c r="C82" s="33" t="s">
        <v>346</v>
      </c>
      <c r="D82" s="33" t="s">
        <v>36</v>
      </c>
      <c r="E82" s="33" t="s">
        <v>311</v>
      </c>
      <c r="F82" s="35">
        <v>0.1</v>
      </c>
      <c r="G82" s="40"/>
      <c r="H82" s="40"/>
    </row>
    <row r="83" spans="1:8" hidden="1" x14ac:dyDescent="0.35">
      <c r="A83" s="33">
        <v>82</v>
      </c>
      <c r="B83" s="34" t="s">
        <v>384</v>
      </c>
      <c r="C83" s="33" t="s">
        <v>346</v>
      </c>
      <c r="D83" s="33" t="s">
        <v>36</v>
      </c>
      <c r="E83" s="33" t="s">
        <v>311</v>
      </c>
      <c r="F83" s="35">
        <v>0.23</v>
      </c>
      <c r="G83" s="40"/>
      <c r="H83" s="40"/>
    </row>
    <row r="84" spans="1:8" hidden="1" x14ac:dyDescent="0.35">
      <c r="A84" s="33">
        <v>83</v>
      </c>
      <c r="B84" s="34" t="s">
        <v>385</v>
      </c>
      <c r="C84" s="33" t="s">
        <v>346</v>
      </c>
      <c r="D84" s="33" t="s">
        <v>36</v>
      </c>
      <c r="E84" s="33" t="s">
        <v>311</v>
      </c>
      <c r="F84" s="35">
        <v>0.25</v>
      </c>
      <c r="G84" s="40"/>
      <c r="H84" s="40"/>
    </row>
    <row r="85" spans="1:8" hidden="1" x14ac:dyDescent="0.35">
      <c r="A85" s="33">
        <v>84</v>
      </c>
      <c r="B85" s="34" t="s">
        <v>386</v>
      </c>
      <c r="C85" s="33" t="s">
        <v>346</v>
      </c>
      <c r="D85" s="33" t="s">
        <v>36</v>
      </c>
      <c r="E85" s="33" t="s">
        <v>311</v>
      </c>
      <c r="F85" s="35">
        <v>0.1</v>
      </c>
      <c r="G85" s="40"/>
      <c r="H85" s="40"/>
    </row>
    <row r="86" spans="1:8" hidden="1" x14ac:dyDescent="0.35">
      <c r="A86" s="33">
        <v>85</v>
      </c>
      <c r="B86" s="34" t="s">
        <v>387</v>
      </c>
      <c r="C86" s="33" t="s">
        <v>346</v>
      </c>
      <c r="D86" s="33" t="s">
        <v>36</v>
      </c>
      <c r="E86" s="33" t="s">
        <v>311</v>
      </c>
      <c r="F86" s="35">
        <v>0.2</v>
      </c>
      <c r="G86" s="40"/>
      <c r="H86" s="40"/>
    </row>
    <row r="87" spans="1:8" hidden="1" x14ac:dyDescent="0.35">
      <c r="A87" s="33">
        <v>86</v>
      </c>
      <c r="B87" s="34" t="s">
        <v>388</v>
      </c>
      <c r="C87" s="33" t="s">
        <v>346</v>
      </c>
      <c r="D87" s="33" t="s">
        <v>36</v>
      </c>
      <c r="E87" s="33" t="s">
        <v>311</v>
      </c>
      <c r="F87" s="35">
        <v>1</v>
      </c>
      <c r="G87" s="40"/>
      <c r="H87" s="40"/>
    </row>
    <row r="88" spans="1:8" hidden="1" x14ac:dyDescent="0.35">
      <c r="A88" s="33">
        <v>87</v>
      </c>
      <c r="B88" s="34" t="s">
        <v>389</v>
      </c>
      <c r="C88" s="33" t="s">
        <v>346</v>
      </c>
      <c r="D88" s="33" t="s">
        <v>36</v>
      </c>
      <c r="E88" s="33" t="s">
        <v>311</v>
      </c>
      <c r="F88" s="35">
        <v>1</v>
      </c>
      <c r="G88" s="40"/>
      <c r="H88" s="40"/>
    </row>
    <row r="89" spans="1:8" hidden="1" x14ac:dyDescent="0.35">
      <c r="A89" s="33">
        <v>88</v>
      </c>
      <c r="B89" s="34" t="s">
        <v>390</v>
      </c>
      <c r="C89" s="33" t="s">
        <v>346</v>
      </c>
      <c r="D89" s="33" t="s">
        <v>36</v>
      </c>
      <c r="E89" s="33" t="s">
        <v>311</v>
      </c>
      <c r="F89" s="35">
        <v>1</v>
      </c>
      <c r="G89" s="40"/>
      <c r="H89" s="40"/>
    </row>
    <row r="90" spans="1:8" hidden="1" x14ac:dyDescent="0.35">
      <c r="A90" s="33">
        <v>89</v>
      </c>
      <c r="B90" s="34" t="s">
        <v>391</v>
      </c>
      <c r="C90" s="33" t="s">
        <v>346</v>
      </c>
      <c r="D90" s="33" t="s">
        <v>36</v>
      </c>
      <c r="E90" s="33" t="s">
        <v>311</v>
      </c>
      <c r="F90" s="35">
        <v>1</v>
      </c>
      <c r="G90" s="40"/>
      <c r="H90" s="40"/>
    </row>
    <row r="91" spans="1:8" hidden="1" x14ac:dyDescent="0.35">
      <c r="A91" s="33">
        <v>90</v>
      </c>
      <c r="B91" s="34" t="s">
        <v>392</v>
      </c>
      <c r="C91" s="33" t="s">
        <v>346</v>
      </c>
      <c r="D91" s="33" t="s">
        <v>36</v>
      </c>
      <c r="E91" s="33" t="s">
        <v>311</v>
      </c>
      <c r="F91" s="35">
        <v>1</v>
      </c>
      <c r="G91" s="40"/>
      <c r="H91" s="40"/>
    </row>
    <row r="92" spans="1:8" hidden="1" x14ac:dyDescent="0.35">
      <c r="A92" s="33">
        <v>91</v>
      </c>
      <c r="B92" s="34" t="s">
        <v>393</v>
      </c>
      <c r="C92" s="33" t="s">
        <v>346</v>
      </c>
      <c r="D92" s="33" t="s">
        <v>36</v>
      </c>
      <c r="E92" s="33" t="s">
        <v>311</v>
      </c>
      <c r="F92" s="35">
        <v>1</v>
      </c>
      <c r="G92" s="40"/>
      <c r="H92" s="40"/>
    </row>
    <row r="93" spans="1:8" hidden="1" x14ac:dyDescent="0.35">
      <c r="A93" s="33">
        <v>92</v>
      </c>
      <c r="B93" s="34" t="s">
        <v>394</v>
      </c>
      <c r="C93" s="33" t="s">
        <v>346</v>
      </c>
      <c r="D93" s="33" t="s">
        <v>36</v>
      </c>
      <c r="E93" s="33" t="s">
        <v>311</v>
      </c>
      <c r="F93" s="35">
        <v>1</v>
      </c>
      <c r="G93" s="40"/>
      <c r="H93" s="40"/>
    </row>
    <row r="94" spans="1:8" hidden="1" x14ac:dyDescent="0.35">
      <c r="A94" s="33">
        <v>93</v>
      </c>
      <c r="B94" s="34" t="s">
        <v>395</v>
      </c>
      <c r="C94" s="33" t="s">
        <v>346</v>
      </c>
      <c r="D94" s="33" t="s">
        <v>36</v>
      </c>
      <c r="E94" s="33" t="s">
        <v>311</v>
      </c>
      <c r="F94" s="35">
        <v>1</v>
      </c>
      <c r="G94" s="40"/>
      <c r="H94" s="40"/>
    </row>
    <row r="95" spans="1:8" hidden="1" x14ac:dyDescent="0.35">
      <c r="A95" s="33">
        <v>94</v>
      </c>
      <c r="B95" s="34" t="s">
        <v>396</v>
      </c>
      <c r="C95" s="33" t="s">
        <v>346</v>
      </c>
      <c r="D95" s="33" t="s">
        <v>36</v>
      </c>
      <c r="E95" s="33" t="s">
        <v>311</v>
      </c>
      <c r="F95" s="35">
        <v>1</v>
      </c>
      <c r="G95" s="40"/>
      <c r="H95" s="40"/>
    </row>
    <row r="96" spans="1:8" hidden="1" x14ac:dyDescent="0.35">
      <c r="A96" s="33">
        <v>95</v>
      </c>
      <c r="B96" s="34" t="s">
        <v>397</v>
      </c>
      <c r="C96" s="33" t="s">
        <v>346</v>
      </c>
      <c r="D96" s="33" t="s">
        <v>36</v>
      </c>
      <c r="E96" s="33" t="s">
        <v>311</v>
      </c>
      <c r="F96" s="35">
        <v>1</v>
      </c>
      <c r="G96" s="40"/>
      <c r="H96" s="40"/>
    </row>
    <row r="97" spans="1:8" hidden="1" x14ac:dyDescent="0.35">
      <c r="A97" s="33">
        <v>96</v>
      </c>
      <c r="B97" s="34" t="s">
        <v>398</v>
      </c>
      <c r="C97" s="33" t="s">
        <v>346</v>
      </c>
      <c r="D97" s="33" t="s">
        <v>36</v>
      </c>
      <c r="E97" s="33" t="s">
        <v>311</v>
      </c>
      <c r="F97" s="35">
        <v>1</v>
      </c>
      <c r="G97" s="40"/>
      <c r="H97" s="40"/>
    </row>
    <row r="98" spans="1:8" hidden="1" x14ac:dyDescent="0.35">
      <c r="A98" s="33">
        <v>97</v>
      </c>
      <c r="B98" s="34" t="s">
        <v>399</v>
      </c>
      <c r="C98" s="33" t="s">
        <v>346</v>
      </c>
      <c r="D98" s="33" t="s">
        <v>36</v>
      </c>
      <c r="E98" s="33" t="s">
        <v>311</v>
      </c>
      <c r="F98" s="35">
        <v>0.1</v>
      </c>
      <c r="G98" s="40"/>
      <c r="H98" s="40"/>
    </row>
    <row r="99" spans="1:8" hidden="1" x14ac:dyDescent="0.35">
      <c r="A99" s="33">
        <v>98</v>
      </c>
      <c r="B99" s="34" t="s">
        <v>400</v>
      </c>
      <c r="C99" s="33" t="s">
        <v>346</v>
      </c>
      <c r="D99" s="33" t="s">
        <v>36</v>
      </c>
      <c r="E99" s="33" t="s">
        <v>311</v>
      </c>
      <c r="F99" s="35">
        <v>1</v>
      </c>
      <c r="G99" s="40"/>
      <c r="H99" s="40"/>
    </row>
    <row r="100" spans="1:8" hidden="1" x14ac:dyDescent="0.35">
      <c r="A100" s="33">
        <v>99</v>
      </c>
      <c r="B100" s="34" t="s">
        <v>401</v>
      </c>
      <c r="C100" s="33" t="s">
        <v>346</v>
      </c>
      <c r="D100" s="33" t="s">
        <v>36</v>
      </c>
      <c r="E100" s="33" t="s">
        <v>311</v>
      </c>
      <c r="F100" s="35">
        <v>0.2</v>
      </c>
      <c r="G100" s="40"/>
      <c r="H100" s="40"/>
    </row>
    <row r="101" spans="1:8" hidden="1" x14ac:dyDescent="0.35">
      <c r="A101" s="33">
        <v>100</v>
      </c>
      <c r="B101" s="34" t="s">
        <v>402</v>
      </c>
      <c r="C101" s="33" t="s">
        <v>346</v>
      </c>
      <c r="D101" s="33" t="s">
        <v>36</v>
      </c>
      <c r="E101" s="33" t="s">
        <v>311</v>
      </c>
      <c r="F101" s="35">
        <v>0.5</v>
      </c>
      <c r="G101" s="40"/>
      <c r="H101" s="40"/>
    </row>
    <row r="102" spans="1:8" hidden="1" x14ac:dyDescent="0.35">
      <c r="A102" s="33">
        <v>101</v>
      </c>
      <c r="B102" s="34" t="s">
        <v>403</v>
      </c>
      <c r="C102" s="33" t="s">
        <v>346</v>
      </c>
      <c r="D102" s="33" t="s">
        <v>36</v>
      </c>
      <c r="E102" s="33" t="s">
        <v>311</v>
      </c>
      <c r="F102" s="35">
        <v>0.1</v>
      </c>
      <c r="G102" s="40"/>
      <c r="H102" s="40"/>
    </row>
    <row r="103" spans="1:8" hidden="1" x14ac:dyDescent="0.35">
      <c r="A103" s="33">
        <v>102</v>
      </c>
      <c r="B103" s="34" t="s">
        <v>404</v>
      </c>
      <c r="C103" s="33" t="s">
        <v>346</v>
      </c>
      <c r="D103" s="33" t="s">
        <v>36</v>
      </c>
      <c r="E103" s="33" t="s">
        <v>311</v>
      </c>
      <c r="F103" s="35">
        <v>0.2</v>
      </c>
      <c r="G103" s="40"/>
      <c r="H103" s="40"/>
    </row>
    <row r="104" spans="1:8" hidden="1" x14ac:dyDescent="0.35">
      <c r="A104" s="33">
        <v>103</v>
      </c>
      <c r="B104" s="34" t="s">
        <v>405</v>
      </c>
      <c r="C104" s="33" t="s">
        <v>346</v>
      </c>
      <c r="D104" s="33" t="s">
        <v>36</v>
      </c>
      <c r="E104" s="33" t="s">
        <v>311</v>
      </c>
      <c r="F104" s="35">
        <v>0.5</v>
      </c>
      <c r="G104" s="40"/>
      <c r="H104" s="40"/>
    </row>
    <row r="105" spans="1:8" hidden="1" x14ac:dyDescent="0.35">
      <c r="A105" s="33">
        <v>104</v>
      </c>
      <c r="B105" s="34" t="s">
        <v>406</v>
      </c>
      <c r="C105" s="33" t="s">
        <v>346</v>
      </c>
      <c r="D105" s="33" t="s">
        <v>36</v>
      </c>
      <c r="E105" s="33" t="s">
        <v>311</v>
      </c>
      <c r="F105" s="35">
        <v>0.05</v>
      </c>
      <c r="G105" s="40"/>
      <c r="H105" s="40"/>
    </row>
    <row r="106" spans="1:8" hidden="1" x14ac:dyDescent="0.35">
      <c r="A106" s="33">
        <v>105</v>
      </c>
      <c r="B106" s="34" t="s">
        <v>407</v>
      </c>
      <c r="C106" s="33" t="s">
        <v>346</v>
      </c>
      <c r="D106" s="33" t="s">
        <v>36</v>
      </c>
      <c r="E106" s="33" t="s">
        <v>311</v>
      </c>
      <c r="F106" s="35">
        <v>0.05</v>
      </c>
      <c r="G106" s="40"/>
      <c r="H106" s="40"/>
    </row>
    <row r="107" spans="1:8" hidden="1" x14ac:dyDescent="0.35">
      <c r="A107" s="33">
        <v>106</v>
      </c>
      <c r="B107" s="34" t="s">
        <v>408</v>
      </c>
      <c r="C107" s="33" t="s">
        <v>346</v>
      </c>
      <c r="D107" s="33" t="s">
        <v>36</v>
      </c>
      <c r="E107" s="33" t="s">
        <v>311</v>
      </c>
      <c r="F107" s="35">
        <v>0.05</v>
      </c>
      <c r="G107" s="40"/>
      <c r="H107" s="40"/>
    </row>
    <row r="108" spans="1:8" hidden="1" x14ac:dyDescent="0.35">
      <c r="A108" s="33">
        <v>107</v>
      </c>
      <c r="B108" s="34" t="s">
        <v>409</v>
      </c>
      <c r="C108" s="33" t="s">
        <v>346</v>
      </c>
      <c r="D108" s="33" t="s">
        <v>36</v>
      </c>
      <c r="E108" s="33" t="s">
        <v>311</v>
      </c>
      <c r="F108" s="35">
        <v>0.05</v>
      </c>
      <c r="G108" s="40"/>
      <c r="H108" s="40"/>
    </row>
    <row r="109" spans="1:8" hidden="1" x14ac:dyDescent="0.35">
      <c r="A109" s="33">
        <v>108</v>
      </c>
      <c r="B109" s="34" t="s">
        <v>410</v>
      </c>
      <c r="C109" s="33" t="s">
        <v>346</v>
      </c>
      <c r="D109" s="33" t="s">
        <v>36</v>
      </c>
      <c r="E109" s="33" t="s">
        <v>311</v>
      </c>
      <c r="F109" s="35">
        <v>0.1</v>
      </c>
      <c r="G109" s="40"/>
      <c r="H109" s="40"/>
    </row>
    <row r="110" spans="1:8" hidden="1" x14ac:dyDescent="0.35">
      <c r="A110" s="33">
        <v>109</v>
      </c>
      <c r="B110" s="34" t="s">
        <v>411</v>
      </c>
      <c r="C110" s="33" t="s">
        <v>346</v>
      </c>
      <c r="D110" s="33" t="s">
        <v>36</v>
      </c>
      <c r="E110" s="33" t="s">
        <v>311</v>
      </c>
      <c r="F110" s="35">
        <v>0.2</v>
      </c>
      <c r="G110" s="40"/>
      <c r="H110" s="40"/>
    </row>
    <row r="111" spans="1:8" hidden="1" x14ac:dyDescent="0.35">
      <c r="A111" s="33">
        <v>110</v>
      </c>
      <c r="B111" s="34" t="s">
        <v>412</v>
      </c>
      <c r="C111" s="33" t="s">
        <v>346</v>
      </c>
      <c r="D111" s="33" t="s">
        <v>36</v>
      </c>
      <c r="E111" s="33" t="s">
        <v>311</v>
      </c>
      <c r="F111" s="35">
        <v>0.5</v>
      </c>
      <c r="G111" s="40"/>
      <c r="H111" s="40"/>
    </row>
    <row r="112" spans="1:8" hidden="1" x14ac:dyDescent="0.35">
      <c r="A112" s="33">
        <v>111</v>
      </c>
      <c r="B112" s="34" t="s">
        <v>413</v>
      </c>
      <c r="C112" s="33" t="s">
        <v>346</v>
      </c>
      <c r="D112" s="33" t="s">
        <v>36</v>
      </c>
      <c r="E112" s="33" t="s">
        <v>311</v>
      </c>
      <c r="F112" s="35">
        <v>0.25</v>
      </c>
      <c r="G112" s="40"/>
      <c r="H112" s="40"/>
    </row>
    <row r="113" spans="1:8" hidden="1" x14ac:dyDescent="0.35">
      <c r="A113" s="33">
        <v>112</v>
      </c>
      <c r="B113" s="34" t="s">
        <v>414</v>
      </c>
      <c r="C113" s="33" t="s">
        <v>346</v>
      </c>
      <c r="D113" s="33" t="s">
        <v>36</v>
      </c>
      <c r="E113" s="33" t="s">
        <v>311</v>
      </c>
      <c r="F113" s="35">
        <v>0.5</v>
      </c>
      <c r="G113" s="40"/>
      <c r="H113" s="40"/>
    </row>
    <row r="114" spans="1:8" hidden="1" x14ac:dyDescent="0.35">
      <c r="A114" s="33">
        <v>113</v>
      </c>
      <c r="B114" s="34" t="s">
        <v>415</v>
      </c>
      <c r="C114" s="33" t="s">
        <v>346</v>
      </c>
      <c r="D114" s="33" t="s">
        <v>36</v>
      </c>
      <c r="E114" s="33" t="s">
        <v>311</v>
      </c>
      <c r="F114" s="35">
        <v>1</v>
      </c>
      <c r="G114" s="40"/>
      <c r="H114" s="40"/>
    </row>
    <row r="115" spans="1:8" hidden="1" x14ac:dyDescent="0.35">
      <c r="A115" s="33">
        <v>114</v>
      </c>
      <c r="B115" s="34" t="s">
        <v>416</v>
      </c>
      <c r="C115" s="33" t="s">
        <v>346</v>
      </c>
      <c r="D115" s="33" t="s">
        <v>36</v>
      </c>
      <c r="E115" s="33" t="s">
        <v>311</v>
      </c>
      <c r="F115" s="35">
        <v>1</v>
      </c>
      <c r="G115" s="40"/>
      <c r="H115" s="40"/>
    </row>
    <row r="116" spans="1:8" hidden="1" x14ac:dyDescent="0.35">
      <c r="A116" s="33">
        <v>115</v>
      </c>
      <c r="B116" s="34" t="s">
        <v>417</v>
      </c>
      <c r="C116" s="33" t="s">
        <v>346</v>
      </c>
      <c r="D116" s="33" t="s">
        <v>36</v>
      </c>
      <c r="E116" s="33" t="s">
        <v>311</v>
      </c>
      <c r="F116" s="35">
        <v>1</v>
      </c>
      <c r="G116" s="40"/>
      <c r="H116" s="40"/>
    </row>
    <row r="117" spans="1:8" hidden="1" x14ac:dyDescent="0.35">
      <c r="A117" s="33">
        <v>116</v>
      </c>
      <c r="B117" s="34" t="s">
        <v>418</v>
      </c>
      <c r="C117" s="33" t="s">
        <v>346</v>
      </c>
      <c r="D117" s="33" t="s">
        <v>36</v>
      </c>
      <c r="E117" s="33" t="s">
        <v>311</v>
      </c>
      <c r="F117" s="35">
        <v>0.2</v>
      </c>
      <c r="G117" s="40"/>
      <c r="H117" s="40"/>
    </row>
    <row r="118" spans="1:8" hidden="1" x14ac:dyDescent="0.35">
      <c r="A118" s="33">
        <v>117</v>
      </c>
      <c r="B118" s="34" t="s">
        <v>419</v>
      </c>
      <c r="C118" s="33" t="s">
        <v>346</v>
      </c>
      <c r="D118" s="33" t="s">
        <v>36</v>
      </c>
      <c r="E118" s="33" t="s">
        <v>311</v>
      </c>
      <c r="F118" s="35">
        <v>0.17499999999999999</v>
      </c>
      <c r="G118" s="40"/>
      <c r="H118" s="40"/>
    </row>
    <row r="119" spans="1:8" hidden="1" x14ac:dyDescent="0.35">
      <c r="A119" s="33">
        <v>118</v>
      </c>
      <c r="B119" s="34" t="s">
        <v>420</v>
      </c>
      <c r="C119" s="33" t="s">
        <v>346</v>
      </c>
      <c r="D119" s="33" t="s">
        <v>36</v>
      </c>
      <c r="E119" s="33" t="s">
        <v>311</v>
      </c>
      <c r="F119" s="35">
        <v>0.5</v>
      </c>
      <c r="G119" s="40"/>
      <c r="H119" s="40"/>
    </row>
    <row r="120" spans="1:8" hidden="1" x14ac:dyDescent="0.35">
      <c r="A120" s="33">
        <v>119</v>
      </c>
      <c r="B120" s="34" t="s">
        <v>421</v>
      </c>
      <c r="C120" s="33" t="s">
        <v>346</v>
      </c>
      <c r="D120" s="33" t="s">
        <v>36</v>
      </c>
      <c r="E120" s="33" t="s">
        <v>311</v>
      </c>
      <c r="F120" s="35">
        <v>0.2</v>
      </c>
      <c r="G120" s="40"/>
      <c r="H120" s="40"/>
    </row>
    <row r="121" spans="1:8" hidden="1" x14ac:dyDescent="0.35">
      <c r="A121" s="33">
        <v>120</v>
      </c>
      <c r="B121" s="34" t="s">
        <v>422</v>
      </c>
      <c r="C121" s="33" t="s">
        <v>346</v>
      </c>
      <c r="D121" s="33" t="s">
        <v>36</v>
      </c>
      <c r="E121" s="33" t="s">
        <v>311</v>
      </c>
      <c r="F121" s="35">
        <v>0.1</v>
      </c>
      <c r="G121" s="40"/>
      <c r="H121" s="40"/>
    </row>
    <row r="122" spans="1:8" hidden="1" x14ac:dyDescent="0.35">
      <c r="A122" s="33">
        <v>121</v>
      </c>
      <c r="B122" s="34" t="s">
        <v>423</v>
      </c>
      <c r="C122" s="33" t="s">
        <v>346</v>
      </c>
      <c r="D122" s="33" t="s">
        <v>36</v>
      </c>
      <c r="E122" s="33" t="s">
        <v>311</v>
      </c>
      <c r="F122" s="35">
        <v>0.25</v>
      </c>
      <c r="G122" s="40"/>
      <c r="H122" s="40"/>
    </row>
    <row r="123" spans="1:8" hidden="1" x14ac:dyDescent="0.35">
      <c r="A123" s="33">
        <v>122</v>
      </c>
      <c r="B123" s="34" t="s">
        <v>424</v>
      </c>
      <c r="C123" s="33" t="s">
        <v>346</v>
      </c>
      <c r="D123" s="33" t="s">
        <v>36</v>
      </c>
      <c r="E123" s="33" t="s">
        <v>311</v>
      </c>
      <c r="F123" s="35">
        <v>0.5</v>
      </c>
      <c r="G123" s="40"/>
      <c r="H123" s="40"/>
    </row>
    <row r="124" spans="1:8" hidden="1" x14ac:dyDescent="0.35">
      <c r="A124" s="33">
        <v>123</v>
      </c>
      <c r="B124" s="34" t="s">
        <v>425</v>
      </c>
      <c r="C124" s="33" t="s">
        <v>346</v>
      </c>
      <c r="D124" s="33" t="s">
        <v>36</v>
      </c>
      <c r="E124" s="33" t="s">
        <v>311</v>
      </c>
      <c r="F124" s="35">
        <v>1</v>
      </c>
      <c r="G124" s="40"/>
      <c r="H124" s="40"/>
    </row>
    <row r="125" spans="1:8" hidden="1" x14ac:dyDescent="0.35">
      <c r="A125" s="33">
        <v>124</v>
      </c>
      <c r="B125" s="34" t="s">
        <v>426</v>
      </c>
      <c r="C125" s="33" t="s">
        <v>346</v>
      </c>
      <c r="D125" s="33" t="s">
        <v>36</v>
      </c>
      <c r="E125" s="33" t="s">
        <v>311</v>
      </c>
      <c r="F125" s="35">
        <v>1</v>
      </c>
      <c r="G125" s="40"/>
      <c r="H125" s="40"/>
    </row>
    <row r="126" spans="1:8" hidden="1" x14ac:dyDescent="0.35">
      <c r="A126" s="33">
        <v>125</v>
      </c>
      <c r="B126" s="34" t="s">
        <v>427</v>
      </c>
      <c r="C126" s="33" t="s">
        <v>346</v>
      </c>
      <c r="D126" s="33" t="s">
        <v>36</v>
      </c>
      <c r="E126" s="33" t="s">
        <v>311</v>
      </c>
      <c r="F126" s="35">
        <v>1</v>
      </c>
      <c r="G126" s="40"/>
      <c r="H126" s="40"/>
    </row>
    <row r="127" spans="1:8" hidden="1" x14ac:dyDescent="0.35">
      <c r="A127" s="33">
        <v>126</v>
      </c>
      <c r="B127" s="34" t="s">
        <v>428</v>
      </c>
      <c r="C127" s="33" t="s">
        <v>346</v>
      </c>
      <c r="D127" s="33" t="s">
        <v>36</v>
      </c>
      <c r="E127" s="33" t="s">
        <v>311</v>
      </c>
      <c r="F127" s="35">
        <v>1</v>
      </c>
      <c r="G127" s="40"/>
      <c r="H127" s="40"/>
    </row>
    <row r="128" spans="1:8" hidden="1" x14ac:dyDescent="0.35">
      <c r="A128" s="33">
        <v>127</v>
      </c>
      <c r="B128" s="34" t="s">
        <v>429</v>
      </c>
      <c r="C128" s="33" t="s">
        <v>346</v>
      </c>
      <c r="D128" s="33" t="s">
        <v>36</v>
      </c>
      <c r="E128" s="33" t="s">
        <v>311</v>
      </c>
      <c r="F128" s="35">
        <v>1</v>
      </c>
      <c r="G128" s="40"/>
      <c r="H128" s="40"/>
    </row>
    <row r="129" spans="1:9" hidden="1" x14ac:dyDescent="0.35">
      <c r="A129" s="33">
        <v>128</v>
      </c>
      <c r="B129" s="34" t="s">
        <v>430</v>
      </c>
      <c r="C129" s="33" t="s">
        <v>346</v>
      </c>
      <c r="D129" s="33" t="s">
        <v>36</v>
      </c>
      <c r="E129" s="33" t="s">
        <v>311</v>
      </c>
      <c r="F129" s="35">
        <v>1</v>
      </c>
      <c r="G129" s="40"/>
      <c r="H129" s="40"/>
    </row>
    <row r="130" spans="1:9" hidden="1" x14ac:dyDescent="0.35">
      <c r="A130" s="33">
        <v>129</v>
      </c>
      <c r="B130" s="34" t="s">
        <v>431</v>
      </c>
      <c r="C130" s="33" t="s">
        <v>346</v>
      </c>
      <c r="D130" s="33" t="s">
        <v>36</v>
      </c>
      <c r="E130" s="33" t="s">
        <v>311</v>
      </c>
      <c r="F130" s="35">
        <v>1</v>
      </c>
      <c r="G130" s="40"/>
      <c r="H130" s="40"/>
    </row>
    <row r="131" spans="1:9" hidden="1" x14ac:dyDescent="0.35">
      <c r="A131" s="33">
        <v>130</v>
      </c>
      <c r="B131" s="34" t="s">
        <v>432</v>
      </c>
      <c r="C131" s="33" t="s">
        <v>346</v>
      </c>
      <c r="D131" s="33" t="s">
        <v>36</v>
      </c>
      <c r="E131" s="33" t="s">
        <v>311</v>
      </c>
      <c r="F131" s="35">
        <v>1</v>
      </c>
      <c r="G131" s="40"/>
      <c r="H131" s="40"/>
    </row>
    <row r="132" spans="1:9" hidden="1" x14ac:dyDescent="0.35">
      <c r="A132" s="33">
        <v>131</v>
      </c>
      <c r="B132" s="34" t="s">
        <v>433</v>
      </c>
      <c r="C132" s="33" t="s">
        <v>346</v>
      </c>
      <c r="D132" s="33" t="s">
        <v>36</v>
      </c>
      <c r="E132" s="33" t="s">
        <v>311</v>
      </c>
      <c r="F132" s="35">
        <v>7.4999999999999997E-2</v>
      </c>
      <c r="G132" s="40"/>
      <c r="H132" s="40"/>
    </row>
    <row r="133" spans="1:9" hidden="1" x14ac:dyDescent="0.35">
      <c r="A133" s="33">
        <v>132</v>
      </c>
      <c r="B133" s="34" t="s">
        <v>434</v>
      </c>
      <c r="C133" s="33" t="s">
        <v>346</v>
      </c>
      <c r="D133" s="33" t="s">
        <v>36</v>
      </c>
      <c r="E133" s="33" t="s">
        <v>311</v>
      </c>
      <c r="F133" s="35">
        <v>0.1</v>
      </c>
      <c r="G133" s="40"/>
      <c r="H133" s="40"/>
    </row>
    <row r="134" spans="1:9" hidden="1" x14ac:dyDescent="0.35">
      <c r="A134" s="33">
        <v>133</v>
      </c>
      <c r="B134" s="34" t="s">
        <v>247</v>
      </c>
      <c r="C134" s="33" t="s">
        <v>346</v>
      </c>
      <c r="D134" s="33" t="s">
        <v>36</v>
      </c>
      <c r="E134" s="33" t="s">
        <v>311</v>
      </c>
      <c r="F134" s="35">
        <v>0.1</v>
      </c>
      <c r="G134" s="40"/>
      <c r="H134" s="40"/>
    </row>
    <row r="135" spans="1:9" x14ac:dyDescent="0.35">
      <c r="A135" s="33">
        <v>134</v>
      </c>
      <c r="B135" s="34" t="s">
        <v>435</v>
      </c>
      <c r="C135" s="33" t="s">
        <v>346</v>
      </c>
      <c r="D135" s="33" t="s">
        <v>36</v>
      </c>
      <c r="E135" s="33" t="s">
        <v>311</v>
      </c>
      <c r="F135" s="35">
        <v>1</v>
      </c>
      <c r="G135" s="40"/>
      <c r="H135" s="40">
        <v>12.5</v>
      </c>
      <c r="I135" s="40" t="s">
        <v>2303</v>
      </c>
    </row>
    <row r="136" spans="1:9" hidden="1" x14ac:dyDescent="0.35">
      <c r="A136" s="41">
        <v>135</v>
      </c>
      <c r="B136" s="42" t="s">
        <v>436</v>
      </c>
      <c r="C136" s="41" t="s">
        <v>346</v>
      </c>
      <c r="D136" s="41" t="s">
        <v>36</v>
      </c>
      <c r="E136" s="41" t="s">
        <v>311</v>
      </c>
      <c r="F136" s="43">
        <v>0.14000000000000001</v>
      </c>
      <c r="G136" s="44"/>
      <c r="H136" s="44"/>
    </row>
    <row r="137" spans="1:9" hidden="1" x14ac:dyDescent="0.35">
      <c r="A137" s="33">
        <v>136</v>
      </c>
      <c r="B137" s="34" t="s">
        <v>437</v>
      </c>
      <c r="C137" s="33" t="s">
        <v>346</v>
      </c>
      <c r="D137" s="33" t="s">
        <v>36</v>
      </c>
      <c r="E137" s="33" t="s">
        <v>311</v>
      </c>
      <c r="F137" s="35">
        <v>7.4999999999999997E-2</v>
      </c>
      <c r="G137" s="40"/>
      <c r="H137" s="40"/>
    </row>
    <row r="138" spans="1:9" hidden="1" x14ac:dyDescent="0.35">
      <c r="A138" s="33">
        <v>137</v>
      </c>
      <c r="B138" s="34" t="s">
        <v>438</v>
      </c>
      <c r="C138" s="33" t="s">
        <v>346</v>
      </c>
      <c r="D138" s="33" t="s">
        <v>36</v>
      </c>
      <c r="E138" s="33" t="s">
        <v>311</v>
      </c>
      <c r="F138" s="35">
        <v>0.09</v>
      </c>
      <c r="G138" s="40"/>
      <c r="H138" s="40"/>
    </row>
    <row r="139" spans="1:9" hidden="1" x14ac:dyDescent="0.35">
      <c r="A139" s="33">
        <v>138</v>
      </c>
      <c r="B139" s="34" t="s">
        <v>439</v>
      </c>
      <c r="C139" s="33" t="s">
        <v>346</v>
      </c>
      <c r="D139" s="33" t="s">
        <v>36</v>
      </c>
      <c r="E139" s="33" t="s">
        <v>311</v>
      </c>
      <c r="F139" s="35">
        <v>1</v>
      </c>
      <c r="G139" s="40"/>
      <c r="H139" s="40"/>
    </row>
    <row r="140" spans="1:9" hidden="1" x14ac:dyDescent="0.35">
      <c r="A140" s="33">
        <v>139</v>
      </c>
      <c r="B140" s="34" t="s">
        <v>440</v>
      </c>
      <c r="C140" s="33" t="s">
        <v>346</v>
      </c>
      <c r="D140" s="33" t="s">
        <v>36</v>
      </c>
      <c r="E140" s="33" t="s">
        <v>311</v>
      </c>
      <c r="F140" s="35">
        <v>1</v>
      </c>
      <c r="G140" s="40"/>
      <c r="H140" s="40"/>
    </row>
    <row r="141" spans="1:9" hidden="1" x14ac:dyDescent="0.35">
      <c r="A141" s="33">
        <v>140</v>
      </c>
      <c r="B141" s="34" t="s">
        <v>441</v>
      </c>
      <c r="C141" s="33" t="s">
        <v>346</v>
      </c>
      <c r="D141" s="33" t="s">
        <v>36</v>
      </c>
      <c r="E141" s="33" t="s">
        <v>311</v>
      </c>
      <c r="F141" s="35">
        <v>0.1</v>
      </c>
      <c r="G141" s="40"/>
      <c r="H141" s="40"/>
    </row>
    <row r="142" spans="1:9" hidden="1" x14ac:dyDescent="0.35">
      <c r="A142" s="33">
        <v>141</v>
      </c>
      <c r="B142" s="34" t="s">
        <v>442</v>
      </c>
      <c r="C142" s="33" t="s">
        <v>346</v>
      </c>
      <c r="D142" s="33" t="s">
        <v>36</v>
      </c>
      <c r="E142" s="33" t="s">
        <v>311</v>
      </c>
      <c r="F142" s="35">
        <v>0.1</v>
      </c>
      <c r="G142" s="40"/>
      <c r="H142" s="40"/>
    </row>
    <row r="143" spans="1:9" x14ac:dyDescent="0.35">
      <c r="A143" s="33">
        <v>142</v>
      </c>
      <c r="B143" s="34" t="s">
        <v>443</v>
      </c>
      <c r="C143" s="33" t="s">
        <v>346</v>
      </c>
      <c r="D143" s="33" t="s">
        <v>36</v>
      </c>
      <c r="E143" s="33" t="s">
        <v>311</v>
      </c>
      <c r="F143" s="35">
        <v>1</v>
      </c>
      <c r="G143" s="40"/>
      <c r="H143" s="40">
        <v>2.5499999999999998</v>
      </c>
      <c r="I143" s="40" t="s">
        <v>2303</v>
      </c>
    </row>
    <row r="144" spans="1:9" hidden="1" x14ac:dyDescent="0.35">
      <c r="A144" s="41">
        <v>143</v>
      </c>
      <c r="B144" s="42" t="s">
        <v>444</v>
      </c>
      <c r="C144" s="41" t="s">
        <v>346</v>
      </c>
      <c r="D144" s="41" t="s">
        <v>36</v>
      </c>
      <c r="E144" s="41" t="s">
        <v>311</v>
      </c>
      <c r="F144" s="43">
        <v>1</v>
      </c>
      <c r="G144" s="44"/>
      <c r="H144" s="44"/>
    </row>
    <row r="145" spans="1:8" hidden="1" x14ac:dyDescent="0.35">
      <c r="A145" s="33">
        <v>144</v>
      </c>
      <c r="B145" s="34" t="s">
        <v>445</v>
      </c>
      <c r="C145" s="33" t="s">
        <v>346</v>
      </c>
      <c r="D145" s="33" t="s">
        <v>36</v>
      </c>
      <c r="E145" s="33" t="s">
        <v>311</v>
      </c>
      <c r="F145" s="35">
        <v>0.17</v>
      </c>
      <c r="G145" s="40"/>
      <c r="H145" s="40"/>
    </row>
    <row r="146" spans="1:8" hidden="1" x14ac:dyDescent="0.35">
      <c r="A146" s="33">
        <v>145</v>
      </c>
      <c r="B146" s="34" t="s">
        <v>446</v>
      </c>
      <c r="C146" s="33" t="s">
        <v>346</v>
      </c>
      <c r="D146" s="33" t="s">
        <v>36</v>
      </c>
      <c r="E146" s="33" t="s">
        <v>311</v>
      </c>
      <c r="F146" s="35">
        <v>0.48</v>
      </c>
      <c r="G146" s="40"/>
      <c r="H146" s="40"/>
    </row>
    <row r="147" spans="1:8" hidden="1" x14ac:dyDescent="0.35">
      <c r="A147" s="33">
        <v>146</v>
      </c>
      <c r="B147" s="34" t="s">
        <v>447</v>
      </c>
      <c r="C147" s="33" t="s">
        <v>346</v>
      </c>
      <c r="D147" s="33" t="s">
        <v>36</v>
      </c>
      <c r="E147" s="33" t="s">
        <v>311</v>
      </c>
      <c r="F147" s="35">
        <v>1</v>
      </c>
      <c r="G147" s="40"/>
      <c r="H147" s="40"/>
    </row>
    <row r="148" spans="1:8" hidden="1" x14ac:dyDescent="0.35">
      <c r="A148" s="33">
        <v>147</v>
      </c>
      <c r="B148" s="34" t="s">
        <v>448</v>
      </c>
      <c r="C148" s="33" t="s">
        <v>346</v>
      </c>
      <c r="D148" s="33" t="s">
        <v>36</v>
      </c>
      <c r="E148" s="33" t="s">
        <v>311</v>
      </c>
      <c r="F148" s="35">
        <v>0.25</v>
      </c>
      <c r="G148" s="40"/>
      <c r="H148" s="40"/>
    </row>
    <row r="149" spans="1:8" hidden="1" x14ac:dyDescent="0.35">
      <c r="A149" s="33">
        <v>148</v>
      </c>
      <c r="B149" s="34" t="s">
        <v>449</v>
      </c>
      <c r="C149" s="33" t="s">
        <v>346</v>
      </c>
      <c r="D149" s="33" t="s">
        <v>36</v>
      </c>
      <c r="E149" s="33" t="s">
        <v>311</v>
      </c>
      <c r="F149" s="35">
        <v>0.5</v>
      </c>
      <c r="G149" s="40"/>
      <c r="H149" s="40"/>
    </row>
    <row r="150" spans="1:8" hidden="1" x14ac:dyDescent="0.35">
      <c r="A150" s="33">
        <v>149</v>
      </c>
      <c r="B150" s="34" t="s">
        <v>450</v>
      </c>
      <c r="C150" s="33" t="s">
        <v>346</v>
      </c>
      <c r="D150" s="33" t="s">
        <v>36</v>
      </c>
      <c r="E150" s="33" t="s">
        <v>311</v>
      </c>
      <c r="F150" s="35">
        <v>7.4999999999999997E-2</v>
      </c>
      <c r="G150" s="40"/>
      <c r="H150" s="40"/>
    </row>
    <row r="151" spans="1:8" hidden="1" x14ac:dyDescent="0.35">
      <c r="A151" s="33">
        <v>150</v>
      </c>
      <c r="B151" s="34" t="s">
        <v>451</v>
      </c>
      <c r="C151" s="33" t="s">
        <v>346</v>
      </c>
      <c r="D151" s="33" t="s">
        <v>36</v>
      </c>
      <c r="E151" s="33" t="s">
        <v>311</v>
      </c>
      <c r="F151" s="35">
        <v>7.4999999999999997E-2</v>
      </c>
      <c r="G151" s="40"/>
      <c r="H151" s="40"/>
    </row>
    <row r="152" spans="1:8" hidden="1" x14ac:dyDescent="0.35">
      <c r="A152" s="33">
        <v>151</v>
      </c>
      <c r="B152" s="34" t="s">
        <v>452</v>
      </c>
      <c r="C152" s="33" t="s">
        <v>346</v>
      </c>
      <c r="D152" s="33" t="s">
        <v>36</v>
      </c>
      <c r="E152" s="33" t="s">
        <v>311</v>
      </c>
      <c r="F152" s="35">
        <v>7.4999999999999997E-2</v>
      </c>
      <c r="G152" s="40"/>
      <c r="H152" s="40"/>
    </row>
    <row r="153" spans="1:8" hidden="1" x14ac:dyDescent="0.35">
      <c r="A153" s="33">
        <v>152</v>
      </c>
      <c r="B153" s="34" t="s">
        <v>453</v>
      </c>
      <c r="C153" s="33" t="s">
        <v>346</v>
      </c>
      <c r="D153" s="33" t="s">
        <v>36</v>
      </c>
      <c r="E153" s="33" t="s">
        <v>311</v>
      </c>
      <c r="F153" s="35">
        <v>0.1</v>
      </c>
      <c r="G153" s="40"/>
      <c r="H153" s="40"/>
    </row>
    <row r="154" spans="1:8" hidden="1" x14ac:dyDescent="0.35">
      <c r="A154" s="33">
        <v>153</v>
      </c>
      <c r="B154" s="34" t="s">
        <v>454</v>
      </c>
      <c r="C154" s="33" t="s">
        <v>346</v>
      </c>
      <c r="D154" s="33" t="s">
        <v>36</v>
      </c>
      <c r="E154" s="33" t="s">
        <v>311</v>
      </c>
      <c r="F154" s="35">
        <v>1</v>
      </c>
      <c r="G154" s="40"/>
      <c r="H154" s="40"/>
    </row>
    <row r="155" spans="1:8" hidden="1" x14ac:dyDescent="0.35">
      <c r="A155" s="33">
        <v>154</v>
      </c>
      <c r="B155" s="34" t="s">
        <v>455</v>
      </c>
      <c r="C155" s="33" t="s">
        <v>346</v>
      </c>
      <c r="D155" s="33" t="s">
        <v>36</v>
      </c>
      <c r="E155" s="33" t="s">
        <v>311</v>
      </c>
      <c r="F155" s="35">
        <v>0.5</v>
      </c>
      <c r="G155" s="40"/>
      <c r="H155" s="40"/>
    </row>
    <row r="156" spans="1:8" hidden="1" x14ac:dyDescent="0.35">
      <c r="A156" s="33">
        <v>155</v>
      </c>
      <c r="B156" s="34" t="s">
        <v>456</v>
      </c>
      <c r="C156" s="33" t="s">
        <v>346</v>
      </c>
      <c r="D156" s="33" t="s">
        <v>36</v>
      </c>
      <c r="E156" s="33" t="s">
        <v>311</v>
      </c>
      <c r="F156" s="35">
        <v>0.2</v>
      </c>
      <c r="G156" s="40"/>
      <c r="H156" s="40"/>
    </row>
    <row r="157" spans="1:8" hidden="1" x14ac:dyDescent="0.35">
      <c r="A157" s="33">
        <v>156</v>
      </c>
      <c r="B157" s="34" t="s">
        <v>457</v>
      </c>
      <c r="C157" s="33" t="s">
        <v>346</v>
      </c>
      <c r="D157" s="33" t="s">
        <v>36</v>
      </c>
      <c r="E157" s="33" t="s">
        <v>311</v>
      </c>
      <c r="F157" s="35">
        <v>0.1</v>
      </c>
      <c r="G157" s="40"/>
      <c r="H157" s="40"/>
    </row>
    <row r="158" spans="1:8" hidden="1" x14ac:dyDescent="0.35">
      <c r="A158" s="33">
        <v>157</v>
      </c>
      <c r="B158" s="34" t="s">
        <v>458</v>
      </c>
      <c r="C158" s="33" t="s">
        <v>346</v>
      </c>
      <c r="D158" s="33" t="s">
        <v>36</v>
      </c>
      <c r="E158" s="33" t="s">
        <v>311</v>
      </c>
      <c r="F158" s="35">
        <v>1</v>
      </c>
      <c r="G158" s="40"/>
      <c r="H158" s="40"/>
    </row>
    <row r="159" spans="1:8" hidden="1" x14ac:dyDescent="0.35">
      <c r="A159" s="33">
        <v>158</v>
      </c>
      <c r="B159" s="34" t="s">
        <v>459</v>
      </c>
      <c r="C159" s="33" t="s">
        <v>346</v>
      </c>
      <c r="D159" s="33" t="s">
        <v>36</v>
      </c>
      <c r="E159" s="33" t="s">
        <v>333</v>
      </c>
      <c r="F159" s="35">
        <v>0.5</v>
      </c>
      <c r="G159" s="40"/>
      <c r="H159" s="40"/>
    </row>
    <row r="160" spans="1:8" hidden="1" x14ac:dyDescent="0.35">
      <c r="A160" s="33">
        <v>159</v>
      </c>
      <c r="B160" s="34" t="s">
        <v>460</v>
      </c>
      <c r="C160" s="33" t="s">
        <v>346</v>
      </c>
      <c r="D160" s="33" t="s">
        <v>36</v>
      </c>
      <c r="E160" s="33" t="s">
        <v>333</v>
      </c>
      <c r="F160" s="35">
        <v>0.2</v>
      </c>
      <c r="G160" s="40"/>
      <c r="H160" s="40"/>
    </row>
    <row r="161" spans="1:9" hidden="1" x14ac:dyDescent="0.35">
      <c r="A161" s="33">
        <v>160</v>
      </c>
      <c r="B161" s="34" t="s">
        <v>461</v>
      </c>
      <c r="C161" s="33" t="s">
        <v>346</v>
      </c>
      <c r="D161" s="33" t="s">
        <v>36</v>
      </c>
      <c r="E161" s="33" t="s">
        <v>333</v>
      </c>
      <c r="F161" s="35">
        <v>0.25</v>
      </c>
      <c r="G161" s="40"/>
      <c r="H161" s="40"/>
    </row>
    <row r="162" spans="1:9" hidden="1" x14ac:dyDescent="0.35">
      <c r="A162" s="33">
        <v>161</v>
      </c>
      <c r="B162" s="34" t="s">
        <v>462</v>
      </c>
      <c r="C162" s="33" t="s">
        <v>346</v>
      </c>
      <c r="D162" s="33" t="s">
        <v>36</v>
      </c>
      <c r="E162" s="33" t="s">
        <v>333</v>
      </c>
      <c r="F162" s="35">
        <v>0.6</v>
      </c>
      <c r="G162" s="40"/>
      <c r="H162" s="40"/>
    </row>
    <row r="163" spans="1:9" hidden="1" x14ac:dyDescent="0.35">
      <c r="A163" s="33">
        <v>162</v>
      </c>
      <c r="B163" s="34" t="s">
        <v>463</v>
      </c>
      <c r="C163" s="33" t="s">
        <v>346</v>
      </c>
      <c r="D163" s="33" t="s">
        <v>36</v>
      </c>
      <c r="E163" s="33" t="s">
        <v>333</v>
      </c>
      <c r="F163" s="35">
        <v>1</v>
      </c>
      <c r="G163" s="40"/>
      <c r="H163" s="40"/>
    </row>
    <row r="164" spans="1:9" hidden="1" x14ac:dyDescent="0.35">
      <c r="A164" s="33">
        <v>163</v>
      </c>
      <c r="B164" s="34" t="s">
        <v>464</v>
      </c>
      <c r="C164" s="33" t="s">
        <v>346</v>
      </c>
      <c r="D164" s="33" t="s">
        <v>36</v>
      </c>
      <c r="E164" s="33" t="s">
        <v>333</v>
      </c>
      <c r="F164" s="35">
        <v>0.1</v>
      </c>
      <c r="G164" s="40"/>
      <c r="H164" s="40"/>
    </row>
    <row r="165" spans="1:9" hidden="1" x14ac:dyDescent="0.35">
      <c r="A165" s="33">
        <v>164</v>
      </c>
      <c r="B165" s="34" t="s">
        <v>465</v>
      </c>
      <c r="C165" s="33" t="s">
        <v>346</v>
      </c>
      <c r="D165" s="33" t="s">
        <v>36</v>
      </c>
      <c r="E165" s="33" t="s">
        <v>333</v>
      </c>
      <c r="F165" s="35">
        <v>1</v>
      </c>
      <c r="G165" s="40"/>
      <c r="H165" s="40"/>
    </row>
    <row r="166" spans="1:9" hidden="1" x14ac:dyDescent="0.35">
      <c r="A166" s="33">
        <v>165</v>
      </c>
      <c r="B166" s="34" t="s">
        <v>466</v>
      </c>
      <c r="C166" s="33" t="s">
        <v>346</v>
      </c>
      <c r="D166" s="33" t="s">
        <v>36</v>
      </c>
      <c r="E166" s="33" t="s">
        <v>333</v>
      </c>
      <c r="F166" s="35">
        <v>1</v>
      </c>
      <c r="G166" s="40"/>
      <c r="H166" s="40"/>
    </row>
    <row r="167" spans="1:9" hidden="1" x14ac:dyDescent="0.35">
      <c r="A167" s="33">
        <v>166</v>
      </c>
      <c r="B167" s="34" t="s">
        <v>467</v>
      </c>
      <c r="C167" s="33" t="s">
        <v>346</v>
      </c>
      <c r="D167" s="33" t="s">
        <v>36</v>
      </c>
      <c r="E167" s="33" t="s">
        <v>333</v>
      </c>
      <c r="F167" s="35">
        <v>1</v>
      </c>
      <c r="G167" s="40"/>
      <c r="H167" s="40"/>
    </row>
    <row r="168" spans="1:9" hidden="1" x14ac:dyDescent="0.35">
      <c r="A168" s="33">
        <v>167</v>
      </c>
      <c r="B168" s="34" t="s">
        <v>468</v>
      </c>
      <c r="C168" s="33" t="s">
        <v>297</v>
      </c>
      <c r="D168" s="33" t="s">
        <v>469</v>
      </c>
      <c r="E168" s="33" t="s">
        <v>470</v>
      </c>
      <c r="F168" s="35">
        <v>1</v>
      </c>
      <c r="G168" s="40"/>
      <c r="H168" s="40"/>
    </row>
    <row r="169" spans="1:9" hidden="1" x14ac:dyDescent="0.35">
      <c r="A169" s="33">
        <v>168</v>
      </c>
      <c r="B169" s="34" t="s">
        <v>471</v>
      </c>
      <c r="C169" s="33" t="s">
        <v>297</v>
      </c>
      <c r="D169" s="33" t="s">
        <v>469</v>
      </c>
      <c r="E169" s="33" t="s">
        <v>470</v>
      </c>
      <c r="F169" s="35">
        <v>1</v>
      </c>
      <c r="G169" s="40"/>
      <c r="H169" s="40"/>
    </row>
    <row r="170" spans="1:9" x14ac:dyDescent="0.35">
      <c r="A170" s="33">
        <v>169</v>
      </c>
      <c r="B170" s="34" t="s">
        <v>472</v>
      </c>
      <c r="C170" s="33" t="s">
        <v>297</v>
      </c>
      <c r="D170" s="33" t="s">
        <v>469</v>
      </c>
      <c r="E170" s="33" t="s">
        <v>470</v>
      </c>
      <c r="F170" s="35">
        <v>1</v>
      </c>
      <c r="G170" s="40"/>
      <c r="H170" s="40">
        <v>10.4</v>
      </c>
      <c r="I170" s="40" t="s">
        <v>2303</v>
      </c>
    </row>
    <row r="171" spans="1:9" hidden="1" x14ac:dyDescent="0.35">
      <c r="A171" s="41">
        <v>170</v>
      </c>
      <c r="B171" s="42" t="s">
        <v>473</v>
      </c>
      <c r="C171" s="41" t="s">
        <v>297</v>
      </c>
      <c r="D171" s="41" t="s">
        <v>469</v>
      </c>
      <c r="E171" s="41" t="s">
        <v>470</v>
      </c>
      <c r="F171" s="43">
        <v>1</v>
      </c>
      <c r="G171" s="44"/>
      <c r="H171" s="44"/>
    </row>
    <row r="172" spans="1:9" hidden="1" x14ac:dyDescent="0.35">
      <c r="A172" s="33">
        <v>171</v>
      </c>
      <c r="B172" s="34" t="s">
        <v>474</v>
      </c>
      <c r="C172" s="33" t="s">
        <v>297</v>
      </c>
      <c r="D172" s="33" t="s">
        <v>469</v>
      </c>
      <c r="E172" s="33" t="s">
        <v>470</v>
      </c>
      <c r="F172" s="35">
        <v>1</v>
      </c>
      <c r="G172" s="40"/>
      <c r="H172" s="40"/>
    </row>
    <row r="173" spans="1:9" x14ac:dyDescent="0.35">
      <c r="A173" s="33">
        <v>172</v>
      </c>
      <c r="B173" s="34" t="s">
        <v>475</v>
      </c>
      <c r="C173" s="33" t="s">
        <v>297</v>
      </c>
      <c r="D173" s="33" t="s">
        <v>469</v>
      </c>
      <c r="E173" s="33" t="s">
        <v>344</v>
      </c>
      <c r="F173" s="35">
        <v>1</v>
      </c>
      <c r="G173" s="40"/>
      <c r="H173" s="40">
        <v>13.8</v>
      </c>
      <c r="I173" s="40" t="s">
        <v>2304</v>
      </c>
    </row>
    <row r="174" spans="1:9" hidden="1" x14ac:dyDescent="0.35">
      <c r="A174" s="41">
        <v>173</v>
      </c>
      <c r="B174" s="42" t="s">
        <v>476</v>
      </c>
      <c r="C174" s="41" t="s">
        <v>346</v>
      </c>
      <c r="D174" s="41" t="s">
        <v>469</v>
      </c>
      <c r="E174" s="41" t="s">
        <v>470</v>
      </c>
      <c r="F174" s="43">
        <v>7.4999999999999997E-2</v>
      </c>
      <c r="G174" s="44"/>
      <c r="H174" s="44"/>
    </row>
    <row r="175" spans="1:9" hidden="1" x14ac:dyDescent="0.35">
      <c r="A175" s="33">
        <v>174</v>
      </c>
      <c r="B175" s="34" t="s">
        <v>477</v>
      </c>
      <c r="C175" s="33" t="s">
        <v>346</v>
      </c>
      <c r="D175" s="33" t="s">
        <v>469</v>
      </c>
      <c r="E175" s="33" t="s">
        <v>470</v>
      </c>
      <c r="F175" s="35">
        <v>0.5</v>
      </c>
      <c r="G175" s="40"/>
      <c r="H175" s="40"/>
    </row>
    <row r="176" spans="1:9" hidden="1" x14ac:dyDescent="0.35">
      <c r="A176" s="33">
        <v>175</v>
      </c>
      <c r="B176" s="34" t="s">
        <v>478</v>
      </c>
      <c r="C176" s="33" t="s">
        <v>346</v>
      </c>
      <c r="D176" s="33" t="s">
        <v>469</v>
      </c>
      <c r="E176" s="33" t="s">
        <v>470</v>
      </c>
      <c r="F176" s="35">
        <v>0.4</v>
      </c>
      <c r="G176" s="40"/>
      <c r="H176" s="40"/>
    </row>
    <row r="177" spans="1:8" hidden="1" x14ac:dyDescent="0.35">
      <c r="A177" s="33">
        <v>176</v>
      </c>
      <c r="B177" s="34" t="s">
        <v>479</v>
      </c>
      <c r="C177" s="33" t="s">
        <v>346</v>
      </c>
      <c r="D177" s="33" t="s">
        <v>469</v>
      </c>
      <c r="E177" s="33" t="s">
        <v>470</v>
      </c>
      <c r="F177" s="35">
        <v>0.25</v>
      </c>
      <c r="G177" s="40"/>
      <c r="H177" s="40"/>
    </row>
    <row r="178" spans="1:8" hidden="1" x14ac:dyDescent="0.35">
      <c r="A178" s="33">
        <v>177</v>
      </c>
      <c r="B178" s="34" t="s">
        <v>480</v>
      </c>
      <c r="C178" s="33" t="s">
        <v>346</v>
      </c>
      <c r="D178" s="33" t="s">
        <v>469</v>
      </c>
      <c r="E178" s="33" t="s">
        <v>470</v>
      </c>
      <c r="F178" s="35">
        <v>0.2</v>
      </c>
      <c r="G178" s="40"/>
      <c r="H178" s="40"/>
    </row>
    <row r="179" spans="1:8" hidden="1" x14ac:dyDescent="0.35">
      <c r="A179" s="33">
        <v>178</v>
      </c>
      <c r="B179" s="34" t="s">
        <v>481</v>
      </c>
      <c r="C179" s="33" t="s">
        <v>346</v>
      </c>
      <c r="D179" s="33" t="s">
        <v>469</v>
      </c>
      <c r="E179" s="33" t="s">
        <v>470</v>
      </c>
      <c r="F179" s="35">
        <v>0.25</v>
      </c>
      <c r="G179" s="40"/>
      <c r="H179" s="40"/>
    </row>
    <row r="180" spans="1:8" hidden="1" x14ac:dyDescent="0.35">
      <c r="A180" s="33">
        <v>179</v>
      </c>
      <c r="B180" s="34" t="s">
        <v>482</v>
      </c>
      <c r="C180" s="33" t="s">
        <v>346</v>
      </c>
      <c r="D180" s="33" t="s">
        <v>469</v>
      </c>
      <c r="E180" s="33" t="s">
        <v>470</v>
      </c>
      <c r="F180" s="35">
        <v>0.2</v>
      </c>
      <c r="G180" s="40"/>
      <c r="H180" s="40"/>
    </row>
    <row r="181" spans="1:8" hidden="1" x14ac:dyDescent="0.35">
      <c r="A181" s="33">
        <v>180</v>
      </c>
      <c r="B181" s="34" t="s">
        <v>483</v>
      </c>
      <c r="C181" s="33" t="s">
        <v>346</v>
      </c>
      <c r="D181" s="33" t="s">
        <v>469</v>
      </c>
      <c r="E181" s="33" t="s">
        <v>470</v>
      </c>
      <c r="F181" s="35">
        <v>1</v>
      </c>
      <c r="G181" s="40"/>
      <c r="H181" s="40"/>
    </row>
    <row r="182" spans="1:8" hidden="1" x14ac:dyDescent="0.35">
      <c r="A182" s="33">
        <v>181</v>
      </c>
      <c r="B182" s="34" t="s">
        <v>484</v>
      </c>
      <c r="C182" s="33" t="s">
        <v>346</v>
      </c>
      <c r="D182" s="33" t="s">
        <v>469</v>
      </c>
      <c r="E182" s="33" t="s">
        <v>470</v>
      </c>
      <c r="F182" s="35">
        <v>1</v>
      </c>
      <c r="G182" s="40"/>
      <c r="H182" s="40"/>
    </row>
    <row r="183" spans="1:8" hidden="1" x14ac:dyDescent="0.35">
      <c r="A183" s="33">
        <v>182</v>
      </c>
      <c r="B183" s="34" t="s">
        <v>485</v>
      </c>
      <c r="C183" s="33" t="s">
        <v>346</v>
      </c>
      <c r="D183" s="33" t="s">
        <v>469</v>
      </c>
      <c r="E183" s="33" t="s">
        <v>470</v>
      </c>
      <c r="F183" s="35">
        <v>0.2</v>
      </c>
      <c r="G183" s="40"/>
      <c r="H183" s="40"/>
    </row>
    <row r="184" spans="1:8" hidden="1" x14ac:dyDescent="0.35">
      <c r="A184" s="33">
        <v>183</v>
      </c>
      <c r="B184" s="34" t="s">
        <v>486</v>
      </c>
      <c r="C184" s="33" t="s">
        <v>346</v>
      </c>
      <c r="D184" s="33" t="s">
        <v>469</v>
      </c>
      <c r="E184" s="33" t="s">
        <v>470</v>
      </c>
      <c r="F184" s="35">
        <v>0.5</v>
      </c>
      <c r="G184" s="40"/>
      <c r="H184" s="40"/>
    </row>
    <row r="185" spans="1:8" hidden="1" x14ac:dyDescent="0.35">
      <c r="A185" s="33">
        <v>184</v>
      </c>
      <c r="B185" s="34" t="s">
        <v>487</v>
      </c>
      <c r="C185" s="33" t="s">
        <v>346</v>
      </c>
      <c r="D185" s="33" t="s">
        <v>469</v>
      </c>
      <c r="E185" s="33" t="s">
        <v>470</v>
      </c>
      <c r="F185" s="35">
        <v>0.25</v>
      </c>
      <c r="G185" s="40"/>
      <c r="H185" s="40"/>
    </row>
    <row r="186" spans="1:8" hidden="1" x14ac:dyDescent="0.35">
      <c r="A186" s="33">
        <v>185</v>
      </c>
      <c r="B186" s="34" t="s">
        <v>488</v>
      </c>
      <c r="C186" s="33" t="s">
        <v>346</v>
      </c>
      <c r="D186" s="33" t="s">
        <v>469</v>
      </c>
      <c r="E186" s="33" t="s">
        <v>470</v>
      </c>
      <c r="F186" s="35">
        <v>0.5</v>
      </c>
      <c r="G186" s="40"/>
      <c r="H186" s="40"/>
    </row>
    <row r="187" spans="1:8" hidden="1" x14ac:dyDescent="0.35">
      <c r="A187" s="33">
        <v>186</v>
      </c>
      <c r="B187" s="34" t="s">
        <v>489</v>
      </c>
      <c r="C187" s="33" t="s">
        <v>346</v>
      </c>
      <c r="D187" s="33" t="s">
        <v>469</v>
      </c>
      <c r="E187" s="33" t="s">
        <v>470</v>
      </c>
      <c r="F187" s="35">
        <v>1</v>
      </c>
      <c r="G187" s="40"/>
      <c r="H187" s="40"/>
    </row>
    <row r="188" spans="1:8" hidden="1" x14ac:dyDescent="0.35">
      <c r="A188" s="33">
        <v>187</v>
      </c>
      <c r="B188" s="34" t="s">
        <v>490</v>
      </c>
      <c r="C188" s="33" t="s">
        <v>346</v>
      </c>
      <c r="D188" s="33" t="s">
        <v>469</v>
      </c>
      <c r="E188" s="33" t="s">
        <v>470</v>
      </c>
      <c r="F188" s="35">
        <v>1</v>
      </c>
      <c r="G188" s="40"/>
      <c r="H188" s="40"/>
    </row>
    <row r="189" spans="1:8" hidden="1" x14ac:dyDescent="0.35">
      <c r="A189" s="33">
        <v>188</v>
      </c>
      <c r="B189" s="34" t="s">
        <v>491</v>
      </c>
      <c r="C189" s="33" t="s">
        <v>346</v>
      </c>
      <c r="D189" s="33" t="s">
        <v>469</v>
      </c>
      <c r="E189" s="33" t="s">
        <v>470</v>
      </c>
      <c r="F189" s="35">
        <v>1</v>
      </c>
      <c r="G189" s="40"/>
      <c r="H189" s="40"/>
    </row>
    <row r="190" spans="1:8" hidden="1" x14ac:dyDescent="0.35">
      <c r="A190" s="33">
        <v>189</v>
      </c>
      <c r="B190" s="34" t="s">
        <v>492</v>
      </c>
      <c r="C190" s="33" t="s">
        <v>346</v>
      </c>
      <c r="D190" s="33" t="s">
        <v>469</v>
      </c>
      <c r="E190" s="33" t="s">
        <v>470</v>
      </c>
      <c r="F190" s="35">
        <v>0.5</v>
      </c>
      <c r="G190" s="40"/>
      <c r="H190" s="40"/>
    </row>
    <row r="191" spans="1:8" hidden="1" x14ac:dyDescent="0.35">
      <c r="A191" s="33">
        <v>190</v>
      </c>
      <c r="B191" s="34" t="s">
        <v>493</v>
      </c>
      <c r="C191" s="33" t="s">
        <v>346</v>
      </c>
      <c r="D191" s="33" t="s">
        <v>469</v>
      </c>
      <c r="E191" s="33" t="s">
        <v>470</v>
      </c>
      <c r="F191" s="35">
        <v>0.25</v>
      </c>
      <c r="G191" s="40"/>
      <c r="H191" s="40"/>
    </row>
    <row r="192" spans="1:8" hidden="1" x14ac:dyDescent="0.35">
      <c r="A192" s="33">
        <v>191</v>
      </c>
      <c r="B192" s="34" t="s">
        <v>494</v>
      </c>
      <c r="C192" s="33" t="s">
        <v>297</v>
      </c>
      <c r="D192" s="33" t="s">
        <v>79</v>
      </c>
      <c r="E192" s="33" t="s">
        <v>495</v>
      </c>
      <c r="F192" s="35">
        <v>1</v>
      </c>
      <c r="G192" s="40"/>
      <c r="H192" s="40"/>
    </row>
    <row r="193" spans="1:8" hidden="1" x14ac:dyDescent="0.35">
      <c r="A193" s="33">
        <v>192</v>
      </c>
      <c r="B193" s="34" t="s">
        <v>496</v>
      </c>
      <c r="C193" s="33" t="s">
        <v>297</v>
      </c>
      <c r="D193" s="33" t="s">
        <v>79</v>
      </c>
      <c r="E193" s="33" t="s">
        <v>495</v>
      </c>
      <c r="F193" s="35">
        <v>1</v>
      </c>
      <c r="G193" s="40"/>
      <c r="H193" s="40"/>
    </row>
    <row r="194" spans="1:8" hidden="1" x14ac:dyDescent="0.35">
      <c r="A194" s="33">
        <v>193</v>
      </c>
      <c r="B194" s="34" t="s">
        <v>497</v>
      </c>
      <c r="C194" s="33" t="s">
        <v>297</v>
      </c>
      <c r="D194" s="33" t="s">
        <v>79</v>
      </c>
      <c r="E194" s="33" t="s">
        <v>495</v>
      </c>
      <c r="F194" s="35">
        <v>1</v>
      </c>
      <c r="G194" s="40"/>
      <c r="H194" s="40"/>
    </row>
    <row r="195" spans="1:8" hidden="1" x14ac:dyDescent="0.35">
      <c r="A195" s="33">
        <v>194</v>
      </c>
      <c r="B195" s="34" t="s">
        <v>498</v>
      </c>
      <c r="C195" s="33" t="s">
        <v>297</v>
      </c>
      <c r="D195" s="33" t="s">
        <v>79</v>
      </c>
      <c r="E195" s="33" t="s">
        <v>499</v>
      </c>
      <c r="F195" s="35">
        <v>1</v>
      </c>
      <c r="G195" s="40"/>
      <c r="H195" s="40"/>
    </row>
    <row r="196" spans="1:8" hidden="1" x14ac:dyDescent="0.35">
      <c r="A196" s="33">
        <v>195</v>
      </c>
      <c r="B196" s="34" t="s">
        <v>500</v>
      </c>
      <c r="C196" s="33" t="s">
        <v>297</v>
      </c>
      <c r="D196" s="33" t="s">
        <v>79</v>
      </c>
      <c r="E196" s="33" t="s">
        <v>501</v>
      </c>
      <c r="F196" s="35">
        <v>1</v>
      </c>
      <c r="G196" s="40"/>
      <c r="H196" s="40"/>
    </row>
    <row r="197" spans="1:8" hidden="1" x14ac:dyDescent="0.35">
      <c r="A197" s="33">
        <v>196</v>
      </c>
      <c r="B197" s="34" t="s">
        <v>502</v>
      </c>
      <c r="C197" s="33" t="s">
        <v>297</v>
      </c>
      <c r="D197" s="33" t="s">
        <v>79</v>
      </c>
      <c r="E197" s="33" t="s">
        <v>501</v>
      </c>
      <c r="F197" s="35">
        <v>1</v>
      </c>
      <c r="G197" s="40"/>
      <c r="H197" s="40"/>
    </row>
    <row r="198" spans="1:8" hidden="1" x14ac:dyDescent="0.35">
      <c r="A198" s="33">
        <v>197</v>
      </c>
      <c r="B198" s="34" t="s">
        <v>503</v>
      </c>
      <c r="C198" s="33" t="s">
        <v>297</v>
      </c>
      <c r="D198" s="33" t="s">
        <v>79</v>
      </c>
      <c r="E198" s="33" t="s">
        <v>501</v>
      </c>
      <c r="F198" s="35">
        <v>1</v>
      </c>
      <c r="G198" s="40"/>
      <c r="H198" s="40"/>
    </row>
    <row r="199" spans="1:8" hidden="1" x14ac:dyDescent="0.35">
      <c r="A199" s="33">
        <v>198</v>
      </c>
      <c r="B199" s="34" t="s">
        <v>504</v>
      </c>
      <c r="C199" s="33" t="s">
        <v>297</v>
      </c>
      <c r="D199" s="33" t="s">
        <v>79</v>
      </c>
      <c r="E199" s="33" t="s">
        <v>501</v>
      </c>
      <c r="F199" s="35">
        <v>1</v>
      </c>
      <c r="G199" s="40"/>
      <c r="H199" s="40"/>
    </row>
    <row r="200" spans="1:8" hidden="1" x14ac:dyDescent="0.35">
      <c r="A200" s="33">
        <v>199</v>
      </c>
      <c r="B200" s="34" t="s">
        <v>505</v>
      </c>
      <c r="C200" s="33" t="s">
        <v>297</v>
      </c>
      <c r="D200" s="33" t="s">
        <v>79</v>
      </c>
      <c r="E200" s="33" t="s">
        <v>344</v>
      </c>
      <c r="F200" s="35">
        <v>1</v>
      </c>
      <c r="G200" s="40"/>
      <c r="H200" s="40"/>
    </row>
    <row r="201" spans="1:8" hidden="1" x14ac:dyDescent="0.35">
      <c r="A201" s="33">
        <v>200</v>
      </c>
      <c r="B201" s="34" t="s">
        <v>506</v>
      </c>
      <c r="C201" s="33" t="s">
        <v>346</v>
      </c>
      <c r="D201" s="33" t="s">
        <v>79</v>
      </c>
      <c r="E201" s="33" t="s">
        <v>495</v>
      </c>
      <c r="F201" s="35">
        <v>0.25</v>
      </c>
      <c r="G201" s="40"/>
      <c r="H201" s="40"/>
    </row>
    <row r="202" spans="1:8" hidden="1" x14ac:dyDescent="0.35">
      <c r="A202" s="33">
        <v>201</v>
      </c>
      <c r="B202" s="34" t="s">
        <v>507</v>
      </c>
      <c r="C202" s="33" t="s">
        <v>346</v>
      </c>
      <c r="D202" s="33" t="s">
        <v>79</v>
      </c>
      <c r="E202" s="33" t="s">
        <v>495</v>
      </c>
      <c r="F202" s="35">
        <v>0.55000000000000004</v>
      </c>
      <c r="G202" s="40"/>
      <c r="H202" s="40"/>
    </row>
    <row r="203" spans="1:8" hidden="1" x14ac:dyDescent="0.35">
      <c r="A203" s="33">
        <v>202</v>
      </c>
      <c r="B203" s="34" t="s">
        <v>508</v>
      </c>
      <c r="C203" s="33" t="s">
        <v>346</v>
      </c>
      <c r="D203" s="33" t="s">
        <v>79</v>
      </c>
      <c r="E203" s="33" t="s">
        <v>495</v>
      </c>
      <c r="F203" s="35">
        <v>0.25</v>
      </c>
      <c r="G203" s="40"/>
      <c r="H203" s="40"/>
    </row>
    <row r="204" spans="1:8" hidden="1" x14ac:dyDescent="0.35">
      <c r="A204" s="33">
        <v>203</v>
      </c>
      <c r="B204" s="34" t="s">
        <v>509</v>
      </c>
      <c r="C204" s="33" t="s">
        <v>346</v>
      </c>
      <c r="D204" s="33" t="s">
        <v>79</v>
      </c>
      <c r="E204" s="33" t="s">
        <v>495</v>
      </c>
      <c r="F204" s="35">
        <v>1</v>
      </c>
      <c r="G204" s="40"/>
      <c r="H204" s="40"/>
    </row>
    <row r="205" spans="1:8" hidden="1" x14ac:dyDescent="0.35">
      <c r="A205" s="33">
        <v>204</v>
      </c>
      <c r="B205" s="34" t="s">
        <v>510</v>
      </c>
      <c r="C205" s="33" t="s">
        <v>346</v>
      </c>
      <c r="D205" s="33" t="s">
        <v>79</v>
      </c>
      <c r="E205" s="33" t="s">
        <v>495</v>
      </c>
      <c r="F205" s="35">
        <v>0.1</v>
      </c>
      <c r="G205" s="40"/>
      <c r="H205" s="40"/>
    </row>
    <row r="206" spans="1:8" hidden="1" x14ac:dyDescent="0.35">
      <c r="A206" s="33">
        <v>205</v>
      </c>
      <c r="B206" s="34" t="s">
        <v>511</v>
      </c>
      <c r="C206" s="33" t="s">
        <v>346</v>
      </c>
      <c r="D206" s="33" t="s">
        <v>79</v>
      </c>
      <c r="E206" s="33" t="s">
        <v>495</v>
      </c>
      <c r="F206" s="35">
        <v>0.2</v>
      </c>
      <c r="G206" s="40"/>
      <c r="H206" s="40"/>
    </row>
    <row r="207" spans="1:8" hidden="1" x14ac:dyDescent="0.35">
      <c r="A207" s="33">
        <v>206</v>
      </c>
      <c r="B207" s="34" t="s">
        <v>512</v>
      </c>
      <c r="C207" s="33" t="s">
        <v>346</v>
      </c>
      <c r="D207" s="33" t="s">
        <v>79</v>
      </c>
      <c r="E207" s="33" t="s">
        <v>495</v>
      </c>
      <c r="F207" s="35">
        <v>0.2</v>
      </c>
      <c r="G207" s="40"/>
      <c r="H207" s="40"/>
    </row>
    <row r="208" spans="1:8" hidden="1" x14ac:dyDescent="0.35">
      <c r="A208" s="33">
        <v>207</v>
      </c>
      <c r="B208" s="34" t="s">
        <v>513</v>
      </c>
      <c r="C208" s="33" t="s">
        <v>346</v>
      </c>
      <c r="D208" s="33" t="s">
        <v>79</v>
      </c>
      <c r="E208" s="33" t="s">
        <v>495</v>
      </c>
      <c r="F208" s="35">
        <v>1</v>
      </c>
      <c r="G208" s="40"/>
      <c r="H208" s="40"/>
    </row>
    <row r="209" spans="1:8" hidden="1" x14ac:dyDescent="0.35">
      <c r="A209" s="33">
        <v>208</v>
      </c>
      <c r="B209" s="34" t="s">
        <v>514</v>
      </c>
      <c r="C209" s="33" t="s">
        <v>346</v>
      </c>
      <c r="D209" s="33" t="s">
        <v>79</v>
      </c>
      <c r="E209" s="33" t="s">
        <v>495</v>
      </c>
      <c r="F209" s="35">
        <v>0.2</v>
      </c>
      <c r="G209" s="40"/>
      <c r="H209" s="40"/>
    </row>
    <row r="210" spans="1:8" hidden="1" x14ac:dyDescent="0.35">
      <c r="A210" s="33">
        <v>209</v>
      </c>
      <c r="B210" s="34" t="s">
        <v>515</v>
      </c>
      <c r="C210" s="33" t="s">
        <v>346</v>
      </c>
      <c r="D210" s="33" t="s">
        <v>79</v>
      </c>
      <c r="E210" s="33" t="s">
        <v>495</v>
      </c>
      <c r="F210" s="35">
        <v>0.5</v>
      </c>
      <c r="G210" s="40"/>
      <c r="H210" s="40"/>
    </row>
    <row r="211" spans="1:8" hidden="1" x14ac:dyDescent="0.35">
      <c r="A211" s="33">
        <v>210</v>
      </c>
      <c r="B211" s="34" t="s">
        <v>516</v>
      </c>
      <c r="C211" s="33" t="s">
        <v>346</v>
      </c>
      <c r="D211" s="33" t="s">
        <v>79</v>
      </c>
      <c r="E211" s="33" t="s">
        <v>501</v>
      </c>
      <c r="F211" s="35">
        <v>0.3</v>
      </c>
      <c r="G211" s="40"/>
      <c r="H211" s="40"/>
    </row>
    <row r="212" spans="1:8" hidden="1" x14ac:dyDescent="0.35">
      <c r="A212" s="33">
        <v>211</v>
      </c>
      <c r="B212" s="34" t="s">
        <v>517</v>
      </c>
      <c r="C212" s="33" t="s">
        <v>346</v>
      </c>
      <c r="D212" s="33" t="s">
        <v>79</v>
      </c>
      <c r="E212" s="33" t="s">
        <v>501</v>
      </c>
      <c r="F212" s="35">
        <v>1</v>
      </c>
      <c r="G212" s="40"/>
      <c r="H212" s="40"/>
    </row>
    <row r="213" spans="1:8" hidden="1" x14ac:dyDescent="0.35">
      <c r="A213" s="33">
        <v>212</v>
      </c>
      <c r="B213" s="34" t="s">
        <v>518</v>
      </c>
      <c r="C213" s="33" t="s">
        <v>346</v>
      </c>
      <c r="D213" s="33" t="s">
        <v>79</v>
      </c>
      <c r="E213" s="33" t="s">
        <v>501</v>
      </c>
      <c r="F213" s="35">
        <v>0.3</v>
      </c>
      <c r="G213" s="40"/>
      <c r="H213" s="40"/>
    </row>
    <row r="214" spans="1:8" hidden="1" x14ac:dyDescent="0.35">
      <c r="A214" s="33">
        <v>213</v>
      </c>
      <c r="B214" s="34" t="s">
        <v>519</v>
      </c>
      <c r="C214" s="33" t="s">
        <v>346</v>
      </c>
      <c r="D214" s="33" t="s">
        <v>79</v>
      </c>
      <c r="E214" s="33" t="s">
        <v>501</v>
      </c>
      <c r="F214" s="35">
        <v>1</v>
      </c>
      <c r="G214" s="40"/>
      <c r="H214" s="40"/>
    </row>
    <row r="215" spans="1:8" hidden="1" x14ac:dyDescent="0.35">
      <c r="A215" s="33">
        <v>214</v>
      </c>
      <c r="B215" s="34" t="s">
        <v>520</v>
      </c>
      <c r="C215" s="33" t="s">
        <v>346</v>
      </c>
      <c r="D215" s="33" t="s">
        <v>79</v>
      </c>
      <c r="E215" s="33" t="s">
        <v>501</v>
      </c>
      <c r="F215" s="35">
        <v>0.2</v>
      </c>
      <c r="G215" s="40"/>
      <c r="H215" s="40"/>
    </row>
    <row r="216" spans="1:8" hidden="1" x14ac:dyDescent="0.35">
      <c r="A216" s="33">
        <v>215</v>
      </c>
      <c r="B216" s="34" t="s">
        <v>521</v>
      </c>
      <c r="C216" s="33" t="s">
        <v>346</v>
      </c>
      <c r="D216" s="33" t="s">
        <v>79</v>
      </c>
      <c r="E216" s="33" t="s">
        <v>501</v>
      </c>
      <c r="F216" s="35">
        <v>1</v>
      </c>
      <c r="G216" s="40"/>
      <c r="H216" s="40"/>
    </row>
    <row r="217" spans="1:8" hidden="1" x14ac:dyDescent="0.35">
      <c r="A217" s="33">
        <v>216</v>
      </c>
      <c r="B217" s="34" t="s">
        <v>522</v>
      </c>
      <c r="C217" s="33" t="s">
        <v>346</v>
      </c>
      <c r="D217" s="33" t="s">
        <v>523</v>
      </c>
      <c r="E217" s="33" t="s">
        <v>524</v>
      </c>
      <c r="F217" s="35">
        <v>0.06</v>
      </c>
      <c r="G217" s="40"/>
      <c r="H217" s="40"/>
    </row>
    <row r="218" spans="1:8" hidden="1" x14ac:dyDescent="0.35">
      <c r="A218" s="33">
        <v>217</v>
      </c>
      <c r="B218" s="34" t="s">
        <v>525</v>
      </c>
      <c r="C218" s="33" t="s">
        <v>346</v>
      </c>
      <c r="D218" s="33" t="s">
        <v>523</v>
      </c>
      <c r="E218" s="33" t="s">
        <v>524</v>
      </c>
      <c r="F218" s="35">
        <v>0.1</v>
      </c>
      <c r="G218" s="40"/>
      <c r="H218" s="40"/>
    </row>
    <row r="219" spans="1:8" hidden="1" x14ac:dyDescent="0.35">
      <c r="A219" s="33">
        <v>218</v>
      </c>
      <c r="B219" s="34" t="s">
        <v>526</v>
      </c>
      <c r="C219" s="33" t="s">
        <v>346</v>
      </c>
      <c r="D219" s="33" t="s">
        <v>523</v>
      </c>
      <c r="E219" s="33" t="s">
        <v>524</v>
      </c>
      <c r="F219" s="35">
        <v>0.1</v>
      </c>
      <c r="G219" s="40"/>
      <c r="H219" s="40"/>
    </row>
    <row r="220" spans="1:8" hidden="1" x14ac:dyDescent="0.35">
      <c r="A220" s="33">
        <v>219</v>
      </c>
      <c r="B220" s="34" t="s">
        <v>527</v>
      </c>
      <c r="C220" s="33" t="s">
        <v>346</v>
      </c>
      <c r="D220" s="33" t="s">
        <v>523</v>
      </c>
      <c r="E220" s="33" t="s">
        <v>524</v>
      </c>
      <c r="F220" s="35">
        <v>0.1</v>
      </c>
      <c r="G220" s="40"/>
      <c r="H220" s="40"/>
    </row>
    <row r="221" spans="1:8" hidden="1" x14ac:dyDescent="0.35">
      <c r="A221" s="33">
        <v>220</v>
      </c>
      <c r="B221" s="34" t="s">
        <v>528</v>
      </c>
      <c r="C221" s="33" t="s">
        <v>346</v>
      </c>
      <c r="D221" s="33" t="s">
        <v>523</v>
      </c>
      <c r="E221" s="33" t="s">
        <v>524</v>
      </c>
      <c r="F221" s="35">
        <v>0.35699999999999998</v>
      </c>
      <c r="G221" s="40"/>
      <c r="H221" s="40"/>
    </row>
    <row r="222" spans="1:8" hidden="1" x14ac:dyDescent="0.35">
      <c r="A222" s="33">
        <v>221</v>
      </c>
      <c r="B222" s="34" t="s">
        <v>529</v>
      </c>
      <c r="C222" s="33" t="s">
        <v>346</v>
      </c>
      <c r="D222" s="33" t="s">
        <v>523</v>
      </c>
      <c r="E222" s="33" t="s">
        <v>524</v>
      </c>
      <c r="F222" s="35">
        <v>1.7999999999999999E-2</v>
      </c>
      <c r="G222" s="40"/>
      <c r="H222" s="40"/>
    </row>
    <row r="223" spans="1:8" hidden="1" x14ac:dyDescent="0.35">
      <c r="A223" s="33">
        <v>222</v>
      </c>
      <c r="B223" s="34" t="s">
        <v>530</v>
      </c>
      <c r="C223" s="33" t="s">
        <v>346</v>
      </c>
      <c r="D223" s="33" t="s">
        <v>523</v>
      </c>
      <c r="E223" s="33" t="s">
        <v>524</v>
      </c>
      <c r="F223" s="35">
        <v>1</v>
      </c>
      <c r="G223" s="40"/>
      <c r="H223" s="40"/>
    </row>
    <row r="224" spans="1:8" hidden="1" x14ac:dyDescent="0.35">
      <c r="A224" s="33">
        <v>223</v>
      </c>
      <c r="B224" s="34" t="s">
        <v>531</v>
      </c>
      <c r="C224" s="33" t="s">
        <v>346</v>
      </c>
      <c r="D224" s="33" t="s">
        <v>523</v>
      </c>
      <c r="E224" s="33" t="s">
        <v>524</v>
      </c>
      <c r="F224" s="35">
        <v>1</v>
      </c>
      <c r="G224" s="40"/>
      <c r="H224" s="40"/>
    </row>
    <row r="225" spans="1:8" hidden="1" x14ac:dyDescent="0.35">
      <c r="A225" s="33">
        <v>224</v>
      </c>
      <c r="B225" s="34" t="s">
        <v>532</v>
      </c>
      <c r="C225" s="33" t="s">
        <v>346</v>
      </c>
      <c r="D225" s="33" t="s">
        <v>523</v>
      </c>
      <c r="E225" s="33" t="s">
        <v>524</v>
      </c>
      <c r="F225" s="35">
        <v>1.7999999999999999E-2</v>
      </c>
      <c r="G225" s="40"/>
      <c r="H225" s="40"/>
    </row>
    <row r="226" spans="1:8" hidden="1" x14ac:dyDescent="0.35">
      <c r="A226" s="33">
        <v>225</v>
      </c>
      <c r="B226" s="34" t="s">
        <v>533</v>
      </c>
      <c r="C226" s="33" t="s">
        <v>346</v>
      </c>
      <c r="D226" s="33" t="s">
        <v>523</v>
      </c>
      <c r="E226" s="33" t="s">
        <v>524</v>
      </c>
      <c r="F226" s="35">
        <v>1</v>
      </c>
      <c r="G226" s="40"/>
      <c r="H226" s="40"/>
    </row>
    <row r="227" spans="1:8" hidden="1" x14ac:dyDescent="0.35">
      <c r="A227" s="33">
        <v>226</v>
      </c>
      <c r="B227" s="34" t="s">
        <v>534</v>
      </c>
      <c r="C227" s="33" t="s">
        <v>346</v>
      </c>
      <c r="D227" s="33" t="s">
        <v>523</v>
      </c>
      <c r="E227" s="33" t="s">
        <v>524</v>
      </c>
      <c r="F227" s="35">
        <v>0.42</v>
      </c>
      <c r="G227" s="40"/>
      <c r="H227" s="40"/>
    </row>
    <row r="228" spans="1:8" hidden="1" x14ac:dyDescent="0.35">
      <c r="A228" s="33">
        <v>227</v>
      </c>
      <c r="B228" s="34" t="s">
        <v>535</v>
      </c>
      <c r="C228" s="33" t="s">
        <v>346</v>
      </c>
      <c r="D228" s="33" t="s">
        <v>523</v>
      </c>
      <c r="E228" s="33" t="s">
        <v>524</v>
      </c>
      <c r="F228" s="35">
        <v>0.21</v>
      </c>
      <c r="G228" s="40"/>
      <c r="H228" s="40"/>
    </row>
    <row r="229" spans="1:8" hidden="1" x14ac:dyDescent="0.35">
      <c r="A229" s="33">
        <v>228</v>
      </c>
      <c r="B229" s="34" t="s">
        <v>536</v>
      </c>
      <c r="C229" s="33" t="s">
        <v>346</v>
      </c>
      <c r="D229" s="33" t="s">
        <v>523</v>
      </c>
      <c r="E229" s="33" t="s">
        <v>524</v>
      </c>
      <c r="F229" s="35">
        <v>0.21</v>
      </c>
      <c r="G229" s="40"/>
      <c r="H229" s="40"/>
    </row>
    <row r="230" spans="1:8" hidden="1" x14ac:dyDescent="0.35">
      <c r="A230" s="33">
        <v>229</v>
      </c>
      <c r="B230" s="34" t="s">
        <v>537</v>
      </c>
      <c r="C230" s="33" t="s">
        <v>346</v>
      </c>
      <c r="D230" s="33" t="s">
        <v>523</v>
      </c>
      <c r="E230" s="33" t="s">
        <v>524</v>
      </c>
      <c r="F230" s="35">
        <v>1</v>
      </c>
      <c r="G230" s="40"/>
      <c r="H230" s="40"/>
    </row>
    <row r="231" spans="1:8" hidden="1" x14ac:dyDescent="0.35">
      <c r="A231" s="33">
        <v>230</v>
      </c>
      <c r="B231" s="34" t="s">
        <v>538</v>
      </c>
      <c r="C231" s="33" t="s">
        <v>346</v>
      </c>
      <c r="D231" s="33" t="s">
        <v>523</v>
      </c>
      <c r="E231" s="33" t="s">
        <v>524</v>
      </c>
      <c r="F231" s="35">
        <v>0.21</v>
      </c>
      <c r="G231" s="40"/>
      <c r="H231" s="40"/>
    </row>
    <row r="232" spans="1:8" hidden="1" x14ac:dyDescent="0.35">
      <c r="A232" s="33">
        <v>231</v>
      </c>
      <c r="B232" s="34" t="s">
        <v>539</v>
      </c>
      <c r="C232" s="33" t="s">
        <v>346</v>
      </c>
      <c r="D232" s="33" t="s">
        <v>523</v>
      </c>
      <c r="E232" s="33" t="s">
        <v>524</v>
      </c>
      <c r="F232" s="35">
        <v>0.36</v>
      </c>
      <c r="G232" s="40"/>
      <c r="H232" s="40"/>
    </row>
    <row r="233" spans="1:8" hidden="1" x14ac:dyDescent="0.35">
      <c r="A233" s="33">
        <v>232</v>
      </c>
      <c r="B233" s="34" t="s">
        <v>540</v>
      </c>
      <c r="C233" s="33" t="s">
        <v>346</v>
      </c>
      <c r="D233" s="33" t="s">
        <v>523</v>
      </c>
      <c r="E233" s="33" t="s">
        <v>524</v>
      </c>
      <c r="F233" s="35">
        <v>1</v>
      </c>
      <c r="G233" s="40"/>
      <c r="H233" s="40"/>
    </row>
    <row r="234" spans="1:8" hidden="1" x14ac:dyDescent="0.35">
      <c r="A234" s="33">
        <v>233</v>
      </c>
      <c r="B234" s="34" t="s">
        <v>541</v>
      </c>
      <c r="C234" s="33" t="s">
        <v>346</v>
      </c>
      <c r="D234" s="33" t="s">
        <v>523</v>
      </c>
      <c r="E234" s="33" t="s">
        <v>524</v>
      </c>
      <c r="F234" s="35">
        <v>1</v>
      </c>
      <c r="G234" s="40"/>
      <c r="H234" s="40"/>
    </row>
    <row r="235" spans="1:8" hidden="1" x14ac:dyDescent="0.35">
      <c r="A235" s="33">
        <v>234</v>
      </c>
      <c r="B235" s="34" t="s">
        <v>542</v>
      </c>
      <c r="C235" s="33" t="s">
        <v>346</v>
      </c>
      <c r="D235" s="33" t="s">
        <v>523</v>
      </c>
      <c r="E235" s="33" t="s">
        <v>524</v>
      </c>
      <c r="F235" s="35">
        <v>1</v>
      </c>
      <c r="G235" s="40"/>
      <c r="H235" s="40"/>
    </row>
    <row r="236" spans="1:8" hidden="1" x14ac:dyDescent="0.35">
      <c r="A236" s="33">
        <v>235</v>
      </c>
      <c r="B236" s="34" t="s">
        <v>543</v>
      </c>
      <c r="C236" s="33" t="s">
        <v>346</v>
      </c>
      <c r="D236" s="33" t="s">
        <v>523</v>
      </c>
      <c r="E236" s="33" t="s">
        <v>524</v>
      </c>
      <c r="F236" s="35">
        <v>8.9999999999999993E-3</v>
      </c>
      <c r="G236" s="40"/>
      <c r="H236" s="40"/>
    </row>
    <row r="237" spans="1:8" hidden="1" x14ac:dyDescent="0.35">
      <c r="A237" s="33">
        <v>236</v>
      </c>
      <c r="B237" s="34" t="s">
        <v>544</v>
      </c>
      <c r="C237" s="33" t="s">
        <v>346</v>
      </c>
      <c r="D237" s="33" t="s">
        <v>523</v>
      </c>
      <c r="E237" s="33" t="s">
        <v>524</v>
      </c>
      <c r="F237" s="35">
        <v>1</v>
      </c>
      <c r="G237" s="40"/>
      <c r="H237" s="40"/>
    </row>
    <row r="238" spans="1:8" hidden="1" x14ac:dyDescent="0.35">
      <c r="A238" s="33">
        <v>237</v>
      </c>
      <c r="B238" s="34" t="s">
        <v>545</v>
      </c>
      <c r="C238" s="33" t="s">
        <v>346</v>
      </c>
      <c r="D238" s="33" t="s">
        <v>523</v>
      </c>
      <c r="E238" s="33" t="s">
        <v>524</v>
      </c>
      <c r="F238" s="35">
        <v>1</v>
      </c>
      <c r="G238" s="40"/>
      <c r="H238" s="40"/>
    </row>
    <row r="239" spans="1:8" hidden="1" x14ac:dyDescent="0.35">
      <c r="A239" s="33">
        <v>238</v>
      </c>
      <c r="B239" s="34" t="s">
        <v>546</v>
      </c>
      <c r="C239" s="33" t="s">
        <v>346</v>
      </c>
      <c r="D239" s="33" t="s">
        <v>523</v>
      </c>
      <c r="E239" s="33" t="s">
        <v>524</v>
      </c>
      <c r="F239" s="35">
        <v>1</v>
      </c>
      <c r="G239" s="40"/>
      <c r="H239" s="40"/>
    </row>
    <row r="240" spans="1:8" hidden="1" x14ac:dyDescent="0.35">
      <c r="A240" s="33">
        <v>239</v>
      </c>
      <c r="B240" s="34" t="s">
        <v>547</v>
      </c>
      <c r="C240" s="33" t="s">
        <v>346</v>
      </c>
      <c r="D240" s="33" t="s">
        <v>523</v>
      </c>
      <c r="E240" s="33" t="s">
        <v>524</v>
      </c>
      <c r="F240" s="35">
        <v>1.0500000000000001E-2</v>
      </c>
      <c r="G240" s="40"/>
      <c r="H240" s="40"/>
    </row>
    <row r="241" spans="1:8" hidden="1" x14ac:dyDescent="0.35">
      <c r="A241" s="33">
        <v>240</v>
      </c>
      <c r="B241" s="34" t="s">
        <v>548</v>
      </c>
      <c r="C241" s="33" t="s">
        <v>346</v>
      </c>
      <c r="D241" s="33" t="s">
        <v>523</v>
      </c>
      <c r="E241" s="33" t="s">
        <v>524</v>
      </c>
      <c r="F241" s="35">
        <v>0.09</v>
      </c>
      <c r="G241" s="40"/>
      <c r="H241" s="40"/>
    </row>
    <row r="242" spans="1:8" hidden="1" x14ac:dyDescent="0.35">
      <c r="A242" s="33">
        <v>241</v>
      </c>
      <c r="B242" s="34" t="s">
        <v>549</v>
      </c>
      <c r="C242" s="33" t="s">
        <v>346</v>
      </c>
      <c r="D242" s="33" t="s">
        <v>523</v>
      </c>
      <c r="E242" s="33" t="s">
        <v>524</v>
      </c>
      <c r="F242" s="35">
        <v>1</v>
      </c>
      <c r="G242" s="40"/>
      <c r="H242" s="40"/>
    </row>
    <row r="243" spans="1:8" hidden="1" x14ac:dyDescent="0.35">
      <c r="A243" s="33">
        <v>242</v>
      </c>
      <c r="B243" s="34" t="s">
        <v>550</v>
      </c>
      <c r="C243" s="33" t="s">
        <v>346</v>
      </c>
      <c r="D243" s="33" t="s">
        <v>523</v>
      </c>
      <c r="E243" s="33" t="s">
        <v>524</v>
      </c>
      <c r="F243" s="35">
        <v>0.09</v>
      </c>
      <c r="G243" s="40"/>
      <c r="H243" s="40"/>
    </row>
    <row r="244" spans="1:8" hidden="1" x14ac:dyDescent="0.35">
      <c r="A244" s="33">
        <v>243</v>
      </c>
      <c r="B244" s="34" t="s">
        <v>551</v>
      </c>
      <c r="C244" s="33" t="s">
        <v>346</v>
      </c>
      <c r="D244" s="33" t="s">
        <v>523</v>
      </c>
      <c r="E244" s="33" t="s">
        <v>524</v>
      </c>
      <c r="F244" s="35">
        <v>1</v>
      </c>
      <c r="G244" s="40"/>
      <c r="H244" s="40"/>
    </row>
    <row r="245" spans="1:8" hidden="1" x14ac:dyDescent="0.35">
      <c r="A245" s="33">
        <v>244</v>
      </c>
      <c r="B245" s="34" t="s">
        <v>552</v>
      </c>
      <c r="C245" s="33" t="s">
        <v>346</v>
      </c>
      <c r="D245" s="33" t="s">
        <v>523</v>
      </c>
      <c r="E245" s="33" t="s">
        <v>524</v>
      </c>
      <c r="F245" s="35">
        <v>0.01</v>
      </c>
      <c r="G245" s="40"/>
      <c r="H245" s="40"/>
    </row>
    <row r="246" spans="1:8" hidden="1" x14ac:dyDescent="0.35">
      <c r="A246" s="33">
        <v>245</v>
      </c>
      <c r="B246" s="34" t="s">
        <v>553</v>
      </c>
      <c r="C246" s="33" t="s">
        <v>346</v>
      </c>
      <c r="D246" s="33" t="s">
        <v>523</v>
      </c>
      <c r="E246" s="33" t="s">
        <v>524</v>
      </c>
      <c r="F246" s="35">
        <v>0.15</v>
      </c>
      <c r="G246" s="40"/>
      <c r="H246" s="40"/>
    </row>
    <row r="247" spans="1:8" hidden="1" x14ac:dyDescent="0.35">
      <c r="A247" s="33">
        <v>246</v>
      </c>
      <c r="B247" s="34" t="s">
        <v>554</v>
      </c>
      <c r="C247" s="33" t="s">
        <v>346</v>
      </c>
      <c r="D247" s="33" t="s">
        <v>523</v>
      </c>
      <c r="E247" s="33" t="s">
        <v>524</v>
      </c>
      <c r="F247" s="35">
        <v>0.06</v>
      </c>
      <c r="G247" s="40"/>
      <c r="H247" s="40"/>
    </row>
    <row r="248" spans="1:8" hidden="1" x14ac:dyDescent="0.35">
      <c r="A248" s="33">
        <v>247</v>
      </c>
      <c r="B248" s="34" t="s">
        <v>555</v>
      </c>
      <c r="C248" s="33" t="s">
        <v>346</v>
      </c>
      <c r="D248" s="33" t="s">
        <v>523</v>
      </c>
      <c r="E248" s="33" t="s">
        <v>556</v>
      </c>
      <c r="F248" s="35">
        <v>3.5000000000000003E-2</v>
      </c>
      <c r="G248" s="40"/>
      <c r="H248" s="40"/>
    </row>
    <row r="249" spans="1:8" hidden="1" x14ac:dyDescent="0.35">
      <c r="A249" s="33">
        <v>248</v>
      </c>
      <c r="B249" s="34" t="s">
        <v>557</v>
      </c>
      <c r="C249" s="33" t="s">
        <v>346</v>
      </c>
      <c r="D249" s="33" t="s">
        <v>523</v>
      </c>
      <c r="E249" s="33" t="s">
        <v>556</v>
      </c>
      <c r="F249" s="35">
        <v>0.05</v>
      </c>
      <c r="G249" s="40"/>
      <c r="H249" s="40"/>
    </row>
    <row r="250" spans="1:8" hidden="1" x14ac:dyDescent="0.35">
      <c r="A250" s="33">
        <v>249</v>
      </c>
      <c r="B250" s="34" t="s">
        <v>558</v>
      </c>
      <c r="C250" s="33" t="s">
        <v>346</v>
      </c>
      <c r="D250" s="33" t="s">
        <v>523</v>
      </c>
      <c r="E250" s="33" t="s">
        <v>556</v>
      </c>
      <c r="F250" s="35">
        <v>0.3</v>
      </c>
      <c r="G250" s="40"/>
      <c r="H250" s="40"/>
    </row>
    <row r="251" spans="1:8" hidden="1" x14ac:dyDescent="0.35">
      <c r="A251" s="33">
        <v>250</v>
      </c>
      <c r="B251" s="34" t="s">
        <v>559</v>
      </c>
      <c r="C251" s="33" t="s">
        <v>346</v>
      </c>
      <c r="D251" s="33" t="s">
        <v>523</v>
      </c>
      <c r="E251" s="33" t="s">
        <v>556</v>
      </c>
      <c r="F251" s="35">
        <v>0.21</v>
      </c>
      <c r="G251" s="40"/>
      <c r="H251" s="40"/>
    </row>
    <row r="252" spans="1:8" hidden="1" x14ac:dyDescent="0.35">
      <c r="A252" s="33">
        <v>251</v>
      </c>
      <c r="B252" s="34" t="s">
        <v>560</v>
      </c>
      <c r="C252" s="33" t="s">
        <v>346</v>
      </c>
      <c r="D252" s="33" t="s">
        <v>523</v>
      </c>
      <c r="E252" s="33" t="s">
        <v>561</v>
      </c>
      <c r="F252" s="35">
        <v>0.11</v>
      </c>
      <c r="G252" s="40"/>
      <c r="H252" s="40"/>
    </row>
    <row r="253" spans="1:8" hidden="1" x14ac:dyDescent="0.35">
      <c r="A253" s="33">
        <v>252</v>
      </c>
      <c r="B253" s="34" t="s">
        <v>562</v>
      </c>
      <c r="C253" s="33" t="s">
        <v>346</v>
      </c>
      <c r="D253" s="33" t="s">
        <v>523</v>
      </c>
      <c r="E253" s="33" t="s">
        <v>563</v>
      </c>
      <c r="F253" s="35">
        <v>0.03</v>
      </c>
      <c r="G253" s="40"/>
      <c r="H253" s="40"/>
    </row>
    <row r="254" spans="1:8" hidden="1" x14ac:dyDescent="0.35">
      <c r="A254" s="33">
        <v>253</v>
      </c>
      <c r="B254" s="34" t="s">
        <v>564</v>
      </c>
      <c r="C254" s="33" t="s">
        <v>346</v>
      </c>
      <c r="D254" s="33" t="s">
        <v>523</v>
      </c>
      <c r="E254" s="33" t="s">
        <v>563</v>
      </c>
      <c r="F254" s="35">
        <v>1</v>
      </c>
      <c r="G254" s="40"/>
      <c r="H254" s="40"/>
    </row>
    <row r="255" spans="1:8" hidden="1" x14ac:dyDescent="0.35">
      <c r="A255" s="33">
        <v>254</v>
      </c>
      <c r="B255" s="34" t="s">
        <v>565</v>
      </c>
      <c r="C255" s="33" t="s">
        <v>346</v>
      </c>
      <c r="D255" s="33" t="s">
        <v>523</v>
      </c>
      <c r="E255" s="33" t="s">
        <v>563</v>
      </c>
      <c r="F255" s="35">
        <v>3.7999999999999999E-2</v>
      </c>
      <c r="G255" s="40"/>
      <c r="H255" s="40"/>
    </row>
    <row r="256" spans="1:8" hidden="1" x14ac:dyDescent="0.35">
      <c r="A256" s="33">
        <v>255</v>
      </c>
      <c r="B256" s="34" t="s">
        <v>566</v>
      </c>
      <c r="C256" s="33" t="s">
        <v>346</v>
      </c>
      <c r="D256" s="33" t="s">
        <v>523</v>
      </c>
      <c r="E256" s="33" t="s">
        <v>563</v>
      </c>
      <c r="F256" s="35">
        <v>0.05</v>
      </c>
      <c r="G256" s="40"/>
      <c r="H256" s="40"/>
    </row>
    <row r="257" spans="1:8" hidden="1" x14ac:dyDescent="0.35">
      <c r="A257" s="33">
        <v>256</v>
      </c>
      <c r="B257" s="34" t="s">
        <v>567</v>
      </c>
      <c r="C257" s="33" t="s">
        <v>346</v>
      </c>
      <c r="D257" s="33" t="s">
        <v>523</v>
      </c>
      <c r="E257" s="33" t="s">
        <v>563</v>
      </c>
      <c r="F257" s="35">
        <v>0.05</v>
      </c>
      <c r="G257" s="40"/>
      <c r="H257" s="40"/>
    </row>
    <row r="258" spans="1:8" hidden="1" x14ac:dyDescent="0.35">
      <c r="A258" s="33">
        <v>257</v>
      </c>
      <c r="B258" s="34" t="s">
        <v>568</v>
      </c>
      <c r="C258" s="33" t="s">
        <v>346</v>
      </c>
      <c r="D258" s="33" t="s">
        <v>523</v>
      </c>
      <c r="E258" s="33" t="s">
        <v>563</v>
      </c>
      <c r="F258" s="35">
        <v>0.05</v>
      </c>
      <c r="G258" s="40"/>
      <c r="H258" s="40"/>
    </row>
    <row r="259" spans="1:8" hidden="1" x14ac:dyDescent="0.35">
      <c r="A259" s="33">
        <v>258</v>
      </c>
      <c r="B259" s="34" t="s">
        <v>569</v>
      </c>
      <c r="C259" s="33" t="s">
        <v>346</v>
      </c>
      <c r="D259" s="33" t="s">
        <v>523</v>
      </c>
      <c r="E259" s="33" t="s">
        <v>563</v>
      </c>
      <c r="F259" s="35">
        <v>8.9999999999999993E-3</v>
      </c>
      <c r="G259" s="40"/>
      <c r="H259" s="40"/>
    </row>
    <row r="260" spans="1:8" hidden="1" x14ac:dyDescent="0.35">
      <c r="A260" s="33">
        <v>259</v>
      </c>
      <c r="B260" s="34" t="s">
        <v>570</v>
      </c>
      <c r="C260" s="33" t="s">
        <v>346</v>
      </c>
      <c r="D260" s="33" t="s">
        <v>523</v>
      </c>
      <c r="E260" s="33" t="s">
        <v>563</v>
      </c>
      <c r="F260" s="35">
        <v>1</v>
      </c>
      <c r="G260" s="40"/>
      <c r="H260" s="40"/>
    </row>
    <row r="261" spans="1:8" hidden="1" x14ac:dyDescent="0.35">
      <c r="A261" s="33">
        <v>260</v>
      </c>
      <c r="B261" s="34" t="s">
        <v>571</v>
      </c>
      <c r="C261" s="33" t="s">
        <v>346</v>
      </c>
      <c r="D261" s="33" t="s">
        <v>523</v>
      </c>
      <c r="E261" s="33" t="s">
        <v>563</v>
      </c>
      <c r="F261" s="35">
        <v>3.5000000000000003E-2</v>
      </c>
      <c r="G261" s="40"/>
      <c r="H261" s="40"/>
    </row>
    <row r="262" spans="1:8" hidden="1" x14ac:dyDescent="0.35">
      <c r="A262" s="33">
        <v>261</v>
      </c>
      <c r="B262" s="34" t="s">
        <v>572</v>
      </c>
      <c r="C262" s="33" t="s">
        <v>346</v>
      </c>
      <c r="D262" s="33" t="s">
        <v>523</v>
      </c>
      <c r="E262" s="33" t="s">
        <v>563</v>
      </c>
      <c r="F262" s="35">
        <v>3.5000000000000003E-2</v>
      </c>
      <c r="G262" s="40"/>
      <c r="H262" s="40"/>
    </row>
    <row r="263" spans="1:8" hidden="1" x14ac:dyDescent="0.35">
      <c r="A263" s="33">
        <v>262</v>
      </c>
      <c r="B263" s="34" t="s">
        <v>573</v>
      </c>
      <c r="C263" s="33" t="s">
        <v>346</v>
      </c>
      <c r="D263" s="33" t="s">
        <v>523</v>
      </c>
      <c r="E263" s="33" t="s">
        <v>563</v>
      </c>
      <c r="F263" s="35">
        <v>1</v>
      </c>
      <c r="G263" s="40"/>
      <c r="H263" s="40"/>
    </row>
    <row r="264" spans="1:8" hidden="1" x14ac:dyDescent="0.35">
      <c r="A264" s="33">
        <v>263</v>
      </c>
      <c r="B264" s="34" t="s">
        <v>574</v>
      </c>
      <c r="C264" s="33" t="s">
        <v>346</v>
      </c>
      <c r="D264" s="33" t="s">
        <v>523</v>
      </c>
      <c r="E264" s="33" t="s">
        <v>563</v>
      </c>
      <c r="F264" s="35">
        <v>9.4499999999999993</v>
      </c>
      <c r="G264" s="40"/>
      <c r="H264" s="40"/>
    </row>
    <row r="265" spans="1:8" hidden="1" x14ac:dyDescent="0.35">
      <c r="A265" s="33">
        <v>264</v>
      </c>
      <c r="B265" s="34" t="s">
        <v>575</v>
      </c>
      <c r="C265" s="33" t="s">
        <v>346</v>
      </c>
      <c r="D265" s="33" t="s">
        <v>523</v>
      </c>
      <c r="E265" s="33" t="s">
        <v>563</v>
      </c>
      <c r="F265" s="35">
        <v>5.0999999999999996</v>
      </c>
      <c r="G265" s="40"/>
      <c r="H265" s="40"/>
    </row>
    <row r="266" spans="1:8" hidden="1" x14ac:dyDescent="0.35">
      <c r="A266" s="33">
        <v>265</v>
      </c>
      <c r="B266" s="34" t="s">
        <v>576</v>
      </c>
      <c r="C266" s="33" t="s">
        <v>346</v>
      </c>
      <c r="D266" s="33" t="s">
        <v>523</v>
      </c>
      <c r="E266" s="33" t="s">
        <v>563</v>
      </c>
      <c r="F266" s="35">
        <v>0.17499999999999999</v>
      </c>
      <c r="G266" s="40"/>
      <c r="H266" s="40"/>
    </row>
    <row r="267" spans="1:8" hidden="1" x14ac:dyDescent="0.35">
      <c r="A267" s="33">
        <v>266</v>
      </c>
      <c r="B267" s="34" t="s">
        <v>577</v>
      </c>
      <c r="C267" s="33" t="s">
        <v>346</v>
      </c>
      <c r="D267" s="33" t="s">
        <v>523</v>
      </c>
      <c r="E267" s="33" t="s">
        <v>563</v>
      </c>
      <c r="F267" s="35">
        <v>1</v>
      </c>
      <c r="G267" s="40"/>
      <c r="H267" s="40"/>
    </row>
    <row r="268" spans="1:8" hidden="1" x14ac:dyDescent="0.35">
      <c r="A268" s="33">
        <v>267</v>
      </c>
      <c r="B268" s="34" t="s">
        <v>578</v>
      </c>
      <c r="C268" s="33" t="s">
        <v>346</v>
      </c>
      <c r="D268" s="33" t="s">
        <v>523</v>
      </c>
      <c r="E268" s="33" t="s">
        <v>563</v>
      </c>
      <c r="F268" s="35">
        <v>0.03</v>
      </c>
      <c r="G268" s="40"/>
      <c r="H268" s="40"/>
    </row>
    <row r="269" spans="1:8" hidden="1" x14ac:dyDescent="0.35">
      <c r="A269" s="33">
        <v>268</v>
      </c>
      <c r="B269" s="34" t="s">
        <v>579</v>
      </c>
      <c r="C269" s="33" t="s">
        <v>346</v>
      </c>
      <c r="D269" s="33" t="s">
        <v>523</v>
      </c>
      <c r="E269" s="33" t="s">
        <v>563</v>
      </c>
      <c r="F269" s="35">
        <v>0.03</v>
      </c>
      <c r="G269" s="40"/>
      <c r="H269" s="40"/>
    </row>
    <row r="270" spans="1:8" hidden="1" x14ac:dyDescent="0.35">
      <c r="A270" s="33">
        <v>269</v>
      </c>
      <c r="B270" s="34" t="s">
        <v>580</v>
      </c>
      <c r="C270" s="33" t="s">
        <v>346</v>
      </c>
      <c r="D270" s="33" t="s">
        <v>523</v>
      </c>
      <c r="E270" s="33" t="s">
        <v>563</v>
      </c>
      <c r="F270" s="35">
        <v>0.03</v>
      </c>
      <c r="G270" s="40"/>
      <c r="H270" s="40"/>
    </row>
    <row r="271" spans="1:8" hidden="1" x14ac:dyDescent="0.35">
      <c r="A271" s="33">
        <v>270</v>
      </c>
      <c r="B271" s="34" t="s">
        <v>581</v>
      </c>
      <c r="C271" s="33" t="s">
        <v>346</v>
      </c>
      <c r="D271" s="33" t="s">
        <v>523</v>
      </c>
      <c r="E271" s="33" t="s">
        <v>563</v>
      </c>
      <c r="F271" s="35">
        <v>0.03</v>
      </c>
      <c r="G271" s="40"/>
      <c r="H271" s="40"/>
    </row>
    <row r="272" spans="1:8" hidden="1" x14ac:dyDescent="0.35">
      <c r="A272" s="33">
        <v>271</v>
      </c>
      <c r="B272" s="34" t="s">
        <v>582</v>
      </c>
      <c r="C272" s="33" t="s">
        <v>346</v>
      </c>
      <c r="D272" s="33" t="s">
        <v>523</v>
      </c>
      <c r="E272" s="33" t="s">
        <v>563</v>
      </c>
      <c r="F272" s="35">
        <v>1</v>
      </c>
      <c r="G272" s="40"/>
      <c r="H272" s="40"/>
    </row>
    <row r="273" spans="1:8" hidden="1" x14ac:dyDescent="0.35">
      <c r="A273" s="33">
        <v>272</v>
      </c>
      <c r="B273" s="34" t="s">
        <v>583</v>
      </c>
      <c r="C273" s="33" t="s">
        <v>346</v>
      </c>
      <c r="D273" s="33" t="s">
        <v>523</v>
      </c>
      <c r="E273" s="33" t="s">
        <v>563</v>
      </c>
      <c r="F273" s="35">
        <v>1</v>
      </c>
      <c r="G273" s="40"/>
      <c r="H273" s="40"/>
    </row>
    <row r="274" spans="1:8" hidden="1" x14ac:dyDescent="0.35">
      <c r="A274" s="33">
        <v>273</v>
      </c>
      <c r="B274" s="34" t="s">
        <v>584</v>
      </c>
      <c r="C274" s="33" t="s">
        <v>346</v>
      </c>
      <c r="D274" s="33" t="s">
        <v>523</v>
      </c>
      <c r="E274" s="33" t="s">
        <v>563</v>
      </c>
      <c r="F274" s="35">
        <v>1</v>
      </c>
      <c r="G274" s="40"/>
      <c r="H274" s="40"/>
    </row>
    <row r="275" spans="1:8" hidden="1" x14ac:dyDescent="0.35">
      <c r="A275" s="33">
        <v>274</v>
      </c>
      <c r="B275" s="34" t="s">
        <v>585</v>
      </c>
      <c r="C275" s="33" t="s">
        <v>346</v>
      </c>
      <c r="D275" s="33" t="s">
        <v>523</v>
      </c>
      <c r="E275" s="33" t="s">
        <v>563</v>
      </c>
      <c r="F275" s="35">
        <v>0.21</v>
      </c>
      <c r="G275" s="40"/>
      <c r="H275" s="40"/>
    </row>
    <row r="276" spans="1:8" hidden="1" x14ac:dyDescent="0.35">
      <c r="A276" s="33">
        <v>275</v>
      </c>
      <c r="B276" s="34" t="s">
        <v>586</v>
      </c>
      <c r="C276" s="33" t="s">
        <v>346</v>
      </c>
      <c r="D276" s="33" t="s">
        <v>523</v>
      </c>
      <c r="E276" s="33" t="s">
        <v>563</v>
      </c>
      <c r="F276" s="35">
        <v>0.05</v>
      </c>
      <c r="G276" s="40"/>
      <c r="H276" s="40"/>
    </row>
    <row r="277" spans="1:8" hidden="1" x14ac:dyDescent="0.35">
      <c r="A277" s="33">
        <v>276</v>
      </c>
      <c r="B277" s="34" t="s">
        <v>587</v>
      </c>
      <c r="C277" s="33" t="s">
        <v>346</v>
      </c>
      <c r="D277" s="33" t="s">
        <v>523</v>
      </c>
      <c r="E277" s="33" t="s">
        <v>563</v>
      </c>
      <c r="F277" s="35">
        <v>3.5000000000000003E-2</v>
      </c>
      <c r="G277" s="40"/>
      <c r="H277" s="40"/>
    </row>
    <row r="278" spans="1:8" hidden="1" x14ac:dyDescent="0.35">
      <c r="A278" s="33">
        <v>277</v>
      </c>
      <c r="B278" s="34" t="s">
        <v>588</v>
      </c>
      <c r="C278" s="33" t="s">
        <v>346</v>
      </c>
      <c r="D278" s="33" t="s">
        <v>523</v>
      </c>
      <c r="E278" s="33" t="s">
        <v>563</v>
      </c>
      <c r="F278" s="35">
        <v>0.21</v>
      </c>
      <c r="G278" s="40"/>
      <c r="H278" s="40"/>
    </row>
    <row r="279" spans="1:8" hidden="1" x14ac:dyDescent="0.35">
      <c r="A279" s="33">
        <v>278</v>
      </c>
      <c r="B279" s="34" t="s">
        <v>589</v>
      </c>
      <c r="C279" s="33" t="s">
        <v>346</v>
      </c>
      <c r="D279" s="33" t="s">
        <v>523</v>
      </c>
      <c r="E279" s="33" t="s">
        <v>563</v>
      </c>
      <c r="F279" s="35">
        <v>3.5000000000000003E-2</v>
      </c>
      <c r="G279" s="40"/>
      <c r="H279" s="40"/>
    </row>
    <row r="280" spans="1:8" hidden="1" x14ac:dyDescent="0.35">
      <c r="A280" s="33">
        <v>279</v>
      </c>
      <c r="B280" s="34" t="s">
        <v>590</v>
      </c>
      <c r="C280" s="33" t="s">
        <v>346</v>
      </c>
      <c r="D280" s="33" t="s">
        <v>523</v>
      </c>
      <c r="E280" s="33" t="s">
        <v>563</v>
      </c>
      <c r="F280" s="35">
        <v>0.21</v>
      </c>
      <c r="G280" s="40"/>
      <c r="H280" s="40"/>
    </row>
    <row r="281" spans="1:8" hidden="1" x14ac:dyDescent="0.35">
      <c r="A281" s="33">
        <v>280</v>
      </c>
      <c r="B281" s="34" t="s">
        <v>591</v>
      </c>
      <c r="C281" s="33" t="s">
        <v>346</v>
      </c>
      <c r="D281" s="33" t="s">
        <v>523</v>
      </c>
      <c r="E281" s="33" t="s">
        <v>563</v>
      </c>
      <c r="F281" s="35">
        <v>0.01</v>
      </c>
      <c r="G281" s="40"/>
      <c r="H281" s="40"/>
    </row>
    <row r="282" spans="1:8" hidden="1" x14ac:dyDescent="0.35">
      <c r="A282" s="33">
        <v>281</v>
      </c>
      <c r="B282" s="34" t="s">
        <v>592</v>
      </c>
      <c r="C282" s="33" t="s">
        <v>346</v>
      </c>
      <c r="D282" s="33" t="s">
        <v>523</v>
      </c>
      <c r="E282" s="33" t="s">
        <v>563</v>
      </c>
      <c r="F282" s="35">
        <v>4.4999999999999998E-2</v>
      </c>
      <c r="G282" s="40"/>
      <c r="H282" s="40"/>
    </row>
    <row r="283" spans="1:8" hidden="1" x14ac:dyDescent="0.35">
      <c r="A283" s="33">
        <v>282</v>
      </c>
      <c r="B283" s="34" t="s">
        <v>593</v>
      </c>
      <c r="C283" s="33" t="s">
        <v>346</v>
      </c>
      <c r="D283" s="33" t="s">
        <v>523</v>
      </c>
      <c r="E283" s="33" t="s">
        <v>563</v>
      </c>
      <c r="F283" s="35">
        <v>0.01</v>
      </c>
      <c r="G283" s="40"/>
      <c r="H283" s="40"/>
    </row>
    <row r="284" spans="1:8" hidden="1" x14ac:dyDescent="0.35">
      <c r="A284" s="33">
        <v>283</v>
      </c>
      <c r="B284" s="34" t="s">
        <v>594</v>
      </c>
      <c r="C284" s="33" t="s">
        <v>346</v>
      </c>
      <c r="D284" s="33" t="s">
        <v>523</v>
      </c>
      <c r="E284" s="33" t="s">
        <v>563</v>
      </c>
      <c r="F284" s="35">
        <v>4.4999999999999998E-2</v>
      </c>
      <c r="G284" s="40"/>
      <c r="H284" s="40"/>
    </row>
    <row r="285" spans="1:8" hidden="1" x14ac:dyDescent="0.35">
      <c r="A285" s="33">
        <v>284</v>
      </c>
      <c r="B285" s="34" t="s">
        <v>595</v>
      </c>
      <c r="C285" s="33" t="s">
        <v>346</v>
      </c>
      <c r="D285" s="33" t="s">
        <v>523</v>
      </c>
      <c r="E285" s="33" t="s">
        <v>563</v>
      </c>
      <c r="F285" s="35">
        <v>4.4999999999999998E-2</v>
      </c>
      <c r="G285" s="40"/>
      <c r="H285" s="40"/>
    </row>
    <row r="286" spans="1:8" hidden="1" x14ac:dyDescent="0.35">
      <c r="A286" s="33">
        <v>285</v>
      </c>
      <c r="B286" s="34" t="s">
        <v>596</v>
      </c>
      <c r="C286" s="33" t="s">
        <v>346</v>
      </c>
      <c r="D286" s="33" t="s">
        <v>523</v>
      </c>
      <c r="E286" s="33" t="s">
        <v>563</v>
      </c>
      <c r="F286" s="35">
        <v>0.01</v>
      </c>
      <c r="G286" s="40"/>
      <c r="H286" s="40"/>
    </row>
    <row r="287" spans="1:8" hidden="1" x14ac:dyDescent="0.35">
      <c r="A287" s="33">
        <v>286</v>
      </c>
      <c r="B287" s="34" t="s">
        <v>597</v>
      </c>
      <c r="C287" s="33" t="s">
        <v>346</v>
      </c>
      <c r="D287" s="33" t="s">
        <v>523</v>
      </c>
      <c r="E287" s="33" t="s">
        <v>563</v>
      </c>
      <c r="F287" s="35">
        <v>4.4999999999999998E-2</v>
      </c>
      <c r="G287" s="40"/>
      <c r="H287" s="40"/>
    </row>
    <row r="288" spans="1:8" hidden="1" x14ac:dyDescent="0.35">
      <c r="A288" s="33">
        <v>287</v>
      </c>
      <c r="B288" s="34" t="s">
        <v>598</v>
      </c>
      <c r="C288" s="33" t="s">
        <v>346</v>
      </c>
      <c r="D288" s="33" t="s">
        <v>523</v>
      </c>
      <c r="E288" s="33" t="s">
        <v>563</v>
      </c>
      <c r="F288" s="35">
        <v>0.01</v>
      </c>
      <c r="G288" s="40"/>
      <c r="H288" s="40"/>
    </row>
    <row r="289" spans="1:8" hidden="1" x14ac:dyDescent="0.35">
      <c r="A289" s="33">
        <v>288</v>
      </c>
      <c r="B289" s="34" t="s">
        <v>599</v>
      </c>
      <c r="C289" s="33" t="s">
        <v>346</v>
      </c>
      <c r="D289" s="33" t="s">
        <v>523</v>
      </c>
      <c r="E289" s="33" t="s">
        <v>563</v>
      </c>
      <c r="F289" s="35">
        <v>4.4999999999999998E-2</v>
      </c>
      <c r="G289" s="40"/>
      <c r="H289" s="40"/>
    </row>
    <row r="290" spans="1:8" hidden="1" x14ac:dyDescent="0.35">
      <c r="A290" s="33">
        <v>289</v>
      </c>
      <c r="B290" s="34" t="s">
        <v>600</v>
      </c>
      <c r="C290" s="33" t="s">
        <v>346</v>
      </c>
      <c r="D290" s="33" t="s">
        <v>523</v>
      </c>
      <c r="E290" s="33" t="s">
        <v>563</v>
      </c>
      <c r="F290" s="35">
        <v>0.36</v>
      </c>
      <c r="G290" s="40"/>
      <c r="H290" s="40"/>
    </row>
    <row r="291" spans="1:8" hidden="1" x14ac:dyDescent="0.35">
      <c r="A291" s="33">
        <v>290</v>
      </c>
      <c r="B291" s="34" t="s">
        <v>601</v>
      </c>
      <c r="C291" s="33" t="s">
        <v>346</v>
      </c>
      <c r="D291" s="33" t="s">
        <v>523</v>
      </c>
      <c r="E291" s="33" t="s">
        <v>563</v>
      </c>
      <c r="F291" s="35">
        <v>0.18</v>
      </c>
      <c r="G291" s="40"/>
      <c r="H291" s="40"/>
    </row>
    <row r="292" spans="1:8" hidden="1" x14ac:dyDescent="0.35">
      <c r="A292" s="33">
        <v>291</v>
      </c>
      <c r="B292" s="34" t="s">
        <v>602</v>
      </c>
      <c r="C292" s="33" t="s">
        <v>346</v>
      </c>
      <c r="D292" s="33" t="s">
        <v>523</v>
      </c>
      <c r="E292" s="33" t="s">
        <v>563</v>
      </c>
      <c r="F292" s="35">
        <v>0.18</v>
      </c>
      <c r="G292" s="40"/>
      <c r="H292" s="40"/>
    </row>
    <row r="293" spans="1:8" hidden="1" x14ac:dyDescent="0.35">
      <c r="A293" s="33">
        <v>292</v>
      </c>
      <c r="B293" s="34" t="s">
        <v>603</v>
      </c>
      <c r="C293" s="33" t="s">
        <v>346</v>
      </c>
      <c r="D293" s="33" t="s">
        <v>523</v>
      </c>
      <c r="E293" s="33" t="s">
        <v>563</v>
      </c>
      <c r="F293" s="35">
        <v>0.03</v>
      </c>
      <c r="G293" s="40"/>
      <c r="H293" s="40"/>
    </row>
    <row r="294" spans="1:8" hidden="1" x14ac:dyDescent="0.35">
      <c r="A294" s="33">
        <v>293</v>
      </c>
      <c r="B294" s="34" t="s">
        <v>604</v>
      </c>
      <c r="C294" s="33" t="s">
        <v>346</v>
      </c>
      <c r="D294" s="33" t="s">
        <v>523</v>
      </c>
      <c r="E294" s="33" t="s">
        <v>563</v>
      </c>
      <c r="F294" s="35">
        <v>0.18</v>
      </c>
      <c r="G294" s="40"/>
      <c r="H294" s="40"/>
    </row>
    <row r="295" spans="1:8" hidden="1" x14ac:dyDescent="0.35">
      <c r="A295" s="33">
        <v>294</v>
      </c>
      <c r="B295" s="34" t="s">
        <v>605</v>
      </c>
      <c r="C295" s="33" t="s">
        <v>346</v>
      </c>
      <c r="D295" s="33" t="s">
        <v>523</v>
      </c>
      <c r="E295" s="33" t="s">
        <v>563</v>
      </c>
      <c r="F295" s="35">
        <v>0.03</v>
      </c>
      <c r="G295" s="40"/>
      <c r="H295" s="40"/>
    </row>
    <row r="296" spans="1:8" hidden="1" x14ac:dyDescent="0.35">
      <c r="A296" s="33">
        <v>295</v>
      </c>
      <c r="B296" s="34" t="s">
        <v>606</v>
      </c>
      <c r="C296" s="33" t="s">
        <v>346</v>
      </c>
      <c r="D296" s="33" t="s">
        <v>523</v>
      </c>
      <c r="E296" s="33" t="s">
        <v>563</v>
      </c>
      <c r="F296" s="35">
        <v>0.03</v>
      </c>
      <c r="G296" s="40"/>
      <c r="H296" s="40"/>
    </row>
    <row r="297" spans="1:8" hidden="1" x14ac:dyDescent="0.35">
      <c r="A297" s="33">
        <v>296</v>
      </c>
      <c r="B297" s="34" t="s">
        <v>607</v>
      </c>
      <c r="C297" s="33" t="s">
        <v>346</v>
      </c>
      <c r="D297" s="33" t="s">
        <v>523</v>
      </c>
      <c r="E297" s="33" t="s">
        <v>563</v>
      </c>
      <c r="F297" s="35">
        <v>0.03</v>
      </c>
      <c r="G297" s="40"/>
      <c r="H297" s="40"/>
    </row>
    <row r="298" spans="1:8" hidden="1" x14ac:dyDescent="0.35">
      <c r="A298" s="33">
        <v>297</v>
      </c>
      <c r="B298" s="34" t="s">
        <v>608</v>
      </c>
      <c r="C298" s="33" t="s">
        <v>346</v>
      </c>
      <c r="D298" s="33" t="s">
        <v>523</v>
      </c>
      <c r="E298" s="33" t="s">
        <v>563</v>
      </c>
      <c r="F298" s="35">
        <v>0.18</v>
      </c>
      <c r="G298" s="40"/>
      <c r="H298" s="40"/>
    </row>
    <row r="299" spans="1:8" hidden="1" x14ac:dyDescent="0.35">
      <c r="A299" s="33">
        <v>298</v>
      </c>
      <c r="B299" s="34" t="s">
        <v>609</v>
      </c>
      <c r="C299" s="33" t="s">
        <v>346</v>
      </c>
      <c r="D299" s="33" t="s">
        <v>523</v>
      </c>
      <c r="E299" s="33" t="s">
        <v>563</v>
      </c>
      <c r="F299" s="35">
        <v>0.05</v>
      </c>
      <c r="G299" s="40"/>
      <c r="H299" s="40"/>
    </row>
    <row r="300" spans="1:8" hidden="1" x14ac:dyDescent="0.35">
      <c r="A300" s="33">
        <v>299</v>
      </c>
      <c r="B300" s="34" t="s">
        <v>610</v>
      </c>
      <c r="C300" s="33" t="s">
        <v>346</v>
      </c>
      <c r="D300" s="33" t="s">
        <v>523</v>
      </c>
      <c r="E300" s="33" t="s">
        <v>563</v>
      </c>
      <c r="F300" s="35">
        <v>0.05</v>
      </c>
      <c r="G300" s="40"/>
      <c r="H300" s="40"/>
    </row>
    <row r="301" spans="1:8" hidden="1" x14ac:dyDescent="0.35">
      <c r="A301" s="33">
        <v>300</v>
      </c>
      <c r="B301" s="34" t="s">
        <v>611</v>
      </c>
      <c r="C301" s="33" t="s">
        <v>346</v>
      </c>
      <c r="D301" s="33" t="s">
        <v>523</v>
      </c>
      <c r="E301" s="33" t="s">
        <v>563</v>
      </c>
      <c r="F301" s="35">
        <v>0.05</v>
      </c>
      <c r="G301" s="40"/>
      <c r="H301" s="40"/>
    </row>
    <row r="302" spans="1:8" hidden="1" x14ac:dyDescent="0.35">
      <c r="A302" s="33">
        <v>301</v>
      </c>
      <c r="B302" s="34" t="s">
        <v>612</v>
      </c>
      <c r="C302" s="33" t="s">
        <v>346</v>
      </c>
      <c r="D302" s="33" t="s">
        <v>523</v>
      </c>
      <c r="E302" s="33" t="s">
        <v>563</v>
      </c>
      <c r="F302" s="35">
        <v>0.05</v>
      </c>
      <c r="G302" s="40"/>
      <c r="H302" s="40"/>
    </row>
    <row r="303" spans="1:8" hidden="1" x14ac:dyDescent="0.35">
      <c r="A303" s="33">
        <v>302</v>
      </c>
      <c r="B303" s="34" t="s">
        <v>613</v>
      </c>
      <c r="C303" s="33" t="s">
        <v>346</v>
      </c>
      <c r="D303" s="33" t="s">
        <v>523</v>
      </c>
      <c r="E303" s="33" t="s">
        <v>563</v>
      </c>
      <c r="F303" s="35">
        <v>0.05</v>
      </c>
      <c r="G303" s="40"/>
      <c r="H303" s="40"/>
    </row>
    <row r="304" spans="1:8" hidden="1" x14ac:dyDescent="0.35">
      <c r="A304" s="33">
        <v>303</v>
      </c>
      <c r="B304" s="34" t="s">
        <v>614</v>
      </c>
      <c r="C304" s="33" t="s">
        <v>346</v>
      </c>
      <c r="D304" s="33" t="s">
        <v>523</v>
      </c>
      <c r="E304" s="33" t="s">
        <v>563</v>
      </c>
      <c r="F304" s="35">
        <v>0.05</v>
      </c>
      <c r="G304" s="40"/>
      <c r="H304" s="40"/>
    </row>
    <row r="305" spans="1:8" hidden="1" x14ac:dyDescent="0.35">
      <c r="A305" s="33">
        <v>304</v>
      </c>
      <c r="B305" s="34" t="s">
        <v>615</v>
      </c>
      <c r="C305" s="33" t="s">
        <v>346</v>
      </c>
      <c r="D305" s="33" t="s">
        <v>523</v>
      </c>
      <c r="E305" s="33" t="s">
        <v>563</v>
      </c>
      <c r="F305" s="35">
        <v>4.4999999999999998E-2</v>
      </c>
      <c r="G305" s="40"/>
      <c r="H305" s="40"/>
    </row>
    <row r="306" spans="1:8" hidden="1" x14ac:dyDescent="0.35">
      <c r="A306" s="33">
        <v>305</v>
      </c>
      <c r="B306" s="34" t="s">
        <v>616</v>
      </c>
      <c r="C306" s="33" t="s">
        <v>346</v>
      </c>
      <c r="D306" s="33" t="s">
        <v>523</v>
      </c>
      <c r="E306" s="33" t="s">
        <v>563</v>
      </c>
      <c r="F306" s="35">
        <v>4.4999999999999998E-2</v>
      </c>
      <c r="G306" s="40"/>
      <c r="H306" s="40"/>
    </row>
    <row r="307" spans="1:8" hidden="1" x14ac:dyDescent="0.35">
      <c r="A307" s="33">
        <v>306</v>
      </c>
      <c r="B307" s="34" t="s">
        <v>617</v>
      </c>
      <c r="C307" s="33" t="s">
        <v>346</v>
      </c>
      <c r="D307" s="33" t="s">
        <v>523</v>
      </c>
      <c r="E307" s="33" t="s">
        <v>563</v>
      </c>
      <c r="F307" s="35">
        <v>4.4999999999999998E-2</v>
      </c>
      <c r="G307" s="40"/>
      <c r="H307" s="40"/>
    </row>
    <row r="308" spans="1:8" hidden="1" x14ac:dyDescent="0.35">
      <c r="A308" s="33">
        <v>307</v>
      </c>
      <c r="B308" s="34" t="s">
        <v>618</v>
      </c>
      <c r="C308" s="33" t="s">
        <v>346</v>
      </c>
      <c r="D308" s="33" t="s">
        <v>523</v>
      </c>
      <c r="E308" s="33" t="s">
        <v>563</v>
      </c>
      <c r="F308" s="35">
        <v>4.4999999999999998E-2</v>
      </c>
      <c r="G308" s="40"/>
      <c r="H308" s="40"/>
    </row>
    <row r="309" spans="1:8" hidden="1" x14ac:dyDescent="0.35">
      <c r="A309" s="33">
        <v>308</v>
      </c>
      <c r="B309" s="34" t="s">
        <v>619</v>
      </c>
      <c r="C309" s="33" t="s">
        <v>346</v>
      </c>
      <c r="D309" s="33" t="s">
        <v>523</v>
      </c>
      <c r="E309" s="33" t="s">
        <v>563</v>
      </c>
      <c r="F309" s="35">
        <v>1</v>
      </c>
      <c r="G309" s="40"/>
      <c r="H309" s="40"/>
    </row>
    <row r="310" spans="1:8" hidden="1" x14ac:dyDescent="0.35">
      <c r="A310" s="33">
        <v>309</v>
      </c>
      <c r="B310" s="34" t="s">
        <v>620</v>
      </c>
      <c r="C310" s="33" t="s">
        <v>346</v>
      </c>
      <c r="D310" s="33" t="s">
        <v>523</v>
      </c>
      <c r="E310" s="33" t="s">
        <v>563</v>
      </c>
      <c r="F310" s="35">
        <v>3.5000000000000003E-2</v>
      </c>
      <c r="G310" s="40"/>
      <c r="H310" s="40"/>
    </row>
    <row r="311" spans="1:8" hidden="1" x14ac:dyDescent="0.35">
      <c r="A311" s="33">
        <v>310</v>
      </c>
      <c r="B311" s="34" t="s">
        <v>621</v>
      </c>
      <c r="C311" s="33" t="s">
        <v>346</v>
      </c>
      <c r="D311" s="33" t="s">
        <v>523</v>
      </c>
      <c r="E311" s="33" t="s">
        <v>563</v>
      </c>
      <c r="F311" s="35">
        <v>0.21</v>
      </c>
      <c r="G311" s="40"/>
      <c r="H311" s="40"/>
    </row>
    <row r="312" spans="1:8" hidden="1" x14ac:dyDescent="0.35">
      <c r="A312" s="33">
        <v>311</v>
      </c>
      <c r="B312" s="34" t="s">
        <v>622</v>
      </c>
      <c r="C312" s="33" t="s">
        <v>346</v>
      </c>
      <c r="D312" s="33" t="s">
        <v>523</v>
      </c>
      <c r="E312" s="33" t="s">
        <v>623</v>
      </c>
      <c r="F312" s="35">
        <v>0.05</v>
      </c>
      <c r="G312" s="40"/>
      <c r="H312" s="40"/>
    </row>
    <row r="313" spans="1:8" hidden="1" x14ac:dyDescent="0.35">
      <c r="A313" s="33">
        <v>312</v>
      </c>
      <c r="B313" s="34" t="s">
        <v>624</v>
      </c>
      <c r="C313" s="33" t="s">
        <v>297</v>
      </c>
      <c r="D313" s="33" t="s">
        <v>625</v>
      </c>
      <c r="E313" s="33" t="s">
        <v>624</v>
      </c>
      <c r="F313" s="35">
        <v>1</v>
      </c>
      <c r="G313" s="40"/>
      <c r="H313" s="40"/>
    </row>
    <row r="314" spans="1:8" hidden="1" x14ac:dyDescent="0.35">
      <c r="A314" s="33">
        <v>313</v>
      </c>
      <c r="B314" s="34" t="s">
        <v>626</v>
      </c>
      <c r="C314" s="33" t="s">
        <v>346</v>
      </c>
      <c r="D314" s="33" t="s">
        <v>625</v>
      </c>
      <c r="E314" s="33" t="s">
        <v>624</v>
      </c>
      <c r="F314" s="35">
        <v>1</v>
      </c>
      <c r="G314" s="40"/>
      <c r="H314" s="40"/>
    </row>
    <row r="315" spans="1:8" hidden="1" x14ac:dyDescent="0.35">
      <c r="A315" s="33">
        <v>314</v>
      </c>
      <c r="B315" s="34" t="s">
        <v>627</v>
      </c>
      <c r="C315" s="33" t="s">
        <v>297</v>
      </c>
      <c r="D315" s="33" t="s">
        <v>179</v>
      </c>
      <c r="E315" s="33" t="s">
        <v>628</v>
      </c>
      <c r="F315" s="35">
        <v>1</v>
      </c>
      <c r="G315" s="40"/>
      <c r="H315" s="40"/>
    </row>
    <row r="316" spans="1:8" hidden="1" x14ac:dyDescent="0.35">
      <c r="A316" s="33">
        <v>315</v>
      </c>
      <c r="B316" s="34" t="s">
        <v>629</v>
      </c>
      <c r="C316" s="33" t="s">
        <v>297</v>
      </c>
      <c r="D316" s="33" t="s">
        <v>179</v>
      </c>
      <c r="E316" s="33" t="s">
        <v>628</v>
      </c>
      <c r="F316" s="35">
        <v>1</v>
      </c>
      <c r="G316" s="40"/>
      <c r="H316" s="40"/>
    </row>
    <row r="317" spans="1:8" hidden="1" x14ac:dyDescent="0.35">
      <c r="A317" s="33">
        <v>316</v>
      </c>
      <c r="B317" s="34" t="s">
        <v>630</v>
      </c>
      <c r="C317" s="33" t="s">
        <v>346</v>
      </c>
      <c r="D317" s="33" t="s">
        <v>179</v>
      </c>
      <c r="E317" s="33" t="s">
        <v>628</v>
      </c>
      <c r="F317" s="35">
        <v>0.25</v>
      </c>
      <c r="G317" s="40"/>
      <c r="H317" s="40"/>
    </row>
    <row r="318" spans="1:8" hidden="1" x14ac:dyDescent="0.35">
      <c r="A318" s="33">
        <v>317</v>
      </c>
      <c r="B318" s="34" t="s">
        <v>631</v>
      </c>
      <c r="C318" s="33" t="s">
        <v>346</v>
      </c>
      <c r="D318" s="33" t="s">
        <v>179</v>
      </c>
      <c r="E318" s="33" t="s">
        <v>628</v>
      </c>
      <c r="F318" s="35">
        <v>0.1</v>
      </c>
      <c r="G318" s="40"/>
      <c r="H318" s="40"/>
    </row>
    <row r="319" spans="1:8" hidden="1" x14ac:dyDescent="0.35">
      <c r="A319" s="33">
        <v>318</v>
      </c>
      <c r="B319" s="34" t="s">
        <v>632</v>
      </c>
      <c r="C319" s="33" t="s">
        <v>346</v>
      </c>
      <c r="D319" s="33" t="s">
        <v>179</v>
      </c>
      <c r="E319" s="33" t="s">
        <v>628</v>
      </c>
      <c r="F319" s="35">
        <v>0.25</v>
      </c>
      <c r="G319" s="40"/>
      <c r="H319" s="40"/>
    </row>
    <row r="320" spans="1:8" hidden="1" x14ac:dyDescent="0.35">
      <c r="A320" s="33">
        <v>319</v>
      </c>
      <c r="B320" s="34" t="s">
        <v>633</v>
      </c>
      <c r="C320" s="33" t="s">
        <v>346</v>
      </c>
      <c r="D320" s="33" t="s">
        <v>179</v>
      </c>
      <c r="E320" s="33" t="s">
        <v>628</v>
      </c>
      <c r="F320" s="35">
        <v>1</v>
      </c>
      <c r="G320" s="40"/>
      <c r="H320" s="40"/>
    </row>
    <row r="321" spans="1:8" hidden="1" x14ac:dyDescent="0.35">
      <c r="A321" s="33">
        <v>320</v>
      </c>
      <c r="B321" s="34" t="s">
        <v>634</v>
      </c>
      <c r="C321" s="33" t="s">
        <v>346</v>
      </c>
      <c r="D321" s="33" t="s">
        <v>179</v>
      </c>
      <c r="E321" s="33" t="s">
        <v>628</v>
      </c>
      <c r="F321" s="35">
        <v>0.1</v>
      </c>
      <c r="G321" s="40"/>
      <c r="H321" s="40"/>
    </row>
    <row r="322" spans="1:8" hidden="1" x14ac:dyDescent="0.35">
      <c r="A322" s="33">
        <v>321</v>
      </c>
      <c r="B322" s="34" t="s">
        <v>635</v>
      </c>
      <c r="C322" s="33" t="s">
        <v>297</v>
      </c>
      <c r="D322" s="33" t="s">
        <v>107</v>
      </c>
      <c r="E322" s="33" t="s">
        <v>636</v>
      </c>
      <c r="F322" s="35">
        <v>1</v>
      </c>
      <c r="G322" s="40"/>
      <c r="H322" s="40"/>
    </row>
    <row r="323" spans="1:8" hidden="1" x14ac:dyDescent="0.35">
      <c r="A323" s="33">
        <v>322</v>
      </c>
      <c r="B323" s="34" t="s">
        <v>637</v>
      </c>
      <c r="C323" s="33" t="s">
        <v>297</v>
      </c>
      <c r="D323" s="33" t="s">
        <v>107</v>
      </c>
      <c r="E323" s="33" t="s">
        <v>638</v>
      </c>
      <c r="F323" s="35">
        <v>1</v>
      </c>
      <c r="G323" s="40"/>
      <c r="H323" s="40"/>
    </row>
    <row r="324" spans="1:8" hidden="1" x14ac:dyDescent="0.35">
      <c r="A324" s="33">
        <v>323</v>
      </c>
      <c r="B324" s="34" t="s">
        <v>639</v>
      </c>
      <c r="C324" s="33" t="s">
        <v>346</v>
      </c>
      <c r="D324" s="33" t="s">
        <v>107</v>
      </c>
      <c r="E324" s="33" t="s">
        <v>638</v>
      </c>
      <c r="F324" s="35">
        <v>0.1</v>
      </c>
      <c r="G324" s="40"/>
      <c r="H324" s="40"/>
    </row>
    <row r="325" spans="1:8" hidden="1" x14ac:dyDescent="0.35">
      <c r="A325" s="33">
        <v>324</v>
      </c>
      <c r="B325" s="34" t="s">
        <v>640</v>
      </c>
      <c r="C325" s="33" t="s">
        <v>346</v>
      </c>
      <c r="D325" s="33" t="s">
        <v>107</v>
      </c>
      <c r="E325" s="33" t="s">
        <v>638</v>
      </c>
      <c r="F325" s="35">
        <v>0.25</v>
      </c>
      <c r="G325" s="40"/>
      <c r="H325" s="40"/>
    </row>
    <row r="326" spans="1:8" hidden="1" x14ac:dyDescent="0.35">
      <c r="A326" s="33">
        <v>325</v>
      </c>
      <c r="B326" s="34" t="s">
        <v>641</v>
      </c>
      <c r="C326" s="33" t="s">
        <v>346</v>
      </c>
      <c r="D326" s="33" t="s">
        <v>107</v>
      </c>
      <c r="E326" s="33" t="s">
        <v>638</v>
      </c>
      <c r="F326" s="35">
        <v>0.23</v>
      </c>
      <c r="G326" s="40"/>
      <c r="H326" s="40"/>
    </row>
    <row r="327" spans="1:8" hidden="1" x14ac:dyDescent="0.35">
      <c r="A327" s="33">
        <v>326</v>
      </c>
      <c r="B327" s="34" t="s">
        <v>642</v>
      </c>
      <c r="C327" s="33" t="s">
        <v>346</v>
      </c>
      <c r="D327" s="33" t="s">
        <v>107</v>
      </c>
      <c r="E327" s="33" t="s">
        <v>638</v>
      </c>
      <c r="F327" s="35">
        <v>7.4999999999999997E-2</v>
      </c>
      <c r="G327" s="40"/>
      <c r="H327" s="40"/>
    </row>
    <row r="328" spans="1:8" hidden="1" x14ac:dyDescent="0.35">
      <c r="A328" s="33">
        <v>327</v>
      </c>
      <c r="B328" s="34" t="s">
        <v>643</v>
      </c>
      <c r="C328" s="33" t="s">
        <v>346</v>
      </c>
      <c r="D328" s="33" t="s">
        <v>107</v>
      </c>
      <c r="E328" s="33" t="s">
        <v>638</v>
      </c>
      <c r="F328" s="35">
        <v>0.25</v>
      </c>
      <c r="G328" s="40"/>
      <c r="H328" s="40"/>
    </row>
    <row r="329" spans="1:8" hidden="1" x14ac:dyDescent="0.35">
      <c r="A329" s="33">
        <v>328</v>
      </c>
      <c r="B329" s="34" t="s">
        <v>644</v>
      </c>
      <c r="C329" s="33" t="s">
        <v>346</v>
      </c>
      <c r="D329" s="33" t="s">
        <v>107</v>
      </c>
      <c r="E329" s="33" t="s">
        <v>638</v>
      </c>
      <c r="F329" s="35">
        <v>0.25</v>
      </c>
      <c r="G329" s="40"/>
      <c r="H329" s="40"/>
    </row>
    <row r="330" spans="1:8" hidden="1" x14ac:dyDescent="0.35">
      <c r="A330" s="33">
        <v>329</v>
      </c>
      <c r="B330" s="34" t="s">
        <v>645</v>
      </c>
      <c r="C330" s="33" t="s">
        <v>346</v>
      </c>
      <c r="D330" s="33" t="s">
        <v>107</v>
      </c>
      <c r="E330" s="33" t="s">
        <v>638</v>
      </c>
      <c r="F330" s="35">
        <v>0.1</v>
      </c>
      <c r="G330" s="40"/>
      <c r="H330" s="40"/>
    </row>
    <row r="331" spans="1:8" hidden="1" x14ac:dyDescent="0.35">
      <c r="A331" s="33">
        <v>330</v>
      </c>
      <c r="B331" s="34" t="s">
        <v>646</v>
      </c>
      <c r="C331" s="33" t="s">
        <v>346</v>
      </c>
      <c r="D331" s="33" t="s">
        <v>107</v>
      </c>
      <c r="E331" s="33" t="s">
        <v>638</v>
      </c>
      <c r="F331" s="35">
        <v>0.25</v>
      </c>
      <c r="G331" s="40"/>
      <c r="H331" s="40"/>
    </row>
    <row r="332" spans="1:8" hidden="1" x14ac:dyDescent="0.35">
      <c r="A332" s="33">
        <v>331</v>
      </c>
      <c r="B332" s="34" t="s">
        <v>647</v>
      </c>
      <c r="C332" s="33" t="s">
        <v>346</v>
      </c>
      <c r="D332" s="33" t="s">
        <v>107</v>
      </c>
      <c r="E332" s="33" t="s">
        <v>638</v>
      </c>
      <c r="F332" s="35">
        <v>0.25</v>
      </c>
      <c r="G332" s="40"/>
      <c r="H332" s="40"/>
    </row>
    <row r="333" spans="1:8" hidden="1" x14ac:dyDescent="0.35">
      <c r="A333" s="33">
        <v>332</v>
      </c>
      <c r="B333" s="34" t="s">
        <v>648</v>
      </c>
      <c r="C333" s="33" t="s">
        <v>346</v>
      </c>
      <c r="D333" s="33" t="s">
        <v>107</v>
      </c>
      <c r="E333" s="33" t="s">
        <v>638</v>
      </c>
      <c r="F333" s="35">
        <v>0.2</v>
      </c>
      <c r="G333" s="40"/>
      <c r="H333" s="40"/>
    </row>
    <row r="334" spans="1:8" hidden="1" x14ac:dyDescent="0.35">
      <c r="A334" s="33">
        <v>333</v>
      </c>
      <c r="B334" s="34" t="s">
        <v>649</v>
      </c>
      <c r="C334" s="33" t="s">
        <v>346</v>
      </c>
      <c r="D334" s="33" t="s">
        <v>107</v>
      </c>
      <c r="E334" s="33" t="s">
        <v>638</v>
      </c>
      <c r="F334" s="35">
        <v>0.3</v>
      </c>
      <c r="G334" s="40"/>
      <c r="H334" s="40"/>
    </row>
    <row r="335" spans="1:8" hidden="1" x14ac:dyDescent="0.35">
      <c r="A335" s="33">
        <v>334</v>
      </c>
      <c r="B335" s="34" t="s">
        <v>650</v>
      </c>
      <c r="C335" s="33" t="s">
        <v>346</v>
      </c>
      <c r="D335" s="33" t="s">
        <v>107</v>
      </c>
      <c r="E335" s="33" t="s">
        <v>638</v>
      </c>
      <c r="F335" s="35">
        <v>0.1</v>
      </c>
      <c r="G335" s="40"/>
      <c r="H335" s="40"/>
    </row>
    <row r="336" spans="1:8" hidden="1" x14ac:dyDescent="0.35">
      <c r="A336" s="33">
        <v>335</v>
      </c>
      <c r="B336" s="34" t="s">
        <v>651</v>
      </c>
      <c r="C336" s="33" t="s">
        <v>346</v>
      </c>
      <c r="D336" s="33" t="s">
        <v>107</v>
      </c>
      <c r="E336" s="33" t="s">
        <v>638</v>
      </c>
      <c r="F336" s="35">
        <v>1</v>
      </c>
      <c r="G336" s="40"/>
      <c r="H336" s="40"/>
    </row>
    <row r="337" spans="1:9" hidden="1" x14ac:dyDescent="0.35">
      <c r="A337" s="33">
        <v>336</v>
      </c>
      <c r="B337" s="34" t="s">
        <v>652</v>
      </c>
      <c r="C337" s="33" t="s">
        <v>346</v>
      </c>
      <c r="D337" s="33" t="s">
        <v>107</v>
      </c>
      <c r="E337" s="33" t="s">
        <v>638</v>
      </c>
      <c r="F337" s="35">
        <v>1</v>
      </c>
      <c r="G337" s="40"/>
      <c r="H337" s="40"/>
    </row>
    <row r="338" spans="1:9" hidden="1" x14ac:dyDescent="0.35">
      <c r="A338" s="33">
        <v>337</v>
      </c>
      <c r="B338" s="34" t="s">
        <v>653</v>
      </c>
      <c r="C338" s="33" t="s">
        <v>346</v>
      </c>
      <c r="D338" s="33" t="s">
        <v>107</v>
      </c>
      <c r="E338" s="33" t="s">
        <v>638</v>
      </c>
      <c r="F338" s="35">
        <v>0.1</v>
      </c>
      <c r="G338" s="40"/>
      <c r="H338" s="40"/>
    </row>
    <row r="339" spans="1:9" hidden="1" x14ac:dyDescent="0.35">
      <c r="A339" s="33">
        <v>338</v>
      </c>
      <c r="B339" s="34" t="s">
        <v>654</v>
      </c>
      <c r="C339" s="33" t="s">
        <v>346</v>
      </c>
      <c r="D339" s="33" t="s">
        <v>107</v>
      </c>
      <c r="E339" s="33" t="s">
        <v>638</v>
      </c>
      <c r="F339" s="35">
        <v>0.1</v>
      </c>
      <c r="G339" s="40"/>
      <c r="H339" s="40"/>
    </row>
    <row r="340" spans="1:9" hidden="1" x14ac:dyDescent="0.35">
      <c r="A340" s="33">
        <v>339</v>
      </c>
      <c r="B340" s="34" t="s">
        <v>655</v>
      </c>
      <c r="C340" s="33" t="s">
        <v>346</v>
      </c>
      <c r="D340" s="33" t="s">
        <v>107</v>
      </c>
      <c r="E340" s="33" t="s">
        <v>638</v>
      </c>
      <c r="F340" s="35">
        <v>0.23</v>
      </c>
      <c r="G340" s="40"/>
      <c r="H340" s="40"/>
    </row>
    <row r="341" spans="1:9" hidden="1" x14ac:dyDescent="0.35">
      <c r="A341" s="33">
        <v>340</v>
      </c>
      <c r="B341" s="34" t="s">
        <v>656</v>
      </c>
      <c r="C341" s="33" t="s">
        <v>346</v>
      </c>
      <c r="D341" s="33" t="s">
        <v>107</v>
      </c>
      <c r="E341" s="33" t="s">
        <v>638</v>
      </c>
      <c r="F341" s="35">
        <v>0.1</v>
      </c>
      <c r="G341" s="40"/>
      <c r="H341" s="40"/>
    </row>
    <row r="342" spans="1:9" hidden="1" x14ac:dyDescent="0.35">
      <c r="A342" s="33">
        <v>341</v>
      </c>
      <c r="B342" s="34" t="s">
        <v>657</v>
      </c>
      <c r="C342" s="33" t="s">
        <v>346</v>
      </c>
      <c r="D342" s="33" t="s">
        <v>107</v>
      </c>
      <c r="E342" s="33" t="s">
        <v>638</v>
      </c>
      <c r="F342" s="35">
        <v>1</v>
      </c>
      <c r="G342" s="40"/>
      <c r="H342" s="40"/>
    </row>
    <row r="343" spans="1:9" hidden="1" x14ac:dyDescent="0.35">
      <c r="A343" s="33">
        <v>342</v>
      </c>
      <c r="B343" s="34" t="s">
        <v>658</v>
      </c>
      <c r="C343" s="33" t="s">
        <v>346</v>
      </c>
      <c r="D343" s="33" t="s">
        <v>107</v>
      </c>
      <c r="E343" s="33" t="s">
        <v>638</v>
      </c>
      <c r="F343" s="35">
        <v>0.2</v>
      </c>
      <c r="G343" s="40"/>
      <c r="H343" s="40"/>
    </row>
    <row r="344" spans="1:9" hidden="1" x14ac:dyDescent="0.35">
      <c r="A344" s="33">
        <v>343</v>
      </c>
      <c r="B344" s="34" t="s">
        <v>659</v>
      </c>
      <c r="C344" s="33" t="s">
        <v>346</v>
      </c>
      <c r="D344" s="33" t="s">
        <v>107</v>
      </c>
      <c r="E344" s="33" t="s">
        <v>638</v>
      </c>
      <c r="F344" s="35">
        <v>0.5</v>
      </c>
      <c r="G344" s="40"/>
      <c r="H344" s="40"/>
    </row>
    <row r="345" spans="1:9" hidden="1" x14ac:dyDescent="0.35">
      <c r="A345" s="33">
        <v>344</v>
      </c>
      <c r="B345" s="34" t="s">
        <v>660</v>
      </c>
      <c r="C345" s="33" t="s">
        <v>297</v>
      </c>
      <c r="D345" s="33" t="s">
        <v>17</v>
      </c>
      <c r="E345" s="33" t="s">
        <v>661</v>
      </c>
      <c r="F345" s="35">
        <v>1</v>
      </c>
      <c r="G345" s="40"/>
      <c r="H345" s="40"/>
    </row>
    <row r="346" spans="1:9" hidden="1" x14ac:dyDescent="0.35">
      <c r="A346" s="33">
        <v>345</v>
      </c>
      <c r="B346" s="34" t="s">
        <v>662</v>
      </c>
      <c r="C346" s="33" t="s">
        <v>297</v>
      </c>
      <c r="D346" s="33" t="s">
        <v>17</v>
      </c>
      <c r="E346" s="33" t="s">
        <v>661</v>
      </c>
      <c r="F346" s="35">
        <v>1</v>
      </c>
      <c r="G346" s="40"/>
      <c r="H346" s="40"/>
    </row>
    <row r="347" spans="1:9" hidden="1" x14ac:dyDescent="0.35">
      <c r="A347" s="33">
        <v>346</v>
      </c>
      <c r="B347" s="34" t="s">
        <v>663</v>
      </c>
      <c r="C347" s="33" t="s">
        <v>297</v>
      </c>
      <c r="D347" s="33" t="s">
        <v>17</v>
      </c>
      <c r="E347" s="33" t="s">
        <v>661</v>
      </c>
      <c r="F347" s="35">
        <v>1</v>
      </c>
      <c r="G347" s="40"/>
      <c r="H347" s="40"/>
    </row>
    <row r="348" spans="1:9" x14ac:dyDescent="0.35">
      <c r="A348" s="33">
        <v>347</v>
      </c>
      <c r="B348" s="34" t="s">
        <v>664</v>
      </c>
      <c r="C348" s="33" t="s">
        <v>297</v>
      </c>
      <c r="D348" s="33" t="s">
        <v>17</v>
      </c>
      <c r="E348" s="33" t="s">
        <v>661</v>
      </c>
      <c r="F348" s="35">
        <v>1</v>
      </c>
      <c r="G348" s="40"/>
      <c r="H348" s="40">
        <f>3.5+10</f>
        <v>13.5</v>
      </c>
      <c r="I348" s="40" t="s">
        <v>2303</v>
      </c>
    </row>
    <row r="349" spans="1:9" hidden="1" x14ac:dyDescent="0.35">
      <c r="A349" s="41">
        <v>348</v>
      </c>
      <c r="B349" s="42" t="s">
        <v>665</v>
      </c>
      <c r="C349" s="41" t="s">
        <v>297</v>
      </c>
      <c r="D349" s="41" t="s">
        <v>17</v>
      </c>
      <c r="E349" s="41" t="s">
        <v>666</v>
      </c>
      <c r="F349" s="43">
        <v>1</v>
      </c>
      <c r="G349" s="44"/>
      <c r="H349" s="44"/>
    </row>
    <row r="350" spans="1:9" hidden="1" x14ac:dyDescent="0.35">
      <c r="A350" s="33">
        <v>349</v>
      </c>
      <c r="B350" s="34" t="s">
        <v>667</v>
      </c>
      <c r="C350" s="33" t="s">
        <v>297</v>
      </c>
      <c r="D350" s="33" t="s">
        <v>17</v>
      </c>
      <c r="E350" s="33" t="s">
        <v>666</v>
      </c>
      <c r="F350" s="35">
        <v>1</v>
      </c>
      <c r="G350" s="40"/>
      <c r="H350" s="40"/>
    </row>
    <row r="351" spans="1:9" hidden="1" x14ac:dyDescent="0.35">
      <c r="A351" s="33">
        <v>350</v>
      </c>
      <c r="B351" s="34" t="s">
        <v>668</v>
      </c>
      <c r="C351" s="33" t="s">
        <v>297</v>
      </c>
      <c r="D351" s="33" t="s">
        <v>17</v>
      </c>
      <c r="E351" s="33" t="s">
        <v>666</v>
      </c>
      <c r="F351" s="35">
        <v>1</v>
      </c>
      <c r="G351" s="40"/>
      <c r="H351" s="40"/>
    </row>
    <row r="352" spans="1:9" hidden="1" x14ac:dyDescent="0.35">
      <c r="A352" s="33">
        <v>351</v>
      </c>
      <c r="B352" s="34" t="s">
        <v>669</v>
      </c>
      <c r="C352" s="33" t="s">
        <v>297</v>
      </c>
      <c r="D352" s="33" t="s">
        <v>17</v>
      </c>
      <c r="E352" s="33" t="s">
        <v>666</v>
      </c>
      <c r="F352" s="35">
        <v>1</v>
      </c>
      <c r="G352" s="40"/>
      <c r="H352" s="40"/>
    </row>
    <row r="353" spans="1:9" hidden="1" x14ac:dyDescent="0.35">
      <c r="A353" s="33">
        <v>352</v>
      </c>
      <c r="B353" s="34" t="s">
        <v>670</v>
      </c>
      <c r="C353" s="33" t="s">
        <v>297</v>
      </c>
      <c r="D353" s="33" t="s">
        <v>17</v>
      </c>
      <c r="E353" s="33" t="s">
        <v>666</v>
      </c>
      <c r="F353" s="35">
        <v>1</v>
      </c>
      <c r="G353" s="40"/>
      <c r="H353" s="40"/>
    </row>
    <row r="354" spans="1:9" hidden="1" x14ac:dyDescent="0.35">
      <c r="A354" s="33">
        <v>353</v>
      </c>
      <c r="B354" s="34" t="s">
        <v>671</v>
      </c>
      <c r="C354" s="33" t="s">
        <v>297</v>
      </c>
      <c r="D354" s="33" t="s">
        <v>17</v>
      </c>
      <c r="E354" s="33" t="s">
        <v>666</v>
      </c>
      <c r="F354" s="35">
        <v>1</v>
      </c>
      <c r="G354" s="40"/>
      <c r="H354" s="40"/>
    </row>
    <row r="355" spans="1:9" x14ac:dyDescent="0.35">
      <c r="A355" s="33">
        <v>354</v>
      </c>
      <c r="B355" s="34" t="s">
        <v>672</v>
      </c>
      <c r="C355" s="33" t="s">
        <v>297</v>
      </c>
      <c r="D355" s="33" t="s">
        <v>17</v>
      </c>
      <c r="E355" s="33" t="s">
        <v>666</v>
      </c>
      <c r="F355" s="35">
        <v>1</v>
      </c>
      <c r="G355" s="40"/>
      <c r="H355" s="40">
        <v>10</v>
      </c>
      <c r="I355" s="40" t="s">
        <v>2303</v>
      </c>
    </row>
    <row r="356" spans="1:9" hidden="1" x14ac:dyDescent="0.35">
      <c r="A356" s="41">
        <v>355</v>
      </c>
      <c r="B356" s="42" t="s">
        <v>673</v>
      </c>
      <c r="C356" s="41" t="s">
        <v>297</v>
      </c>
      <c r="D356" s="41" t="s">
        <v>17</v>
      </c>
      <c r="E356" s="41" t="s">
        <v>666</v>
      </c>
      <c r="F356" s="43">
        <v>1</v>
      </c>
      <c r="G356" s="44"/>
      <c r="H356" s="44"/>
    </row>
    <row r="357" spans="1:9" hidden="1" x14ac:dyDescent="0.35">
      <c r="A357" s="33">
        <v>356</v>
      </c>
      <c r="B357" s="34" t="s">
        <v>674</v>
      </c>
      <c r="C357" s="33" t="s">
        <v>297</v>
      </c>
      <c r="D357" s="33" t="s">
        <v>17</v>
      </c>
      <c r="E357" s="33" t="s">
        <v>666</v>
      </c>
      <c r="F357" s="35">
        <v>1</v>
      </c>
      <c r="G357" s="40"/>
      <c r="H357" s="40"/>
    </row>
    <row r="358" spans="1:9" hidden="1" x14ac:dyDescent="0.35">
      <c r="A358" s="33">
        <v>357</v>
      </c>
      <c r="B358" s="34" t="s">
        <v>675</v>
      </c>
      <c r="C358" s="33" t="s">
        <v>297</v>
      </c>
      <c r="D358" s="33" t="s">
        <v>17</v>
      </c>
      <c r="E358" s="33" t="s">
        <v>666</v>
      </c>
      <c r="F358" s="35">
        <v>1</v>
      </c>
      <c r="G358" s="40"/>
      <c r="H358" s="40"/>
    </row>
    <row r="359" spans="1:9" hidden="1" x14ac:dyDescent="0.35">
      <c r="A359" s="33">
        <v>358</v>
      </c>
      <c r="B359" s="34" t="s">
        <v>676</v>
      </c>
      <c r="C359" s="33" t="s">
        <v>297</v>
      </c>
      <c r="D359" s="33" t="s">
        <v>17</v>
      </c>
      <c r="E359" s="33" t="s">
        <v>666</v>
      </c>
      <c r="F359" s="35">
        <v>1</v>
      </c>
      <c r="G359" s="40"/>
      <c r="H359" s="40"/>
    </row>
    <row r="360" spans="1:9" hidden="1" x14ac:dyDescent="0.35">
      <c r="A360" s="33">
        <v>359</v>
      </c>
      <c r="B360" s="34" t="s">
        <v>677</v>
      </c>
      <c r="C360" s="33" t="s">
        <v>297</v>
      </c>
      <c r="D360" s="33" t="s">
        <v>17</v>
      </c>
      <c r="E360" s="33" t="s">
        <v>344</v>
      </c>
      <c r="F360" s="35">
        <v>1</v>
      </c>
      <c r="G360" s="40"/>
      <c r="H360" s="40"/>
    </row>
    <row r="361" spans="1:9" hidden="1" x14ac:dyDescent="0.35">
      <c r="A361" s="33">
        <v>360</v>
      </c>
      <c r="B361" s="34" t="s">
        <v>678</v>
      </c>
      <c r="C361" s="33" t="s">
        <v>346</v>
      </c>
      <c r="D361" s="33" t="s">
        <v>17</v>
      </c>
      <c r="E361" s="33" t="s">
        <v>661</v>
      </c>
      <c r="F361" s="35">
        <v>1</v>
      </c>
      <c r="G361" s="40"/>
      <c r="H361" s="40"/>
    </row>
    <row r="362" spans="1:9" hidden="1" x14ac:dyDescent="0.35">
      <c r="A362" s="33">
        <v>361</v>
      </c>
      <c r="B362" s="34" t="s">
        <v>679</v>
      </c>
      <c r="C362" s="33" t="s">
        <v>346</v>
      </c>
      <c r="D362" s="33" t="s">
        <v>17</v>
      </c>
      <c r="E362" s="33" t="s">
        <v>661</v>
      </c>
      <c r="F362" s="35">
        <v>0.2</v>
      </c>
      <c r="G362" s="40"/>
      <c r="H362" s="40"/>
    </row>
    <row r="363" spans="1:9" hidden="1" x14ac:dyDescent="0.35">
      <c r="A363" s="33">
        <v>362</v>
      </c>
      <c r="B363" s="34" t="s">
        <v>680</v>
      </c>
      <c r="C363" s="33" t="s">
        <v>346</v>
      </c>
      <c r="D363" s="33" t="s">
        <v>17</v>
      </c>
      <c r="E363" s="33" t="s">
        <v>661</v>
      </c>
      <c r="F363" s="35">
        <v>0.2</v>
      </c>
      <c r="G363" s="40"/>
      <c r="H363" s="40"/>
    </row>
    <row r="364" spans="1:9" hidden="1" x14ac:dyDescent="0.35">
      <c r="A364" s="33">
        <v>363</v>
      </c>
      <c r="B364" s="34" t="s">
        <v>681</v>
      </c>
      <c r="C364" s="33" t="s">
        <v>346</v>
      </c>
      <c r="D364" s="33" t="s">
        <v>17</v>
      </c>
      <c r="E364" s="33" t="s">
        <v>661</v>
      </c>
      <c r="F364" s="35">
        <v>1</v>
      </c>
      <c r="G364" s="40"/>
      <c r="H364" s="40"/>
    </row>
    <row r="365" spans="1:9" hidden="1" x14ac:dyDescent="0.35">
      <c r="A365" s="33">
        <v>364</v>
      </c>
      <c r="B365" s="34" t="s">
        <v>682</v>
      </c>
      <c r="C365" s="33" t="s">
        <v>346</v>
      </c>
      <c r="D365" s="33" t="s">
        <v>17</v>
      </c>
      <c r="E365" s="33" t="s">
        <v>666</v>
      </c>
      <c r="F365" s="35">
        <v>1</v>
      </c>
      <c r="G365" s="40"/>
      <c r="H365" s="40"/>
    </row>
    <row r="366" spans="1:9" hidden="1" x14ac:dyDescent="0.35">
      <c r="A366" s="33">
        <v>365</v>
      </c>
      <c r="B366" s="34" t="s">
        <v>683</v>
      </c>
      <c r="C366" s="33" t="s">
        <v>346</v>
      </c>
      <c r="D366" s="33" t="s">
        <v>17</v>
      </c>
      <c r="E366" s="33" t="s">
        <v>666</v>
      </c>
      <c r="F366" s="35">
        <v>1</v>
      </c>
      <c r="G366" s="40"/>
      <c r="H366" s="40"/>
    </row>
    <row r="367" spans="1:9" x14ac:dyDescent="0.35">
      <c r="A367" s="33">
        <v>366</v>
      </c>
      <c r="B367" s="34" t="s">
        <v>216</v>
      </c>
      <c r="C367" s="33" t="s">
        <v>346</v>
      </c>
      <c r="D367" s="33" t="s">
        <v>17</v>
      </c>
      <c r="E367" s="33" t="s">
        <v>666</v>
      </c>
      <c r="F367" s="35">
        <v>1</v>
      </c>
      <c r="G367" s="40"/>
      <c r="H367" s="40">
        <v>40.15</v>
      </c>
      <c r="I367" s="40" t="s">
        <v>2303</v>
      </c>
    </row>
    <row r="368" spans="1:9" hidden="1" x14ac:dyDescent="0.35">
      <c r="A368" s="41">
        <v>367</v>
      </c>
      <c r="B368" s="42" t="s">
        <v>684</v>
      </c>
      <c r="C368" s="41" t="s">
        <v>346</v>
      </c>
      <c r="D368" s="41" t="s">
        <v>17</v>
      </c>
      <c r="E368" s="41" t="s">
        <v>666</v>
      </c>
      <c r="F368" s="43">
        <v>1</v>
      </c>
      <c r="G368" s="44"/>
      <c r="H368" s="44"/>
    </row>
    <row r="369" spans="1:8" hidden="1" x14ac:dyDescent="0.35">
      <c r="A369" s="33">
        <v>368</v>
      </c>
      <c r="B369" s="34" t="s">
        <v>685</v>
      </c>
      <c r="C369" s="33" t="s">
        <v>346</v>
      </c>
      <c r="D369" s="33" t="s">
        <v>17</v>
      </c>
      <c r="E369" s="33" t="s">
        <v>666</v>
      </c>
      <c r="F369" s="35">
        <v>0.23</v>
      </c>
      <c r="G369" s="40"/>
      <c r="H369" s="40"/>
    </row>
    <row r="370" spans="1:8" hidden="1" x14ac:dyDescent="0.35">
      <c r="A370" s="33">
        <v>369</v>
      </c>
      <c r="B370" s="34" t="s">
        <v>686</v>
      </c>
      <c r="C370" s="33" t="s">
        <v>346</v>
      </c>
      <c r="D370" s="33" t="s">
        <v>17</v>
      </c>
      <c r="E370" s="33" t="s">
        <v>666</v>
      </c>
      <c r="F370" s="35">
        <v>0.25</v>
      </c>
      <c r="G370" s="40"/>
      <c r="H370" s="40"/>
    </row>
    <row r="371" spans="1:8" hidden="1" x14ac:dyDescent="0.35">
      <c r="A371" s="33">
        <v>370</v>
      </c>
      <c r="B371" s="34" t="s">
        <v>687</v>
      </c>
      <c r="C371" s="33" t="s">
        <v>346</v>
      </c>
      <c r="D371" s="33" t="s">
        <v>17</v>
      </c>
      <c r="E371" s="33" t="s">
        <v>666</v>
      </c>
      <c r="F371" s="35">
        <v>0.25</v>
      </c>
      <c r="G371" s="40"/>
      <c r="H371" s="40"/>
    </row>
    <row r="372" spans="1:8" hidden="1" x14ac:dyDescent="0.35">
      <c r="A372" s="33">
        <v>371</v>
      </c>
      <c r="B372" s="34" t="s">
        <v>688</v>
      </c>
      <c r="C372" s="33" t="s">
        <v>346</v>
      </c>
      <c r="D372" s="33" t="s">
        <v>17</v>
      </c>
      <c r="E372" s="33" t="s">
        <v>666</v>
      </c>
      <c r="F372" s="35">
        <v>0.5</v>
      </c>
      <c r="G372" s="40"/>
      <c r="H372" s="40"/>
    </row>
    <row r="373" spans="1:8" hidden="1" x14ac:dyDescent="0.35">
      <c r="A373" s="33">
        <v>372</v>
      </c>
      <c r="B373" s="34" t="s">
        <v>689</v>
      </c>
      <c r="C373" s="33" t="s">
        <v>346</v>
      </c>
      <c r="D373" s="33" t="s">
        <v>17</v>
      </c>
      <c r="E373" s="33" t="s">
        <v>666</v>
      </c>
      <c r="F373" s="35">
        <v>0.25</v>
      </c>
      <c r="G373" s="40"/>
      <c r="H373" s="40"/>
    </row>
    <row r="374" spans="1:8" hidden="1" x14ac:dyDescent="0.35">
      <c r="A374" s="33">
        <v>373</v>
      </c>
      <c r="B374" s="34" t="s">
        <v>690</v>
      </c>
      <c r="C374" s="33" t="s">
        <v>346</v>
      </c>
      <c r="D374" s="33" t="s">
        <v>17</v>
      </c>
      <c r="E374" s="33" t="s">
        <v>666</v>
      </c>
      <c r="F374" s="35">
        <v>0.5</v>
      </c>
      <c r="G374" s="40"/>
      <c r="H374" s="40"/>
    </row>
    <row r="375" spans="1:8" hidden="1" x14ac:dyDescent="0.35">
      <c r="A375" s="33">
        <v>374</v>
      </c>
      <c r="B375" s="34" t="s">
        <v>691</v>
      </c>
      <c r="C375" s="33" t="s">
        <v>346</v>
      </c>
      <c r="D375" s="33" t="s">
        <v>17</v>
      </c>
      <c r="E375" s="33" t="s">
        <v>666</v>
      </c>
      <c r="F375" s="35">
        <v>0.25</v>
      </c>
      <c r="G375" s="40"/>
      <c r="H375" s="40"/>
    </row>
    <row r="376" spans="1:8" hidden="1" x14ac:dyDescent="0.35">
      <c r="A376" s="33">
        <v>375</v>
      </c>
      <c r="B376" s="34" t="s">
        <v>692</v>
      </c>
      <c r="C376" s="33" t="s">
        <v>346</v>
      </c>
      <c r="D376" s="33" t="s">
        <v>17</v>
      </c>
      <c r="E376" s="33" t="s">
        <v>666</v>
      </c>
      <c r="F376" s="35">
        <v>0.5</v>
      </c>
      <c r="G376" s="40"/>
      <c r="H376" s="40"/>
    </row>
    <row r="377" spans="1:8" hidden="1" x14ac:dyDescent="0.35">
      <c r="A377" s="33">
        <v>376</v>
      </c>
      <c r="B377" s="34" t="s">
        <v>693</v>
      </c>
      <c r="C377" s="33" t="s">
        <v>346</v>
      </c>
      <c r="D377" s="33" t="s">
        <v>17</v>
      </c>
      <c r="E377" s="33" t="s">
        <v>666</v>
      </c>
      <c r="F377" s="35">
        <v>0.25</v>
      </c>
      <c r="G377" s="40"/>
      <c r="H377" s="40"/>
    </row>
    <row r="378" spans="1:8" hidden="1" x14ac:dyDescent="0.35">
      <c r="A378" s="33">
        <v>377</v>
      </c>
      <c r="B378" s="34" t="s">
        <v>694</v>
      </c>
      <c r="C378" s="33" t="s">
        <v>346</v>
      </c>
      <c r="D378" s="33" t="s">
        <v>17</v>
      </c>
      <c r="E378" s="33" t="s">
        <v>666</v>
      </c>
      <c r="F378" s="35">
        <v>0.25</v>
      </c>
      <c r="G378" s="40"/>
      <c r="H378" s="40"/>
    </row>
    <row r="379" spans="1:8" hidden="1" x14ac:dyDescent="0.35">
      <c r="A379" s="33">
        <v>378</v>
      </c>
      <c r="B379" s="34" t="s">
        <v>695</v>
      </c>
      <c r="C379" s="33" t="s">
        <v>346</v>
      </c>
      <c r="D379" s="33" t="s">
        <v>17</v>
      </c>
      <c r="E379" s="33" t="s">
        <v>666</v>
      </c>
      <c r="F379" s="35">
        <v>0.25</v>
      </c>
      <c r="G379" s="40"/>
      <c r="H379" s="40"/>
    </row>
    <row r="380" spans="1:8" hidden="1" x14ac:dyDescent="0.35">
      <c r="A380" s="33">
        <v>379</v>
      </c>
      <c r="B380" s="34" t="s">
        <v>696</v>
      </c>
      <c r="C380" s="33" t="s">
        <v>346</v>
      </c>
      <c r="D380" s="33" t="s">
        <v>17</v>
      </c>
      <c r="E380" s="33" t="s">
        <v>666</v>
      </c>
      <c r="F380" s="35">
        <v>0.25</v>
      </c>
      <c r="G380" s="40"/>
      <c r="H380" s="40"/>
    </row>
    <row r="381" spans="1:8" hidden="1" x14ac:dyDescent="0.35">
      <c r="A381" s="33">
        <v>380</v>
      </c>
      <c r="B381" s="34" t="s">
        <v>697</v>
      </c>
      <c r="C381" s="33" t="s">
        <v>346</v>
      </c>
      <c r="D381" s="33" t="s">
        <v>17</v>
      </c>
      <c r="E381" s="33" t="s">
        <v>666</v>
      </c>
      <c r="F381" s="35">
        <v>0.1</v>
      </c>
      <c r="G381" s="40"/>
      <c r="H381" s="40"/>
    </row>
    <row r="382" spans="1:8" hidden="1" x14ac:dyDescent="0.35">
      <c r="A382" s="33">
        <v>381</v>
      </c>
      <c r="B382" s="34" t="s">
        <v>698</v>
      </c>
      <c r="C382" s="33" t="s">
        <v>346</v>
      </c>
      <c r="D382" s="33" t="s">
        <v>17</v>
      </c>
      <c r="E382" s="33" t="s">
        <v>666</v>
      </c>
      <c r="F382" s="35">
        <v>0.2</v>
      </c>
      <c r="G382" s="40"/>
      <c r="H382" s="40"/>
    </row>
    <row r="383" spans="1:8" hidden="1" x14ac:dyDescent="0.35">
      <c r="A383" s="33">
        <v>382</v>
      </c>
      <c r="B383" s="34" t="s">
        <v>699</v>
      </c>
      <c r="C383" s="33" t="s">
        <v>346</v>
      </c>
      <c r="D383" s="33" t="s">
        <v>17</v>
      </c>
      <c r="E383" s="33" t="s">
        <v>666</v>
      </c>
      <c r="F383" s="35">
        <v>0.2</v>
      </c>
      <c r="G383" s="40"/>
      <c r="H383" s="40"/>
    </row>
    <row r="384" spans="1:8" hidden="1" x14ac:dyDescent="0.35">
      <c r="A384" s="33">
        <v>383</v>
      </c>
      <c r="B384" s="34" t="s">
        <v>700</v>
      </c>
      <c r="C384" s="33" t="s">
        <v>346</v>
      </c>
      <c r="D384" s="33" t="s">
        <v>17</v>
      </c>
      <c r="E384" s="33" t="s">
        <v>666</v>
      </c>
      <c r="F384" s="35">
        <v>0.25</v>
      </c>
      <c r="G384" s="40"/>
      <c r="H384" s="40"/>
    </row>
    <row r="385" spans="1:8" hidden="1" x14ac:dyDescent="0.35">
      <c r="A385" s="33">
        <v>384</v>
      </c>
      <c r="B385" s="34" t="s">
        <v>701</v>
      </c>
      <c r="C385" s="33" t="s">
        <v>346</v>
      </c>
      <c r="D385" s="33" t="s">
        <v>17</v>
      </c>
      <c r="E385" s="33" t="s">
        <v>666</v>
      </c>
      <c r="F385" s="35">
        <v>0.25</v>
      </c>
      <c r="G385" s="40"/>
      <c r="H385" s="40"/>
    </row>
    <row r="386" spans="1:8" hidden="1" x14ac:dyDescent="0.35">
      <c r="A386" s="33">
        <v>385</v>
      </c>
      <c r="B386" s="34" t="s">
        <v>702</v>
      </c>
      <c r="C386" s="33" t="s">
        <v>346</v>
      </c>
      <c r="D386" s="33" t="s">
        <v>17</v>
      </c>
      <c r="E386" s="33" t="s">
        <v>666</v>
      </c>
      <c r="F386" s="35">
        <v>0.1</v>
      </c>
      <c r="G386" s="40"/>
      <c r="H386" s="40"/>
    </row>
    <row r="387" spans="1:8" hidden="1" x14ac:dyDescent="0.35">
      <c r="A387" s="33">
        <v>386</v>
      </c>
      <c r="B387" s="34" t="s">
        <v>703</v>
      </c>
      <c r="C387" s="33" t="s">
        <v>346</v>
      </c>
      <c r="D387" s="33" t="s">
        <v>17</v>
      </c>
      <c r="E387" s="33" t="s">
        <v>666</v>
      </c>
      <c r="F387" s="35">
        <v>0.23</v>
      </c>
      <c r="G387" s="40"/>
      <c r="H387" s="40"/>
    </row>
    <row r="388" spans="1:8" hidden="1" x14ac:dyDescent="0.35">
      <c r="A388" s="33">
        <v>387</v>
      </c>
      <c r="B388" s="34" t="s">
        <v>704</v>
      </c>
      <c r="C388" s="33" t="s">
        <v>346</v>
      </c>
      <c r="D388" s="33" t="s">
        <v>17</v>
      </c>
      <c r="E388" s="33" t="s">
        <v>666</v>
      </c>
      <c r="F388" s="35">
        <v>0.2</v>
      </c>
      <c r="G388" s="40"/>
      <c r="H388" s="40"/>
    </row>
    <row r="389" spans="1:8" hidden="1" x14ac:dyDescent="0.35">
      <c r="A389" s="33">
        <v>388</v>
      </c>
      <c r="B389" s="34" t="s">
        <v>705</v>
      </c>
      <c r="C389" s="33" t="s">
        <v>346</v>
      </c>
      <c r="D389" s="33" t="s">
        <v>17</v>
      </c>
      <c r="E389" s="33" t="s">
        <v>666</v>
      </c>
      <c r="F389" s="35">
        <v>0.25</v>
      </c>
      <c r="G389" s="40"/>
      <c r="H389" s="40"/>
    </row>
    <row r="390" spans="1:8" hidden="1" x14ac:dyDescent="0.35">
      <c r="A390" s="33">
        <v>389</v>
      </c>
      <c r="B390" s="34" t="s">
        <v>706</v>
      </c>
      <c r="C390" s="33" t="s">
        <v>346</v>
      </c>
      <c r="D390" s="33" t="s">
        <v>17</v>
      </c>
      <c r="E390" s="33" t="s">
        <v>666</v>
      </c>
      <c r="F390" s="35">
        <v>1</v>
      </c>
      <c r="G390" s="40"/>
      <c r="H390" s="40"/>
    </row>
    <row r="391" spans="1:8" hidden="1" x14ac:dyDescent="0.35">
      <c r="A391" s="33">
        <v>390</v>
      </c>
      <c r="B391" s="34" t="s">
        <v>707</v>
      </c>
      <c r="C391" s="33" t="s">
        <v>346</v>
      </c>
      <c r="D391" s="33" t="s">
        <v>17</v>
      </c>
      <c r="E391" s="33" t="s">
        <v>666</v>
      </c>
      <c r="F391" s="35">
        <v>0.1</v>
      </c>
      <c r="G391" s="40"/>
      <c r="H391" s="40"/>
    </row>
    <row r="392" spans="1:8" hidden="1" x14ac:dyDescent="0.35">
      <c r="A392" s="33">
        <v>391</v>
      </c>
      <c r="B392" s="34" t="s">
        <v>708</v>
      </c>
      <c r="C392" s="33" t="s">
        <v>346</v>
      </c>
      <c r="D392" s="33" t="s">
        <v>17</v>
      </c>
      <c r="E392" s="33" t="s">
        <v>666</v>
      </c>
      <c r="F392" s="35">
        <v>0.125</v>
      </c>
      <c r="G392" s="40"/>
      <c r="H392" s="40"/>
    </row>
    <row r="393" spans="1:8" hidden="1" x14ac:dyDescent="0.35">
      <c r="A393" s="33">
        <v>392</v>
      </c>
      <c r="B393" s="34" t="s">
        <v>709</v>
      </c>
      <c r="C393" s="33" t="s">
        <v>346</v>
      </c>
      <c r="D393" s="33" t="s">
        <v>17</v>
      </c>
      <c r="E393" s="33" t="s">
        <v>666</v>
      </c>
      <c r="F393" s="35">
        <v>0.15</v>
      </c>
      <c r="G393" s="40"/>
      <c r="H393" s="40"/>
    </row>
    <row r="394" spans="1:8" hidden="1" x14ac:dyDescent="0.35">
      <c r="A394" s="33">
        <v>393</v>
      </c>
      <c r="B394" s="34" t="s">
        <v>710</v>
      </c>
      <c r="C394" s="33" t="s">
        <v>346</v>
      </c>
      <c r="D394" s="33" t="s">
        <v>17</v>
      </c>
      <c r="E394" s="33" t="s">
        <v>666</v>
      </c>
      <c r="F394" s="35">
        <v>0.2</v>
      </c>
      <c r="G394" s="40"/>
      <c r="H394" s="40"/>
    </row>
    <row r="395" spans="1:8" hidden="1" x14ac:dyDescent="0.35">
      <c r="A395" s="33">
        <v>394</v>
      </c>
      <c r="B395" s="34" t="s">
        <v>711</v>
      </c>
      <c r="C395" s="33" t="s">
        <v>346</v>
      </c>
      <c r="D395" s="33" t="s">
        <v>17</v>
      </c>
      <c r="E395" s="33" t="s">
        <v>666</v>
      </c>
      <c r="F395" s="35">
        <v>0.08</v>
      </c>
      <c r="G395" s="40"/>
      <c r="H395" s="40"/>
    </row>
    <row r="396" spans="1:8" hidden="1" x14ac:dyDescent="0.35">
      <c r="A396" s="33">
        <v>395</v>
      </c>
      <c r="B396" s="34" t="s">
        <v>712</v>
      </c>
      <c r="C396" s="33" t="s">
        <v>346</v>
      </c>
      <c r="D396" s="33" t="s">
        <v>17</v>
      </c>
      <c r="E396" s="33" t="s">
        <v>666</v>
      </c>
      <c r="F396" s="35">
        <v>0.1</v>
      </c>
      <c r="G396" s="40"/>
      <c r="H396" s="40"/>
    </row>
    <row r="397" spans="1:8" hidden="1" x14ac:dyDescent="0.35">
      <c r="A397" s="33">
        <v>396</v>
      </c>
      <c r="B397" s="34" t="s">
        <v>713</v>
      </c>
      <c r="C397" s="33" t="s">
        <v>346</v>
      </c>
      <c r="D397" s="33" t="s">
        <v>17</v>
      </c>
      <c r="E397" s="33" t="s">
        <v>666</v>
      </c>
      <c r="F397" s="35">
        <v>0.08</v>
      </c>
      <c r="G397" s="40"/>
      <c r="H397" s="40"/>
    </row>
    <row r="398" spans="1:8" hidden="1" x14ac:dyDescent="0.35">
      <c r="A398" s="33">
        <v>397</v>
      </c>
      <c r="B398" s="34" t="s">
        <v>714</v>
      </c>
      <c r="C398" s="33" t="s">
        <v>346</v>
      </c>
      <c r="D398" s="33" t="s">
        <v>17</v>
      </c>
      <c r="E398" s="33" t="s">
        <v>666</v>
      </c>
      <c r="F398" s="35">
        <v>0.15</v>
      </c>
      <c r="G398" s="40"/>
      <c r="H398" s="40"/>
    </row>
    <row r="399" spans="1:8" hidden="1" x14ac:dyDescent="0.35">
      <c r="A399" s="33">
        <v>398</v>
      </c>
      <c r="B399" s="34" t="s">
        <v>715</v>
      </c>
      <c r="C399" s="33" t="s">
        <v>346</v>
      </c>
      <c r="D399" s="33" t="s">
        <v>17</v>
      </c>
      <c r="E399" s="33" t="s">
        <v>666</v>
      </c>
      <c r="F399" s="35">
        <v>0.23</v>
      </c>
      <c r="G399" s="40"/>
      <c r="H399" s="40"/>
    </row>
    <row r="400" spans="1:8" hidden="1" x14ac:dyDescent="0.35">
      <c r="A400" s="33">
        <v>399</v>
      </c>
      <c r="B400" s="34" t="s">
        <v>716</v>
      </c>
      <c r="C400" s="33" t="s">
        <v>346</v>
      </c>
      <c r="D400" s="33" t="s">
        <v>17</v>
      </c>
      <c r="E400" s="33" t="s">
        <v>666</v>
      </c>
      <c r="F400" s="35">
        <v>0.1</v>
      </c>
      <c r="G400" s="40"/>
      <c r="H400" s="40"/>
    </row>
    <row r="401" spans="1:8" hidden="1" x14ac:dyDescent="0.35">
      <c r="A401" s="33">
        <v>400</v>
      </c>
      <c r="B401" s="34" t="s">
        <v>717</v>
      </c>
      <c r="C401" s="33" t="s">
        <v>346</v>
      </c>
      <c r="D401" s="33" t="s">
        <v>17</v>
      </c>
      <c r="E401" s="33" t="s">
        <v>666</v>
      </c>
      <c r="F401" s="35">
        <v>0.1</v>
      </c>
      <c r="G401" s="40"/>
      <c r="H401" s="40"/>
    </row>
    <row r="402" spans="1:8" hidden="1" x14ac:dyDescent="0.35">
      <c r="A402" s="33">
        <v>401</v>
      </c>
      <c r="B402" s="34" t="s">
        <v>718</v>
      </c>
      <c r="C402" s="33" t="s">
        <v>346</v>
      </c>
      <c r="D402" s="33" t="s">
        <v>17</v>
      </c>
      <c r="E402" s="33" t="s">
        <v>666</v>
      </c>
      <c r="F402" s="35">
        <v>0.23</v>
      </c>
      <c r="G402" s="40"/>
      <c r="H402" s="40"/>
    </row>
    <row r="403" spans="1:8" hidden="1" x14ac:dyDescent="0.35">
      <c r="A403" s="33">
        <v>402</v>
      </c>
      <c r="B403" s="34" t="s">
        <v>719</v>
      </c>
      <c r="C403" s="33" t="s">
        <v>346</v>
      </c>
      <c r="D403" s="33" t="s">
        <v>17</v>
      </c>
      <c r="E403" s="33" t="s">
        <v>666</v>
      </c>
      <c r="F403" s="35">
        <v>0.2</v>
      </c>
      <c r="G403" s="40"/>
      <c r="H403" s="40"/>
    </row>
    <row r="404" spans="1:8" hidden="1" x14ac:dyDescent="0.35">
      <c r="A404" s="33">
        <v>403</v>
      </c>
      <c r="B404" s="34" t="s">
        <v>720</v>
      </c>
      <c r="C404" s="33" t="s">
        <v>346</v>
      </c>
      <c r="D404" s="33" t="s">
        <v>17</v>
      </c>
      <c r="E404" s="33" t="s">
        <v>666</v>
      </c>
      <c r="F404" s="35">
        <v>0.1</v>
      </c>
      <c r="G404" s="40"/>
      <c r="H404" s="40"/>
    </row>
    <row r="405" spans="1:8" hidden="1" x14ac:dyDescent="0.35">
      <c r="A405" s="33">
        <v>404</v>
      </c>
      <c r="B405" s="34" t="s">
        <v>721</v>
      </c>
      <c r="C405" s="33" t="s">
        <v>346</v>
      </c>
      <c r="D405" s="33" t="s">
        <v>17</v>
      </c>
      <c r="E405" s="33" t="s">
        <v>666</v>
      </c>
      <c r="F405" s="35">
        <v>0.125</v>
      </c>
      <c r="G405" s="40"/>
      <c r="H405" s="40"/>
    </row>
    <row r="406" spans="1:8" hidden="1" x14ac:dyDescent="0.35">
      <c r="A406" s="33">
        <v>405</v>
      </c>
      <c r="B406" s="34" t="s">
        <v>722</v>
      </c>
      <c r="C406" s="33" t="s">
        <v>346</v>
      </c>
      <c r="D406" s="33" t="s">
        <v>17</v>
      </c>
      <c r="E406" s="33" t="s">
        <v>666</v>
      </c>
      <c r="F406" s="35">
        <v>0.2</v>
      </c>
      <c r="G406" s="40"/>
      <c r="H406" s="40"/>
    </row>
    <row r="407" spans="1:8" hidden="1" x14ac:dyDescent="0.35">
      <c r="A407" s="33">
        <v>406</v>
      </c>
      <c r="B407" s="34" t="s">
        <v>723</v>
      </c>
      <c r="C407" s="33" t="s">
        <v>346</v>
      </c>
      <c r="D407" s="33" t="s">
        <v>17</v>
      </c>
      <c r="E407" s="33" t="s">
        <v>666</v>
      </c>
      <c r="F407" s="35">
        <v>0.1</v>
      </c>
      <c r="G407" s="40"/>
      <c r="H407" s="40"/>
    </row>
    <row r="408" spans="1:8" hidden="1" x14ac:dyDescent="0.35">
      <c r="A408" s="33">
        <v>407</v>
      </c>
      <c r="B408" s="34" t="s">
        <v>724</v>
      </c>
      <c r="C408" s="33" t="s">
        <v>346</v>
      </c>
      <c r="D408" s="33" t="s">
        <v>17</v>
      </c>
      <c r="E408" s="33" t="s">
        <v>666</v>
      </c>
      <c r="F408" s="35">
        <v>0.15</v>
      </c>
      <c r="G408" s="40"/>
      <c r="H408" s="40"/>
    </row>
    <row r="409" spans="1:8" hidden="1" x14ac:dyDescent="0.35">
      <c r="A409" s="33">
        <v>408</v>
      </c>
      <c r="B409" s="34" t="s">
        <v>725</v>
      </c>
      <c r="C409" s="33" t="s">
        <v>346</v>
      </c>
      <c r="D409" s="33" t="s">
        <v>17</v>
      </c>
      <c r="E409" s="33" t="s">
        <v>666</v>
      </c>
      <c r="F409" s="35">
        <v>0.2</v>
      </c>
      <c r="G409" s="40"/>
      <c r="H409" s="40"/>
    </row>
    <row r="410" spans="1:8" hidden="1" x14ac:dyDescent="0.35">
      <c r="A410" s="33">
        <v>409</v>
      </c>
      <c r="B410" s="34" t="s">
        <v>726</v>
      </c>
      <c r="C410" s="33" t="s">
        <v>346</v>
      </c>
      <c r="D410" s="33" t="s">
        <v>17</v>
      </c>
      <c r="E410" s="33" t="s">
        <v>666</v>
      </c>
      <c r="F410" s="35">
        <v>0.1</v>
      </c>
      <c r="G410" s="40"/>
      <c r="H410" s="40"/>
    </row>
    <row r="411" spans="1:8" hidden="1" x14ac:dyDescent="0.35">
      <c r="A411" s="33">
        <v>410</v>
      </c>
      <c r="B411" s="34" t="s">
        <v>727</v>
      </c>
      <c r="C411" s="33" t="s">
        <v>346</v>
      </c>
      <c r="D411" s="33" t="s">
        <v>17</v>
      </c>
      <c r="E411" s="33" t="s">
        <v>666</v>
      </c>
      <c r="F411" s="35">
        <v>0.23</v>
      </c>
      <c r="G411" s="40"/>
      <c r="H411" s="40"/>
    </row>
    <row r="412" spans="1:8" hidden="1" x14ac:dyDescent="0.35">
      <c r="A412" s="33">
        <v>411</v>
      </c>
      <c r="B412" s="34" t="s">
        <v>728</v>
      </c>
      <c r="C412" s="33" t="s">
        <v>346</v>
      </c>
      <c r="D412" s="33" t="s">
        <v>17</v>
      </c>
      <c r="E412" s="33" t="s">
        <v>666</v>
      </c>
      <c r="F412" s="35">
        <v>0.1</v>
      </c>
      <c r="G412" s="40"/>
      <c r="H412" s="40"/>
    </row>
    <row r="413" spans="1:8" hidden="1" x14ac:dyDescent="0.35">
      <c r="A413" s="33">
        <v>412</v>
      </c>
      <c r="B413" s="34" t="s">
        <v>729</v>
      </c>
      <c r="C413" s="33" t="s">
        <v>346</v>
      </c>
      <c r="D413" s="33" t="s">
        <v>17</v>
      </c>
      <c r="E413" s="33" t="s">
        <v>666</v>
      </c>
      <c r="F413" s="35">
        <v>0.1</v>
      </c>
      <c r="G413" s="40"/>
      <c r="H413" s="40"/>
    </row>
    <row r="414" spans="1:8" hidden="1" x14ac:dyDescent="0.35">
      <c r="A414" s="33">
        <v>413</v>
      </c>
      <c r="B414" s="34" t="s">
        <v>730</v>
      </c>
      <c r="C414" s="33" t="s">
        <v>346</v>
      </c>
      <c r="D414" s="33" t="s">
        <v>17</v>
      </c>
      <c r="E414" s="33" t="s">
        <v>666</v>
      </c>
      <c r="F414" s="35">
        <v>0.23</v>
      </c>
      <c r="G414" s="40"/>
      <c r="H414" s="40"/>
    </row>
    <row r="415" spans="1:8" hidden="1" x14ac:dyDescent="0.35">
      <c r="A415" s="33">
        <v>414</v>
      </c>
      <c r="B415" s="34" t="s">
        <v>731</v>
      </c>
      <c r="C415" s="33" t="s">
        <v>346</v>
      </c>
      <c r="D415" s="33" t="s">
        <v>17</v>
      </c>
      <c r="E415" s="33" t="s">
        <v>666</v>
      </c>
      <c r="F415" s="35">
        <v>0.23</v>
      </c>
      <c r="G415" s="40"/>
      <c r="H415" s="40"/>
    </row>
    <row r="416" spans="1:8" hidden="1" x14ac:dyDescent="0.35">
      <c r="A416" s="33">
        <v>415</v>
      </c>
      <c r="B416" s="34" t="s">
        <v>732</v>
      </c>
      <c r="C416" s="33" t="s">
        <v>346</v>
      </c>
      <c r="D416" s="33" t="s">
        <v>17</v>
      </c>
      <c r="E416" s="33" t="s">
        <v>666</v>
      </c>
      <c r="F416" s="35">
        <v>0.5</v>
      </c>
      <c r="G416" s="40"/>
      <c r="H416" s="40"/>
    </row>
    <row r="417" spans="1:8" hidden="1" x14ac:dyDescent="0.35">
      <c r="A417" s="33">
        <v>416</v>
      </c>
      <c r="B417" s="34" t="s">
        <v>733</v>
      </c>
      <c r="C417" s="33" t="s">
        <v>346</v>
      </c>
      <c r="D417" s="33" t="s">
        <v>17</v>
      </c>
      <c r="E417" s="33" t="s">
        <v>666</v>
      </c>
      <c r="F417" s="35">
        <v>1</v>
      </c>
      <c r="G417" s="40"/>
      <c r="H417" s="40"/>
    </row>
    <row r="418" spans="1:8" hidden="1" x14ac:dyDescent="0.35">
      <c r="A418" s="33">
        <v>417</v>
      </c>
      <c r="B418" s="34" t="s">
        <v>734</v>
      </c>
      <c r="C418" s="33" t="s">
        <v>346</v>
      </c>
      <c r="D418" s="33" t="s">
        <v>17</v>
      </c>
      <c r="E418" s="33" t="s">
        <v>666</v>
      </c>
      <c r="F418" s="35">
        <v>1</v>
      </c>
      <c r="G418" s="40"/>
      <c r="H418" s="40"/>
    </row>
    <row r="419" spans="1:8" hidden="1" x14ac:dyDescent="0.35">
      <c r="A419" s="33">
        <v>418</v>
      </c>
      <c r="B419" s="34" t="s">
        <v>735</v>
      </c>
      <c r="C419" s="33" t="s">
        <v>346</v>
      </c>
      <c r="D419" s="33" t="s">
        <v>17</v>
      </c>
      <c r="E419" s="33" t="s">
        <v>666</v>
      </c>
      <c r="F419" s="35">
        <v>1</v>
      </c>
      <c r="G419" s="40"/>
      <c r="H419" s="40"/>
    </row>
    <row r="420" spans="1:8" hidden="1" x14ac:dyDescent="0.35">
      <c r="A420" s="33">
        <v>419</v>
      </c>
      <c r="B420" s="34" t="s">
        <v>736</v>
      </c>
      <c r="C420" s="33" t="s">
        <v>346</v>
      </c>
      <c r="D420" s="33" t="s">
        <v>17</v>
      </c>
      <c r="E420" s="33" t="s">
        <v>666</v>
      </c>
      <c r="F420" s="35">
        <v>1</v>
      </c>
      <c r="G420" s="40"/>
      <c r="H420" s="40"/>
    </row>
    <row r="421" spans="1:8" hidden="1" x14ac:dyDescent="0.35">
      <c r="A421" s="33">
        <v>420</v>
      </c>
      <c r="B421" s="34" t="s">
        <v>737</v>
      </c>
      <c r="C421" s="33" t="s">
        <v>346</v>
      </c>
      <c r="D421" s="33" t="s">
        <v>17</v>
      </c>
      <c r="E421" s="33" t="s">
        <v>666</v>
      </c>
      <c r="F421" s="35">
        <v>1</v>
      </c>
      <c r="G421" s="40"/>
      <c r="H421" s="40"/>
    </row>
    <row r="422" spans="1:8" hidden="1" x14ac:dyDescent="0.35">
      <c r="A422" s="33">
        <v>421</v>
      </c>
      <c r="B422" s="34" t="s">
        <v>738</v>
      </c>
      <c r="C422" s="33" t="s">
        <v>346</v>
      </c>
      <c r="D422" s="33" t="s">
        <v>17</v>
      </c>
      <c r="E422" s="33" t="s">
        <v>666</v>
      </c>
      <c r="F422" s="35">
        <v>0.25</v>
      </c>
      <c r="G422" s="40"/>
      <c r="H422" s="40"/>
    </row>
    <row r="423" spans="1:8" hidden="1" x14ac:dyDescent="0.35">
      <c r="A423" s="33">
        <v>422</v>
      </c>
      <c r="B423" s="34" t="s">
        <v>739</v>
      </c>
      <c r="C423" s="33" t="s">
        <v>346</v>
      </c>
      <c r="D423" s="33" t="s">
        <v>17</v>
      </c>
      <c r="E423" s="33" t="s">
        <v>666</v>
      </c>
      <c r="F423" s="35">
        <v>1</v>
      </c>
      <c r="G423" s="40"/>
      <c r="H423" s="40"/>
    </row>
    <row r="424" spans="1:8" hidden="1" x14ac:dyDescent="0.35">
      <c r="A424" s="33">
        <v>423</v>
      </c>
      <c r="B424" s="34" t="s">
        <v>740</v>
      </c>
      <c r="C424" s="33" t="s">
        <v>346</v>
      </c>
      <c r="D424" s="33" t="s">
        <v>17</v>
      </c>
      <c r="E424" s="33" t="s">
        <v>666</v>
      </c>
      <c r="F424" s="35">
        <v>1</v>
      </c>
      <c r="G424" s="40"/>
      <c r="H424" s="40"/>
    </row>
    <row r="425" spans="1:8" hidden="1" x14ac:dyDescent="0.35">
      <c r="A425" s="33">
        <v>424</v>
      </c>
      <c r="B425" s="34" t="s">
        <v>741</v>
      </c>
      <c r="C425" s="33" t="s">
        <v>346</v>
      </c>
      <c r="D425" s="33" t="s">
        <v>17</v>
      </c>
      <c r="E425" s="33" t="s">
        <v>666</v>
      </c>
      <c r="F425" s="35">
        <v>1</v>
      </c>
      <c r="G425" s="40"/>
      <c r="H425" s="40"/>
    </row>
    <row r="426" spans="1:8" hidden="1" x14ac:dyDescent="0.35">
      <c r="A426" s="33">
        <v>425</v>
      </c>
      <c r="B426" s="34" t="s">
        <v>742</v>
      </c>
      <c r="C426" s="33" t="s">
        <v>346</v>
      </c>
      <c r="D426" s="33" t="s">
        <v>17</v>
      </c>
      <c r="E426" s="33" t="s">
        <v>666</v>
      </c>
      <c r="F426" s="35">
        <v>0.55000000000000004</v>
      </c>
      <c r="G426" s="40"/>
      <c r="H426" s="40"/>
    </row>
    <row r="427" spans="1:8" hidden="1" x14ac:dyDescent="0.35">
      <c r="A427" s="33">
        <v>426</v>
      </c>
      <c r="B427" s="34" t="s">
        <v>743</v>
      </c>
      <c r="C427" s="33" t="s">
        <v>346</v>
      </c>
      <c r="D427" s="33" t="s">
        <v>17</v>
      </c>
      <c r="E427" s="33" t="s">
        <v>666</v>
      </c>
      <c r="F427" s="35">
        <v>0.2</v>
      </c>
      <c r="G427" s="40"/>
      <c r="H427" s="40"/>
    </row>
    <row r="428" spans="1:8" hidden="1" x14ac:dyDescent="0.35">
      <c r="A428" s="33">
        <v>427</v>
      </c>
      <c r="B428" s="34" t="s">
        <v>744</v>
      </c>
      <c r="C428" s="33" t="s">
        <v>346</v>
      </c>
      <c r="D428" s="33" t="s">
        <v>17</v>
      </c>
      <c r="E428" s="33" t="s">
        <v>666</v>
      </c>
      <c r="F428" s="35">
        <v>0.25</v>
      </c>
      <c r="G428" s="40"/>
      <c r="H428" s="40"/>
    </row>
    <row r="429" spans="1:8" hidden="1" x14ac:dyDescent="0.35">
      <c r="A429" s="33">
        <v>428</v>
      </c>
      <c r="B429" s="34" t="s">
        <v>745</v>
      </c>
      <c r="C429" s="33" t="s">
        <v>346</v>
      </c>
      <c r="D429" s="33" t="s">
        <v>17</v>
      </c>
      <c r="E429" s="33" t="s">
        <v>666</v>
      </c>
      <c r="F429" s="35">
        <v>0.5</v>
      </c>
      <c r="G429" s="40"/>
      <c r="H429" s="40"/>
    </row>
    <row r="430" spans="1:8" hidden="1" x14ac:dyDescent="0.35">
      <c r="A430" s="33">
        <v>429</v>
      </c>
      <c r="B430" s="34" t="s">
        <v>746</v>
      </c>
      <c r="C430" s="33" t="s">
        <v>346</v>
      </c>
      <c r="D430" s="33" t="s">
        <v>17</v>
      </c>
      <c r="E430" s="33" t="s">
        <v>666</v>
      </c>
      <c r="F430" s="35">
        <v>1</v>
      </c>
      <c r="G430" s="40"/>
      <c r="H430" s="40"/>
    </row>
    <row r="431" spans="1:8" hidden="1" x14ac:dyDescent="0.35">
      <c r="A431" s="33">
        <v>430</v>
      </c>
      <c r="B431" s="34" t="s">
        <v>747</v>
      </c>
      <c r="C431" s="33" t="s">
        <v>346</v>
      </c>
      <c r="D431" s="33" t="s">
        <v>17</v>
      </c>
      <c r="E431" s="33" t="s">
        <v>666</v>
      </c>
      <c r="F431" s="35">
        <v>1</v>
      </c>
      <c r="G431" s="40"/>
      <c r="H431" s="40"/>
    </row>
    <row r="432" spans="1:8" hidden="1" x14ac:dyDescent="0.35">
      <c r="A432" s="33">
        <v>431</v>
      </c>
      <c r="B432" s="34" t="s">
        <v>748</v>
      </c>
      <c r="C432" s="33" t="s">
        <v>346</v>
      </c>
      <c r="D432" s="33" t="s">
        <v>17</v>
      </c>
      <c r="E432" s="33" t="s">
        <v>666</v>
      </c>
      <c r="F432" s="35">
        <v>1</v>
      </c>
      <c r="G432" s="40"/>
      <c r="H432" s="40"/>
    </row>
    <row r="433" spans="1:8" hidden="1" x14ac:dyDescent="0.35">
      <c r="A433" s="33">
        <v>432</v>
      </c>
      <c r="B433" s="34" t="s">
        <v>749</v>
      </c>
      <c r="C433" s="33" t="s">
        <v>346</v>
      </c>
      <c r="D433" s="33" t="s">
        <v>17</v>
      </c>
      <c r="E433" s="33" t="s">
        <v>666</v>
      </c>
      <c r="F433" s="35">
        <v>1</v>
      </c>
      <c r="G433" s="40"/>
      <c r="H433" s="40"/>
    </row>
    <row r="434" spans="1:8" hidden="1" x14ac:dyDescent="0.35">
      <c r="A434" s="33">
        <v>433</v>
      </c>
      <c r="B434" s="34" t="s">
        <v>750</v>
      </c>
      <c r="C434" s="33" t="s">
        <v>346</v>
      </c>
      <c r="D434" s="33" t="s">
        <v>17</v>
      </c>
      <c r="E434" s="33" t="s">
        <v>666</v>
      </c>
      <c r="F434" s="35">
        <v>0.1</v>
      </c>
      <c r="G434" s="40"/>
      <c r="H434" s="40"/>
    </row>
    <row r="435" spans="1:8" hidden="1" x14ac:dyDescent="0.35">
      <c r="A435" s="33">
        <v>434</v>
      </c>
      <c r="B435" s="34" t="s">
        <v>751</v>
      </c>
      <c r="C435" s="33" t="s">
        <v>346</v>
      </c>
      <c r="D435" s="33" t="s">
        <v>17</v>
      </c>
      <c r="E435" s="33" t="s">
        <v>666</v>
      </c>
      <c r="F435" s="35">
        <v>0.2</v>
      </c>
      <c r="G435" s="40"/>
      <c r="H435" s="40"/>
    </row>
    <row r="436" spans="1:8" hidden="1" x14ac:dyDescent="0.35">
      <c r="A436" s="33">
        <v>435</v>
      </c>
      <c r="B436" s="34" t="s">
        <v>752</v>
      </c>
      <c r="C436" s="33" t="s">
        <v>346</v>
      </c>
      <c r="D436" s="33" t="s">
        <v>17</v>
      </c>
      <c r="E436" s="33" t="s">
        <v>666</v>
      </c>
      <c r="F436" s="35">
        <v>0.2</v>
      </c>
      <c r="G436" s="40"/>
      <c r="H436" s="40"/>
    </row>
    <row r="437" spans="1:8" hidden="1" x14ac:dyDescent="0.35">
      <c r="A437" s="33">
        <v>436</v>
      </c>
      <c r="B437" s="34" t="s">
        <v>753</v>
      </c>
      <c r="C437" s="33" t="s">
        <v>346</v>
      </c>
      <c r="D437" s="33" t="s">
        <v>17</v>
      </c>
      <c r="E437" s="33" t="s">
        <v>666</v>
      </c>
      <c r="F437" s="35">
        <v>0.05</v>
      </c>
      <c r="G437" s="40"/>
      <c r="H437" s="40"/>
    </row>
    <row r="438" spans="1:8" hidden="1" x14ac:dyDescent="0.35">
      <c r="A438" s="33">
        <v>437</v>
      </c>
      <c r="B438" s="34" t="s">
        <v>754</v>
      </c>
      <c r="C438" s="33" t="s">
        <v>346</v>
      </c>
      <c r="D438" s="33" t="s">
        <v>17</v>
      </c>
      <c r="E438" s="33" t="s">
        <v>666</v>
      </c>
      <c r="F438" s="35">
        <v>0.05</v>
      </c>
      <c r="G438" s="40"/>
      <c r="H438" s="40"/>
    </row>
    <row r="439" spans="1:8" hidden="1" x14ac:dyDescent="0.35">
      <c r="A439" s="33">
        <v>438</v>
      </c>
      <c r="B439" s="34" t="s">
        <v>755</v>
      </c>
      <c r="C439" s="33" t="s">
        <v>346</v>
      </c>
      <c r="D439" s="33" t="s">
        <v>17</v>
      </c>
      <c r="E439" s="33" t="s">
        <v>666</v>
      </c>
      <c r="F439" s="35">
        <v>1</v>
      </c>
      <c r="G439" s="40"/>
      <c r="H439" s="40"/>
    </row>
    <row r="440" spans="1:8" hidden="1" x14ac:dyDescent="0.35">
      <c r="A440" s="33">
        <v>439</v>
      </c>
      <c r="B440" s="34" t="s">
        <v>756</v>
      </c>
      <c r="C440" s="33" t="s">
        <v>346</v>
      </c>
      <c r="D440" s="33" t="s">
        <v>17</v>
      </c>
      <c r="E440" s="33" t="s">
        <v>666</v>
      </c>
      <c r="F440" s="35">
        <v>1</v>
      </c>
      <c r="G440" s="40"/>
      <c r="H440" s="40"/>
    </row>
    <row r="441" spans="1:8" hidden="1" x14ac:dyDescent="0.35">
      <c r="A441" s="33">
        <v>440</v>
      </c>
      <c r="B441" s="34" t="s">
        <v>757</v>
      </c>
      <c r="C441" s="33" t="s">
        <v>346</v>
      </c>
      <c r="D441" s="33" t="s">
        <v>17</v>
      </c>
      <c r="E441" s="33" t="s">
        <v>666</v>
      </c>
      <c r="F441" s="35">
        <v>1</v>
      </c>
      <c r="G441" s="40"/>
      <c r="H441" s="40"/>
    </row>
    <row r="442" spans="1:8" hidden="1" x14ac:dyDescent="0.35">
      <c r="A442" s="33">
        <v>441</v>
      </c>
      <c r="B442" s="34" t="s">
        <v>758</v>
      </c>
      <c r="C442" s="33" t="s">
        <v>346</v>
      </c>
      <c r="D442" s="33" t="s">
        <v>17</v>
      </c>
      <c r="E442" s="33" t="s">
        <v>666</v>
      </c>
      <c r="F442" s="35">
        <v>1</v>
      </c>
      <c r="G442" s="40"/>
      <c r="H442" s="40"/>
    </row>
    <row r="443" spans="1:8" hidden="1" x14ac:dyDescent="0.35">
      <c r="A443" s="33">
        <v>442</v>
      </c>
      <c r="B443" s="34" t="s">
        <v>759</v>
      </c>
      <c r="C443" s="33" t="s">
        <v>346</v>
      </c>
      <c r="D443" s="33" t="s">
        <v>17</v>
      </c>
      <c r="E443" s="33" t="s">
        <v>666</v>
      </c>
      <c r="F443" s="35">
        <v>1</v>
      </c>
      <c r="G443" s="40"/>
      <c r="H443" s="40"/>
    </row>
    <row r="444" spans="1:8" hidden="1" x14ac:dyDescent="0.35">
      <c r="A444" s="33">
        <v>443</v>
      </c>
      <c r="B444" s="34" t="s">
        <v>760</v>
      </c>
      <c r="C444" s="33" t="s">
        <v>346</v>
      </c>
      <c r="D444" s="33" t="s">
        <v>17</v>
      </c>
      <c r="E444" s="33" t="s">
        <v>666</v>
      </c>
      <c r="F444" s="35">
        <v>1</v>
      </c>
      <c r="G444" s="40"/>
      <c r="H444" s="40"/>
    </row>
    <row r="445" spans="1:8" hidden="1" x14ac:dyDescent="0.35">
      <c r="A445" s="33">
        <v>444</v>
      </c>
      <c r="B445" s="34" t="s">
        <v>761</v>
      </c>
      <c r="C445" s="33" t="s">
        <v>346</v>
      </c>
      <c r="D445" s="33" t="s">
        <v>17</v>
      </c>
      <c r="E445" s="33" t="s">
        <v>666</v>
      </c>
      <c r="F445" s="35">
        <v>1</v>
      </c>
      <c r="G445" s="40"/>
      <c r="H445" s="40"/>
    </row>
    <row r="446" spans="1:8" hidden="1" x14ac:dyDescent="0.35">
      <c r="A446" s="33">
        <v>445</v>
      </c>
      <c r="B446" s="34" t="s">
        <v>762</v>
      </c>
      <c r="C446" s="33" t="s">
        <v>346</v>
      </c>
      <c r="D446" s="33" t="s">
        <v>17</v>
      </c>
      <c r="E446" s="33" t="s">
        <v>666</v>
      </c>
      <c r="F446" s="35">
        <v>0.2</v>
      </c>
      <c r="G446" s="40"/>
      <c r="H446" s="40"/>
    </row>
    <row r="447" spans="1:8" hidden="1" x14ac:dyDescent="0.35">
      <c r="A447" s="33">
        <v>446</v>
      </c>
      <c r="B447" s="34" t="s">
        <v>763</v>
      </c>
      <c r="C447" s="33" t="s">
        <v>346</v>
      </c>
      <c r="D447" s="33" t="s">
        <v>17</v>
      </c>
      <c r="E447" s="33" t="s">
        <v>666</v>
      </c>
      <c r="F447" s="35">
        <v>0.5</v>
      </c>
      <c r="G447" s="40"/>
      <c r="H447" s="40"/>
    </row>
    <row r="448" spans="1:8" hidden="1" x14ac:dyDescent="0.35">
      <c r="A448" s="33">
        <v>447</v>
      </c>
      <c r="B448" s="34" t="s">
        <v>764</v>
      </c>
      <c r="C448" s="33" t="s">
        <v>346</v>
      </c>
      <c r="D448" s="33" t="s">
        <v>17</v>
      </c>
      <c r="E448" s="33" t="s">
        <v>666</v>
      </c>
      <c r="F448" s="35">
        <v>0.1</v>
      </c>
      <c r="G448" s="40"/>
      <c r="H448" s="40"/>
    </row>
    <row r="449" spans="1:8" hidden="1" x14ac:dyDescent="0.35">
      <c r="A449" s="33">
        <v>448</v>
      </c>
      <c r="B449" s="34" t="s">
        <v>765</v>
      </c>
      <c r="C449" s="33" t="s">
        <v>346</v>
      </c>
      <c r="D449" s="33" t="s">
        <v>17</v>
      </c>
      <c r="E449" s="33" t="s">
        <v>666</v>
      </c>
      <c r="F449" s="35">
        <v>0.25</v>
      </c>
      <c r="G449" s="40"/>
      <c r="H449" s="40"/>
    </row>
    <row r="450" spans="1:8" hidden="1" x14ac:dyDescent="0.35">
      <c r="A450" s="33">
        <v>449</v>
      </c>
      <c r="B450" s="34" t="s">
        <v>766</v>
      </c>
      <c r="C450" s="33" t="s">
        <v>346</v>
      </c>
      <c r="D450" s="33" t="s">
        <v>17</v>
      </c>
      <c r="E450" s="33" t="s">
        <v>666</v>
      </c>
      <c r="F450" s="35">
        <v>1</v>
      </c>
      <c r="G450" s="40"/>
      <c r="H450" s="40"/>
    </row>
    <row r="451" spans="1:8" hidden="1" x14ac:dyDescent="0.35">
      <c r="A451" s="33">
        <v>450</v>
      </c>
      <c r="B451" s="34" t="s">
        <v>767</v>
      </c>
      <c r="C451" s="33" t="s">
        <v>346</v>
      </c>
      <c r="D451" s="33" t="s">
        <v>17</v>
      </c>
      <c r="E451" s="33" t="s">
        <v>666</v>
      </c>
      <c r="F451" s="35">
        <v>1</v>
      </c>
      <c r="G451" s="40"/>
      <c r="H451" s="40"/>
    </row>
    <row r="452" spans="1:8" hidden="1" x14ac:dyDescent="0.35">
      <c r="A452" s="33">
        <v>451</v>
      </c>
      <c r="B452" s="34" t="s">
        <v>768</v>
      </c>
      <c r="C452" s="33" t="s">
        <v>346</v>
      </c>
      <c r="D452" s="33" t="s">
        <v>17</v>
      </c>
      <c r="E452" s="33" t="s">
        <v>666</v>
      </c>
      <c r="F452" s="35">
        <v>1</v>
      </c>
      <c r="G452" s="40"/>
      <c r="H452" s="40"/>
    </row>
    <row r="453" spans="1:8" hidden="1" x14ac:dyDescent="0.35">
      <c r="A453" s="33">
        <v>452</v>
      </c>
      <c r="B453" s="34" t="s">
        <v>769</v>
      </c>
      <c r="C453" s="33" t="s">
        <v>346</v>
      </c>
      <c r="D453" s="33" t="s">
        <v>17</v>
      </c>
      <c r="E453" s="33" t="s">
        <v>666</v>
      </c>
      <c r="F453" s="35">
        <v>1</v>
      </c>
      <c r="G453" s="40"/>
      <c r="H453" s="40"/>
    </row>
    <row r="454" spans="1:8" hidden="1" x14ac:dyDescent="0.35">
      <c r="A454" s="33">
        <v>453</v>
      </c>
      <c r="B454" s="34" t="s">
        <v>770</v>
      </c>
      <c r="C454" s="33" t="s">
        <v>346</v>
      </c>
      <c r="D454" s="33" t="s">
        <v>17</v>
      </c>
      <c r="E454" s="33" t="s">
        <v>666</v>
      </c>
      <c r="F454" s="35">
        <v>1</v>
      </c>
      <c r="G454" s="40"/>
      <c r="H454" s="40"/>
    </row>
    <row r="455" spans="1:8" hidden="1" x14ac:dyDescent="0.35">
      <c r="A455" s="33">
        <v>454</v>
      </c>
      <c r="B455" s="34" t="s">
        <v>771</v>
      </c>
      <c r="C455" s="33" t="s">
        <v>346</v>
      </c>
      <c r="D455" s="33" t="s">
        <v>17</v>
      </c>
      <c r="E455" s="33" t="s">
        <v>666</v>
      </c>
      <c r="F455" s="35">
        <v>1</v>
      </c>
      <c r="G455" s="40"/>
      <c r="H455" s="40"/>
    </row>
    <row r="456" spans="1:8" hidden="1" x14ac:dyDescent="0.35">
      <c r="A456" s="33">
        <v>455</v>
      </c>
      <c r="B456" s="34" t="s">
        <v>772</v>
      </c>
      <c r="C456" s="33" t="s">
        <v>346</v>
      </c>
      <c r="D456" s="33" t="s">
        <v>17</v>
      </c>
      <c r="E456" s="33" t="s">
        <v>666</v>
      </c>
      <c r="F456" s="35">
        <v>1</v>
      </c>
      <c r="G456" s="40"/>
      <c r="H456" s="40"/>
    </row>
    <row r="457" spans="1:8" hidden="1" x14ac:dyDescent="0.35">
      <c r="A457" s="33">
        <v>456</v>
      </c>
      <c r="B457" s="34" t="s">
        <v>773</v>
      </c>
      <c r="C457" s="33" t="s">
        <v>346</v>
      </c>
      <c r="D457" s="33" t="s">
        <v>17</v>
      </c>
      <c r="E457" s="33" t="s">
        <v>666</v>
      </c>
      <c r="F457" s="35">
        <v>1</v>
      </c>
      <c r="G457" s="40"/>
      <c r="H457" s="40"/>
    </row>
    <row r="458" spans="1:8" hidden="1" x14ac:dyDescent="0.35">
      <c r="A458" s="33">
        <v>457</v>
      </c>
      <c r="B458" s="34" t="s">
        <v>774</v>
      </c>
      <c r="C458" s="33" t="s">
        <v>346</v>
      </c>
      <c r="D458" s="33" t="s">
        <v>17</v>
      </c>
      <c r="E458" s="33" t="s">
        <v>666</v>
      </c>
      <c r="F458" s="35">
        <v>1</v>
      </c>
      <c r="G458" s="40"/>
      <c r="H458" s="40"/>
    </row>
    <row r="459" spans="1:8" hidden="1" x14ac:dyDescent="0.35">
      <c r="A459" s="33">
        <v>458</v>
      </c>
      <c r="B459" s="34" t="s">
        <v>775</v>
      </c>
      <c r="C459" s="33" t="s">
        <v>346</v>
      </c>
      <c r="D459" s="33" t="s">
        <v>17</v>
      </c>
      <c r="E459" s="33" t="s">
        <v>666</v>
      </c>
      <c r="F459" s="35">
        <v>1</v>
      </c>
      <c r="G459" s="40"/>
      <c r="H459" s="40"/>
    </row>
    <row r="460" spans="1:8" hidden="1" x14ac:dyDescent="0.35">
      <c r="A460" s="33">
        <v>459</v>
      </c>
      <c r="B460" s="34" t="s">
        <v>776</v>
      </c>
      <c r="C460" s="33" t="s">
        <v>346</v>
      </c>
      <c r="D460" s="33" t="s">
        <v>17</v>
      </c>
      <c r="E460" s="33" t="s">
        <v>666</v>
      </c>
      <c r="F460" s="35">
        <v>1</v>
      </c>
      <c r="G460" s="40"/>
      <c r="H460" s="40"/>
    </row>
    <row r="461" spans="1:8" hidden="1" x14ac:dyDescent="0.35">
      <c r="A461" s="33">
        <v>460</v>
      </c>
      <c r="B461" s="34" t="s">
        <v>777</v>
      </c>
      <c r="C461" s="33" t="s">
        <v>346</v>
      </c>
      <c r="D461" s="33" t="s">
        <v>17</v>
      </c>
      <c r="E461" s="33" t="s">
        <v>666</v>
      </c>
      <c r="F461" s="35">
        <v>1</v>
      </c>
      <c r="G461" s="40"/>
      <c r="H461" s="40"/>
    </row>
    <row r="462" spans="1:8" hidden="1" x14ac:dyDescent="0.35">
      <c r="A462" s="33">
        <v>461</v>
      </c>
      <c r="B462" s="34" t="s">
        <v>778</v>
      </c>
      <c r="C462" s="33" t="s">
        <v>346</v>
      </c>
      <c r="D462" s="33" t="s">
        <v>17</v>
      </c>
      <c r="E462" s="33" t="s">
        <v>666</v>
      </c>
      <c r="F462" s="35">
        <v>1</v>
      </c>
      <c r="G462" s="40"/>
      <c r="H462" s="40"/>
    </row>
    <row r="463" spans="1:8" hidden="1" x14ac:dyDescent="0.35">
      <c r="A463" s="33">
        <v>462</v>
      </c>
      <c r="B463" s="34" t="s">
        <v>779</v>
      </c>
      <c r="C463" s="33" t="s">
        <v>346</v>
      </c>
      <c r="D463" s="33" t="s">
        <v>17</v>
      </c>
      <c r="E463" s="33" t="s">
        <v>666</v>
      </c>
      <c r="F463" s="35">
        <v>1</v>
      </c>
      <c r="G463" s="40"/>
      <c r="H463" s="40"/>
    </row>
    <row r="464" spans="1:8" hidden="1" x14ac:dyDescent="0.35">
      <c r="A464" s="33">
        <v>463</v>
      </c>
      <c r="B464" s="34" t="s">
        <v>780</v>
      </c>
      <c r="C464" s="33" t="s">
        <v>346</v>
      </c>
      <c r="D464" s="33" t="s">
        <v>17</v>
      </c>
      <c r="E464" s="33" t="s">
        <v>666</v>
      </c>
      <c r="F464" s="35">
        <v>1</v>
      </c>
      <c r="G464" s="40"/>
      <c r="H464" s="40"/>
    </row>
    <row r="465" spans="1:9" hidden="1" x14ac:dyDescent="0.35">
      <c r="A465" s="33">
        <v>464</v>
      </c>
      <c r="B465" s="34" t="s">
        <v>781</v>
      </c>
      <c r="C465" s="33" t="s">
        <v>346</v>
      </c>
      <c r="D465" s="33" t="s">
        <v>17</v>
      </c>
      <c r="E465" s="33" t="s">
        <v>666</v>
      </c>
      <c r="F465" s="35">
        <v>1</v>
      </c>
      <c r="G465" s="40"/>
      <c r="H465" s="40"/>
    </row>
    <row r="466" spans="1:9" hidden="1" x14ac:dyDescent="0.35">
      <c r="A466" s="33">
        <v>465</v>
      </c>
      <c r="B466" s="34" t="s">
        <v>782</v>
      </c>
      <c r="C466" s="33" t="s">
        <v>346</v>
      </c>
      <c r="D466" s="33" t="s">
        <v>17</v>
      </c>
      <c r="E466" s="33" t="s">
        <v>666</v>
      </c>
      <c r="F466" s="35">
        <v>1</v>
      </c>
      <c r="G466" s="40"/>
      <c r="H466" s="40"/>
    </row>
    <row r="467" spans="1:9" hidden="1" x14ac:dyDescent="0.35">
      <c r="A467" s="33">
        <v>466</v>
      </c>
      <c r="B467" s="34" t="s">
        <v>783</v>
      </c>
      <c r="C467" s="33" t="s">
        <v>346</v>
      </c>
      <c r="D467" s="33" t="s">
        <v>17</v>
      </c>
      <c r="E467" s="33" t="s">
        <v>666</v>
      </c>
      <c r="F467" s="35">
        <v>1</v>
      </c>
      <c r="G467" s="40"/>
      <c r="H467" s="40"/>
    </row>
    <row r="468" spans="1:9" hidden="1" x14ac:dyDescent="0.35">
      <c r="A468" s="33">
        <v>467</v>
      </c>
      <c r="B468" s="34" t="s">
        <v>784</v>
      </c>
      <c r="C468" s="33" t="s">
        <v>346</v>
      </c>
      <c r="D468" s="33" t="s">
        <v>17</v>
      </c>
      <c r="E468" s="33" t="s">
        <v>666</v>
      </c>
      <c r="F468" s="35">
        <v>0.1</v>
      </c>
      <c r="G468" s="40"/>
      <c r="H468" s="40"/>
    </row>
    <row r="469" spans="1:9" hidden="1" x14ac:dyDescent="0.35">
      <c r="A469" s="33">
        <v>468</v>
      </c>
      <c r="B469" s="34" t="s">
        <v>785</v>
      </c>
      <c r="C469" s="33" t="s">
        <v>346</v>
      </c>
      <c r="D469" s="33" t="s">
        <v>17</v>
      </c>
      <c r="E469" s="33" t="s">
        <v>666</v>
      </c>
      <c r="F469" s="35">
        <v>0.1</v>
      </c>
      <c r="G469" s="40"/>
      <c r="H469" s="40"/>
    </row>
    <row r="470" spans="1:9" hidden="1" x14ac:dyDescent="0.35">
      <c r="A470" s="33">
        <v>469</v>
      </c>
      <c r="B470" s="34" t="s">
        <v>786</v>
      </c>
      <c r="C470" s="33" t="s">
        <v>346</v>
      </c>
      <c r="D470" s="33" t="s">
        <v>17</v>
      </c>
      <c r="E470" s="33" t="s">
        <v>666</v>
      </c>
      <c r="F470" s="35">
        <v>1</v>
      </c>
      <c r="G470" s="40"/>
      <c r="H470" s="40"/>
    </row>
    <row r="471" spans="1:9" x14ac:dyDescent="0.35">
      <c r="A471" s="33">
        <v>470</v>
      </c>
      <c r="B471" s="34" t="s">
        <v>787</v>
      </c>
      <c r="C471" s="33" t="s">
        <v>346</v>
      </c>
      <c r="D471" s="33" t="s">
        <v>17</v>
      </c>
      <c r="E471" s="33" t="s">
        <v>666</v>
      </c>
      <c r="F471" s="35">
        <v>1</v>
      </c>
      <c r="G471" s="40"/>
      <c r="H471" s="40">
        <f>0.5+9</f>
        <v>9.5</v>
      </c>
      <c r="I471" s="40" t="s">
        <v>2303</v>
      </c>
    </row>
    <row r="472" spans="1:9" hidden="1" x14ac:dyDescent="0.35">
      <c r="A472" s="41">
        <v>471</v>
      </c>
      <c r="B472" s="42" t="s">
        <v>788</v>
      </c>
      <c r="C472" s="41" t="s">
        <v>346</v>
      </c>
      <c r="D472" s="41" t="s">
        <v>17</v>
      </c>
      <c r="E472" s="41" t="s">
        <v>666</v>
      </c>
      <c r="F472" s="43">
        <v>0.14000000000000001</v>
      </c>
      <c r="G472" s="44"/>
      <c r="H472" s="44"/>
    </row>
    <row r="473" spans="1:9" hidden="1" x14ac:dyDescent="0.35">
      <c r="A473" s="33">
        <v>472</v>
      </c>
      <c r="B473" s="34" t="s">
        <v>789</v>
      </c>
      <c r="C473" s="33" t="s">
        <v>346</v>
      </c>
      <c r="D473" s="33" t="s">
        <v>17</v>
      </c>
      <c r="E473" s="33" t="s">
        <v>666</v>
      </c>
      <c r="F473" s="35">
        <v>7.4999999999999997E-2</v>
      </c>
      <c r="G473" s="40"/>
      <c r="H473" s="40"/>
    </row>
    <row r="474" spans="1:9" hidden="1" x14ac:dyDescent="0.35">
      <c r="A474" s="33">
        <v>473</v>
      </c>
      <c r="B474" s="34" t="s">
        <v>790</v>
      </c>
      <c r="C474" s="33" t="s">
        <v>346</v>
      </c>
      <c r="D474" s="33" t="s">
        <v>17</v>
      </c>
      <c r="E474" s="33" t="s">
        <v>666</v>
      </c>
      <c r="F474" s="35">
        <v>0.09</v>
      </c>
      <c r="G474" s="40"/>
      <c r="H474" s="40"/>
    </row>
    <row r="475" spans="1:9" hidden="1" x14ac:dyDescent="0.35">
      <c r="A475" s="33">
        <v>474</v>
      </c>
      <c r="B475" s="34" t="s">
        <v>791</v>
      </c>
      <c r="C475" s="33" t="s">
        <v>346</v>
      </c>
      <c r="D475" s="33" t="s">
        <v>17</v>
      </c>
      <c r="E475" s="33" t="s">
        <v>666</v>
      </c>
      <c r="F475" s="35">
        <v>1</v>
      </c>
      <c r="G475" s="40"/>
      <c r="H475" s="40"/>
    </row>
    <row r="476" spans="1:9" hidden="1" x14ac:dyDescent="0.35">
      <c r="A476" s="33">
        <v>475</v>
      </c>
      <c r="B476" s="34" t="s">
        <v>792</v>
      </c>
      <c r="C476" s="33" t="s">
        <v>346</v>
      </c>
      <c r="D476" s="33" t="s">
        <v>17</v>
      </c>
      <c r="E476" s="33" t="s">
        <v>666</v>
      </c>
      <c r="F476" s="35">
        <v>1</v>
      </c>
      <c r="G476" s="40"/>
      <c r="H476" s="40"/>
    </row>
    <row r="477" spans="1:9" hidden="1" x14ac:dyDescent="0.35">
      <c r="A477" s="33">
        <v>476</v>
      </c>
      <c r="B477" s="34" t="s">
        <v>793</v>
      </c>
      <c r="C477" s="33" t="s">
        <v>346</v>
      </c>
      <c r="D477" s="33" t="s">
        <v>17</v>
      </c>
      <c r="E477" s="33" t="s">
        <v>666</v>
      </c>
      <c r="F477" s="35">
        <v>0.1</v>
      </c>
      <c r="G477" s="40"/>
      <c r="H477" s="40"/>
    </row>
    <row r="478" spans="1:9" hidden="1" x14ac:dyDescent="0.35">
      <c r="A478" s="33">
        <v>477</v>
      </c>
      <c r="B478" s="34" t="s">
        <v>794</v>
      </c>
      <c r="C478" s="33" t="s">
        <v>346</v>
      </c>
      <c r="D478" s="33" t="s">
        <v>17</v>
      </c>
      <c r="E478" s="33" t="s">
        <v>666</v>
      </c>
      <c r="F478" s="35">
        <v>0.1</v>
      </c>
      <c r="G478" s="40"/>
      <c r="H478" s="40"/>
    </row>
    <row r="479" spans="1:9" hidden="1" x14ac:dyDescent="0.35">
      <c r="A479" s="33">
        <v>478</v>
      </c>
      <c r="B479" s="34" t="s">
        <v>795</v>
      </c>
      <c r="C479" s="33" t="s">
        <v>346</v>
      </c>
      <c r="D479" s="33" t="s">
        <v>17</v>
      </c>
      <c r="E479" s="33" t="s">
        <v>666</v>
      </c>
      <c r="F479" s="35">
        <v>0.1</v>
      </c>
      <c r="G479" s="40"/>
      <c r="H479" s="40"/>
    </row>
    <row r="480" spans="1:9" hidden="1" x14ac:dyDescent="0.35">
      <c r="A480" s="33">
        <v>479</v>
      </c>
      <c r="B480" s="34" t="s">
        <v>796</v>
      </c>
      <c r="C480" s="33" t="s">
        <v>346</v>
      </c>
      <c r="D480" s="33" t="s">
        <v>17</v>
      </c>
      <c r="E480" s="33" t="s">
        <v>666</v>
      </c>
      <c r="F480" s="35">
        <v>1</v>
      </c>
      <c r="G480" s="40"/>
      <c r="H480" s="40"/>
    </row>
    <row r="481" spans="1:8" hidden="1" x14ac:dyDescent="0.35">
      <c r="A481" s="33">
        <v>480</v>
      </c>
      <c r="B481" s="34" t="s">
        <v>797</v>
      </c>
      <c r="C481" s="33" t="s">
        <v>346</v>
      </c>
      <c r="D481" s="33" t="s">
        <v>17</v>
      </c>
      <c r="E481" s="33" t="s">
        <v>666</v>
      </c>
      <c r="F481" s="35">
        <v>1</v>
      </c>
      <c r="G481" s="40"/>
      <c r="H481" s="40"/>
    </row>
    <row r="482" spans="1:8" hidden="1" x14ac:dyDescent="0.35">
      <c r="A482" s="33">
        <v>481</v>
      </c>
      <c r="B482" s="34" t="s">
        <v>798</v>
      </c>
      <c r="C482" s="33" t="s">
        <v>346</v>
      </c>
      <c r="D482" s="33" t="s">
        <v>17</v>
      </c>
      <c r="E482" s="33" t="s">
        <v>666</v>
      </c>
      <c r="F482" s="35">
        <v>0.17</v>
      </c>
      <c r="G482" s="40"/>
      <c r="H482" s="40"/>
    </row>
    <row r="483" spans="1:8" hidden="1" x14ac:dyDescent="0.35">
      <c r="A483" s="33">
        <v>482</v>
      </c>
      <c r="B483" s="34" t="s">
        <v>799</v>
      </c>
      <c r="C483" s="33" t="s">
        <v>346</v>
      </c>
      <c r="D483" s="33" t="s">
        <v>17</v>
      </c>
      <c r="E483" s="33" t="s">
        <v>666</v>
      </c>
      <c r="F483" s="35">
        <v>0.17</v>
      </c>
      <c r="G483" s="40"/>
      <c r="H483" s="40"/>
    </row>
    <row r="484" spans="1:8" hidden="1" x14ac:dyDescent="0.35">
      <c r="A484" s="33">
        <v>483</v>
      </c>
      <c r="B484" s="34" t="s">
        <v>800</v>
      </c>
      <c r="C484" s="33" t="s">
        <v>346</v>
      </c>
      <c r="D484" s="33" t="s">
        <v>17</v>
      </c>
      <c r="E484" s="33" t="s">
        <v>666</v>
      </c>
      <c r="F484" s="35">
        <v>0.48</v>
      </c>
      <c r="G484" s="40"/>
      <c r="H484" s="40"/>
    </row>
    <row r="485" spans="1:8" hidden="1" x14ac:dyDescent="0.35">
      <c r="A485" s="33">
        <v>484</v>
      </c>
      <c r="B485" s="34" t="s">
        <v>801</v>
      </c>
      <c r="C485" s="33" t="s">
        <v>346</v>
      </c>
      <c r="D485" s="33" t="s">
        <v>17</v>
      </c>
      <c r="E485" s="33" t="s">
        <v>666</v>
      </c>
      <c r="F485" s="35">
        <v>0.23</v>
      </c>
      <c r="G485" s="40"/>
      <c r="H485" s="40"/>
    </row>
    <row r="486" spans="1:8" hidden="1" x14ac:dyDescent="0.35">
      <c r="A486" s="33">
        <v>485</v>
      </c>
      <c r="B486" s="34" t="s">
        <v>802</v>
      </c>
      <c r="C486" s="33" t="s">
        <v>346</v>
      </c>
      <c r="D486" s="33" t="s">
        <v>17</v>
      </c>
      <c r="E486" s="33" t="s">
        <v>666</v>
      </c>
      <c r="F486" s="35">
        <v>0.25</v>
      </c>
      <c r="G486" s="40"/>
      <c r="H486" s="40"/>
    </row>
    <row r="487" spans="1:8" hidden="1" x14ac:dyDescent="0.35">
      <c r="A487" s="33">
        <v>486</v>
      </c>
      <c r="B487" s="34" t="s">
        <v>803</v>
      </c>
      <c r="C487" s="33" t="s">
        <v>346</v>
      </c>
      <c r="D487" s="33" t="s">
        <v>17</v>
      </c>
      <c r="E487" s="33" t="s">
        <v>666</v>
      </c>
      <c r="F487" s="35">
        <v>0.25</v>
      </c>
      <c r="G487" s="40"/>
      <c r="H487" s="40"/>
    </row>
    <row r="488" spans="1:8" hidden="1" x14ac:dyDescent="0.35">
      <c r="A488" s="33">
        <v>487</v>
      </c>
      <c r="B488" s="34" t="s">
        <v>804</v>
      </c>
      <c r="C488" s="33" t="s">
        <v>346</v>
      </c>
      <c r="D488" s="33" t="s">
        <v>17</v>
      </c>
      <c r="E488" s="33" t="s">
        <v>666</v>
      </c>
      <c r="F488" s="35">
        <v>0.5</v>
      </c>
      <c r="G488" s="40"/>
      <c r="H488" s="40"/>
    </row>
    <row r="489" spans="1:8" hidden="1" x14ac:dyDescent="0.35">
      <c r="A489" s="33">
        <v>488</v>
      </c>
      <c r="B489" s="34" t="s">
        <v>805</v>
      </c>
      <c r="C489" s="33" t="s">
        <v>346</v>
      </c>
      <c r="D489" s="33" t="s">
        <v>17</v>
      </c>
      <c r="E489" s="33" t="s">
        <v>666</v>
      </c>
      <c r="F489" s="35">
        <v>1</v>
      </c>
      <c r="G489" s="40"/>
      <c r="H489" s="40"/>
    </row>
    <row r="490" spans="1:8" hidden="1" x14ac:dyDescent="0.35">
      <c r="A490" s="33">
        <v>489</v>
      </c>
      <c r="B490" s="34" t="s">
        <v>806</v>
      </c>
      <c r="C490" s="33" t="s">
        <v>346</v>
      </c>
      <c r="D490" s="33" t="s">
        <v>17</v>
      </c>
      <c r="E490" s="33" t="s">
        <v>666</v>
      </c>
      <c r="F490" s="35">
        <v>7.4999999999999997E-2</v>
      </c>
      <c r="G490" s="40"/>
      <c r="H490" s="40"/>
    </row>
    <row r="491" spans="1:8" hidden="1" x14ac:dyDescent="0.35">
      <c r="A491" s="33">
        <v>490</v>
      </c>
      <c r="B491" s="34" t="s">
        <v>807</v>
      </c>
      <c r="C491" s="33" t="s">
        <v>346</v>
      </c>
      <c r="D491" s="33" t="s">
        <v>17</v>
      </c>
      <c r="E491" s="33" t="s">
        <v>666</v>
      </c>
      <c r="F491" s="35">
        <v>7.4999999999999997E-2</v>
      </c>
      <c r="G491" s="40"/>
      <c r="H491" s="40"/>
    </row>
    <row r="492" spans="1:8" hidden="1" x14ac:dyDescent="0.35">
      <c r="A492" s="33">
        <v>491</v>
      </c>
      <c r="B492" s="34" t="s">
        <v>808</v>
      </c>
      <c r="C492" s="33" t="s">
        <v>346</v>
      </c>
      <c r="D492" s="33" t="s">
        <v>17</v>
      </c>
      <c r="E492" s="33" t="s">
        <v>666</v>
      </c>
      <c r="F492" s="35">
        <v>7.4999999999999997E-2</v>
      </c>
      <c r="G492" s="40"/>
      <c r="H492" s="40"/>
    </row>
    <row r="493" spans="1:8" hidden="1" x14ac:dyDescent="0.35">
      <c r="A493" s="33">
        <v>492</v>
      </c>
      <c r="B493" s="34" t="s">
        <v>809</v>
      </c>
      <c r="C493" s="33" t="s">
        <v>346</v>
      </c>
      <c r="D493" s="33" t="s">
        <v>17</v>
      </c>
      <c r="E493" s="33" t="s">
        <v>666</v>
      </c>
      <c r="F493" s="35">
        <v>0.2</v>
      </c>
      <c r="G493" s="40"/>
      <c r="H493" s="40"/>
    </row>
    <row r="494" spans="1:8" hidden="1" x14ac:dyDescent="0.35">
      <c r="A494" s="33">
        <v>493</v>
      </c>
      <c r="B494" s="34" t="s">
        <v>810</v>
      </c>
      <c r="C494" s="33" t="s">
        <v>346</v>
      </c>
      <c r="D494" s="33" t="s">
        <v>17</v>
      </c>
      <c r="E494" s="33" t="s">
        <v>666</v>
      </c>
      <c r="F494" s="35">
        <v>0.2</v>
      </c>
      <c r="G494" s="40"/>
      <c r="H494" s="40"/>
    </row>
    <row r="495" spans="1:8" hidden="1" x14ac:dyDescent="0.35">
      <c r="A495" s="33">
        <v>494</v>
      </c>
      <c r="B495" s="34" t="s">
        <v>811</v>
      </c>
      <c r="C495" s="33" t="s">
        <v>346</v>
      </c>
      <c r="D495" s="33" t="s">
        <v>17</v>
      </c>
      <c r="E495" s="33" t="s">
        <v>666</v>
      </c>
      <c r="F495" s="35">
        <v>0.5</v>
      </c>
      <c r="G495" s="40"/>
      <c r="H495" s="40"/>
    </row>
    <row r="496" spans="1:8" hidden="1" x14ac:dyDescent="0.35">
      <c r="A496" s="33">
        <v>495</v>
      </c>
      <c r="B496" s="34" t="s">
        <v>812</v>
      </c>
      <c r="C496" s="33" t="s">
        <v>346</v>
      </c>
      <c r="D496" s="33" t="s">
        <v>17</v>
      </c>
      <c r="E496" s="33" t="s">
        <v>666</v>
      </c>
      <c r="F496" s="35">
        <v>0.2</v>
      </c>
      <c r="G496" s="40"/>
      <c r="H496" s="40"/>
    </row>
    <row r="497" spans="1:8" hidden="1" x14ac:dyDescent="0.35">
      <c r="A497" s="33">
        <v>496</v>
      </c>
      <c r="B497" s="34" t="s">
        <v>813</v>
      </c>
      <c r="C497" s="33" t="s">
        <v>346</v>
      </c>
      <c r="D497" s="33" t="s">
        <v>17</v>
      </c>
      <c r="E497" s="33" t="s">
        <v>666</v>
      </c>
      <c r="F497" s="35">
        <v>0.1</v>
      </c>
      <c r="G497" s="40"/>
      <c r="H497" s="40"/>
    </row>
    <row r="498" spans="1:8" hidden="1" x14ac:dyDescent="0.35">
      <c r="A498" s="33">
        <v>497</v>
      </c>
      <c r="B498" s="34" t="s">
        <v>814</v>
      </c>
      <c r="C498" s="33" t="s">
        <v>346</v>
      </c>
      <c r="D498" s="33" t="s">
        <v>17</v>
      </c>
      <c r="E498" s="33" t="s">
        <v>666</v>
      </c>
      <c r="F498" s="35">
        <v>0.2</v>
      </c>
      <c r="G498" s="40"/>
      <c r="H498" s="40"/>
    </row>
    <row r="499" spans="1:8" hidden="1" x14ac:dyDescent="0.35">
      <c r="A499" s="33">
        <v>498</v>
      </c>
      <c r="B499" s="34" t="s">
        <v>815</v>
      </c>
      <c r="C499" s="33" t="s">
        <v>346</v>
      </c>
      <c r="D499" s="33" t="s">
        <v>17</v>
      </c>
      <c r="E499" s="33" t="s">
        <v>666</v>
      </c>
      <c r="F499" s="35">
        <v>1</v>
      </c>
      <c r="G499" s="40"/>
      <c r="H499" s="40"/>
    </row>
    <row r="500" spans="1:8" hidden="1" x14ac:dyDescent="0.35">
      <c r="A500" s="33">
        <v>499</v>
      </c>
      <c r="B500" s="34" t="s">
        <v>816</v>
      </c>
      <c r="C500" s="33" t="s">
        <v>346</v>
      </c>
      <c r="D500" s="33" t="s">
        <v>17</v>
      </c>
      <c r="E500" s="33" t="s">
        <v>666</v>
      </c>
      <c r="F500" s="35">
        <v>0.15</v>
      </c>
      <c r="G500" s="40"/>
      <c r="H500" s="40"/>
    </row>
    <row r="501" spans="1:8" hidden="1" x14ac:dyDescent="0.35">
      <c r="A501" s="33">
        <v>500</v>
      </c>
      <c r="B501" s="34" t="s">
        <v>817</v>
      </c>
      <c r="C501" s="33" t="s">
        <v>346</v>
      </c>
      <c r="D501" s="33" t="s">
        <v>17</v>
      </c>
      <c r="E501" s="33" t="s">
        <v>666</v>
      </c>
      <c r="F501" s="35">
        <v>0.15</v>
      </c>
      <c r="G501" s="40"/>
      <c r="H501" s="40"/>
    </row>
    <row r="502" spans="1:8" hidden="1" x14ac:dyDescent="0.35">
      <c r="A502" s="33">
        <v>501</v>
      </c>
      <c r="B502" s="34" t="s">
        <v>818</v>
      </c>
      <c r="C502" s="33" t="s">
        <v>346</v>
      </c>
      <c r="D502" s="33" t="s">
        <v>17</v>
      </c>
      <c r="E502" s="33" t="s">
        <v>666</v>
      </c>
      <c r="F502" s="35">
        <v>0.15</v>
      </c>
      <c r="G502" s="40"/>
      <c r="H502" s="40"/>
    </row>
    <row r="503" spans="1:8" hidden="1" x14ac:dyDescent="0.35">
      <c r="A503" s="33">
        <v>502</v>
      </c>
      <c r="B503" s="34" t="s">
        <v>819</v>
      </c>
      <c r="C503" s="33" t="s">
        <v>346</v>
      </c>
      <c r="D503" s="33" t="s">
        <v>17</v>
      </c>
      <c r="E503" s="33" t="s">
        <v>666</v>
      </c>
      <c r="F503" s="35">
        <v>0.15</v>
      </c>
      <c r="G503" s="40"/>
      <c r="H503" s="40"/>
    </row>
    <row r="504" spans="1:8" hidden="1" x14ac:dyDescent="0.35">
      <c r="A504" s="33">
        <v>503</v>
      </c>
      <c r="B504" s="34" t="s">
        <v>820</v>
      </c>
      <c r="C504" s="33" t="s">
        <v>297</v>
      </c>
      <c r="D504" s="33" t="s">
        <v>139</v>
      </c>
      <c r="E504" s="33" t="s">
        <v>821</v>
      </c>
      <c r="F504" s="35">
        <v>1</v>
      </c>
      <c r="G504" s="40"/>
      <c r="H504" s="40"/>
    </row>
    <row r="505" spans="1:8" hidden="1" x14ac:dyDescent="0.35">
      <c r="A505" s="33">
        <v>504</v>
      </c>
      <c r="B505" s="34" t="s">
        <v>822</v>
      </c>
      <c r="C505" s="33" t="s">
        <v>297</v>
      </c>
      <c r="D505" s="33" t="s">
        <v>139</v>
      </c>
      <c r="E505" s="33" t="s">
        <v>821</v>
      </c>
      <c r="F505" s="35">
        <v>1</v>
      </c>
      <c r="G505" s="40"/>
      <c r="H505" s="40"/>
    </row>
    <row r="506" spans="1:8" hidden="1" x14ac:dyDescent="0.35">
      <c r="A506" s="33">
        <v>505</v>
      </c>
      <c r="B506" s="34" t="s">
        <v>823</v>
      </c>
      <c r="C506" s="33" t="s">
        <v>297</v>
      </c>
      <c r="D506" s="33" t="s">
        <v>139</v>
      </c>
      <c r="E506" s="33" t="s">
        <v>821</v>
      </c>
      <c r="F506" s="35">
        <v>1</v>
      </c>
      <c r="G506" s="40"/>
      <c r="H506" s="40"/>
    </row>
    <row r="507" spans="1:8" hidden="1" x14ac:dyDescent="0.35">
      <c r="A507" s="33">
        <v>506</v>
      </c>
      <c r="B507" s="34" t="s">
        <v>824</v>
      </c>
      <c r="C507" s="33" t="s">
        <v>297</v>
      </c>
      <c r="D507" s="33" t="s">
        <v>139</v>
      </c>
      <c r="E507" s="33" t="s">
        <v>825</v>
      </c>
      <c r="F507" s="35">
        <v>1</v>
      </c>
      <c r="G507" s="40"/>
      <c r="H507" s="40"/>
    </row>
    <row r="508" spans="1:8" hidden="1" x14ac:dyDescent="0.35">
      <c r="A508" s="33">
        <v>507</v>
      </c>
      <c r="B508" s="34" t="s">
        <v>826</v>
      </c>
      <c r="C508" s="33" t="s">
        <v>297</v>
      </c>
      <c r="D508" s="33" t="s">
        <v>139</v>
      </c>
      <c r="E508" s="33" t="s">
        <v>825</v>
      </c>
      <c r="F508" s="35">
        <v>1</v>
      </c>
      <c r="G508" s="40"/>
      <c r="H508" s="40"/>
    </row>
    <row r="509" spans="1:8" hidden="1" x14ac:dyDescent="0.35">
      <c r="A509" s="33">
        <v>508</v>
      </c>
      <c r="B509" s="34" t="s">
        <v>827</v>
      </c>
      <c r="C509" s="33" t="s">
        <v>297</v>
      </c>
      <c r="D509" s="33" t="s">
        <v>139</v>
      </c>
      <c r="E509" s="33" t="s">
        <v>344</v>
      </c>
      <c r="F509" s="35">
        <v>1</v>
      </c>
      <c r="G509" s="40"/>
      <c r="H509" s="40"/>
    </row>
    <row r="510" spans="1:8" hidden="1" x14ac:dyDescent="0.35">
      <c r="A510" s="33">
        <v>509</v>
      </c>
      <c r="B510" s="34" t="s">
        <v>828</v>
      </c>
      <c r="C510" s="33" t="s">
        <v>346</v>
      </c>
      <c r="D510" s="33" t="s">
        <v>139</v>
      </c>
      <c r="E510" s="33" t="s">
        <v>821</v>
      </c>
      <c r="F510" s="35">
        <v>0.25</v>
      </c>
      <c r="G510" s="40"/>
      <c r="H510" s="40"/>
    </row>
    <row r="511" spans="1:8" hidden="1" x14ac:dyDescent="0.35">
      <c r="A511" s="33">
        <v>510</v>
      </c>
      <c r="B511" s="34" t="s">
        <v>829</v>
      </c>
      <c r="C511" s="33" t="s">
        <v>346</v>
      </c>
      <c r="D511" s="33" t="s">
        <v>139</v>
      </c>
      <c r="E511" s="33" t="s">
        <v>821</v>
      </c>
      <c r="F511" s="35">
        <v>0.2</v>
      </c>
      <c r="G511" s="40"/>
      <c r="H511" s="40"/>
    </row>
    <row r="512" spans="1:8" hidden="1" x14ac:dyDescent="0.35">
      <c r="A512" s="33">
        <v>511</v>
      </c>
      <c r="B512" s="34" t="s">
        <v>830</v>
      </c>
      <c r="C512" s="33" t="s">
        <v>346</v>
      </c>
      <c r="D512" s="33" t="s">
        <v>139</v>
      </c>
      <c r="E512" s="33" t="s">
        <v>821</v>
      </c>
      <c r="F512" s="35">
        <v>0.25</v>
      </c>
      <c r="G512" s="40"/>
      <c r="H512" s="40"/>
    </row>
    <row r="513" spans="1:8" hidden="1" x14ac:dyDescent="0.35">
      <c r="A513" s="33">
        <v>512</v>
      </c>
      <c r="B513" s="34" t="s">
        <v>831</v>
      </c>
      <c r="C513" s="33" t="s">
        <v>346</v>
      </c>
      <c r="D513" s="33" t="s">
        <v>139</v>
      </c>
      <c r="E513" s="33" t="s">
        <v>821</v>
      </c>
      <c r="F513" s="35">
        <v>0.1</v>
      </c>
      <c r="G513" s="40"/>
      <c r="H513" s="40"/>
    </row>
    <row r="514" spans="1:8" hidden="1" x14ac:dyDescent="0.35">
      <c r="A514" s="33">
        <v>513</v>
      </c>
      <c r="B514" s="34" t="s">
        <v>832</v>
      </c>
      <c r="C514" s="33" t="s">
        <v>346</v>
      </c>
      <c r="D514" s="33" t="s">
        <v>139</v>
      </c>
      <c r="E514" s="33" t="s">
        <v>821</v>
      </c>
      <c r="F514" s="35">
        <v>0.12</v>
      </c>
      <c r="G514" s="40"/>
      <c r="H514" s="40"/>
    </row>
    <row r="515" spans="1:8" hidden="1" x14ac:dyDescent="0.35">
      <c r="A515" s="33">
        <v>514</v>
      </c>
      <c r="B515" s="34" t="s">
        <v>833</v>
      </c>
      <c r="C515" s="33" t="s">
        <v>346</v>
      </c>
      <c r="D515" s="33" t="s">
        <v>139</v>
      </c>
      <c r="E515" s="33" t="s">
        <v>821</v>
      </c>
      <c r="F515" s="35">
        <v>0.25</v>
      </c>
      <c r="G515" s="40"/>
      <c r="H515" s="40"/>
    </row>
    <row r="516" spans="1:8" hidden="1" x14ac:dyDescent="0.35">
      <c r="A516" s="33">
        <v>515</v>
      </c>
      <c r="B516" s="34" t="s">
        <v>834</v>
      </c>
      <c r="C516" s="33" t="s">
        <v>346</v>
      </c>
      <c r="D516" s="33" t="s">
        <v>139</v>
      </c>
      <c r="E516" s="33" t="s">
        <v>821</v>
      </c>
      <c r="F516" s="35">
        <v>0.08</v>
      </c>
      <c r="G516" s="40"/>
      <c r="H516" s="40"/>
    </row>
    <row r="517" spans="1:8" hidden="1" x14ac:dyDescent="0.35">
      <c r="A517" s="33">
        <v>516</v>
      </c>
      <c r="B517" s="34" t="s">
        <v>835</v>
      </c>
      <c r="C517" s="33" t="s">
        <v>346</v>
      </c>
      <c r="D517" s="33" t="s">
        <v>139</v>
      </c>
      <c r="E517" s="33" t="s">
        <v>821</v>
      </c>
      <c r="F517" s="35">
        <v>0.1</v>
      </c>
      <c r="G517" s="40"/>
      <c r="H517" s="40"/>
    </row>
    <row r="518" spans="1:8" hidden="1" x14ac:dyDescent="0.35">
      <c r="A518" s="33">
        <v>517</v>
      </c>
      <c r="B518" s="34" t="s">
        <v>239</v>
      </c>
      <c r="C518" s="33" t="s">
        <v>346</v>
      </c>
      <c r="D518" s="33" t="s">
        <v>139</v>
      </c>
      <c r="E518" s="33" t="s">
        <v>821</v>
      </c>
      <c r="F518" s="35">
        <v>0.03</v>
      </c>
      <c r="G518" s="40"/>
      <c r="H518" s="40"/>
    </row>
    <row r="519" spans="1:8" hidden="1" x14ac:dyDescent="0.35">
      <c r="A519" s="33">
        <v>518</v>
      </c>
      <c r="B519" s="34" t="s">
        <v>836</v>
      </c>
      <c r="C519" s="33" t="s">
        <v>346</v>
      </c>
      <c r="D519" s="33" t="s">
        <v>139</v>
      </c>
      <c r="E519" s="33" t="s">
        <v>821</v>
      </c>
      <c r="F519" s="35">
        <v>0.1</v>
      </c>
      <c r="G519" s="40"/>
      <c r="H519" s="40"/>
    </row>
    <row r="520" spans="1:8" hidden="1" x14ac:dyDescent="0.35">
      <c r="A520" s="33">
        <v>519</v>
      </c>
      <c r="B520" s="34" t="s">
        <v>837</v>
      </c>
      <c r="C520" s="33" t="s">
        <v>346</v>
      </c>
      <c r="D520" s="33" t="s">
        <v>139</v>
      </c>
      <c r="E520" s="33" t="s">
        <v>821</v>
      </c>
      <c r="F520" s="35">
        <v>0.15</v>
      </c>
      <c r="G520" s="40"/>
      <c r="H520" s="40"/>
    </row>
    <row r="521" spans="1:8" hidden="1" x14ac:dyDescent="0.35">
      <c r="A521" s="33">
        <v>520</v>
      </c>
      <c r="B521" s="34" t="s">
        <v>838</v>
      </c>
      <c r="C521" s="33" t="s">
        <v>346</v>
      </c>
      <c r="D521" s="33" t="s">
        <v>139</v>
      </c>
      <c r="E521" s="33" t="s">
        <v>825</v>
      </c>
      <c r="F521" s="35">
        <v>0.1</v>
      </c>
      <c r="G521" s="40"/>
      <c r="H521" s="40"/>
    </row>
    <row r="522" spans="1:8" hidden="1" x14ac:dyDescent="0.35">
      <c r="A522" s="33">
        <v>521</v>
      </c>
      <c r="B522" s="34" t="s">
        <v>839</v>
      </c>
      <c r="C522" s="33" t="s">
        <v>346</v>
      </c>
      <c r="D522" s="33" t="s">
        <v>139</v>
      </c>
      <c r="E522" s="33" t="s">
        <v>825</v>
      </c>
      <c r="F522" s="35">
        <v>0.25</v>
      </c>
      <c r="G522" s="40"/>
      <c r="H522" s="40"/>
    </row>
    <row r="523" spans="1:8" hidden="1" x14ac:dyDescent="0.35">
      <c r="A523" s="33">
        <v>522</v>
      </c>
      <c r="B523" s="34" t="s">
        <v>840</v>
      </c>
      <c r="C523" s="33" t="s">
        <v>346</v>
      </c>
      <c r="D523" s="33" t="s">
        <v>139</v>
      </c>
      <c r="E523" s="33" t="s">
        <v>825</v>
      </c>
      <c r="F523" s="35">
        <v>0.23</v>
      </c>
      <c r="G523" s="40"/>
      <c r="H523" s="40"/>
    </row>
    <row r="524" spans="1:8" hidden="1" x14ac:dyDescent="0.35">
      <c r="A524" s="33">
        <v>523</v>
      </c>
      <c r="B524" s="34" t="s">
        <v>841</v>
      </c>
      <c r="C524" s="33" t="s">
        <v>346</v>
      </c>
      <c r="D524" s="33" t="s">
        <v>139</v>
      </c>
      <c r="E524" s="33" t="s">
        <v>825</v>
      </c>
      <c r="F524" s="35">
        <v>0.25</v>
      </c>
      <c r="G524" s="40"/>
      <c r="H524" s="40"/>
    </row>
    <row r="525" spans="1:8" hidden="1" x14ac:dyDescent="0.35">
      <c r="A525" s="33">
        <v>524</v>
      </c>
      <c r="B525" s="34" t="s">
        <v>842</v>
      </c>
      <c r="C525" s="33" t="s">
        <v>346</v>
      </c>
      <c r="D525" s="33" t="s">
        <v>139</v>
      </c>
      <c r="E525" s="33" t="s">
        <v>825</v>
      </c>
      <c r="F525" s="35">
        <v>0.1</v>
      </c>
      <c r="G525" s="40"/>
      <c r="H525" s="40"/>
    </row>
    <row r="526" spans="1:8" hidden="1" x14ac:dyDescent="0.35">
      <c r="A526" s="33">
        <v>525</v>
      </c>
      <c r="B526" s="34" t="s">
        <v>843</v>
      </c>
      <c r="C526" s="33" t="s">
        <v>346</v>
      </c>
      <c r="D526" s="33" t="s">
        <v>139</v>
      </c>
      <c r="E526" s="33" t="s">
        <v>825</v>
      </c>
      <c r="F526" s="35">
        <v>0.25</v>
      </c>
      <c r="G526" s="40"/>
      <c r="H526" s="40"/>
    </row>
    <row r="527" spans="1:8" hidden="1" x14ac:dyDescent="0.35">
      <c r="A527" s="33">
        <v>526</v>
      </c>
      <c r="B527" s="34" t="s">
        <v>844</v>
      </c>
      <c r="C527" s="33" t="s">
        <v>346</v>
      </c>
      <c r="D527" s="33" t="s">
        <v>139</v>
      </c>
      <c r="E527" s="33" t="s">
        <v>825</v>
      </c>
      <c r="F527" s="35">
        <v>0.25</v>
      </c>
      <c r="G527" s="40"/>
      <c r="H527" s="40"/>
    </row>
    <row r="528" spans="1:8" hidden="1" x14ac:dyDescent="0.35">
      <c r="A528" s="33">
        <v>527</v>
      </c>
      <c r="B528" s="34" t="s">
        <v>845</v>
      </c>
      <c r="C528" s="33" t="s">
        <v>346</v>
      </c>
      <c r="D528" s="33" t="s">
        <v>139</v>
      </c>
      <c r="E528" s="33" t="s">
        <v>825</v>
      </c>
      <c r="F528" s="35">
        <v>0.2</v>
      </c>
      <c r="G528" s="40"/>
      <c r="H528" s="40"/>
    </row>
    <row r="529" spans="1:9" hidden="1" x14ac:dyDescent="0.35">
      <c r="A529" s="33">
        <v>528</v>
      </c>
      <c r="B529" s="34" t="s">
        <v>846</v>
      </c>
      <c r="C529" s="33" t="s">
        <v>346</v>
      </c>
      <c r="D529" s="33" t="s">
        <v>139</v>
      </c>
      <c r="E529" s="33" t="s">
        <v>825</v>
      </c>
      <c r="F529" s="35">
        <v>0.1</v>
      </c>
      <c r="G529" s="40"/>
      <c r="H529" s="40"/>
    </row>
    <row r="530" spans="1:9" hidden="1" x14ac:dyDescent="0.35">
      <c r="A530" s="33">
        <v>529</v>
      </c>
      <c r="B530" s="34" t="s">
        <v>847</v>
      </c>
      <c r="C530" s="33" t="s">
        <v>346</v>
      </c>
      <c r="D530" s="33" t="s">
        <v>139</v>
      </c>
      <c r="E530" s="33" t="s">
        <v>825</v>
      </c>
      <c r="F530" s="35">
        <v>0.25</v>
      </c>
      <c r="G530" s="40"/>
      <c r="H530" s="40"/>
    </row>
    <row r="531" spans="1:9" hidden="1" x14ac:dyDescent="0.35">
      <c r="A531" s="33">
        <v>530</v>
      </c>
      <c r="B531" s="34" t="s">
        <v>848</v>
      </c>
      <c r="C531" s="33" t="s">
        <v>346</v>
      </c>
      <c r="D531" s="33" t="s">
        <v>139</v>
      </c>
      <c r="E531" s="33" t="s">
        <v>825</v>
      </c>
      <c r="F531" s="35">
        <v>0.1</v>
      </c>
      <c r="G531" s="40"/>
      <c r="H531" s="40"/>
    </row>
    <row r="532" spans="1:9" hidden="1" x14ac:dyDescent="0.35">
      <c r="A532" s="33">
        <v>531</v>
      </c>
      <c r="B532" s="34" t="s">
        <v>849</v>
      </c>
      <c r="C532" s="33" t="s">
        <v>346</v>
      </c>
      <c r="D532" s="33" t="s">
        <v>139</v>
      </c>
      <c r="E532" s="33" t="s">
        <v>825</v>
      </c>
      <c r="F532" s="35">
        <v>0.25</v>
      </c>
      <c r="G532" s="40"/>
      <c r="H532" s="40"/>
    </row>
    <row r="533" spans="1:9" hidden="1" x14ac:dyDescent="0.35">
      <c r="A533" s="33">
        <v>532</v>
      </c>
      <c r="B533" s="34" t="s">
        <v>850</v>
      </c>
      <c r="C533" s="33" t="s">
        <v>346</v>
      </c>
      <c r="D533" s="33" t="s">
        <v>139</v>
      </c>
      <c r="E533" s="33" t="s">
        <v>825</v>
      </c>
      <c r="F533" s="35">
        <v>0.125</v>
      </c>
      <c r="G533" s="40"/>
      <c r="H533" s="40"/>
    </row>
    <row r="534" spans="1:9" x14ac:dyDescent="0.35">
      <c r="A534" s="33">
        <v>533</v>
      </c>
      <c r="B534" s="34" t="s">
        <v>851</v>
      </c>
      <c r="C534" s="33" t="s">
        <v>346</v>
      </c>
      <c r="D534" s="33" t="s">
        <v>139</v>
      </c>
      <c r="E534" s="33" t="s">
        <v>825</v>
      </c>
      <c r="F534" s="35">
        <v>1</v>
      </c>
      <c r="G534" s="40"/>
      <c r="H534" s="40">
        <f>12.06+10.12</f>
        <v>22.18</v>
      </c>
      <c r="I534" s="40" t="s">
        <v>2303</v>
      </c>
    </row>
    <row r="535" spans="1:9" hidden="1" x14ac:dyDescent="0.35">
      <c r="A535" s="41">
        <v>534</v>
      </c>
      <c r="B535" s="42" t="s">
        <v>852</v>
      </c>
      <c r="C535" s="41" t="s">
        <v>346</v>
      </c>
      <c r="D535" s="41" t="s">
        <v>139</v>
      </c>
      <c r="E535" s="41" t="s">
        <v>825</v>
      </c>
      <c r="F535" s="43">
        <v>7.4999999999999997E-2</v>
      </c>
      <c r="G535" s="44"/>
      <c r="H535" s="44"/>
    </row>
    <row r="536" spans="1:9" hidden="1" x14ac:dyDescent="0.35">
      <c r="A536" s="33">
        <v>535</v>
      </c>
      <c r="B536" s="34" t="s">
        <v>853</v>
      </c>
      <c r="C536" s="33" t="s">
        <v>346</v>
      </c>
      <c r="D536" s="33" t="s">
        <v>139</v>
      </c>
      <c r="E536" s="33" t="s">
        <v>825</v>
      </c>
      <c r="F536" s="35">
        <v>0.23</v>
      </c>
      <c r="G536" s="40"/>
      <c r="H536" s="40"/>
    </row>
    <row r="537" spans="1:9" hidden="1" x14ac:dyDescent="0.35">
      <c r="A537" s="33">
        <v>536</v>
      </c>
      <c r="B537" s="34" t="s">
        <v>854</v>
      </c>
      <c r="C537" s="33" t="s">
        <v>346</v>
      </c>
      <c r="D537" s="33" t="s">
        <v>139</v>
      </c>
      <c r="E537" s="33" t="s">
        <v>825</v>
      </c>
      <c r="F537" s="35">
        <v>0.2</v>
      </c>
      <c r="G537" s="40"/>
      <c r="H537" s="40"/>
    </row>
    <row r="538" spans="1:9" hidden="1" x14ac:dyDescent="0.35">
      <c r="A538" s="33">
        <v>537</v>
      </c>
      <c r="B538" s="34" t="s">
        <v>855</v>
      </c>
      <c r="C538" s="33" t="s">
        <v>346</v>
      </c>
      <c r="D538" s="33" t="s">
        <v>139</v>
      </c>
      <c r="E538" s="33" t="s">
        <v>825</v>
      </c>
      <c r="F538" s="35">
        <v>0.3</v>
      </c>
      <c r="G538" s="40"/>
      <c r="H538" s="40"/>
    </row>
    <row r="539" spans="1:9" hidden="1" x14ac:dyDescent="0.35">
      <c r="A539" s="33">
        <v>538</v>
      </c>
      <c r="B539" s="34" t="s">
        <v>856</v>
      </c>
      <c r="C539" s="33" t="s">
        <v>346</v>
      </c>
      <c r="D539" s="33" t="s">
        <v>139</v>
      </c>
      <c r="E539" s="33" t="s">
        <v>825</v>
      </c>
      <c r="F539" s="35">
        <v>0.3</v>
      </c>
      <c r="G539" s="40"/>
      <c r="H539" s="40"/>
    </row>
    <row r="540" spans="1:9" hidden="1" x14ac:dyDescent="0.35">
      <c r="A540" s="33">
        <v>539</v>
      </c>
      <c r="B540" s="34" t="s">
        <v>857</v>
      </c>
      <c r="C540" s="33" t="s">
        <v>346</v>
      </c>
      <c r="D540" s="33" t="s">
        <v>139</v>
      </c>
      <c r="E540" s="33" t="s">
        <v>825</v>
      </c>
      <c r="F540" s="35">
        <v>0.13</v>
      </c>
      <c r="G540" s="40"/>
      <c r="H540" s="40"/>
    </row>
    <row r="541" spans="1:9" hidden="1" x14ac:dyDescent="0.35">
      <c r="A541" s="33">
        <v>540</v>
      </c>
      <c r="B541" s="34" t="s">
        <v>858</v>
      </c>
      <c r="C541" s="33" t="s">
        <v>346</v>
      </c>
      <c r="D541" s="33" t="s">
        <v>139</v>
      </c>
      <c r="E541" s="33" t="s">
        <v>825</v>
      </c>
      <c r="F541" s="35">
        <v>0.1</v>
      </c>
      <c r="G541" s="40"/>
      <c r="H541" s="40"/>
    </row>
    <row r="542" spans="1:9" hidden="1" x14ac:dyDescent="0.35">
      <c r="A542" s="33">
        <v>541</v>
      </c>
      <c r="B542" s="34" t="s">
        <v>859</v>
      </c>
      <c r="C542" s="33" t="s">
        <v>346</v>
      </c>
      <c r="D542" s="33" t="s">
        <v>139</v>
      </c>
      <c r="E542" s="33" t="s">
        <v>825</v>
      </c>
      <c r="F542" s="35">
        <v>1</v>
      </c>
      <c r="G542" s="40"/>
      <c r="H542" s="40"/>
    </row>
    <row r="543" spans="1:9" hidden="1" x14ac:dyDescent="0.35">
      <c r="A543" s="33">
        <v>542</v>
      </c>
      <c r="B543" s="34" t="s">
        <v>860</v>
      </c>
      <c r="C543" s="33" t="s">
        <v>346</v>
      </c>
      <c r="D543" s="33" t="s">
        <v>139</v>
      </c>
      <c r="E543" s="33" t="s">
        <v>825</v>
      </c>
      <c r="F543" s="35">
        <v>1</v>
      </c>
      <c r="G543" s="40"/>
      <c r="H543" s="40"/>
    </row>
    <row r="544" spans="1:9" hidden="1" x14ac:dyDescent="0.35">
      <c r="A544" s="33">
        <v>543</v>
      </c>
      <c r="B544" s="34" t="s">
        <v>861</v>
      </c>
      <c r="C544" s="33" t="s">
        <v>346</v>
      </c>
      <c r="D544" s="33" t="s">
        <v>139</v>
      </c>
      <c r="E544" s="33" t="s">
        <v>825</v>
      </c>
      <c r="F544" s="35">
        <v>1</v>
      </c>
      <c r="G544" s="40"/>
      <c r="H544" s="40"/>
    </row>
    <row r="545" spans="1:8" hidden="1" x14ac:dyDescent="0.35">
      <c r="A545" s="33">
        <v>544</v>
      </c>
      <c r="B545" s="34" t="s">
        <v>862</v>
      </c>
      <c r="C545" s="33" t="s">
        <v>346</v>
      </c>
      <c r="D545" s="33" t="s">
        <v>139</v>
      </c>
      <c r="E545" s="33" t="s">
        <v>825</v>
      </c>
      <c r="F545" s="35">
        <v>0.1</v>
      </c>
      <c r="G545" s="40"/>
      <c r="H545" s="40"/>
    </row>
    <row r="546" spans="1:8" hidden="1" x14ac:dyDescent="0.35">
      <c r="A546" s="33">
        <v>545</v>
      </c>
      <c r="B546" s="34" t="s">
        <v>863</v>
      </c>
      <c r="C546" s="33" t="s">
        <v>346</v>
      </c>
      <c r="D546" s="33" t="s">
        <v>139</v>
      </c>
      <c r="E546" s="33" t="s">
        <v>825</v>
      </c>
      <c r="F546" s="35">
        <v>0.1</v>
      </c>
      <c r="G546" s="40"/>
      <c r="H546" s="40"/>
    </row>
    <row r="547" spans="1:8" hidden="1" x14ac:dyDescent="0.35">
      <c r="A547" s="33">
        <v>546</v>
      </c>
      <c r="B547" s="34" t="s">
        <v>864</v>
      </c>
      <c r="C547" s="33" t="s">
        <v>346</v>
      </c>
      <c r="D547" s="33" t="s">
        <v>139</v>
      </c>
      <c r="E547" s="33" t="s">
        <v>825</v>
      </c>
      <c r="F547" s="35">
        <v>0.23</v>
      </c>
      <c r="G547" s="40"/>
      <c r="H547" s="40"/>
    </row>
    <row r="548" spans="1:8" hidden="1" x14ac:dyDescent="0.35">
      <c r="A548" s="33">
        <v>547</v>
      </c>
      <c r="B548" s="34" t="s">
        <v>865</v>
      </c>
      <c r="C548" s="33" t="s">
        <v>346</v>
      </c>
      <c r="D548" s="33" t="s">
        <v>139</v>
      </c>
      <c r="E548" s="33" t="s">
        <v>825</v>
      </c>
      <c r="F548" s="35">
        <v>0.1</v>
      </c>
      <c r="G548" s="40"/>
      <c r="H548" s="40"/>
    </row>
    <row r="549" spans="1:8" hidden="1" x14ac:dyDescent="0.35">
      <c r="A549" s="33">
        <v>548</v>
      </c>
      <c r="B549" s="34" t="s">
        <v>866</v>
      </c>
      <c r="C549" s="33" t="s">
        <v>346</v>
      </c>
      <c r="D549" s="33" t="s">
        <v>139</v>
      </c>
      <c r="E549" s="33" t="s">
        <v>825</v>
      </c>
      <c r="F549" s="35">
        <v>1</v>
      </c>
      <c r="G549" s="40"/>
      <c r="H549" s="40"/>
    </row>
    <row r="550" spans="1:8" hidden="1" x14ac:dyDescent="0.35">
      <c r="A550" s="33">
        <v>549</v>
      </c>
      <c r="B550" s="34" t="s">
        <v>867</v>
      </c>
      <c r="C550" s="33" t="s">
        <v>346</v>
      </c>
      <c r="D550" s="33" t="s">
        <v>139</v>
      </c>
      <c r="E550" s="33" t="s">
        <v>825</v>
      </c>
      <c r="F550" s="35">
        <v>0.2</v>
      </c>
      <c r="G550" s="40"/>
      <c r="H550" s="40"/>
    </row>
    <row r="551" spans="1:8" hidden="1" x14ac:dyDescent="0.35">
      <c r="A551" s="33">
        <v>550</v>
      </c>
      <c r="B551" s="34" t="s">
        <v>868</v>
      </c>
      <c r="C551" s="33" t="s">
        <v>346</v>
      </c>
      <c r="D551" s="33" t="s">
        <v>139</v>
      </c>
      <c r="E551" s="33" t="s">
        <v>825</v>
      </c>
      <c r="F551" s="35">
        <v>0.5</v>
      </c>
      <c r="G551" s="40"/>
      <c r="H551" s="40"/>
    </row>
    <row r="552" spans="1:8" hidden="1" x14ac:dyDescent="0.35">
      <c r="A552" s="33">
        <v>551</v>
      </c>
      <c r="B552" s="34" t="s">
        <v>869</v>
      </c>
      <c r="C552" s="33" t="s">
        <v>297</v>
      </c>
      <c r="D552" s="33" t="s">
        <v>50</v>
      </c>
      <c r="E552" s="33" t="s">
        <v>870</v>
      </c>
      <c r="F552" s="35">
        <v>1</v>
      </c>
      <c r="G552" s="40"/>
      <c r="H552" s="40"/>
    </row>
    <row r="553" spans="1:8" hidden="1" x14ac:dyDescent="0.35">
      <c r="A553" s="33">
        <v>552</v>
      </c>
      <c r="B553" s="34" t="s">
        <v>871</v>
      </c>
      <c r="C553" s="33" t="s">
        <v>297</v>
      </c>
      <c r="D553" s="33" t="s">
        <v>50</v>
      </c>
      <c r="E553" s="33" t="s">
        <v>870</v>
      </c>
      <c r="F553" s="35">
        <v>1</v>
      </c>
      <c r="G553" s="40"/>
      <c r="H553" s="40"/>
    </row>
    <row r="554" spans="1:8" hidden="1" x14ac:dyDescent="0.35">
      <c r="A554" s="33">
        <v>553</v>
      </c>
      <c r="B554" s="34" t="s">
        <v>872</v>
      </c>
      <c r="C554" s="33" t="s">
        <v>297</v>
      </c>
      <c r="D554" s="33" t="s">
        <v>50</v>
      </c>
      <c r="E554" s="33" t="s">
        <v>870</v>
      </c>
      <c r="F554" s="35">
        <v>1</v>
      </c>
      <c r="G554" s="40"/>
      <c r="H554" s="40"/>
    </row>
    <row r="555" spans="1:8" hidden="1" x14ac:dyDescent="0.35">
      <c r="A555" s="33">
        <v>554</v>
      </c>
      <c r="B555" s="34" t="s">
        <v>873</v>
      </c>
      <c r="C555" s="33" t="s">
        <v>297</v>
      </c>
      <c r="D555" s="33" t="s">
        <v>50</v>
      </c>
      <c r="E555" s="33" t="s">
        <v>874</v>
      </c>
      <c r="F555" s="35">
        <v>1</v>
      </c>
      <c r="G555" s="40"/>
      <c r="H555" s="40"/>
    </row>
    <row r="556" spans="1:8" hidden="1" x14ac:dyDescent="0.35">
      <c r="A556" s="33">
        <v>555</v>
      </c>
      <c r="B556" s="34" t="s">
        <v>875</v>
      </c>
      <c r="C556" s="33" t="s">
        <v>297</v>
      </c>
      <c r="D556" s="33" t="s">
        <v>50</v>
      </c>
      <c r="E556" s="33" t="s">
        <v>874</v>
      </c>
      <c r="F556" s="35">
        <v>1</v>
      </c>
      <c r="G556" s="40"/>
      <c r="H556" s="40"/>
    </row>
    <row r="557" spans="1:8" hidden="1" x14ac:dyDescent="0.35">
      <c r="A557" s="33">
        <v>556</v>
      </c>
      <c r="B557" s="34" t="s">
        <v>876</v>
      </c>
      <c r="C557" s="33" t="s">
        <v>297</v>
      </c>
      <c r="D557" s="33" t="s">
        <v>50</v>
      </c>
      <c r="E557" s="33" t="s">
        <v>874</v>
      </c>
      <c r="F557" s="35">
        <v>1</v>
      </c>
      <c r="G557" s="40"/>
      <c r="H557" s="40"/>
    </row>
    <row r="558" spans="1:8" hidden="1" x14ac:dyDescent="0.35">
      <c r="A558" s="33">
        <v>557</v>
      </c>
      <c r="B558" s="34" t="s">
        <v>877</v>
      </c>
      <c r="C558" s="33" t="s">
        <v>297</v>
      </c>
      <c r="D558" s="33" t="s">
        <v>50</v>
      </c>
      <c r="E558" s="33" t="s">
        <v>878</v>
      </c>
      <c r="F558" s="35">
        <v>1</v>
      </c>
      <c r="G558" s="40"/>
      <c r="H558" s="40"/>
    </row>
    <row r="559" spans="1:8" hidden="1" x14ac:dyDescent="0.35">
      <c r="A559" s="33">
        <v>558</v>
      </c>
      <c r="B559" s="34" t="s">
        <v>879</v>
      </c>
      <c r="C559" s="33" t="s">
        <v>297</v>
      </c>
      <c r="D559" s="33" t="s">
        <v>50</v>
      </c>
      <c r="E559" s="33" t="s">
        <v>878</v>
      </c>
      <c r="F559" s="35">
        <v>1</v>
      </c>
      <c r="G559" s="40"/>
      <c r="H559" s="40"/>
    </row>
    <row r="560" spans="1:8" hidden="1" x14ac:dyDescent="0.35">
      <c r="A560" s="33">
        <v>559</v>
      </c>
      <c r="B560" s="34" t="s">
        <v>880</v>
      </c>
      <c r="C560" s="33" t="s">
        <v>297</v>
      </c>
      <c r="D560" s="33" t="s">
        <v>50</v>
      </c>
      <c r="E560" s="33" t="s">
        <v>881</v>
      </c>
      <c r="F560" s="35">
        <v>1</v>
      </c>
      <c r="G560" s="40"/>
      <c r="H560" s="40"/>
    </row>
    <row r="561" spans="1:9" hidden="1" x14ac:dyDescent="0.35">
      <c r="A561" s="33">
        <v>560</v>
      </c>
      <c r="B561" s="34" t="s">
        <v>882</v>
      </c>
      <c r="C561" s="33" t="s">
        <v>297</v>
      </c>
      <c r="D561" s="33" t="s">
        <v>50</v>
      </c>
      <c r="E561" s="33" t="s">
        <v>881</v>
      </c>
      <c r="F561" s="35">
        <v>1</v>
      </c>
      <c r="G561" s="40"/>
      <c r="H561" s="40"/>
    </row>
    <row r="562" spans="1:9" hidden="1" x14ac:dyDescent="0.35">
      <c r="A562" s="33">
        <v>561</v>
      </c>
      <c r="B562" s="34" t="s">
        <v>883</v>
      </c>
      <c r="C562" s="33" t="s">
        <v>297</v>
      </c>
      <c r="D562" s="33" t="s">
        <v>50</v>
      </c>
      <c r="E562" s="33" t="s">
        <v>881</v>
      </c>
      <c r="F562" s="35">
        <v>0.90800000000000003</v>
      </c>
      <c r="G562" s="40"/>
      <c r="H562" s="40"/>
    </row>
    <row r="563" spans="1:9" hidden="1" x14ac:dyDescent="0.35">
      <c r="A563" s="33">
        <v>562</v>
      </c>
      <c r="B563" s="34" t="s">
        <v>884</v>
      </c>
      <c r="C563" s="33" t="s">
        <v>297</v>
      </c>
      <c r="D563" s="33" t="s">
        <v>50</v>
      </c>
      <c r="E563" s="33" t="s">
        <v>885</v>
      </c>
      <c r="F563" s="35">
        <v>1</v>
      </c>
      <c r="G563" s="40"/>
      <c r="H563" s="40"/>
    </row>
    <row r="564" spans="1:9" hidden="1" x14ac:dyDescent="0.35">
      <c r="A564" s="33">
        <v>563</v>
      </c>
      <c r="B564" s="34" t="s">
        <v>886</v>
      </c>
      <c r="C564" s="33" t="s">
        <v>297</v>
      </c>
      <c r="D564" s="33" t="s">
        <v>50</v>
      </c>
      <c r="E564" s="33" t="s">
        <v>885</v>
      </c>
      <c r="F564" s="35">
        <v>1</v>
      </c>
      <c r="G564" s="40"/>
      <c r="H564" s="40"/>
    </row>
    <row r="565" spans="1:9" hidden="1" x14ac:dyDescent="0.35">
      <c r="A565" s="33">
        <v>564</v>
      </c>
      <c r="B565" s="34" t="s">
        <v>887</v>
      </c>
      <c r="C565" s="33" t="s">
        <v>297</v>
      </c>
      <c r="D565" s="33" t="s">
        <v>50</v>
      </c>
      <c r="E565" s="33" t="s">
        <v>885</v>
      </c>
      <c r="F565" s="35">
        <v>1</v>
      </c>
      <c r="G565" s="40"/>
      <c r="H565" s="40"/>
    </row>
    <row r="566" spans="1:9" hidden="1" x14ac:dyDescent="0.35">
      <c r="A566" s="33">
        <v>565</v>
      </c>
      <c r="B566" s="34" t="s">
        <v>888</v>
      </c>
      <c r="C566" s="33" t="s">
        <v>297</v>
      </c>
      <c r="D566" s="33" t="s">
        <v>50</v>
      </c>
      <c r="E566" s="33" t="s">
        <v>885</v>
      </c>
      <c r="F566" s="35">
        <v>1</v>
      </c>
      <c r="G566" s="40"/>
      <c r="H566" s="40"/>
    </row>
    <row r="567" spans="1:9" hidden="1" x14ac:dyDescent="0.35">
      <c r="A567" s="33">
        <v>566</v>
      </c>
      <c r="B567" s="34" t="s">
        <v>889</v>
      </c>
      <c r="C567" s="33" t="s">
        <v>297</v>
      </c>
      <c r="D567" s="33" t="s">
        <v>50</v>
      </c>
      <c r="E567" s="33" t="s">
        <v>890</v>
      </c>
      <c r="F567" s="35">
        <v>1</v>
      </c>
      <c r="G567" s="40"/>
      <c r="H567" s="40"/>
    </row>
    <row r="568" spans="1:9" hidden="1" x14ac:dyDescent="0.35">
      <c r="A568" s="33">
        <v>567</v>
      </c>
      <c r="B568" s="34" t="s">
        <v>891</v>
      </c>
      <c r="C568" s="33" t="s">
        <v>297</v>
      </c>
      <c r="D568" s="33" t="s">
        <v>50</v>
      </c>
      <c r="E568" s="33" t="s">
        <v>890</v>
      </c>
      <c r="F568" s="35">
        <v>1</v>
      </c>
      <c r="G568" s="40"/>
      <c r="H568" s="40"/>
    </row>
    <row r="569" spans="1:9" hidden="1" x14ac:dyDescent="0.35">
      <c r="A569" s="33">
        <v>568</v>
      </c>
      <c r="B569" s="34" t="s">
        <v>177</v>
      </c>
      <c r="C569" s="33" t="s">
        <v>297</v>
      </c>
      <c r="D569" s="33" t="s">
        <v>50</v>
      </c>
      <c r="E569" s="33" t="s">
        <v>890</v>
      </c>
      <c r="F569" s="35">
        <v>1</v>
      </c>
      <c r="G569" s="40"/>
      <c r="H569" s="40"/>
    </row>
    <row r="570" spans="1:9" hidden="1" x14ac:dyDescent="0.35">
      <c r="A570" s="33">
        <v>569</v>
      </c>
      <c r="B570" s="34" t="s">
        <v>892</v>
      </c>
      <c r="C570" s="33" t="s">
        <v>297</v>
      </c>
      <c r="D570" s="33" t="s">
        <v>50</v>
      </c>
      <c r="E570" s="33" t="s">
        <v>890</v>
      </c>
      <c r="F570" s="35">
        <v>1</v>
      </c>
      <c r="G570" s="40"/>
      <c r="H570" s="40"/>
    </row>
    <row r="571" spans="1:9" x14ac:dyDescent="0.35">
      <c r="A571" s="33">
        <v>570</v>
      </c>
      <c r="B571" s="34" t="s">
        <v>893</v>
      </c>
      <c r="C571" s="33" t="s">
        <v>297</v>
      </c>
      <c r="D571" s="33" t="s">
        <v>50</v>
      </c>
      <c r="E571" s="33" t="s">
        <v>890</v>
      </c>
      <c r="F571" s="35">
        <v>1</v>
      </c>
      <c r="G571" s="40"/>
      <c r="H571" s="40">
        <v>1.25</v>
      </c>
      <c r="I571" s="40" t="s">
        <v>2303</v>
      </c>
    </row>
    <row r="572" spans="1:9" hidden="1" x14ac:dyDescent="0.35">
      <c r="A572" s="41">
        <v>571</v>
      </c>
      <c r="B572" s="42" t="s">
        <v>894</v>
      </c>
      <c r="C572" s="41" t="s">
        <v>297</v>
      </c>
      <c r="D572" s="41" t="s">
        <v>50</v>
      </c>
      <c r="E572" s="41" t="s">
        <v>890</v>
      </c>
      <c r="F572" s="43">
        <v>1</v>
      </c>
      <c r="G572" s="44"/>
      <c r="H572" s="44"/>
    </row>
    <row r="573" spans="1:9" hidden="1" x14ac:dyDescent="0.35">
      <c r="A573" s="33">
        <v>572</v>
      </c>
      <c r="B573" s="34" t="s">
        <v>895</v>
      </c>
      <c r="C573" s="33" t="s">
        <v>297</v>
      </c>
      <c r="D573" s="33" t="s">
        <v>50</v>
      </c>
      <c r="E573" s="33" t="s">
        <v>896</v>
      </c>
      <c r="F573" s="35">
        <v>1</v>
      </c>
      <c r="G573" s="40"/>
      <c r="H573" s="40"/>
    </row>
    <row r="574" spans="1:9" hidden="1" x14ac:dyDescent="0.35">
      <c r="A574" s="33">
        <v>573</v>
      </c>
      <c r="B574" s="34" t="s">
        <v>897</v>
      </c>
      <c r="C574" s="33" t="s">
        <v>297</v>
      </c>
      <c r="D574" s="33" t="s">
        <v>50</v>
      </c>
      <c r="E574" s="33" t="s">
        <v>896</v>
      </c>
      <c r="F574" s="35">
        <v>1</v>
      </c>
      <c r="G574" s="40"/>
      <c r="H574" s="40"/>
    </row>
    <row r="575" spans="1:9" hidden="1" x14ac:dyDescent="0.35">
      <c r="A575" s="33">
        <v>574</v>
      </c>
      <c r="B575" s="34" t="s">
        <v>898</v>
      </c>
      <c r="C575" s="33" t="s">
        <v>297</v>
      </c>
      <c r="D575" s="33" t="s">
        <v>50</v>
      </c>
      <c r="E575" s="33" t="s">
        <v>896</v>
      </c>
      <c r="F575" s="35">
        <v>1</v>
      </c>
      <c r="G575" s="40"/>
      <c r="H575" s="40"/>
    </row>
    <row r="576" spans="1:9" hidden="1" x14ac:dyDescent="0.35">
      <c r="A576" s="33">
        <v>575</v>
      </c>
      <c r="B576" s="34" t="s">
        <v>899</v>
      </c>
      <c r="C576" s="33" t="s">
        <v>297</v>
      </c>
      <c r="D576" s="33" t="s">
        <v>50</v>
      </c>
      <c r="E576" s="33" t="s">
        <v>896</v>
      </c>
      <c r="F576" s="35">
        <v>1</v>
      </c>
      <c r="G576" s="40"/>
      <c r="H576" s="40"/>
    </row>
    <row r="577" spans="1:8" hidden="1" x14ac:dyDescent="0.35">
      <c r="A577" s="33">
        <v>576</v>
      </c>
      <c r="B577" s="34" t="s">
        <v>900</v>
      </c>
      <c r="C577" s="33" t="s">
        <v>297</v>
      </c>
      <c r="D577" s="33" t="s">
        <v>50</v>
      </c>
      <c r="E577" s="33" t="s">
        <v>896</v>
      </c>
      <c r="F577" s="35">
        <v>1</v>
      </c>
      <c r="G577" s="40"/>
      <c r="H577" s="40"/>
    </row>
    <row r="578" spans="1:8" hidden="1" x14ac:dyDescent="0.35">
      <c r="A578" s="33">
        <v>577</v>
      </c>
      <c r="B578" s="34" t="s">
        <v>901</v>
      </c>
      <c r="C578" s="33" t="s">
        <v>297</v>
      </c>
      <c r="D578" s="33" t="s">
        <v>50</v>
      </c>
      <c r="E578" s="33" t="s">
        <v>902</v>
      </c>
      <c r="F578" s="35">
        <v>1</v>
      </c>
      <c r="G578" s="40"/>
      <c r="H578" s="40"/>
    </row>
    <row r="579" spans="1:8" hidden="1" x14ac:dyDescent="0.35">
      <c r="A579" s="33">
        <v>578</v>
      </c>
      <c r="B579" s="34" t="s">
        <v>903</v>
      </c>
      <c r="C579" s="33" t="s">
        <v>297</v>
      </c>
      <c r="D579" s="33" t="s">
        <v>50</v>
      </c>
      <c r="E579" s="33" t="s">
        <v>902</v>
      </c>
      <c r="F579" s="35">
        <v>1</v>
      </c>
      <c r="G579" s="40"/>
      <c r="H579" s="40"/>
    </row>
    <row r="580" spans="1:8" hidden="1" x14ac:dyDescent="0.35">
      <c r="A580" s="33">
        <v>579</v>
      </c>
      <c r="B580" s="34" t="s">
        <v>904</v>
      </c>
      <c r="C580" s="33" t="s">
        <v>297</v>
      </c>
      <c r="D580" s="33" t="s">
        <v>50</v>
      </c>
      <c r="E580" s="33" t="s">
        <v>902</v>
      </c>
      <c r="F580" s="35">
        <v>1</v>
      </c>
      <c r="G580" s="40"/>
      <c r="H580" s="40"/>
    </row>
    <row r="581" spans="1:8" hidden="1" x14ac:dyDescent="0.35">
      <c r="A581" s="33">
        <v>580</v>
      </c>
      <c r="B581" s="34" t="s">
        <v>905</v>
      </c>
      <c r="C581" s="33" t="s">
        <v>297</v>
      </c>
      <c r="D581" s="33" t="s">
        <v>50</v>
      </c>
      <c r="E581" s="33" t="s">
        <v>906</v>
      </c>
      <c r="F581" s="35">
        <v>1</v>
      </c>
      <c r="G581" s="40"/>
      <c r="H581" s="40"/>
    </row>
    <row r="582" spans="1:8" hidden="1" x14ac:dyDescent="0.35">
      <c r="A582" s="33">
        <v>581</v>
      </c>
      <c r="B582" s="34" t="s">
        <v>907</v>
      </c>
      <c r="C582" s="33" t="s">
        <v>297</v>
      </c>
      <c r="D582" s="33" t="s">
        <v>50</v>
      </c>
      <c r="E582" s="33" t="s">
        <v>906</v>
      </c>
      <c r="F582" s="35">
        <v>1</v>
      </c>
      <c r="G582" s="40"/>
      <c r="H582" s="40"/>
    </row>
    <row r="583" spans="1:8" hidden="1" x14ac:dyDescent="0.35">
      <c r="A583" s="33">
        <v>582</v>
      </c>
      <c r="B583" s="34" t="s">
        <v>908</v>
      </c>
      <c r="C583" s="33" t="s">
        <v>297</v>
      </c>
      <c r="D583" s="33" t="s">
        <v>50</v>
      </c>
      <c r="E583" s="33" t="s">
        <v>909</v>
      </c>
      <c r="F583" s="35">
        <v>1</v>
      </c>
      <c r="G583" s="40"/>
      <c r="H583" s="40"/>
    </row>
    <row r="584" spans="1:8" hidden="1" x14ac:dyDescent="0.35">
      <c r="A584" s="33">
        <v>583</v>
      </c>
      <c r="B584" s="34" t="s">
        <v>910</v>
      </c>
      <c r="C584" s="33" t="s">
        <v>297</v>
      </c>
      <c r="D584" s="33" t="s">
        <v>50</v>
      </c>
      <c r="E584" s="33" t="s">
        <v>909</v>
      </c>
      <c r="F584" s="35">
        <v>1</v>
      </c>
      <c r="G584" s="40"/>
      <c r="H584" s="40"/>
    </row>
    <row r="585" spans="1:8" hidden="1" x14ac:dyDescent="0.35">
      <c r="A585" s="33">
        <v>584</v>
      </c>
      <c r="B585" s="34" t="s">
        <v>911</v>
      </c>
      <c r="C585" s="33" t="s">
        <v>297</v>
      </c>
      <c r="D585" s="33" t="s">
        <v>50</v>
      </c>
      <c r="E585" s="33" t="s">
        <v>909</v>
      </c>
      <c r="F585" s="35">
        <v>1</v>
      </c>
      <c r="G585" s="40"/>
      <c r="H585" s="40"/>
    </row>
    <row r="586" spans="1:8" hidden="1" x14ac:dyDescent="0.35">
      <c r="A586" s="33">
        <v>585</v>
      </c>
      <c r="B586" s="34" t="s">
        <v>912</v>
      </c>
      <c r="C586" s="33" t="s">
        <v>297</v>
      </c>
      <c r="D586" s="33" t="s">
        <v>50</v>
      </c>
      <c r="E586" s="33" t="s">
        <v>913</v>
      </c>
      <c r="F586" s="35">
        <v>1</v>
      </c>
      <c r="G586" s="40"/>
      <c r="H586" s="40"/>
    </row>
    <row r="587" spans="1:8" hidden="1" x14ac:dyDescent="0.35">
      <c r="A587" s="33">
        <v>586</v>
      </c>
      <c r="B587" s="34" t="s">
        <v>914</v>
      </c>
      <c r="C587" s="33" t="s">
        <v>297</v>
      </c>
      <c r="D587" s="33" t="s">
        <v>50</v>
      </c>
      <c r="E587" s="33" t="s">
        <v>913</v>
      </c>
      <c r="F587" s="35">
        <v>1</v>
      </c>
      <c r="G587" s="40"/>
      <c r="H587" s="40"/>
    </row>
    <row r="588" spans="1:8" hidden="1" x14ac:dyDescent="0.35">
      <c r="A588" s="33">
        <v>587</v>
      </c>
      <c r="B588" s="34" t="s">
        <v>915</v>
      </c>
      <c r="C588" s="33" t="s">
        <v>297</v>
      </c>
      <c r="D588" s="33" t="s">
        <v>50</v>
      </c>
      <c r="E588" s="33" t="s">
        <v>913</v>
      </c>
      <c r="F588" s="35">
        <v>1</v>
      </c>
      <c r="G588" s="40"/>
      <c r="H588" s="40"/>
    </row>
    <row r="589" spans="1:8" hidden="1" x14ac:dyDescent="0.35">
      <c r="A589" s="33">
        <v>588</v>
      </c>
      <c r="B589" s="34" t="s">
        <v>916</v>
      </c>
      <c r="C589" s="33" t="s">
        <v>297</v>
      </c>
      <c r="D589" s="33" t="s">
        <v>50</v>
      </c>
      <c r="E589" s="33" t="s">
        <v>913</v>
      </c>
      <c r="F589" s="35">
        <v>1</v>
      </c>
      <c r="G589" s="40"/>
      <c r="H589" s="40"/>
    </row>
    <row r="590" spans="1:8" hidden="1" x14ac:dyDescent="0.35">
      <c r="A590" s="33">
        <v>589</v>
      </c>
      <c r="B590" s="34" t="s">
        <v>917</v>
      </c>
      <c r="C590" s="33" t="s">
        <v>297</v>
      </c>
      <c r="D590" s="33" t="s">
        <v>50</v>
      </c>
      <c r="E590" s="33" t="s">
        <v>918</v>
      </c>
      <c r="F590" s="35">
        <v>1</v>
      </c>
      <c r="G590" s="40"/>
      <c r="H590" s="40"/>
    </row>
    <row r="591" spans="1:8" hidden="1" x14ac:dyDescent="0.35">
      <c r="A591" s="33">
        <v>590</v>
      </c>
      <c r="B591" s="34" t="s">
        <v>919</v>
      </c>
      <c r="C591" s="33" t="s">
        <v>297</v>
      </c>
      <c r="D591" s="33" t="s">
        <v>50</v>
      </c>
      <c r="E591" s="33" t="s">
        <v>920</v>
      </c>
      <c r="F591" s="35">
        <v>1</v>
      </c>
      <c r="G591" s="40"/>
      <c r="H591" s="40"/>
    </row>
    <row r="592" spans="1:8" hidden="1" x14ac:dyDescent="0.35">
      <c r="A592" s="33">
        <v>591</v>
      </c>
      <c r="B592" s="34" t="s">
        <v>921</v>
      </c>
      <c r="C592" s="33" t="s">
        <v>297</v>
      </c>
      <c r="D592" s="33" t="s">
        <v>50</v>
      </c>
      <c r="E592" s="33" t="s">
        <v>922</v>
      </c>
      <c r="F592" s="35">
        <v>1</v>
      </c>
      <c r="G592" s="40"/>
      <c r="H592" s="40"/>
    </row>
    <row r="593" spans="1:8" hidden="1" x14ac:dyDescent="0.35">
      <c r="A593" s="33">
        <v>592</v>
      </c>
      <c r="B593" s="34" t="s">
        <v>923</v>
      </c>
      <c r="C593" s="33" t="s">
        <v>297</v>
      </c>
      <c r="D593" s="33" t="s">
        <v>50</v>
      </c>
      <c r="E593" s="33" t="s">
        <v>924</v>
      </c>
      <c r="F593" s="35">
        <v>1</v>
      </c>
      <c r="G593" s="40"/>
      <c r="H593" s="40"/>
    </row>
    <row r="594" spans="1:8" hidden="1" x14ac:dyDescent="0.35">
      <c r="A594" s="33">
        <v>593</v>
      </c>
      <c r="B594" s="34" t="s">
        <v>925</v>
      </c>
      <c r="C594" s="33" t="s">
        <v>297</v>
      </c>
      <c r="D594" s="33" t="s">
        <v>50</v>
      </c>
      <c r="E594" s="33" t="s">
        <v>926</v>
      </c>
      <c r="F594" s="35">
        <v>1</v>
      </c>
      <c r="G594" s="40"/>
      <c r="H594" s="40"/>
    </row>
    <row r="595" spans="1:8" hidden="1" x14ac:dyDescent="0.35">
      <c r="A595" s="33">
        <v>594</v>
      </c>
      <c r="B595" s="34" t="s">
        <v>927</v>
      </c>
      <c r="C595" s="33" t="s">
        <v>297</v>
      </c>
      <c r="D595" s="33" t="s">
        <v>50</v>
      </c>
      <c r="E595" s="33" t="s">
        <v>926</v>
      </c>
      <c r="F595" s="35">
        <v>1</v>
      </c>
      <c r="G595" s="40"/>
      <c r="H595" s="40"/>
    </row>
    <row r="596" spans="1:8" hidden="1" x14ac:dyDescent="0.35">
      <c r="A596" s="33">
        <v>595</v>
      </c>
      <c r="B596" s="34" t="s">
        <v>928</v>
      </c>
      <c r="C596" s="33" t="s">
        <v>297</v>
      </c>
      <c r="D596" s="33" t="s">
        <v>50</v>
      </c>
      <c r="E596" s="33" t="s">
        <v>929</v>
      </c>
      <c r="F596" s="35">
        <v>1</v>
      </c>
      <c r="G596" s="40"/>
      <c r="H596" s="40"/>
    </row>
    <row r="597" spans="1:8" hidden="1" x14ac:dyDescent="0.35">
      <c r="A597" s="33">
        <v>596</v>
      </c>
      <c r="B597" s="34" t="s">
        <v>930</v>
      </c>
      <c r="C597" s="33" t="s">
        <v>297</v>
      </c>
      <c r="D597" s="33" t="s">
        <v>50</v>
      </c>
      <c r="E597" s="33" t="s">
        <v>929</v>
      </c>
      <c r="F597" s="35">
        <v>1</v>
      </c>
      <c r="G597" s="40"/>
      <c r="H597" s="40"/>
    </row>
    <row r="598" spans="1:8" hidden="1" x14ac:dyDescent="0.35">
      <c r="A598" s="33">
        <v>597</v>
      </c>
      <c r="B598" s="34" t="s">
        <v>931</v>
      </c>
      <c r="C598" s="33" t="s">
        <v>297</v>
      </c>
      <c r="D598" s="33" t="s">
        <v>50</v>
      </c>
      <c r="E598" s="33" t="s">
        <v>929</v>
      </c>
      <c r="F598" s="35">
        <v>1</v>
      </c>
      <c r="G598" s="40"/>
      <c r="H598" s="40"/>
    </row>
    <row r="599" spans="1:8" hidden="1" x14ac:dyDescent="0.35">
      <c r="A599" s="33">
        <v>598</v>
      </c>
      <c r="B599" s="34" t="s">
        <v>932</v>
      </c>
      <c r="C599" s="33" t="s">
        <v>297</v>
      </c>
      <c r="D599" s="33" t="s">
        <v>50</v>
      </c>
      <c r="E599" s="33" t="s">
        <v>933</v>
      </c>
      <c r="F599" s="35">
        <v>1</v>
      </c>
      <c r="G599" s="40"/>
      <c r="H599" s="40"/>
    </row>
    <row r="600" spans="1:8" hidden="1" x14ac:dyDescent="0.35">
      <c r="A600" s="33">
        <v>599</v>
      </c>
      <c r="B600" s="34" t="s">
        <v>934</v>
      </c>
      <c r="C600" s="33" t="s">
        <v>297</v>
      </c>
      <c r="D600" s="33" t="s">
        <v>50</v>
      </c>
      <c r="E600" s="33" t="s">
        <v>933</v>
      </c>
      <c r="F600" s="35">
        <v>1</v>
      </c>
      <c r="G600" s="40"/>
      <c r="H600" s="40"/>
    </row>
    <row r="601" spans="1:8" hidden="1" x14ac:dyDescent="0.35">
      <c r="A601" s="33">
        <v>600</v>
      </c>
      <c r="B601" s="34" t="s">
        <v>935</v>
      </c>
      <c r="C601" s="33" t="s">
        <v>297</v>
      </c>
      <c r="D601" s="33" t="s">
        <v>50</v>
      </c>
      <c r="E601" s="33" t="s">
        <v>936</v>
      </c>
      <c r="F601" s="35">
        <v>1</v>
      </c>
      <c r="G601" s="40"/>
      <c r="H601" s="40"/>
    </row>
    <row r="602" spans="1:8" hidden="1" x14ac:dyDescent="0.35">
      <c r="A602" s="33">
        <v>601</v>
      </c>
      <c r="B602" s="34" t="s">
        <v>937</v>
      </c>
      <c r="C602" s="33" t="s">
        <v>297</v>
      </c>
      <c r="D602" s="33" t="s">
        <v>50</v>
      </c>
      <c r="E602" s="33" t="s">
        <v>936</v>
      </c>
      <c r="F602" s="35">
        <v>1</v>
      </c>
      <c r="G602" s="40"/>
      <c r="H602" s="40"/>
    </row>
    <row r="603" spans="1:8" hidden="1" x14ac:dyDescent="0.35">
      <c r="A603" s="33">
        <v>602</v>
      </c>
      <c r="B603" s="34" t="s">
        <v>938</v>
      </c>
      <c r="C603" s="33" t="s">
        <v>297</v>
      </c>
      <c r="D603" s="33" t="s">
        <v>50</v>
      </c>
      <c r="E603" s="33" t="s">
        <v>936</v>
      </c>
      <c r="F603" s="35">
        <v>1</v>
      </c>
      <c r="G603" s="40"/>
      <c r="H603" s="40"/>
    </row>
    <row r="604" spans="1:8" hidden="1" x14ac:dyDescent="0.35">
      <c r="A604" s="33">
        <v>603</v>
      </c>
      <c r="B604" s="34" t="s">
        <v>939</v>
      </c>
      <c r="C604" s="33" t="s">
        <v>297</v>
      </c>
      <c r="D604" s="33" t="s">
        <v>50</v>
      </c>
      <c r="E604" s="33" t="s">
        <v>940</v>
      </c>
      <c r="F604" s="35">
        <v>1</v>
      </c>
      <c r="G604" s="40"/>
      <c r="H604" s="40"/>
    </row>
    <row r="605" spans="1:8" hidden="1" x14ac:dyDescent="0.35">
      <c r="A605" s="33">
        <v>604</v>
      </c>
      <c r="B605" s="34" t="s">
        <v>941</v>
      </c>
      <c r="C605" s="33" t="s">
        <v>297</v>
      </c>
      <c r="D605" s="33" t="s">
        <v>50</v>
      </c>
      <c r="E605" s="33" t="s">
        <v>942</v>
      </c>
      <c r="F605" s="35">
        <v>1</v>
      </c>
      <c r="G605" s="40"/>
      <c r="H605" s="40"/>
    </row>
    <row r="606" spans="1:8" hidden="1" x14ac:dyDescent="0.35">
      <c r="A606" s="33">
        <v>605</v>
      </c>
      <c r="B606" s="34" t="s">
        <v>943</v>
      </c>
      <c r="C606" s="33" t="s">
        <v>297</v>
      </c>
      <c r="D606" s="33" t="s">
        <v>50</v>
      </c>
      <c r="E606" s="33" t="s">
        <v>942</v>
      </c>
      <c r="F606" s="35">
        <v>1</v>
      </c>
      <c r="G606" s="40"/>
      <c r="H606" s="40"/>
    </row>
    <row r="607" spans="1:8" hidden="1" x14ac:dyDescent="0.35">
      <c r="A607" s="33">
        <v>606</v>
      </c>
      <c r="B607" s="34" t="s">
        <v>944</v>
      </c>
      <c r="C607" s="33" t="s">
        <v>297</v>
      </c>
      <c r="D607" s="33" t="s">
        <v>50</v>
      </c>
      <c r="E607" s="33" t="s">
        <v>344</v>
      </c>
      <c r="F607" s="35">
        <v>1</v>
      </c>
      <c r="G607" s="40"/>
      <c r="H607" s="40"/>
    </row>
    <row r="608" spans="1:8" hidden="1" x14ac:dyDescent="0.35">
      <c r="A608" s="33">
        <v>607</v>
      </c>
      <c r="B608" s="34" t="s">
        <v>945</v>
      </c>
      <c r="C608" s="33" t="s">
        <v>297</v>
      </c>
      <c r="D608" s="33" t="s">
        <v>50</v>
      </c>
      <c r="E608" s="33" t="s">
        <v>946</v>
      </c>
      <c r="F608" s="35">
        <v>1</v>
      </c>
      <c r="G608" s="40"/>
      <c r="H608" s="40"/>
    </row>
    <row r="609" spans="1:8" hidden="1" x14ac:dyDescent="0.35">
      <c r="A609" s="33">
        <v>608</v>
      </c>
      <c r="B609" s="34" t="s">
        <v>947</v>
      </c>
      <c r="C609" s="33" t="s">
        <v>297</v>
      </c>
      <c r="D609" s="33" t="s">
        <v>50</v>
      </c>
      <c r="E609" s="33" t="s">
        <v>946</v>
      </c>
      <c r="F609" s="35">
        <v>1</v>
      </c>
      <c r="G609" s="40"/>
      <c r="H609" s="40"/>
    </row>
    <row r="610" spans="1:8" hidden="1" x14ac:dyDescent="0.35">
      <c r="A610" s="33">
        <v>609</v>
      </c>
      <c r="B610" s="34" t="s">
        <v>948</v>
      </c>
      <c r="C610" s="33" t="s">
        <v>297</v>
      </c>
      <c r="D610" s="33" t="s">
        <v>50</v>
      </c>
      <c r="E610" s="33" t="s">
        <v>949</v>
      </c>
      <c r="F610" s="35">
        <v>1</v>
      </c>
      <c r="G610" s="40"/>
      <c r="H610" s="40"/>
    </row>
    <row r="611" spans="1:8" hidden="1" x14ac:dyDescent="0.35">
      <c r="A611" s="33">
        <v>610</v>
      </c>
      <c r="B611" s="34" t="s">
        <v>950</v>
      </c>
      <c r="C611" s="33" t="s">
        <v>297</v>
      </c>
      <c r="D611" s="33" t="s">
        <v>50</v>
      </c>
      <c r="E611" s="33" t="s">
        <v>951</v>
      </c>
      <c r="F611" s="35">
        <v>1</v>
      </c>
      <c r="G611" s="40"/>
      <c r="H611" s="40"/>
    </row>
    <row r="612" spans="1:8" hidden="1" x14ac:dyDescent="0.35">
      <c r="A612" s="33">
        <v>611</v>
      </c>
      <c r="B612" s="34" t="s">
        <v>952</v>
      </c>
      <c r="C612" s="33" t="s">
        <v>297</v>
      </c>
      <c r="D612" s="33" t="s">
        <v>50</v>
      </c>
      <c r="E612" s="33" t="s">
        <v>953</v>
      </c>
      <c r="F612" s="35">
        <v>1</v>
      </c>
      <c r="G612" s="40"/>
      <c r="H612" s="40"/>
    </row>
    <row r="613" spans="1:8" hidden="1" x14ac:dyDescent="0.35">
      <c r="A613" s="33">
        <v>612</v>
      </c>
      <c r="B613" s="34" t="s">
        <v>954</v>
      </c>
      <c r="C613" s="33" t="s">
        <v>297</v>
      </c>
      <c r="D613" s="33" t="s">
        <v>50</v>
      </c>
      <c r="E613" s="33" t="s">
        <v>953</v>
      </c>
      <c r="F613" s="35">
        <v>1</v>
      </c>
      <c r="G613" s="40"/>
      <c r="H613" s="40"/>
    </row>
    <row r="614" spans="1:8" hidden="1" x14ac:dyDescent="0.35">
      <c r="A614" s="33">
        <v>613</v>
      </c>
      <c r="B614" s="34" t="s">
        <v>955</v>
      </c>
      <c r="C614" s="33" t="s">
        <v>297</v>
      </c>
      <c r="D614" s="33" t="s">
        <v>50</v>
      </c>
      <c r="E614" s="33" t="s">
        <v>953</v>
      </c>
      <c r="F614" s="35">
        <v>1</v>
      </c>
      <c r="G614" s="40"/>
      <c r="H614" s="40"/>
    </row>
    <row r="615" spans="1:8" hidden="1" x14ac:dyDescent="0.35">
      <c r="A615" s="33">
        <v>614</v>
      </c>
      <c r="B615" s="34" t="s">
        <v>956</v>
      </c>
      <c r="C615" s="33" t="s">
        <v>297</v>
      </c>
      <c r="D615" s="33" t="s">
        <v>50</v>
      </c>
      <c r="E615" s="33" t="s">
        <v>953</v>
      </c>
      <c r="F615" s="35">
        <v>1</v>
      </c>
      <c r="G615" s="40"/>
      <c r="H615" s="40"/>
    </row>
    <row r="616" spans="1:8" hidden="1" x14ac:dyDescent="0.35">
      <c r="A616" s="33">
        <v>615</v>
      </c>
      <c r="B616" s="34" t="s">
        <v>957</v>
      </c>
      <c r="C616" s="33" t="s">
        <v>297</v>
      </c>
      <c r="D616" s="33" t="s">
        <v>50</v>
      </c>
      <c r="E616" s="33" t="s">
        <v>958</v>
      </c>
      <c r="F616" s="35">
        <v>1</v>
      </c>
      <c r="G616" s="40"/>
      <c r="H616" s="40"/>
    </row>
    <row r="617" spans="1:8" hidden="1" x14ac:dyDescent="0.35">
      <c r="A617" s="33">
        <v>616</v>
      </c>
      <c r="B617" s="34" t="s">
        <v>959</v>
      </c>
      <c r="C617" s="33" t="s">
        <v>297</v>
      </c>
      <c r="D617" s="33" t="s">
        <v>50</v>
      </c>
      <c r="E617" s="33" t="s">
        <v>958</v>
      </c>
      <c r="F617" s="35">
        <v>1</v>
      </c>
      <c r="G617" s="40"/>
      <c r="H617" s="40"/>
    </row>
    <row r="618" spans="1:8" hidden="1" x14ac:dyDescent="0.35">
      <c r="A618" s="33">
        <v>617</v>
      </c>
      <c r="B618" s="34" t="s">
        <v>960</v>
      </c>
      <c r="C618" s="33" t="s">
        <v>297</v>
      </c>
      <c r="D618" s="33" t="s">
        <v>50</v>
      </c>
      <c r="E618" s="33" t="s">
        <v>958</v>
      </c>
      <c r="F618" s="35">
        <v>1</v>
      </c>
      <c r="G618" s="40"/>
      <c r="H618" s="40"/>
    </row>
    <row r="619" spans="1:8" hidden="1" x14ac:dyDescent="0.35">
      <c r="A619" s="33">
        <v>618</v>
      </c>
      <c r="B619" s="34" t="s">
        <v>961</v>
      </c>
      <c r="C619" s="33" t="s">
        <v>297</v>
      </c>
      <c r="D619" s="33" t="s">
        <v>50</v>
      </c>
      <c r="E619" s="33" t="s">
        <v>962</v>
      </c>
      <c r="F619" s="35">
        <v>1</v>
      </c>
      <c r="G619" s="40"/>
      <c r="H619" s="40"/>
    </row>
    <row r="620" spans="1:8" hidden="1" x14ac:dyDescent="0.35">
      <c r="A620" s="33">
        <v>619</v>
      </c>
      <c r="B620" s="34" t="s">
        <v>963</v>
      </c>
      <c r="C620" s="33" t="s">
        <v>297</v>
      </c>
      <c r="D620" s="33" t="s">
        <v>50</v>
      </c>
      <c r="E620" s="33" t="s">
        <v>962</v>
      </c>
      <c r="F620" s="35">
        <v>1</v>
      </c>
      <c r="G620" s="40"/>
      <c r="H620" s="40"/>
    </row>
    <row r="621" spans="1:8" hidden="1" x14ac:dyDescent="0.35">
      <c r="A621" s="33">
        <v>620</v>
      </c>
      <c r="B621" s="34" t="s">
        <v>964</v>
      </c>
      <c r="C621" s="33" t="s">
        <v>297</v>
      </c>
      <c r="D621" s="33" t="s">
        <v>50</v>
      </c>
      <c r="E621" s="33" t="s">
        <v>962</v>
      </c>
      <c r="F621" s="35">
        <v>1</v>
      </c>
      <c r="G621" s="40"/>
      <c r="H621" s="40"/>
    </row>
    <row r="622" spans="1:8" hidden="1" x14ac:dyDescent="0.35">
      <c r="A622" s="33">
        <v>621</v>
      </c>
      <c r="B622" s="34" t="s">
        <v>965</v>
      </c>
      <c r="C622" s="33" t="s">
        <v>297</v>
      </c>
      <c r="D622" s="33" t="s">
        <v>50</v>
      </c>
      <c r="E622" s="33" t="s">
        <v>966</v>
      </c>
      <c r="F622" s="35">
        <v>1</v>
      </c>
      <c r="G622" s="40"/>
      <c r="H622" s="40"/>
    </row>
    <row r="623" spans="1:8" hidden="1" x14ac:dyDescent="0.35">
      <c r="A623" s="33">
        <v>622</v>
      </c>
      <c r="B623" s="34" t="s">
        <v>967</v>
      </c>
      <c r="C623" s="33" t="s">
        <v>297</v>
      </c>
      <c r="D623" s="33" t="s">
        <v>50</v>
      </c>
      <c r="E623" s="33" t="s">
        <v>968</v>
      </c>
      <c r="F623" s="35">
        <v>1</v>
      </c>
      <c r="G623" s="40"/>
      <c r="H623" s="40"/>
    </row>
    <row r="624" spans="1:8" hidden="1" x14ac:dyDescent="0.35">
      <c r="A624" s="33">
        <v>623</v>
      </c>
      <c r="B624" s="34" t="s">
        <v>969</v>
      </c>
      <c r="C624" s="33" t="s">
        <v>297</v>
      </c>
      <c r="D624" s="33" t="s">
        <v>50</v>
      </c>
      <c r="E624" s="33" t="s">
        <v>970</v>
      </c>
      <c r="F624" s="35">
        <v>1</v>
      </c>
      <c r="G624" s="40"/>
      <c r="H624" s="40"/>
    </row>
    <row r="625" spans="1:8" hidden="1" x14ac:dyDescent="0.35">
      <c r="A625" s="33">
        <v>624</v>
      </c>
      <c r="B625" s="34" t="s">
        <v>971</v>
      </c>
      <c r="C625" s="33" t="s">
        <v>297</v>
      </c>
      <c r="D625" s="33" t="s">
        <v>50</v>
      </c>
      <c r="E625" s="33" t="s">
        <v>972</v>
      </c>
      <c r="F625" s="35">
        <v>1</v>
      </c>
      <c r="G625" s="40"/>
      <c r="H625" s="40"/>
    </row>
    <row r="626" spans="1:8" hidden="1" x14ac:dyDescent="0.35">
      <c r="A626" s="33">
        <v>625</v>
      </c>
      <c r="B626" s="34" t="s">
        <v>973</v>
      </c>
      <c r="C626" s="33" t="s">
        <v>297</v>
      </c>
      <c r="D626" s="33" t="s">
        <v>50</v>
      </c>
      <c r="E626" s="33" t="s">
        <v>974</v>
      </c>
      <c r="F626" s="35">
        <v>1</v>
      </c>
      <c r="G626" s="40"/>
      <c r="H626" s="40"/>
    </row>
    <row r="627" spans="1:8" hidden="1" x14ac:dyDescent="0.35">
      <c r="A627" s="33">
        <v>626</v>
      </c>
      <c r="B627" s="34" t="s">
        <v>204</v>
      </c>
      <c r="C627" s="33" t="s">
        <v>297</v>
      </c>
      <c r="D627" s="33" t="s">
        <v>50</v>
      </c>
      <c r="E627" s="33" t="s">
        <v>975</v>
      </c>
      <c r="F627" s="35">
        <v>1.1499999999999999</v>
      </c>
      <c r="G627" s="40"/>
      <c r="H627" s="40"/>
    </row>
    <row r="628" spans="1:8" hidden="1" x14ac:dyDescent="0.35">
      <c r="A628" s="33">
        <v>627</v>
      </c>
      <c r="B628" s="34" t="s">
        <v>976</v>
      </c>
      <c r="C628" s="33" t="s">
        <v>297</v>
      </c>
      <c r="D628" s="33" t="s">
        <v>50</v>
      </c>
      <c r="E628" s="33" t="s">
        <v>975</v>
      </c>
      <c r="F628" s="35">
        <v>1</v>
      </c>
      <c r="G628" s="40"/>
      <c r="H628" s="40"/>
    </row>
    <row r="629" spans="1:8" hidden="1" x14ac:dyDescent="0.35">
      <c r="A629" s="33">
        <v>628</v>
      </c>
      <c r="B629" s="34" t="s">
        <v>977</v>
      </c>
      <c r="C629" s="33" t="s">
        <v>297</v>
      </c>
      <c r="D629" s="33" t="s">
        <v>50</v>
      </c>
      <c r="E629" s="33" t="s">
        <v>975</v>
      </c>
      <c r="F629" s="35">
        <v>0.4</v>
      </c>
      <c r="G629" s="40"/>
      <c r="H629" s="40"/>
    </row>
    <row r="630" spans="1:8" hidden="1" x14ac:dyDescent="0.35">
      <c r="A630" s="33">
        <v>629</v>
      </c>
      <c r="B630" s="34" t="s">
        <v>978</v>
      </c>
      <c r="C630" s="33" t="s">
        <v>297</v>
      </c>
      <c r="D630" s="33" t="s">
        <v>50</v>
      </c>
      <c r="E630" s="33" t="s">
        <v>979</v>
      </c>
      <c r="F630" s="35">
        <v>1</v>
      </c>
      <c r="G630" s="40"/>
      <c r="H630" s="40"/>
    </row>
    <row r="631" spans="1:8" hidden="1" x14ac:dyDescent="0.35">
      <c r="A631" s="33">
        <v>630</v>
      </c>
      <c r="B631" s="34" t="s">
        <v>980</v>
      </c>
      <c r="C631" s="33" t="s">
        <v>297</v>
      </c>
      <c r="D631" s="33" t="s">
        <v>50</v>
      </c>
      <c r="E631" s="33" t="s">
        <v>979</v>
      </c>
      <c r="F631" s="35">
        <v>1</v>
      </c>
      <c r="G631" s="40"/>
      <c r="H631" s="40"/>
    </row>
    <row r="632" spans="1:8" hidden="1" x14ac:dyDescent="0.35">
      <c r="A632" s="33">
        <v>631</v>
      </c>
      <c r="B632" s="34" t="s">
        <v>981</v>
      </c>
      <c r="C632" s="33" t="s">
        <v>297</v>
      </c>
      <c r="D632" s="33" t="s">
        <v>50</v>
      </c>
      <c r="E632" s="33" t="s">
        <v>982</v>
      </c>
      <c r="F632" s="35">
        <v>1</v>
      </c>
      <c r="G632" s="40"/>
      <c r="H632" s="40"/>
    </row>
    <row r="633" spans="1:8" hidden="1" x14ac:dyDescent="0.35">
      <c r="A633" s="33">
        <v>632</v>
      </c>
      <c r="B633" s="34" t="s">
        <v>983</v>
      </c>
      <c r="C633" s="33" t="s">
        <v>297</v>
      </c>
      <c r="D633" s="33" t="s">
        <v>50</v>
      </c>
      <c r="E633" s="33" t="s">
        <v>982</v>
      </c>
      <c r="F633" s="35">
        <v>1</v>
      </c>
      <c r="G633" s="40"/>
      <c r="H633" s="40"/>
    </row>
    <row r="634" spans="1:8" hidden="1" x14ac:dyDescent="0.35">
      <c r="A634" s="33">
        <v>633</v>
      </c>
      <c r="B634" s="34" t="s">
        <v>984</v>
      </c>
      <c r="C634" s="33" t="s">
        <v>297</v>
      </c>
      <c r="D634" s="33" t="s">
        <v>50</v>
      </c>
      <c r="E634" s="33" t="s">
        <v>982</v>
      </c>
      <c r="F634" s="35">
        <v>1</v>
      </c>
      <c r="G634" s="40"/>
      <c r="H634" s="40"/>
    </row>
    <row r="635" spans="1:8" hidden="1" x14ac:dyDescent="0.35">
      <c r="A635" s="33">
        <v>634</v>
      </c>
      <c r="B635" s="34" t="s">
        <v>985</v>
      </c>
      <c r="C635" s="33" t="s">
        <v>346</v>
      </c>
      <c r="D635" s="33" t="s">
        <v>50</v>
      </c>
      <c r="E635" s="33" t="s">
        <v>870</v>
      </c>
      <c r="F635" s="35">
        <v>0.4</v>
      </c>
      <c r="G635" s="40"/>
      <c r="H635" s="40"/>
    </row>
    <row r="636" spans="1:8" hidden="1" x14ac:dyDescent="0.35">
      <c r="A636" s="33">
        <v>635</v>
      </c>
      <c r="B636" s="34" t="s">
        <v>986</v>
      </c>
      <c r="C636" s="33" t="s">
        <v>346</v>
      </c>
      <c r="D636" s="33" t="s">
        <v>50</v>
      </c>
      <c r="E636" s="33" t="s">
        <v>870</v>
      </c>
      <c r="F636" s="35">
        <v>0.5</v>
      </c>
      <c r="G636" s="40"/>
      <c r="H636" s="40"/>
    </row>
    <row r="637" spans="1:8" hidden="1" x14ac:dyDescent="0.35">
      <c r="A637" s="33">
        <v>636</v>
      </c>
      <c r="B637" s="34" t="s">
        <v>987</v>
      </c>
      <c r="C637" s="33" t="s">
        <v>346</v>
      </c>
      <c r="D637" s="33" t="s">
        <v>50</v>
      </c>
      <c r="E637" s="33" t="s">
        <v>870</v>
      </c>
      <c r="F637" s="35">
        <v>0.5</v>
      </c>
      <c r="G637" s="40"/>
      <c r="H637" s="40"/>
    </row>
    <row r="638" spans="1:8" hidden="1" x14ac:dyDescent="0.35">
      <c r="A638" s="33">
        <v>637</v>
      </c>
      <c r="B638" s="34" t="s">
        <v>988</v>
      </c>
      <c r="C638" s="33" t="s">
        <v>346</v>
      </c>
      <c r="D638" s="33" t="s">
        <v>50</v>
      </c>
      <c r="E638" s="33" t="s">
        <v>870</v>
      </c>
      <c r="F638" s="35">
        <v>0.25</v>
      </c>
      <c r="G638" s="40"/>
      <c r="H638" s="40"/>
    </row>
    <row r="639" spans="1:8" hidden="1" x14ac:dyDescent="0.35">
      <c r="A639" s="33">
        <v>638</v>
      </c>
      <c r="B639" s="34" t="s">
        <v>989</v>
      </c>
      <c r="C639" s="33" t="s">
        <v>346</v>
      </c>
      <c r="D639" s="33" t="s">
        <v>50</v>
      </c>
      <c r="E639" s="33" t="s">
        <v>870</v>
      </c>
      <c r="F639" s="35">
        <v>0.3</v>
      </c>
      <c r="G639" s="40"/>
      <c r="H639" s="40"/>
    </row>
    <row r="640" spans="1:8" hidden="1" x14ac:dyDescent="0.35">
      <c r="A640" s="33">
        <v>639</v>
      </c>
      <c r="B640" s="34" t="s">
        <v>990</v>
      </c>
      <c r="C640" s="33" t="s">
        <v>346</v>
      </c>
      <c r="D640" s="33" t="s">
        <v>50</v>
      </c>
      <c r="E640" s="33" t="s">
        <v>870</v>
      </c>
      <c r="F640" s="35">
        <v>0.25</v>
      </c>
      <c r="G640" s="40"/>
      <c r="H640" s="40"/>
    </row>
    <row r="641" spans="1:8" hidden="1" x14ac:dyDescent="0.35">
      <c r="A641" s="33">
        <v>640</v>
      </c>
      <c r="B641" s="34" t="s">
        <v>991</v>
      </c>
      <c r="C641" s="33" t="s">
        <v>346</v>
      </c>
      <c r="D641" s="33" t="s">
        <v>50</v>
      </c>
      <c r="E641" s="33" t="s">
        <v>870</v>
      </c>
      <c r="F641" s="35">
        <v>0.8</v>
      </c>
      <c r="G641" s="40"/>
      <c r="H641" s="40"/>
    </row>
    <row r="642" spans="1:8" hidden="1" x14ac:dyDescent="0.35">
      <c r="A642" s="33">
        <v>641</v>
      </c>
      <c r="B642" s="34" t="s">
        <v>992</v>
      </c>
      <c r="C642" s="33" t="s">
        <v>346</v>
      </c>
      <c r="D642" s="33" t="s">
        <v>50</v>
      </c>
      <c r="E642" s="33" t="s">
        <v>870</v>
      </c>
      <c r="F642" s="35">
        <v>0.48</v>
      </c>
      <c r="G642" s="40"/>
      <c r="H642" s="40"/>
    </row>
    <row r="643" spans="1:8" hidden="1" x14ac:dyDescent="0.35">
      <c r="A643" s="33">
        <v>642</v>
      </c>
      <c r="B643" s="34" t="s">
        <v>993</v>
      </c>
      <c r="C643" s="33" t="s">
        <v>346</v>
      </c>
      <c r="D643" s="33" t="s">
        <v>50</v>
      </c>
      <c r="E643" s="33" t="s">
        <v>874</v>
      </c>
      <c r="F643" s="35">
        <v>0.25</v>
      </c>
      <c r="G643" s="40"/>
      <c r="H643" s="40"/>
    </row>
    <row r="644" spans="1:8" hidden="1" x14ac:dyDescent="0.35">
      <c r="A644" s="33">
        <v>643</v>
      </c>
      <c r="B644" s="34" t="s">
        <v>994</v>
      </c>
      <c r="C644" s="33" t="s">
        <v>346</v>
      </c>
      <c r="D644" s="33" t="s">
        <v>50</v>
      </c>
      <c r="E644" s="33" t="s">
        <v>995</v>
      </c>
      <c r="F644" s="35">
        <v>0.5</v>
      </c>
      <c r="G644" s="40"/>
      <c r="H644" s="40"/>
    </row>
    <row r="645" spans="1:8" hidden="1" x14ac:dyDescent="0.35">
      <c r="A645" s="33">
        <v>644</v>
      </c>
      <c r="B645" s="34" t="s">
        <v>996</v>
      </c>
      <c r="C645" s="33" t="s">
        <v>346</v>
      </c>
      <c r="D645" s="33" t="s">
        <v>50</v>
      </c>
      <c r="E645" s="33" t="s">
        <v>878</v>
      </c>
      <c r="F645" s="35">
        <v>0.3</v>
      </c>
      <c r="G645" s="40"/>
      <c r="H645" s="40"/>
    </row>
    <row r="646" spans="1:8" hidden="1" x14ac:dyDescent="0.35">
      <c r="A646" s="33">
        <v>645</v>
      </c>
      <c r="B646" s="34" t="s">
        <v>997</v>
      </c>
      <c r="C646" s="33" t="s">
        <v>346</v>
      </c>
      <c r="D646" s="33" t="s">
        <v>50</v>
      </c>
      <c r="E646" s="33" t="s">
        <v>878</v>
      </c>
      <c r="F646" s="35">
        <v>0.35</v>
      </c>
      <c r="G646" s="40"/>
      <c r="H646" s="40"/>
    </row>
    <row r="647" spans="1:8" hidden="1" x14ac:dyDescent="0.35">
      <c r="A647" s="33">
        <v>646</v>
      </c>
      <c r="B647" s="34" t="s">
        <v>998</v>
      </c>
      <c r="C647" s="33" t="s">
        <v>346</v>
      </c>
      <c r="D647" s="33" t="s">
        <v>50</v>
      </c>
      <c r="E647" s="33" t="s">
        <v>878</v>
      </c>
      <c r="F647" s="35">
        <v>0.5</v>
      </c>
      <c r="G647" s="40"/>
      <c r="H647" s="40"/>
    </row>
    <row r="648" spans="1:8" hidden="1" x14ac:dyDescent="0.35">
      <c r="A648" s="33">
        <v>647</v>
      </c>
      <c r="B648" s="34" t="s">
        <v>999</v>
      </c>
      <c r="C648" s="33" t="s">
        <v>346</v>
      </c>
      <c r="D648" s="33" t="s">
        <v>50</v>
      </c>
      <c r="E648" s="33" t="s">
        <v>885</v>
      </c>
      <c r="F648" s="35">
        <v>0.5</v>
      </c>
      <c r="G648" s="40"/>
      <c r="H648" s="40"/>
    </row>
    <row r="649" spans="1:8" hidden="1" x14ac:dyDescent="0.35">
      <c r="A649" s="33">
        <v>648</v>
      </c>
      <c r="B649" s="34" t="s">
        <v>1000</v>
      </c>
      <c r="C649" s="33" t="s">
        <v>346</v>
      </c>
      <c r="D649" s="33" t="s">
        <v>50</v>
      </c>
      <c r="E649" s="33" t="s">
        <v>885</v>
      </c>
      <c r="F649" s="35">
        <v>0.5</v>
      </c>
      <c r="G649" s="40"/>
      <c r="H649" s="40"/>
    </row>
    <row r="650" spans="1:8" hidden="1" x14ac:dyDescent="0.35">
      <c r="A650" s="33">
        <v>649</v>
      </c>
      <c r="B650" s="34" t="s">
        <v>1001</v>
      </c>
      <c r="C650" s="33" t="s">
        <v>346</v>
      </c>
      <c r="D650" s="33" t="s">
        <v>50</v>
      </c>
      <c r="E650" s="33" t="s">
        <v>885</v>
      </c>
      <c r="F650" s="35">
        <v>0.25</v>
      </c>
      <c r="G650" s="40"/>
      <c r="H650" s="40"/>
    </row>
    <row r="651" spans="1:8" hidden="1" x14ac:dyDescent="0.35">
      <c r="A651" s="33">
        <v>650</v>
      </c>
      <c r="B651" s="34" t="s">
        <v>1002</v>
      </c>
      <c r="C651" s="33" t="s">
        <v>346</v>
      </c>
      <c r="D651" s="33" t="s">
        <v>50</v>
      </c>
      <c r="E651" s="33" t="s">
        <v>885</v>
      </c>
      <c r="F651" s="35">
        <v>0.25</v>
      </c>
      <c r="G651" s="40"/>
      <c r="H651" s="40"/>
    </row>
    <row r="652" spans="1:8" hidden="1" x14ac:dyDescent="0.35">
      <c r="A652" s="33">
        <v>651</v>
      </c>
      <c r="B652" s="34" t="s">
        <v>1003</v>
      </c>
      <c r="C652" s="33" t="s">
        <v>346</v>
      </c>
      <c r="D652" s="33" t="s">
        <v>50</v>
      </c>
      <c r="E652" s="33" t="s">
        <v>885</v>
      </c>
      <c r="F652" s="35">
        <v>0.5</v>
      </c>
      <c r="G652" s="40"/>
      <c r="H652" s="40"/>
    </row>
    <row r="653" spans="1:8" hidden="1" x14ac:dyDescent="0.35">
      <c r="A653" s="33">
        <v>652</v>
      </c>
      <c r="B653" s="34" t="s">
        <v>1004</v>
      </c>
      <c r="C653" s="33" t="s">
        <v>346</v>
      </c>
      <c r="D653" s="33" t="s">
        <v>50</v>
      </c>
      <c r="E653" s="33" t="s">
        <v>885</v>
      </c>
      <c r="F653" s="35">
        <v>0.3</v>
      </c>
      <c r="G653" s="40"/>
      <c r="H653" s="40"/>
    </row>
    <row r="654" spans="1:8" hidden="1" x14ac:dyDescent="0.35">
      <c r="A654" s="33">
        <v>653</v>
      </c>
      <c r="B654" s="34" t="s">
        <v>1005</v>
      </c>
      <c r="C654" s="33" t="s">
        <v>346</v>
      </c>
      <c r="D654" s="33" t="s">
        <v>50</v>
      </c>
      <c r="E654" s="33" t="s">
        <v>1006</v>
      </c>
      <c r="F654" s="35">
        <v>0.5</v>
      </c>
      <c r="G654" s="40"/>
      <c r="H654" s="40"/>
    </row>
    <row r="655" spans="1:8" hidden="1" x14ac:dyDescent="0.35">
      <c r="A655" s="33">
        <v>654</v>
      </c>
      <c r="B655" s="34" t="s">
        <v>1007</v>
      </c>
      <c r="C655" s="33" t="s">
        <v>346</v>
      </c>
      <c r="D655" s="33" t="s">
        <v>50</v>
      </c>
      <c r="E655" s="33" t="s">
        <v>1006</v>
      </c>
      <c r="F655" s="35">
        <v>0.5</v>
      </c>
      <c r="G655" s="40"/>
      <c r="H655" s="40"/>
    </row>
    <row r="656" spans="1:8" hidden="1" x14ac:dyDescent="0.35">
      <c r="A656" s="33">
        <v>655</v>
      </c>
      <c r="B656" s="34" t="s">
        <v>1008</v>
      </c>
      <c r="C656" s="33" t="s">
        <v>346</v>
      </c>
      <c r="D656" s="33" t="s">
        <v>50</v>
      </c>
      <c r="E656" s="33" t="s">
        <v>1006</v>
      </c>
      <c r="F656" s="35">
        <v>8</v>
      </c>
      <c r="G656" s="40"/>
      <c r="H656" s="40"/>
    </row>
    <row r="657" spans="1:9" hidden="1" x14ac:dyDescent="0.35">
      <c r="A657" s="33">
        <v>656</v>
      </c>
      <c r="B657" s="34" t="s">
        <v>1009</v>
      </c>
      <c r="C657" s="33" t="s">
        <v>346</v>
      </c>
      <c r="D657" s="33" t="s">
        <v>50</v>
      </c>
      <c r="E657" s="33" t="s">
        <v>1006</v>
      </c>
      <c r="F657" s="35">
        <v>0.5</v>
      </c>
      <c r="G657" s="40"/>
      <c r="H657" s="40"/>
    </row>
    <row r="658" spans="1:9" hidden="1" x14ac:dyDescent="0.35">
      <c r="A658" s="33">
        <v>657</v>
      </c>
      <c r="B658" s="34" t="s">
        <v>1010</v>
      </c>
      <c r="C658" s="33" t="s">
        <v>346</v>
      </c>
      <c r="D658" s="33" t="s">
        <v>50</v>
      </c>
      <c r="E658" s="33" t="s">
        <v>1006</v>
      </c>
      <c r="F658" s="35">
        <v>8</v>
      </c>
      <c r="G658" s="40"/>
      <c r="H658" s="40"/>
    </row>
    <row r="659" spans="1:9" x14ac:dyDescent="0.35">
      <c r="A659" s="33">
        <v>658</v>
      </c>
      <c r="B659" s="34" t="s">
        <v>1011</v>
      </c>
      <c r="C659" s="33" t="s">
        <v>346</v>
      </c>
      <c r="D659" s="33" t="s">
        <v>50</v>
      </c>
      <c r="E659" s="33" t="s">
        <v>1006</v>
      </c>
      <c r="F659" s="35">
        <v>0.5</v>
      </c>
      <c r="G659" s="40">
        <v>12</v>
      </c>
      <c r="H659" s="40">
        <f>+G659*F659</f>
        <v>6</v>
      </c>
      <c r="I659" s="40" t="s">
        <v>2305</v>
      </c>
    </row>
    <row r="660" spans="1:9" hidden="1" x14ac:dyDescent="0.35">
      <c r="A660" s="41">
        <v>659</v>
      </c>
      <c r="B660" s="42" t="s">
        <v>1012</v>
      </c>
      <c r="C660" s="41" t="s">
        <v>346</v>
      </c>
      <c r="D660" s="41" t="s">
        <v>50</v>
      </c>
      <c r="E660" s="41" t="s">
        <v>896</v>
      </c>
      <c r="F660" s="43">
        <v>0.4</v>
      </c>
      <c r="G660" s="44"/>
      <c r="H660" s="44"/>
    </row>
    <row r="661" spans="1:9" hidden="1" x14ac:dyDescent="0.35">
      <c r="A661" s="33">
        <v>660</v>
      </c>
      <c r="B661" s="34" t="s">
        <v>1013</v>
      </c>
      <c r="C661" s="33" t="s">
        <v>346</v>
      </c>
      <c r="D661" s="33" t="s">
        <v>50</v>
      </c>
      <c r="E661" s="33" t="s">
        <v>896</v>
      </c>
      <c r="F661" s="35">
        <v>0.5</v>
      </c>
      <c r="G661" s="40"/>
      <c r="H661" s="40"/>
    </row>
    <row r="662" spans="1:9" hidden="1" x14ac:dyDescent="0.35">
      <c r="A662" s="33">
        <v>661</v>
      </c>
      <c r="B662" s="34" t="s">
        <v>1014</v>
      </c>
      <c r="C662" s="33" t="s">
        <v>346</v>
      </c>
      <c r="D662" s="33" t="s">
        <v>50</v>
      </c>
      <c r="E662" s="33" t="s">
        <v>896</v>
      </c>
      <c r="F662" s="35">
        <v>1</v>
      </c>
      <c r="G662" s="40"/>
      <c r="H662" s="40"/>
    </row>
    <row r="663" spans="1:9" hidden="1" x14ac:dyDescent="0.35">
      <c r="A663" s="33">
        <v>662</v>
      </c>
      <c r="B663" s="34" t="s">
        <v>1015</v>
      </c>
      <c r="C663" s="33" t="s">
        <v>346</v>
      </c>
      <c r="D663" s="33" t="s">
        <v>50</v>
      </c>
      <c r="E663" s="33" t="s">
        <v>896</v>
      </c>
      <c r="F663" s="35">
        <v>0.25</v>
      </c>
      <c r="G663" s="40"/>
      <c r="H663" s="40"/>
    </row>
    <row r="664" spans="1:9" hidden="1" x14ac:dyDescent="0.35">
      <c r="A664" s="33">
        <v>663</v>
      </c>
      <c r="B664" s="34" t="s">
        <v>1016</v>
      </c>
      <c r="C664" s="33" t="s">
        <v>346</v>
      </c>
      <c r="D664" s="33" t="s">
        <v>50</v>
      </c>
      <c r="E664" s="33" t="s">
        <v>1017</v>
      </c>
      <c r="F664" s="35">
        <v>1</v>
      </c>
      <c r="G664" s="40"/>
      <c r="H664" s="40"/>
    </row>
    <row r="665" spans="1:9" hidden="1" x14ac:dyDescent="0.35">
      <c r="A665" s="33">
        <v>664</v>
      </c>
      <c r="B665" s="34" t="s">
        <v>1018</v>
      </c>
      <c r="C665" s="33" t="s">
        <v>346</v>
      </c>
      <c r="D665" s="33" t="s">
        <v>50</v>
      </c>
      <c r="E665" s="33" t="s">
        <v>896</v>
      </c>
      <c r="F665" s="35">
        <v>0.2</v>
      </c>
      <c r="G665" s="40"/>
      <c r="H665" s="40"/>
    </row>
    <row r="666" spans="1:9" hidden="1" x14ac:dyDescent="0.35">
      <c r="A666" s="33">
        <v>665</v>
      </c>
      <c r="B666" s="34" t="s">
        <v>1019</v>
      </c>
      <c r="C666" s="33" t="s">
        <v>346</v>
      </c>
      <c r="D666" s="33" t="s">
        <v>50</v>
      </c>
      <c r="E666" s="33" t="s">
        <v>896</v>
      </c>
      <c r="F666" s="35">
        <v>7.2</v>
      </c>
      <c r="G666" s="40"/>
      <c r="H666" s="40"/>
    </row>
    <row r="667" spans="1:9" hidden="1" x14ac:dyDescent="0.35">
      <c r="A667" s="33">
        <v>666</v>
      </c>
      <c r="B667" s="34" t="s">
        <v>1020</v>
      </c>
      <c r="C667" s="33" t="s">
        <v>346</v>
      </c>
      <c r="D667" s="33" t="s">
        <v>50</v>
      </c>
      <c r="E667" s="33" t="s">
        <v>896</v>
      </c>
      <c r="F667" s="35">
        <v>7.2</v>
      </c>
      <c r="G667" s="40"/>
      <c r="H667" s="40"/>
    </row>
    <row r="668" spans="1:9" hidden="1" x14ac:dyDescent="0.35">
      <c r="A668" s="33">
        <v>667</v>
      </c>
      <c r="B668" s="34" t="s">
        <v>1021</v>
      </c>
      <c r="C668" s="33" t="s">
        <v>346</v>
      </c>
      <c r="D668" s="33" t="s">
        <v>50</v>
      </c>
      <c r="E668" s="33" t="s">
        <v>896</v>
      </c>
      <c r="F668" s="35">
        <v>0.5</v>
      </c>
      <c r="G668" s="40"/>
      <c r="H668" s="40"/>
    </row>
    <row r="669" spans="1:9" hidden="1" x14ac:dyDescent="0.35">
      <c r="A669" s="33">
        <v>668</v>
      </c>
      <c r="B669" s="34" t="s">
        <v>1022</v>
      </c>
      <c r="C669" s="33" t="s">
        <v>346</v>
      </c>
      <c r="D669" s="33" t="s">
        <v>50</v>
      </c>
      <c r="E669" s="33" t="s">
        <v>896</v>
      </c>
      <c r="F669" s="35">
        <v>12</v>
      </c>
      <c r="G669" s="40"/>
      <c r="H669" s="40"/>
    </row>
    <row r="670" spans="1:9" hidden="1" x14ac:dyDescent="0.35">
      <c r="A670" s="33">
        <v>669</v>
      </c>
      <c r="B670" s="34" t="s">
        <v>1023</v>
      </c>
      <c r="C670" s="33" t="s">
        <v>346</v>
      </c>
      <c r="D670" s="33" t="s">
        <v>50</v>
      </c>
      <c r="E670" s="33" t="s">
        <v>896</v>
      </c>
      <c r="F670" s="35">
        <v>12</v>
      </c>
      <c r="G670" s="40"/>
      <c r="H670" s="40"/>
    </row>
    <row r="671" spans="1:9" hidden="1" x14ac:dyDescent="0.35">
      <c r="A671" s="33">
        <v>670</v>
      </c>
      <c r="B671" s="34" t="s">
        <v>1024</v>
      </c>
      <c r="C671" s="33" t="s">
        <v>346</v>
      </c>
      <c r="D671" s="33" t="s">
        <v>50</v>
      </c>
      <c r="E671" s="33" t="s">
        <v>896</v>
      </c>
      <c r="F671" s="35">
        <v>0.5</v>
      </c>
      <c r="G671" s="40"/>
      <c r="H671" s="40"/>
    </row>
    <row r="672" spans="1:9" hidden="1" x14ac:dyDescent="0.35">
      <c r="A672" s="33">
        <v>671</v>
      </c>
      <c r="B672" s="34" t="s">
        <v>1025</v>
      </c>
      <c r="C672" s="33" t="s">
        <v>346</v>
      </c>
      <c r="D672" s="33" t="s">
        <v>50</v>
      </c>
      <c r="E672" s="33" t="s">
        <v>896</v>
      </c>
      <c r="F672" s="35">
        <v>0.4</v>
      </c>
      <c r="G672" s="40"/>
      <c r="H672" s="40"/>
    </row>
    <row r="673" spans="1:8" hidden="1" x14ac:dyDescent="0.35">
      <c r="A673" s="33">
        <v>672</v>
      </c>
      <c r="B673" s="34" t="s">
        <v>1026</v>
      </c>
      <c r="C673" s="33" t="s">
        <v>346</v>
      </c>
      <c r="D673" s="33" t="s">
        <v>50</v>
      </c>
      <c r="E673" s="33" t="s">
        <v>896</v>
      </c>
      <c r="F673" s="35">
        <v>0.25</v>
      </c>
      <c r="G673" s="40"/>
      <c r="H673" s="40"/>
    </row>
    <row r="674" spans="1:8" hidden="1" x14ac:dyDescent="0.35">
      <c r="A674" s="33">
        <v>673</v>
      </c>
      <c r="B674" s="34" t="s">
        <v>1027</v>
      </c>
      <c r="C674" s="33" t="s">
        <v>346</v>
      </c>
      <c r="D674" s="33" t="s">
        <v>50</v>
      </c>
      <c r="E674" s="33" t="s">
        <v>896</v>
      </c>
      <c r="F674" s="35">
        <v>0.48</v>
      </c>
      <c r="G674" s="40"/>
      <c r="H674" s="40"/>
    </row>
    <row r="675" spans="1:8" hidden="1" x14ac:dyDescent="0.35">
      <c r="A675" s="33">
        <v>674</v>
      </c>
      <c r="B675" s="34" t="s">
        <v>1028</v>
      </c>
      <c r="C675" s="33" t="s">
        <v>346</v>
      </c>
      <c r="D675" s="33" t="s">
        <v>50</v>
      </c>
      <c r="E675" s="33" t="s">
        <v>896</v>
      </c>
      <c r="F675" s="35">
        <v>0.5</v>
      </c>
      <c r="G675" s="40"/>
      <c r="H675" s="40"/>
    </row>
    <row r="676" spans="1:8" hidden="1" x14ac:dyDescent="0.35">
      <c r="A676" s="33">
        <v>675</v>
      </c>
      <c r="B676" s="34" t="s">
        <v>1029</v>
      </c>
      <c r="C676" s="33" t="s">
        <v>346</v>
      </c>
      <c r="D676" s="33" t="s">
        <v>50</v>
      </c>
      <c r="E676" s="33" t="s">
        <v>896</v>
      </c>
      <c r="F676" s="35">
        <v>1</v>
      </c>
      <c r="G676" s="40"/>
      <c r="H676" s="40"/>
    </row>
    <row r="677" spans="1:8" hidden="1" x14ac:dyDescent="0.35">
      <c r="A677" s="33">
        <v>676</v>
      </c>
      <c r="B677" s="34" t="s">
        <v>1030</v>
      </c>
      <c r="C677" s="33" t="s">
        <v>346</v>
      </c>
      <c r="D677" s="33" t="s">
        <v>50</v>
      </c>
      <c r="E677" s="33" t="s">
        <v>1031</v>
      </c>
      <c r="F677" s="35">
        <v>0.3</v>
      </c>
      <c r="G677" s="40"/>
      <c r="H677" s="40"/>
    </row>
    <row r="678" spans="1:8" hidden="1" x14ac:dyDescent="0.35">
      <c r="A678" s="33">
        <v>677</v>
      </c>
      <c r="B678" s="34" t="s">
        <v>1032</v>
      </c>
      <c r="C678" s="33" t="s">
        <v>346</v>
      </c>
      <c r="D678" s="33" t="s">
        <v>50</v>
      </c>
      <c r="E678" s="33" t="s">
        <v>1031</v>
      </c>
      <c r="F678" s="35">
        <v>0.25</v>
      </c>
      <c r="G678" s="40"/>
      <c r="H678" s="40"/>
    </row>
    <row r="679" spans="1:8" hidden="1" x14ac:dyDescent="0.35">
      <c r="A679" s="33">
        <v>678</v>
      </c>
      <c r="B679" s="34" t="s">
        <v>1033</v>
      </c>
      <c r="C679" s="33" t="s">
        <v>346</v>
      </c>
      <c r="D679" s="33" t="s">
        <v>50</v>
      </c>
      <c r="E679" s="33" t="s">
        <v>902</v>
      </c>
      <c r="F679" s="35">
        <v>0.3</v>
      </c>
      <c r="G679" s="40"/>
      <c r="H679" s="40"/>
    </row>
    <row r="680" spans="1:8" hidden="1" x14ac:dyDescent="0.35">
      <c r="A680" s="33">
        <v>679</v>
      </c>
      <c r="B680" s="34" t="s">
        <v>1034</v>
      </c>
      <c r="C680" s="33" t="s">
        <v>346</v>
      </c>
      <c r="D680" s="33" t="s">
        <v>50</v>
      </c>
      <c r="E680" s="33" t="s">
        <v>902</v>
      </c>
      <c r="F680" s="35">
        <v>0.6</v>
      </c>
      <c r="G680" s="40"/>
      <c r="H680" s="40"/>
    </row>
    <row r="681" spans="1:8" hidden="1" x14ac:dyDescent="0.35">
      <c r="A681" s="33">
        <v>680</v>
      </c>
      <c r="B681" s="34" t="s">
        <v>1035</v>
      </c>
      <c r="C681" s="33" t="s">
        <v>346</v>
      </c>
      <c r="D681" s="33" t="s">
        <v>50</v>
      </c>
      <c r="E681" s="33" t="s">
        <v>902</v>
      </c>
      <c r="F681" s="35">
        <v>0.4</v>
      </c>
      <c r="G681" s="40"/>
      <c r="H681" s="40"/>
    </row>
    <row r="682" spans="1:8" hidden="1" x14ac:dyDescent="0.35">
      <c r="A682" s="33">
        <v>681</v>
      </c>
      <c r="B682" s="34" t="s">
        <v>1036</v>
      </c>
      <c r="C682" s="33" t="s">
        <v>346</v>
      </c>
      <c r="D682" s="33" t="s">
        <v>50</v>
      </c>
      <c r="E682" s="33" t="s">
        <v>902</v>
      </c>
      <c r="F682" s="35">
        <v>0.5</v>
      </c>
      <c r="G682" s="40"/>
      <c r="H682" s="40"/>
    </row>
    <row r="683" spans="1:8" hidden="1" x14ac:dyDescent="0.35">
      <c r="A683" s="33">
        <v>682</v>
      </c>
      <c r="B683" s="34" t="s">
        <v>1037</v>
      </c>
      <c r="C683" s="33" t="s">
        <v>346</v>
      </c>
      <c r="D683" s="33" t="s">
        <v>50</v>
      </c>
      <c r="E683" s="33" t="s">
        <v>902</v>
      </c>
      <c r="F683" s="35">
        <v>0.5</v>
      </c>
      <c r="G683" s="40"/>
      <c r="H683" s="40"/>
    </row>
    <row r="684" spans="1:8" hidden="1" x14ac:dyDescent="0.35">
      <c r="A684" s="33">
        <v>683</v>
      </c>
      <c r="B684" s="34" t="s">
        <v>1038</v>
      </c>
      <c r="C684" s="33" t="s">
        <v>346</v>
      </c>
      <c r="D684" s="33" t="s">
        <v>50</v>
      </c>
      <c r="E684" s="33" t="s">
        <v>902</v>
      </c>
      <c r="F684" s="35">
        <v>1</v>
      </c>
      <c r="G684" s="40"/>
      <c r="H684" s="40"/>
    </row>
    <row r="685" spans="1:8" hidden="1" x14ac:dyDescent="0.35">
      <c r="A685" s="33">
        <v>684</v>
      </c>
      <c r="B685" s="34" t="s">
        <v>1039</v>
      </c>
      <c r="C685" s="33" t="s">
        <v>346</v>
      </c>
      <c r="D685" s="33" t="s">
        <v>50</v>
      </c>
      <c r="E685" s="33" t="s">
        <v>902</v>
      </c>
      <c r="F685" s="35">
        <v>0.4</v>
      </c>
      <c r="G685" s="40"/>
      <c r="H685" s="40"/>
    </row>
    <row r="686" spans="1:8" hidden="1" x14ac:dyDescent="0.35">
      <c r="A686" s="33">
        <v>685</v>
      </c>
      <c r="B686" s="34" t="s">
        <v>1040</v>
      </c>
      <c r="C686" s="33" t="s">
        <v>346</v>
      </c>
      <c r="D686" s="33" t="s">
        <v>50</v>
      </c>
      <c r="E686" s="33" t="s">
        <v>902</v>
      </c>
      <c r="F686" s="35">
        <v>0.5</v>
      </c>
      <c r="G686" s="40"/>
      <c r="H686" s="40"/>
    </row>
    <row r="687" spans="1:8" hidden="1" x14ac:dyDescent="0.35">
      <c r="A687" s="33">
        <v>686</v>
      </c>
      <c r="B687" s="34" t="s">
        <v>1041</v>
      </c>
      <c r="C687" s="33" t="s">
        <v>346</v>
      </c>
      <c r="D687" s="33" t="s">
        <v>50</v>
      </c>
      <c r="E687" s="33" t="s">
        <v>902</v>
      </c>
      <c r="F687" s="35">
        <v>0.5</v>
      </c>
      <c r="G687" s="40"/>
      <c r="H687" s="40"/>
    </row>
    <row r="688" spans="1:8" hidden="1" x14ac:dyDescent="0.35">
      <c r="A688" s="33">
        <v>687</v>
      </c>
      <c r="B688" s="34" t="s">
        <v>1042</v>
      </c>
      <c r="C688" s="33" t="s">
        <v>346</v>
      </c>
      <c r="D688" s="33" t="s">
        <v>50</v>
      </c>
      <c r="E688" s="33" t="s">
        <v>902</v>
      </c>
      <c r="F688" s="35">
        <v>0.2</v>
      </c>
      <c r="G688" s="40"/>
      <c r="H688" s="40"/>
    </row>
    <row r="689" spans="1:8" hidden="1" x14ac:dyDescent="0.35">
      <c r="A689" s="33">
        <v>688</v>
      </c>
      <c r="B689" s="34" t="s">
        <v>1043</v>
      </c>
      <c r="C689" s="33" t="s">
        <v>346</v>
      </c>
      <c r="D689" s="33" t="s">
        <v>50</v>
      </c>
      <c r="E689" s="33" t="s">
        <v>902</v>
      </c>
      <c r="F689" s="35">
        <v>7.2</v>
      </c>
      <c r="G689" s="40"/>
      <c r="H689" s="40"/>
    </row>
    <row r="690" spans="1:8" hidden="1" x14ac:dyDescent="0.35">
      <c r="A690" s="33">
        <v>689</v>
      </c>
      <c r="B690" s="34" t="s">
        <v>1044</v>
      </c>
      <c r="C690" s="33" t="s">
        <v>346</v>
      </c>
      <c r="D690" s="33" t="s">
        <v>50</v>
      </c>
      <c r="E690" s="33" t="s">
        <v>902</v>
      </c>
      <c r="F690" s="35">
        <v>7.2</v>
      </c>
      <c r="G690" s="40"/>
      <c r="H690" s="40"/>
    </row>
    <row r="691" spans="1:8" hidden="1" x14ac:dyDescent="0.35">
      <c r="A691" s="33">
        <v>690</v>
      </c>
      <c r="B691" s="34" t="s">
        <v>1045</v>
      </c>
      <c r="C691" s="33" t="s">
        <v>346</v>
      </c>
      <c r="D691" s="33" t="s">
        <v>50</v>
      </c>
      <c r="E691" s="33" t="s">
        <v>902</v>
      </c>
      <c r="F691" s="35">
        <v>0.5</v>
      </c>
      <c r="G691" s="40"/>
      <c r="H691" s="40"/>
    </row>
    <row r="692" spans="1:8" hidden="1" x14ac:dyDescent="0.35">
      <c r="A692" s="33">
        <v>691</v>
      </c>
      <c r="B692" s="34" t="s">
        <v>1046</v>
      </c>
      <c r="C692" s="33" t="s">
        <v>346</v>
      </c>
      <c r="D692" s="33" t="s">
        <v>50</v>
      </c>
      <c r="E692" s="33" t="s">
        <v>902</v>
      </c>
      <c r="F692" s="35">
        <v>12</v>
      </c>
      <c r="G692" s="40"/>
      <c r="H692" s="40"/>
    </row>
    <row r="693" spans="1:8" hidden="1" x14ac:dyDescent="0.35">
      <c r="A693" s="33">
        <v>692</v>
      </c>
      <c r="B693" s="34" t="s">
        <v>1047</v>
      </c>
      <c r="C693" s="33" t="s">
        <v>346</v>
      </c>
      <c r="D693" s="33" t="s">
        <v>50</v>
      </c>
      <c r="E693" s="33" t="s">
        <v>902</v>
      </c>
      <c r="F693" s="35">
        <v>12</v>
      </c>
      <c r="G693" s="40"/>
      <c r="H693" s="40"/>
    </row>
    <row r="694" spans="1:8" hidden="1" x14ac:dyDescent="0.35">
      <c r="A694" s="33">
        <v>693</v>
      </c>
      <c r="B694" s="34" t="s">
        <v>1048</v>
      </c>
      <c r="C694" s="33" t="s">
        <v>346</v>
      </c>
      <c r="D694" s="33" t="s">
        <v>50</v>
      </c>
      <c r="E694" s="33" t="s">
        <v>902</v>
      </c>
      <c r="F694" s="35">
        <v>0.2</v>
      </c>
      <c r="G694" s="40"/>
      <c r="H694" s="40"/>
    </row>
    <row r="695" spans="1:8" hidden="1" x14ac:dyDescent="0.35">
      <c r="A695" s="33">
        <v>694</v>
      </c>
      <c r="B695" s="34" t="s">
        <v>1049</v>
      </c>
      <c r="C695" s="33" t="s">
        <v>346</v>
      </c>
      <c r="D695" s="33" t="s">
        <v>50</v>
      </c>
      <c r="E695" s="33" t="s">
        <v>902</v>
      </c>
      <c r="F695" s="35">
        <v>0.25</v>
      </c>
      <c r="G695" s="40"/>
      <c r="H695" s="40"/>
    </row>
    <row r="696" spans="1:8" hidden="1" x14ac:dyDescent="0.35">
      <c r="A696" s="33">
        <v>695</v>
      </c>
      <c r="B696" s="34" t="s">
        <v>1050</v>
      </c>
      <c r="C696" s="33" t="s">
        <v>346</v>
      </c>
      <c r="D696" s="33" t="s">
        <v>50</v>
      </c>
      <c r="E696" s="33" t="s">
        <v>902</v>
      </c>
      <c r="F696" s="35">
        <v>0.3</v>
      </c>
      <c r="G696" s="40"/>
      <c r="H696" s="40"/>
    </row>
    <row r="697" spans="1:8" hidden="1" x14ac:dyDescent="0.35">
      <c r="A697" s="33">
        <v>696</v>
      </c>
      <c r="B697" s="34" t="s">
        <v>1051</v>
      </c>
      <c r="C697" s="33" t="s">
        <v>346</v>
      </c>
      <c r="D697" s="33" t="s">
        <v>50</v>
      </c>
      <c r="E697" s="33" t="s">
        <v>902</v>
      </c>
      <c r="F697" s="35">
        <v>0.5</v>
      </c>
      <c r="G697" s="40"/>
      <c r="H697" s="40"/>
    </row>
    <row r="698" spans="1:8" hidden="1" x14ac:dyDescent="0.35">
      <c r="A698" s="33">
        <v>697</v>
      </c>
      <c r="B698" s="34" t="s">
        <v>1052</v>
      </c>
      <c r="C698" s="33" t="s">
        <v>346</v>
      </c>
      <c r="D698" s="33" t="s">
        <v>50</v>
      </c>
      <c r="E698" s="33" t="s">
        <v>902</v>
      </c>
      <c r="F698" s="35">
        <v>0.48</v>
      </c>
      <c r="G698" s="40"/>
      <c r="H698" s="40"/>
    </row>
    <row r="699" spans="1:8" hidden="1" x14ac:dyDescent="0.35">
      <c r="A699" s="33">
        <v>698</v>
      </c>
      <c r="B699" s="34" t="s">
        <v>1053</v>
      </c>
      <c r="C699" s="33" t="s">
        <v>346</v>
      </c>
      <c r="D699" s="33" t="s">
        <v>50</v>
      </c>
      <c r="E699" s="33" t="s">
        <v>902</v>
      </c>
      <c r="F699" s="35">
        <v>1</v>
      </c>
      <c r="G699" s="40"/>
      <c r="H699" s="40"/>
    </row>
    <row r="700" spans="1:8" hidden="1" x14ac:dyDescent="0.35">
      <c r="A700" s="33">
        <v>699</v>
      </c>
      <c r="B700" s="34" t="s">
        <v>1054</v>
      </c>
      <c r="C700" s="33" t="s">
        <v>346</v>
      </c>
      <c r="D700" s="33" t="s">
        <v>50</v>
      </c>
      <c r="E700" s="33" t="s">
        <v>906</v>
      </c>
      <c r="F700" s="35">
        <v>0.5</v>
      </c>
      <c r="G700" s="40"/>
      <c r="H700" s="40"/>
    </row>
    <row r="701" spans="1:8" hidden="1" x14ac:dyDescent="0.35">
      <c r="A701" s="33">
        <v>700</v>
      </c>
      <c r="B701" s="34" t="s">
        <v>1055</v>
      </c>
      <c r="C701" s="33" t="s">
        <v>346</v>
      </c>
      <c r="D701" s="33" t="s">
        <v>50</v>
      </c>
      <c r="E701" s="33" t="s">
        <v>906</v>
      </c>
      <c r="F701" s="35">
        <v>0.4</v>
      </c>
      <c r="G701" s="40"/>
      <c r="H701" s="40"/>
    </row>
    <row r="702" spans="1:8" hidden="1" x14ac:dyDescent="0.35">
      <c r="A702" s="33">
        <v>701</v>
      </c>
      <c r="B702" s="34" t="s">
        <v>1056</v>
      </c>
      <c r="C702" s="33" t="s">
        <v>346</v>
      </c>
      <c r="D702" s="33" t="s">
        <v>50</v>
      </c>
      <c r="E702" s="33" t="s">
        <v>906</v>
      </c>
      <c r="F702" s="35">
        <v>0.5</v>
      </c>
      <c r="G702" s="40"/>
      <c r="H702" s="40"/>
    </row>
    <row r="703" spans="1:8" hidden="1" x14ac:dyDescent="0.35">
      <c r="A703" s="33">
        <v>702</v>
      </c>
      <c r="B703" s="34" t="s">
        <v>1057</v>
      </c>
      <c r="C703" s="33" t="s">
        <v>346</v>
      </c>
      <c r="D703" s="33" t="s">
        <v>50</v>
      </c>
      <c r="E703" s="33" t="s">
        <v>913</v>
      </c>
      <c r="F703" s="35">
        <v>0.5</v>
      </c>
      <c r="G703" s="40"/>
      <c r="H703" s="40"/>
    </row>
    <row r="704" spans="1:8" hidden="1" x14ac:dyDescent="0.35">
      <c r="A704" s="33">
        <v>703</v>
      </c>
      <c r="B704" s="34" t="s">
        <v>1058</v>
      </c>
      <c r="C704" s="33" t="s">
        <v>346</v>
      </c>
      <c r="D704" s="33" t="s">
        <v>50</v>
      </c>
      <c r="E704" s="33" t="s">
        <v>913</v>
      </c>
      <c r="F704" s="35">
        <v>0.25</v>
      </c>
      <c r="G704" s="40"/>
      <c r="H704" s="40"/>
    </row>
    <row r="705" spans="1:8" hidden="1" x14ac:dyDescent="0.35">
      <c r="A705" s="33">
        <v>704</v>
      </c>
      <c r="B705" s="34" t="s">
        <v>1059</v>
      </c>
      <c r="C705" s="33" t="s">
        <v>346</v>
      </c>
      <c r="D705" s="33" t="s">
        <v>50</v>
      </c>
      <c r="E705" s="33" t="s">
        <v>913</v>
      </c>
      <c r="F705" s="35">
        <v>0.5</v>
      </c>
      <c r="G705" s="40"/>
      <c r="H705" s="40"/>
    </row>
    <row r="706" spans="1:8" hidden="1" x14ac:dyDescent="0.35">
      <c r="A706" s="33">
        <v>705</v>
      </c>
      <c r="B706" s="34" t="s">
        <v>1060</v>
      </c>
      <c r="C706" s="33" t="s">
        <v>346</v>
      </c>
      <c r="D706" s="33" t="s">
        <v>50</v>
      </c>
      <c r="E706" s="33" t="s">
        <v>913</v>
      </c>
      <c r="F706" s="35">
        <v>0.5</v>
      </c>
      <c r="G706" s="40"/>
      <c r="H706" s="40"/>
    </row>
    <row r="707" spans="1:8" hidden="1" x14ac:dyDescent="0.35">
      <c r="A707" s="33">
        <v>706</v>
      </c>
      <c r="B707" s="34" t="s">
        <v>1061</v>
      </c>
      <c r="C707" s="33" t="s">
        <v>346</v>
      </c>
      <c r="D707" s="33" t="s">
        <v>50</v>
      </c>
      <c r="E707" s="33" t="s">
        <v>913</v>
      </c>
      <c r="F707" s="35">
        <v>1</v>
      </c>
      <c r="G707" s="40"/>
      <c r="H707" s="40"/>
    </row>
    <row r="708" spans="1:8" hidden="1" x14ac:dyDescent="0.35">
      <c r="A708" s="33">
        <v>707</v>
      </c>
      <c r="B708" s="34" t="s">
        <v>1062</v>
      </c>
      <c r="C708" s="33" t="s">
        <v>346</v>
      </c>
      <c r="D708" s="33" t="s">
        <v>50</v>
      </c>
      <c r="E708" s="33" t="s">
        <v>913</v>
      </c>
      <c r="F708" s="35">
        <v>0.35</v>
      </c>
      <c r="G708" s="40"/>
      <c r="H708" s="40"/>
    </row>
    <row r="709" spans="1:8" hidden="1" x14ac:dyDescent="0.35">
      <c r="A709" s="33">
        <v>708</v>
      </c>
      <c r="B709" s="34" t="s">
        <v>1063</v>
      </c>
      <c r="C709" s="33" t="s">
        <v>346</v>
      </c>
      <c r="D709" s="33" t="s">
        <v>50</v>
      </c>
      <c r="E709" s="33" t="s">
        <v>918</v>
      </c>
      <c r="F709" s="35">
        <v>0.5</v>
      </c>
      <c r="G709" s="40"/>
      <c r="H709" s="40"/>
    </row>
    <row r="710" spans="1:8" hidden="1" x14ac:dyDescent="0.35">
      <c r="A710" s="33">
        <v>709</v>
      </c>
      <c r="B710" s="34" t="s">
        <v>1064</v>
      </c>
      <c r="C710" s="33" t="s">
        <v>346</v>
      </c>
      <c r="D710" s="33" t="s">
        <v>50</v>
      </c>
      <c r="E710" s="33" t="s">
        <v>920</v>
      </c>
      <c r="F710" s="35">
        <v>0.3</v>
      </c>
      <c r="G710" s="40"/>
      <c r="H710" s="40"/>
    </row>
    <row r="711" spans="1:8" hidden="1" x14ac:dyDescent="0.35">
      <c r="A711" s="33">
        <v>710</v>
      </c>
      <c r="B711" s="34" t="s">
        <v>1065</v>
      </c>
      <c r="C711" s="33" t="s">
        <v>346</v>
      </c>
      <c r="D711" s="33" t="s">
        <v>50</v>
      </c>
      <c r="E711" s="33" t="s">
        <v>920</v>
      </c>
      <c r="F711" s="35">
        <v>0.25</v>
      </c>
      <c r="G711" s="40"/>
      <c r="H711" s="40"/>
    </row>
    <row r="712" spans="1:8" hidden="1" x14ac:dyDescent="0.35">
      <c r="A712" s="33">
        <v>711</v>
      </c>
      <c r="B712" s="34" t="s">
        <v>1066</v>
      </c>
      <c r="C712" s="33" t="s">
        <v>346</v>
      </c>
      <c r="D712" s="33" t="s">
        <v>50</v>
      </c>
      <c r="E712" s="33" t="s">
        <v>922</v>
      </c>
      <c r="F712" s="35">
        <v>0.3</v>
      </c>
      <c r="G712" s="40"/>
      <c r="H712" s="40"/>
    </row>
    <row r="713" spans="1:8" hidden="1" x14ac:dyDescent="0.35">
      <c r="A713" s="33">
        <v>712</v>
      </c>
      <c r="B713" s="34" t="s">
        <v>1067</v>
      </c>
      <c r="C713" s="33" t="s">
        <v>346</v>
      </c>
      <c r="D713" s="33" t="s">
        <v>50</v>
      </c>
      <c r="E713" s="33" t="s">
        <v>926</v>
      </c>
      <c r="F713" s="35">
        <v>0.5</v>
      </c>
      <c r="G713" s="40"/>
      <c r="H713" s="40"/>
    </row>
    <row r="714" spans="1:8" hidden="1" x14ac:dyDescent="0.35">
      <c r="A714" s="33">
        <v>713</v>
      </c>
      <c r="B714" s="34" t="s">
        <v>1068</v>
      </c>
      <c r="C714" s="33" t="s">
        <v>346</v>
      </c>
      <c r="D714" s="33" t="s">
        <v>50</v>
      </c>
      <c r="E714" s="33" t="s">
        <v>926</v>
      </c>
      <c r="F714" s="35">
        <v>0.8</v>
      </c>
      <c r="G714" s="40"/>
      <c r="H714" s="40"/>
    </row>
    <row r="715" spans="1:8" hidden="1" x14ac:dyDescent="0.35">
      <c r="A715" s="33">
        <v>714</v>
      </c>
      <c r="B715" s="34" t="s">
        <v>1069</v>
      </c>
      <c r="C715" s="33" t="s">
        <v>346</v>
      </c>
      <c r="D715" s="33" t="s">
        <v>50</v>
      </c>
      <c r="E715" s="33" t="s">
        <v>926</v>
      </c>
      <c r="F715" s="35">
        <v>0.25</v>
      </c>
      <c r="G715" s="40"/>
      <c r="H715" s="40"/>
    </row>
    <row r="716" spans="1:8" hidden="1" x14ac:dyDescent="0.35">
      <c r="A716" s="33">
        <v>715</v>
      </c>
      <c r="B716" s="34" t="s">
        <v>1070</v>
      </c>
      <c r="C716" s="33" t="s">
        <v>346</v>
      </c>
      <c r="D716" s="33" t="s">
        <v>50</v>
      </c>
      <c r="E716" s="33" t="s">
        <v>926</v>
      </c>
      <c r="F716" s="35">
        <v>0.5</v>
      </c>
      <c r="G716" s="40"/>
      <c r="H716" s="40"/>
    </row>
    <row r="717" spans="1:8" hidden="1" x14ac:dyDescent="0.35">
      <c r="A717" s="33">
        <v>716</v>
      </c>
      <c r="B717" s="34" t="s">
        <v>1071</v>
      </c>
      <c r="C717" s="33" t="s">
        <v>346</v>
      </c>
      <c r="D717" s="33" t="s">
        <v>50</v>
      </c>
      <c r="E717" s="33" t="s">
        <v>926</v>
      </c>
      <c r="F717" s="35">
        <v>0.3</v>
      </c>
      <c r="G717" s="40"/>
      <c r="H717" s="40"/>
    </row>
    <row r="718" spans="1:8" hidden="1" x14ac:dyDescent="0.35">
      <c r="A718" s="33">
        <v>717</v>
      </c>
      <c r="B718" s="34" t="s">
        <v>1072</v>
      </c>
      <c r="C718" s="33" t="s">
        <v>346</v>
      </c>
      <c r="D718" s="33" t="s">
        <v>50</v>
      </c>
      <c r="E718" s="33" t="s">
        <v>926</v>
      </c>
      <c r="F718" s="35">
        <v>0.25</v>
      </c>
      <c r="G718" s="40"/>
      <c r="H718" s="40"/>
    </row>
    <row r="719" spans="1:8" hidden="1" x14ac:dyDescent="0.35">
      <c r="A719" s="33">
        <v>718</v>
      </c>
      <c r="B719" s="34" t="s">
        <v>1073</v>
      </c>
      <c r="C719" s="33" t="s">
        <v>346</v>
      </c>
      <c r="D719" s="33" t="s">
        <v>50</v>
      </c>
      <c r="E719" s="33" t="s">
        <v>926</v>
      </c>
      <c r="F719" s="35">
        <v>0.5</v>
      </c>
      <c r="G719" s="40"/>
      <c r="H719" s="40"/>
    </row>
    <row r="720" spans="1:8" hidden="1" x14ac:dyDescent="0.35">
      <c r="A720" s="33">
        <v>719</v>
      </c>
      <c r="B720" s="34" t="s">
        <v>1074</v>
      </c>
      <c r="C720" s="33" t="s">
        <v>346</v>
      </c>
      <c r="D720" s="33" t="s">
        <v>50</v>
      </c>
      <c r="E720" s="33" t="s">
        <v>926</v>
      </c>
      <c r="F720" s="35">
        <v>0.8</v>
      </c>
      <c r="G720" s="40"/>
      <c r="H720" s="40"/>
    </row>
    <row r="721" spans="1:8" hidden="1" x14ac:dyDescent="0.35">
      <c r="A721" s="33">
        <v>720</v>
      </c>
      <c r="B721" s="34" t="s">
        <v>1075</v>
      </c>
      <c r="C721" s="33" t="s">
        <v>346</v>
      </c>
      <c r="D721" s="33" t="s">
        <v>50</v>
      </c>
      <c r="E721" s="33" t="s">
        <v>926</v>
      </c>
      <c r="F721" s="35">
        <v>0.25</v>
      </c>
      <c r="G721" s="40"/>
      <c r="H721" s="40"/>
    </row>
    <row r="722" spans="1:8" hidden="1" x14ac:dyDescent="0.35">
      <c r="A722" s="33">
        <v>721</v>
      </c>
      <c r="B722" s="34" t="s">
        <v>1076</v>
      </c>
      <c r="C722" s="33" t="s">
        <v>346</v>
      </c>
      <c r="D722" s="33" t="s">
        <v>50</v>
      </c>
      <c r="E722" s="33" t="s">
        <v>926</v>
      </c>
      <c r="F722" s="35">
        <v>0.4</v>
      </c>
      <c r="G722" s="40"/>
      <c r="H722" s="40"/>
    </row>
    <row r="723" spans="1:8" hidden="1" x14ac:dyDescent="0.35">
      <c r="A723" s="33">
        <v>722</v>
      </c>
      <c r="B723" s="34" t="s">
        <v>1077</v>
      </c>
      <c r="C723" s="33" t="s">
        <v>346</v>
      </c>
      <c r="D723" s="33" t="s">
        <v>50</v>
      </c>
      <c r="E723" s="33" t="s">
        <v>926</v>
      </c>
      <c r="F723" s="35">
        <v>0.42</v>
      </c>
      <c r="G723" s="40"/>
      <c r="H723" s="40"/>
    </row>
    <row r="724" spans="1:8" hidden="1" x14ac:dyDescent="0.35">
      <c r="A724" s="33">
        <v>723</v>
      </c>
      <c r="B724" s="34" t="s">
        <v>1078</v>
      </c>
      <c r="C724" s="33" t="s">
        <v>346</v>
      </c>
      <c r="D724" s="33" t="s">
        <v>50</v>
      </c>
      <c r="E724" s="33" t="s">
        <v>926</v>
      </c>
      <c r="F724" s="35">
        <v>0.33</v>
      </c>
      <c r="G724" s="40"/>
      <c r="H724" s="40"/>
    </row>
    <row r="725" spans="1:8" hidden="1" x14ac:dyDescent="0.35">
      <c r="A725" s="33">
        <v>724</v>
      </c>
      <c r="B725" s="34" t="s">
        <v>1079</v>
      </c>
      <c r="C725" s="33" t="s">
        <v>346</v>
      </c>
      <c r="D725" s="33" t="s">
        <v>50</v>
      </c>
      <c r="E725" s="33" t="s">
        <v>929</v>
      </c>
      <c r="F725" s="35">
        <v>1</v>
      </c>
      <c r="G725" s="40"/>
      <c r="H725" s="40"/>
    </row>
    <row r="726" spans="1:8" hidden="1" x14ac:dyDescent="0.35">
      <c r="A726" s="33">
        <v>725</v>
      </c>
      <c r="B726" s="34" t="s">
        <v>1080</v>
      </c>
      <c r="C726" s="33" t="s">
        <v>346</v>
      </c>
      <c r="D726" s="33" t="s">
        <v>50</v>
      </c>
      <c r="E726" s="33" t="s">
        <v>929</v>
      </c>
      <c r="F726" s="35">
        <v>0.5</v>
      </c>
      <c r="G726" s="40"/>
      <c r="H726" s="40"/>
    </row>
    <row r="727" spans="1:8" hidden="1" x14ac:dyDescent="0.35">
      <c r="A727" s="33">
        <v>726</v>
      </c>
      <c r="B727" s="34" t="s">
        <v>1081</v>
      </c>
      <c r="C727" s="33" t="s">
        <v>346</v>
      </c>
      <c r="D727" s="33" t="s">
        <v>50</v>
      </c>
      <c r="E727" s="33" t="s">
        <v>933</v>
      </c>
      <c r="F727" s="35">
        <v>1</v>
      </c>
      <c r="G727" s="40"/>
      <c r="H727" s="40"/>
    </row>
    <row r="728" spans="1:8" hidden="1" x14ac:dyDescent="0.35">
      <c r="A728" s="33">
        <v>727</v>
      </c>
      <c r="B728" s="34" t="s">
        <v>1082</v>
      </c>
      <c r="C728" s="33" t="s">
        <v>346</v>
      </c>
      <c r="D728" s="33" t="s">
        <v>50</v>
      </c>
      <c r="E728" s="33" t="s">
        <v>933</v>
      </c>
      <c r="F728" s="35">
        <v>1</v>
      </c>
      <c r="G728" s="40"/>
      <c r="H728" s="40"/>
    </row>
    <row r="729" spans="1:8" hidden="1" x14ac:dyDescent="0.35">
      <c r="A729" s="33">
        <v>728</v>
      </c>
      <c r="B729" s="34" t="s">
        <v>1083</v>
      </c>
      <c r="C729" s="33" t="s">
        <v>346</v>
      </c>
      <c r="D729" s="33" t="s">
        <v>50</v>
      </c>
      <c r="E729" s="33" t="s">
        <v>933</v>
      </c>
      <c r="F729" s="35">
        <v>0.5</v>
      </c>
      <c r="G729" s="40"/>
      <c r="H729" s="40"/>
    </row>
    <row r="730" spans="1:8" hidden="1" x14ac:dyDescent="0.35">
      <c r="A730" s="33">
        <v>729</v>
      </c>
      <c r="B730" s="34" t="s">
        <v>1084</v>
      </c>
      <c r="C730" s="33" t="s">
        <v>346</v>
      </c>
      <c r="D730" s="33" t="s">
        <v>50</v>
      </c>
      <c r="E730" s="33" t="s">
        <v>933</v>
      </c>
      <c r="F730" s="35">
        <v>0.5</v>
      </c>
      <c r="G730" s="40"/>
      <c r="H730" s="40"/>
    </row>
    <row r="731" spans="1:8" hidden="1" x14ac:dyDescent="0.35">
      <c r="A731" s="33">
        <v>730</v>
      </c>
      <c r="B731" s="34" t="s">
        <v>1085</v>
      </c>
      <c r="C731" s="33" t="s">
        <v>346</v>
      </c>
      <c r="D731" s="33" t="s">
        <v>50</v>
      </c>
      <c r="E731" s="33" t="s">
        <v>936</v>
      </c>
      <c r="F731" s="35">
        <v>1.08</v>
      </c>
      <c r="G731" s="40"/>
      <c r="H731" s="40"/>
    </row>
    <row r="732" spans="1:8" hidden="1" x14ac:dyDescent="0.35">
      <c r="A732" s="33">
        <v>731</v>
      </c>
      <c r="B732" s="34" t="s">
        <v>1086</v>
      </c>
      <c r="C732" s="33" t="s">
        <v>346</v>
      </c>
      <c r="D732" s="33" t="s">
        <v>50</v>
      </c>
      <c r="E732" s="33" t="s">
        <v>936</v>
      </c>
      <c r="F732" s="35">
        <v>1</v>
      </c>
      <c r="G732" s="40"/>
      <c r="H732" s="40"/>
    </row>
    <row r="733" spans="1:8" hidden="1" x14ac:dyDescent="0.35">
      <c r="A733" s="33">
        <v>732</v>
      </c>
      <c r="B733" s="34" t="s">
        <v>1087</v>
      </c>
      <c r="C733" s="33" t="s">
        <v>346</v>
      </c>
      <c r="D733" s="33" t="s">
        <v>50</v>
      </c>
      <c r="E733" s="33" t="s">
        <v>936</v>
      </c>
      <c r="F733" s="35">
        <v>1</v>
      </c>
      <c r="G733" s="40"/>
      <c r="H733" s="40"/>
    </row>
    <row r="734" spans="1:8" hidden="1" x14ac:dyDescent="0.35">
      <c r="A734" s="33">
        <v>733</v>
      </c>
      <c r="B734" s="34" t="s">
        <v>1088</v>
      </c>
      <c r="C734" s="33" t="s">
        <v>346</v>
      </c>
      <c r="D734" s="33" t="s">
        <v>50</v>
      </c>
      <c r="E734" s="33" t="s">
        <v>936</v>
      </c>
      <c r="F734" s="35">
        <v>1</v>
      </c>
      <c r="G734" s="40"/>
      <c r="H734" s="40"/>
    </row>
    <row r="735" spans="1:8" hidden="1" x14ac:dyDescent="0.35">
      <c r="A735" s="33">
        <v>734</v>
      </c>
      <c r="B735" s="34" t="s">
        <v>1089</v>
      </c>
      <c r="C735" s="33" t="s">
        <v>346</v>
      </c>
      <c r="D735" s="33" t="s">
        <v>50</v>
      </c>
      <c r="E735" s="33" t="s">
        <v>936</v>
      </c>
      <c r="F735" s="35">
        <v>1</v>
      </c>
      <c r="G735" s="40"/>
      <c r="H735" s="40"/>
    </row>
    <row r="736" spans="1:8" hidden="1" x14ac:dyDescent="0.35">
      <c r="A736" s="33">
        <v>735</v>
      </c>
      <c r="B736" s="34" t="s">
        <v>1090</v>
      </c>
      <c r="C736" s="33" t="s">
        <v>346</v>
      </c>
      <c r="D736" s="33" t="s">
        <v>50</v>
      </c>
      <c r="E736" s="33" t="s">
        <v>936</v>
      </c>
      <c r="F736" s="35">
        <v>3.3000000000000002E-2</v>
      </c>
      <c r="G736" s="40"/>
      <c r="H736" s="40"/>
    </row>
    <row r="737" spans="1:8" hidden="1" x14ac:dyDescent="0.35">
      <c r="A737" s="33">
        <v>736</v>
      </c>
      <c r="B737" s="34" t="s">
        <v>1091</v>
      </c>
      <c r="C737" s="33" t="s">
        <v>346</v>
      </c>
      <c r="D737" s="33" t="s">
        <v>50</v>
      </c>
      <c r="E737" s="33" t="s">
        <v>936</v>
      </c>
      <c r="F737" s="35">
        <v>3.3000000000000002E-2</v>
      </c>
      <c r="G737" s="40"/>
      <c r="H737" s="40"/>
    </row>
    <row r="738" spans="1:8" hidden="1" x14ac:dyDescent="0.35">
      <c r="A738" s="33">
        <v>737</v>
      </c>
      <c r="B738" s="34" t="s">
        <v>1092</v>
      </c>
      <c r="C738" s="33" t="s">
        <v>346</v>
      </c>
      <c r="D738" s="33" t="s">
        <v>50</v>
      </c>
      <c r="E738" s="33" t="s">
        <v>936</v>
      </c>
      <c r="F738" s="35">
        <v>3.3000000000000002E-2</v>
      </c>
      <c r="G738" s="40"/>
      <c r="H738" s="40"/>
    </row>
    <row r="739" spans="1:8" hidden="1" x14ac:dyDescent="0.35">
      <c r="A739" s="33">
        <v>738</v>
      </c>
      <c r="B739" s="34" t="s">
        <v>1093</v>
      </c>
      <c r="C739" s="33" t="s">
        <v>346</v>
      </c>
      <c r="D739" s="33" t="s">
        <v>50</v>
      </c>
      <c r="E739" s="33" t="s">
        <v>936</v>
      </c>
      <c r="F739" s="35">
        <v>3.3000000000000002E-2</v>
      </c>
      <c r="G739" s="40"/>
      <c r="H739" s="40"/>
    </row>
    <row r="740" spans="1:8" hidden="1" x14ac:dyDescent="0.35">
      <c r="A740" s="33">
        <v>739</v>
      </c>
      <c r="B740" s="34" t="s">
        <v>1094</v>
      </c>
      <c r="C740" s="33" t="s">
        <v>346</v>
      </c>
      <c r="D740" s="33" t="s">
        <v>50</v>
      </c>
      <c r="E740" s="33" t="s">
        <v>936</v>
      </c>
      <c r="F740" s="35">
        <v>3.3000000000000002E-2</v>
      </c>
      <c r="G740" s="40"/>
      <c r="H740" s="40"/>
    </row>
    <row r="741" spans="1:8" hidden="1" x14ac:dyDescent="0.35">
      <c r="A741" s="33">
        <v>740</v>
      </c>
      <c r="B741" s="34" t="s">
        <v>1095</v>
      </c>
      <c r="C741" s="33" t="s">
        <v>346</v>
      </c>
      <c r="D741" s="33" t="s">
        <v>50</v>
      </c>
      <c r="E741" s="33" t="s">
        <v>936</v>
      </c>
      <c r="F741" s="35">
        <v>3.3000000000000002E-2</v>
      </c>
      <c r="G741" s="40"/>
      <c r="H741" s="40"/>
    </row>
    <row r="742" spans="1:8" hidden="1" x14ac:dyDescent="0.35">
      <c r="A742" s="33">
        <v>741</v>
      </c>
      <c r="B742" s="34" t="s">
        <v>1096</v>
      </c>
      <c r="C742" s="33" t="s">
        <v>346</v>
      </c>
      <c r="D742" s="33" t="s">
        <v>50</v>
      </c>
      <c r="E742" s="33" t="s">
        <v>936</v>
      </c>
      <c r="F742" s="35">
        <v>3.3000000000000002E-2</v>
      </c>
      <c r="G742" s="40"/>
      <c r="H742" s="40"/>
    </row>
    <row r="743" spans="1:8" hidden="1" x14ac:dyDescent="0.35">
      <c r="A743" s="33">
        <v>742</v>
      </c>
      <c r="B743" s="34" t="s">
        <v>1097</v>
      </c>
      <c r="C743" s="33" t="s">
        <v>346</v>
      </c>
      <c r="D743" s="33" t="s">
        <v>50</v>
      </c>
      <c r="E743" s="33" t="s">
        <v>936</v>
      </c>
      <c r="F743" s="35">
        <v>3.3000000000000002E-2</v>
      </c>
      <c r="G743" s="40"/>
      <c r="H743" s="40"/>
    </row>
    <row r="744" spans="1:8" hidden="1" x14ac:dyDescent="0.35">
      <c r="A744" s="33">
        <v>743</v>
      </c>
      <c r="B744" s="34" t="s">
        <v>1098</v>
      </c>
      <c r="C744" s="33" t="s">
        <v>346</v>
      </c>
      <c r="D744" s="33" t="s">
        <v>50</v>
      </c>
      <c r="E744" s="33" t="s">
        <v>940</v>
      </c>
      <c r="F744" s="35">
        <v>0.2</v>
      </c>
      <c r="G744" s="40"/>
      <c r="H744" s="40"/>
    </row>
    <row r="745" spans="1:8" hidden="1" x14ac:dyDescent="0.35">
      <c r="A745" s="33">
        <v>744</v>
      </c>
      <c r="B745" s="34" t="s">
        <v>1099</v>
      </c>
      <c r="C745" s="33" t="s">
        <v>346</v>
      </c>
      <c r="D745" s="33" t="s">
        <v>50</v>
      </c>
      <c r="E745" s="33" t="s">
        <v>940</v>
      </c>
      <c r="F745" s="35">
        <v>0.2</v>
      </c>
      <c r="G745" s="40"/>
      <c r="H745" s="40"/>
    </row>
    <row r="746" spans="1:8" hidden="1" x14ac:dyDescent="0.35">
      <c r="A746" s="33">
        <v>745</v>
      </c>
      <c r="B746" s="34" t="s">
        <v>1100</v>
      </c>
      <c r="C746" s="33" t="s">
        <v>346</v>
      </c>
      <c r="D746" s="33" t="s">
        <v>50</v>
      </c>
      <c r="E746" s="33" t="s">
        <v>940</v>
      </c>
      <c r="F746" s="35">
        <v>1</v>
      </c>
      <c r="G746" s="40"/>
      <c r="H746" s="40"/>
    </row>
    <row r="747" spans="1:8" hidden="1" x14ac:dyDescent="0.35">
      <c r="A747" s="33">
        <v>746</v>
      </c>
      <c r="B747" s="34" t="s">
        <v>1101</v>
      </c>
      <c r="C747" s="33" t="s">
        <v>346</v>
      </c>
      <c r="D747" s="33" t="s">
        <v>50</v>
      </c>
      <c r="E747" s="33" t="s">
        <v>940</v>
      </c>
      <c r="F747" s="35">
        <v>0.5</v>
      </c>
      <c r="G747" s="40"/>
      <c r="H747" s="40"/>
    </row>
    <row r="748" spans="1:8" hidden="1" x14ac:dyDescent="0.35">
      <c r="A748" s="33">
        <v>747</v>
      </c>
      <c r="B748" s="34" t="s">
        <v>1102</v>
      </c>
      <c r="C748" s="33" t="s">
        <v>346</v>
      </c>
      <c r="D748" s="33" t="s">
        <v>50</v>
      </c>
      <c r="E748" s="33" t="s">
        <v>940</v>
      </c>
      <c r="F748" s="35">
        <v>0.25</v>
      </c>
      <c r="G748" s="40"/>
      <c r="H748" s="40"/>
    </row>
    <row r="749" spans="1:8" hidden="1" x14ac:dyDescent="0.35">
      <c r="A749" s="33">
        <v>748</v>
      </c>
      <c r="B749" s="34" t="s">
        <v>1103</v>
      </c>
      <c r="C749" s="33" t="s">
        <v>346</v>
      </c>
      <c r="D749" s="33" t="s">
        <v>50</v>
      </c>
      <c r="E749" s="33" t="s">
        <v>942</v>
      </c>
      <c r="F749" s="35">
        <v>1</v>
      </c>
      <c r="G749" s="40"/>
      <c r="H749" s="40"/>
    </row>
    <row r="750" spans="1:8" hidden="1" x14ac:dyDescent="0.35">
      <c r="A750" s="33">
        <v>749</v>
      </c>
      <c r="B750" s="34" t="s">
        <v>1104</v>
      </c>
      <c r="C750" s="33" t="s">
        <v>346</v>
      </c>
      <c r="D750" s="33" t="s">
        <v>50</v>
      </c>
      <c r="E750" s="33" t="s">
        <v>942</v>
      </c>
      <c r="F750" s="35">
        <v>0.5</v>
      </c>
      <c r="G750" s="40"/>
      <c r="H750" s="40"/>
    </row>
    <row r="751" spans="1:8" hidden="1" x14ac:dyDescent="0.35">
      <c r="A751" s="33">
        <v>750</v>
      </c>
      <c r="B751" s="34" t="s">
        <v>1105</v>
      </c>
      <c r="C751" s="33" t="s">
        <v>346</v>
      </c>
      <c r="D751" s="33" t="s">
        <v>50</v>
      </c>
      <c r="E751" s="33" t="s">
        <v>1106</v>
      </c>
      <c r="F751" s="35">
        <v>0.6</v>
      </c>
      <c r="G751" s="40"/>
      <c r="H751" s="40"/>
    </row>
    <row r="752" spans="1:8" hidden="1" x14ac:dyDescent="0.35">
      <c r="A752" s="33">
        <v>751</v>
      </c>
      <c r="B752" s="34" t="s">
        <v>1107</v>
      </c>
      <c r="C752" s="33" t="s">
        <v>346</v>
      </c>
      <c r="D752" s="33" t="s">
        <v>50</v>
      </c>
      <c r="E752" s="33" t="s">
        <v>1106</v>
      </c>
      <c r="F752" s="35">
        <v>0.4</v>
      </c>
      <c r="G752" s="40"/>
      <c r="H752" s="40"/>
    </row>
    <row r="753" spans="1:8" hidden="1" x14ac:dyDescent="0.35">
      <c r="A753" s="33">
        <v>752</v>
      </c>
      <c r="B753" s="34" t="s">
        <v>1108</v>
      </c>
      <c r="C753" s="33" t="s">
        <v>346</v>
      </c>
      <c r="D753" s="33" t="s">
        <v>50</v>
      </c>
      <c r="E753" s="33" t="s">
        <v>1106</v>
      </c>
      <c r="F753" s="35">
        <v>0.5</v>
      </c>
      <c r="G753" s="40"/>
      <c r="H753" s="40"/>
    </row>
    <row r="754" spans="1:8" hidden="1" x14ac:dyDescent="0.35">
      <c r="A754" s="33">
        <v>753</v>
      </c>
      <c r="B754" s="34" t="s">
        <v>1109</v>
      </c>
      <c r="C754" s="33" t="s">
        <v>346</v>
      </c>
      <c r="D754" s="33" t="s">
        <v>50</v>
      </c>
      <c r="E754" s="33" t="s">
        <v>1106</v>
      </c>
      <c r="F754" s="35">
        <v>0.5</v>
      </c>
      <c r="G754" s="40"/>
      <c r="H754" s="40"/>
    </row>
    <row r="755" spans="1:8" hidden="1" x14ac:dyDescent="0.35">
      <c r="A755" s="33">
        <v>754</v>
      </c>
      <c r="B755" s="34" t="s">
        <v>1110</v>
      </c>
      <c r="C755" s="33" t="s">
        <v>346</v>
      </c>
      <c r="D755" s="33" t="s">
        <v>50</v>
      </c>
      <c r="E755" s="33" t="s">
        <v>1106</v>
      </c>
      <c r="F755" s="35">
        <v>0.25</v>
      </c>
      <c r="G755" s="40"/>
      <c r="H755" s="40"/>
    </row>
    <row r="756" spans="1:8" hidden="1" x14ac:dyDescent="0.35">
      <c r="A756" s="33">
        <v>755</v>
      </c>
      <c r="B756" s="34" t="s">
        <v>1111</v>
      </c>
      <c r="C756" s="33" t="s">
        <v>346</v>
      </c>
      <c r="D756" s="33" t="s">
        <v>50</v>
      </c>
      <c r="E756" s="33" t="s">
        <v>1106</v>
      </c>
      <c r="F756" s="35">
        <v>0.25</v>
      </c>
      <c r="G756" s="40"/>
      <c r="H756" s="40"/>
    </row>
    <row r="757" spans="1:8" hidden="1" x14ac:dyDescent="0.35">
      <c r="A757" s="33">
        <v>756</v>
      </c>
      <c r="B757" s="34" t="s">
        <v>1112</v>
      </c>
      <c r="C757" s="33" t="s">
        <v>346</v>
      </c>
      <c r="D757" s="33" t="s">
        <v>50</v>
      </c>
      <c r="E757" s="33" t="s">
        <v>1106</v>
      </c>
      <c r="F757" s="35">
        <v>1</v>
      </c>
      <c r="G757" s="40"/>
      <c r="H757" s="40"/>
    </row>
    <row r="758" spans="1:8" hidden="1" x14ac:dyDescent="0.35">
      <c r="A758" s="33">
        <v>757</v>
      </c>
      <c r="B758" s="34" t="s">
        <v>1113</v>
      </c>
      <c r="C758" s="33" t="s">
        <v>346</v>
      </c>
      <c r="D758" s="33" t="s">
        <v>50</v>
      </c>
      <c r="E758" s="33" t="s">
        <v>949</v>
      </c>
      <c r="F758" s="35">
        <v>0.25</v>
      </c>
      <c r="G758" s="40"/>
      <c r="H758" s="40"/>
    </row>
    <row r="759" spans="1:8" hidden="1" x14ac:dyDescent="0.35">
      <c r="A759" s="33">
        <v>758</v>
      </c>
      <c r="B759" s="34" t="s">
        <v>1114</v>
      </c>
      <c r="C759" s="33" t="s">
        <v>346</v>
      </c>
      <c r="D759" s="33" t="s">
        <v>50</v>
      </c>
      <c r="E759" s="33" t="s">
        <v>949</v>
      </c>
      <c r="F759" s="35">
        <v>0.2</v>
      </c>
      <c r="G759" s="40"/>
      <c r="H759" s="40"/>
    </row>
    <row r="760" spans="1:8" hidden="1" x14ac:dyDescent="0.35">
      <c r="A760" s="33">
        <v>759</v>
      </c>
      <c r="B760" s="34" t="s">
        <v>1115</v>
      </c>
      <c r="C760" s="33" t="s">
        <v>346</v>
      </c>
      <c r="D760" s="33" t="s">
        <v>50</v>
      </c>
      <c r="E760" s="33" t="s">
        <v>949</v>
      </c>
      <c r="F760" s="35">
        <v>0.25</v>
      </c>
      <c r="G760" s="40"/>
      <c r="H760" s="40"/>
    </row>
    <row r="761" spans="1:8" hidden="1" x14ac:dyDescent="0.35">
      <c r="A761" s="33">
        <v>760</v>
      </c>
      <c r="B761" s="34" t="s">
        <v>1116</v>
      </c>
      <c r="C761" s="33" t="s">
        <v>346</v>
      </c>
      <c r="D761" s="33" t="s">
        <v>50</v>
      </c>
      <c r="E761" s="33" t="s">
        <v>949</v>
      </c>
      <c r="F761" s="35">
        <v>0.5</v>
      </c>
      <c r="G761" s="40"/>
      <c r="H761" s="40"/>
    </row>
    <row r="762" spans="1:8" hidden="1" x14ac:dyDescent="0.35">
      <c r="A762" s="33">
        <v>761</v>
      </c>
      <c r="B762" s="34" t="s">
        <v>1117</v>
      </c>
      <c r="C762" s="33" t="s">
        <v>346</v>
      </c>
      <c r="D762" s="33" t="s">
        <v>50</v>
      </c>
      <c r="E762" s="33" t="s">
        <v>953</v>
      </c>
      <c r="F762" s="35">
        <v>0.4</v>
      </c>
      <c r="G762" s="40"/>
      <c r="H762" s="40"/>
    </row>
    <row r="763" spans="1:8" hidden="1" x14ac:dyDescent="0.35">
      <c r="A763" s="33">
        <v>762</v>
      </c>
      <c r="B763" s="34" t="s">
        <v>1118</v>
      </c>
      <c r="C763" s="33" t="s">
        <v>346</v>
      </c>
      <c r="D763" s="33" t="s">
        <v>50</v>
      </c>
      <c r="E763" s="33" t="s">
        <v>953</v>
      </c>
      <c r="F763" s="35">
        <v>0.4</v>
      </c>
      <c r="G763" s="40"/>
      <c r="H763" s="40"/>
    </row>
    <row r="764" spans="1:8" hidden="1" x14ac:dyDescent="0.35">
      <c r="A764" s="33">
        <v>763</v>
      </c>
      <c r="B764" s="34" t="s">
        <v>1119</v>
      </c>
      <c r="C764" s="33" t="s">
        <v>346</v>
      </c>
      <c r="D764" s="33" t="s">
        <v>50</v>
      </c>
      <c r="E764" s="33" t="s">
        <v>953</v>
      </c>
      <c r="F764" s="35">
        <v>0.5</v>
      </c>
      <c r="G764" s="40"/>
      <c r="H764" s="40"/>
    </row>
    <row r="765" spans="1:8" hidden="1" x14ac:dyDescent="0.35">
      <c r="A765" s="33">
        <v>764</v>
      </c>
      <c r="B765" s="34" t="s">
        <v>1120</v>
      </c>
      <c r="C765" s="33" t="s">
        <v>346</v>
      </c>
      <c r="D765" s="33" t="s">
        <v>50</v>
      </c>
      <c r="E765" s="33" t="s">
        <v>953</v>
      </c>
      <c r="F765" s="35">
        <v>0.5</v>
      </c>
      <c r="G765" s="40"/>
      <c r="H765" s="40"/>
    </row>
    <row r="766" spans="1:8" hidden="1" x14ac:dyDescent="0.35">
      <c r="A766" s="33">
        <v>765</v>
      </c>
      <c r="B766" s="34" t="s">
        <v>1121</v>
      </c>
      <c r="C766" s="33" t="s">
        <v>346</v>
      </c>
      <c r="D766" s="33" t="s">
        <v>50</v>
      </c>
      <c r="E766" s="33" t="s">
        <v>953</v>
      </c>
      <c r="F766" s="35">
        <v>0.25</v>
      </c>
      <c r="G766" s="40"/>
      <c r="H766" s="40"/>
    </row>
    <row r="767" spans="1:8" hidden="1" x14ac:dyDescent="0.35">
      <c r="A767" s="33">
        <v>766</v>
      </c>
      <c r="B767" s="34" t="s">
        <v>1122</v>
      </c>
      <c r="C767" s="33" t="s">
        <v>346</v>
      </c>
      <c r="D767" s="33" t="s">
        <v>50</v>
      </c>
      <c r="E767" s="33" t="s">
        <v>953</v>
      </c>
      <c r="F767" s="35">
        <v>0.5</v>
      </c>
      <c r="G767" s="40"/>
      <c r="H767" s="40"/>
    </row>
    <row r="768" spans="1:8" hidden="1" x14ac:dyDescent="0.35">
      <c r="A768" s="33">
        <v>767</v>
      </c>
      <c r="B768" s="34" t="s">
        <v>1123</v>
      </c>
      <c r="C768" s="33" t="s">
        <v>346</v>
      </c>
      <c r="D768" s="33" t="s">
        <v>50</v>
      </c>
      <c r="E768" s="33" t="s">
        <v>953</v>
      </c>
      <c r="F768" s="35">
        <v>0.3</v>
      </c>
      <c r="G768" s="40"/>
      <c r="H768" s="40"/>
    </row>
    <row r="769" spans="1:9" hidden="1" x14ac:dyDescent="0.35">
      <c r="A769" s="33">
        <v>768</v>
      </c>
      <c r="B769" s="34" t="s">
        <v>1124</v>
      </c>
      <c r="C769" s="33" t="s">
        <v>346</v>
      </c>
      <c r="D769" s="33" t="s">
        <v>50</v>
      </c>
      <c r="E769" s="33" t="s">
        <v>953</v>
      </c>
      <c r="F769" s="35">
        <v>0.5</v>
      </c>
      <c r="G769" s="40"/>
      <c r="H769" s="40"/>
    </row>
    <row r="770" spans="1:9" hidden="1" x14ac:dyDescent="0.35">
      <c r="A770" s="33">
        <v>769</v>
      </c>
      <c r="B770" s="34" t="s">
        <v>1125</v>
      </c>
      <c r="C770" s="33" t="s">
        <v>346</v>
      </c>
      <c r="D770" s="33" t="s">
        <v>50</v>
      </c>
      <c r="E770" s="33" t="s">
        <v>953</v>
      </c>
      <c r="F770" s="35">
        <v>0.25</v>
      </c>
      <c r="G770" s="40"/>
      <c r="H770" s="40"/>
    </row>
    <row r="771" spans="1:9" hidden="1" x14ac:dyDescent="0.35">
      <c r="A771" s="33">
        <v>770</v>
      </c>
      <c r="B771" s="34" t="s">
        <v>1126</v>
      </c>
      <c r="C771" s="33" t="s">
        <v>346</v>
      </c>
      <c r="D771" s="33" t="s">
        <v>50</v>
      </c>
      <c r="E771" s="33" t="s">
        <v>953</v>
      </c>
      <c r="F771" s="35">
        <v>5</v>
      </c>
      <c r="G771" s="40"/>
      <c r="H771" s="40"/>
    </row>
    <row r="772" spans="1:9" hidden="1" x14ac:dyDescent="0.35">
      <c r="A772" s="33">
        <v>771</v>
      </c>
      <c r="B772" s="34" t="s">
        <v>1127</v>
      </c>
      <c r="C772" s="33" t="s">
        <v>346</v>
      </c>
      <c r="D772" s="33" t="s">
        <v>50</v>
      </c>
      <c r="E772" s="33" t="s">
        <v>953</v>
      </c>
      <c r="F772" s="35">
        <v>1.4999999999999999E-2</v>
      </c>
      <c r="G772" s="40"/>
      <c r="H772" s="40"/>
    </row>
    <row r="773" spans="1:9" hidden="1" x14ac:dyDescent="0.35">
      <c r="A773" s="33">
        <v>772</v>
      </c>
      <c r="B773" s="34" t="s">
        <v>1128</v>
      </c>
      <c r="C773" s="33" t="s">
        <v>346</v>
      </c>
      <c r="D773" s="33" t="s">
        <v>50</v>
      </c>
      <c r="E773" s="33" t="s">
        <v>953</v>
      </c>
      <c r="F773" s="35">
        <v>0.25</v>
      </c>
      <c r="G773" s="40"/>
      <c r="H773" s="40"/>
    </row>
    <row r="774" spans="1:9" hidden="1" x14ac:dyDescent="0.35">
      <c r="A774" s="33">
        <v>773</v>
      </c>
      <c r="B774" s="34" t="s">
        <v>1129</v>
      </c>
      <c r="C774" s="33" t="s">
        <v>346</v>
      </c>
      <c r="D774" s="33" t="s">
        <v>50</v>
      </c>
      <c r="E774" s="33" t="s">
        <v>953</v>
      </c>
      <c r="F774" s="35">
        <v>0.48</v>
      </c>
      <c r="G774" s="40"/>
      <c r="H774" s="40"/>
    </row>
    <row r="775" spans="1:9" hidden="1" x14ac:dyDescent="0.35">
      <c r="A775" s="33">
        <v>774</v>
      </c>
      <c r="B775" s="34" t="s">
        <v>1130</v>
      </c>
      <c r="C775" s="33" t="s">
        <v>346</v>
      </c>
      <c r="D775" s="33" t="s">
        <v>50</v>
      </c>
      <c r="E775" s="33" t="s">
        <v>958</v>
      </c>
      <c r="F775" s="35">
        <v>1</v>
      </c>
      <c r="G775" s="40"/>
      <c r="H775" s="40"/>
    </row>
    <row r="776" spans="1:9" hidden="1" x14ac:dyDescent="0.35">
      <c r="A776" s="33">
        <v>775</v>
      </c>
      <c r="B776" s="34" t="s">
        <v>1131</v>
      </c>
      <c r="C776" s="33" t="s">
        <v>346</v>
      </c>
      <c r="D776" s="33" t="s">
        <v>50</v>
      </c>
      <c r="E776" s="33" t="s">
        <v>958</v>
      </c>
      <c r="F776" s="35">
        <v>0.5</v>
      </c>
      <c r="G776" s="40"/>
      <c r="H776" s="40"/>
    </row>
    <row r="777" spans="1:9" hidden="1" x14ac:dyDescent="0.35">
      <c r="A777" s="33">
        <v>776</v>
      </c>
      <c r="B777" s="34" t="s">
        <v>1132</v>
      </c>
      <c r="C777" s="33" t="s">
        <v>346</v>
      </c>
      <c r="D777" s="33" t="s">
        <v>50</v>
      </c>
      <c r="E777" s="33" t="s">
        <v>958</v>
      </c>
      <c r="F777" s="35">
        <v>1</v>
      </c>
      <c r="G777" s="40"/>
      <c r="H777" s="40"/>
    </row>
    <row r="778" spans="1:9" hidden="1" x14ac:dyDescent="0.35">
      <c r="A778" s="33">
        <v>777</v>
      </c>
      <c r="B778" s="34" t="s">
        <v>73</v>
      </c>
      <c r="C778" s="33" t="s">
        <v>346</v>
      </c>
      <c r="D778" s="33" t="s">
        <v>50</v>
      </c>
      <c r="E778" s="33" t="s">
        <v>958</v>
      </c>
      <c r="F778" s="35">
        <v>0.5</v>
      </c>
      <c r="G778" s="40"/>
      <c r="H778" s="40"/>
    </row>
    <row r="779" spans="1:9" hidden="1" x14ac:dyDescent="0.35">
      <c r="A779" s="33">
        <v>778</v>
      </c>
      <c r="B779" s="34" t="s">
        <v>1133</v>
      </c>
      <c r="C779" s="33" t="s">
        <v>346</v>
      </c>
      <c r="D779" s="33" t="s">
        <v>50</v>
      </c>
      <c r="E779" s="33" t="s">
        <v>962</v>
      </c>
      <c r="F779" s="35">
        <v>1</v>
      </c>
      <c r="G779" s="40"/>
      <c r="H779" s="40"/>
    </row>
    <row r="780" spans="1:9" hidden="1" x14ac:dyDescent="0.35">
      <c r="A780" s="33">
        <v>779</v>
      </c>
      <c r="B780" s="34" t="s">
        <v>1134</v>
      </c>
      <c r="C780" s="33" t="s">
        <v>346</v>
      </c>
      <c r="D780" s="33" t="s">
        <v>50</v>
      </c>
      <c r="E780" s="33" t="s">
        <v>962</v>
      </c>
      <c r="F780" s="35">
        <v>0.35</v>
      </c>
      <c r="G780" s="40"/>
      <c r="H780" s="40"/>
    </row>
    <row r="781" spans="1:9" x14ac:dyDescent="0.35">
      <c r="A781" s="33">
        <v>780</v>
      </c>
      <c r="B781" s="34" t="s">
        <v>52</v>
      </c>
      <c r="C781" s="33" t="s">
        <v>346</v>
      </c>
      <c r="D781" s="33" t="s">
        <v>50</v>
      </c>
      <c r="E781" s="33" t="s">
        <v>962</v>
      </c>
      <c r="F781" s="35">
        <v>0.5</v>
      </c>
      <c r="G781" s="40">
        <v>32</v>
      </c>
      <c r="H781" s="40">
        <f>+G781*F781</f>
        <v>16</v>
      </c>
      <c r="I781" s="40" t="s">
        <v>2305</v>
      </c>
    </row>
    <row r="782" spans="1:9" hidden="1" x14ac:dyDescent="0.35">
      <c r="A782" s="41">
        <v>781</v>
      </c>
      <c r="B782" s="42" t="s">
        <v>1135</v>
      </c>
      <c r="C782" s="41" t="s">
        <v>346</v>
      </c>
      <c r="D782" s="41" t="s">
        <v>50</v>
      </c>
      <c r="E782" s="41" t="s">
        <v>962</v>
      </c>
      <c r="F782" s="43">
        <v>0.25</v>
      </c>
      <c r="G782" s="44"/>
      <c r="H782" s="44"/>
    </row>
    <row r="783" spans="1:9" hidden="1" x14ac:dyDescent="0.35">
      <c r="A783" s="33">
        <v>782</v>
      </c>
      <c r="B783" s="34" t="s">
        <v>1136</v>
      </c>
      <c r="C783" s="33" t="s">
        <v>346</v>
      </c>
      <c r="D783" s="33" t="s">
        <v>50</v>
      </c>
      <c r="E783" s="33" t="s">
        <v>962</v>
      </c>
      <c r="F783" s="35">
        <v>0.35</v>
      </c>
      <c r="G783" s="40"/>
      <c r="H783" s="40"/>
    </row>
    <row r="784" spans="1:9" hidden="1" x14ac:dyDescent="0.35">
      <c r="A784" s="33">
        <v>783</v>
      </c>
      <c r="B784" s="34" t="s">
        <v>1137</v>
      </c>
      <c r="C784" s="33" t="s">
        <v>346</v>
      </c>
      <c r="D784" s="33" t="s">
        <v>50</v>
      </c>
      <c r="E784" s="33" t="s">
        <v>962</v>
      </c>
      <c r="F784" s="35">
        <v>0.25</v>
      </c>
      <c r="G784" s="40"/>
      <c r="H784" s="40"/>
    </row>
    <row r="785" spans="1:8" hidden="1" x14ac:dyDescent="0.35">
      <c r="A785" s="33">
        <v>784</v>
      </c>
      <c r="B785" s="34" t="s">
        <v>1138</v>
      </c>
      <c r="C785" s="33" t="s">
        <v>346</v>
      </c>
      <c r="D785" s="33" t="s">
        <v>50</v>
      </c>
      <c r="E785" s="33" t="s">
        <v>962</v>
      </c>
      <c r="F785" s="35">
        <v>0.5</v>
      </c>
      <c r="G785" s="40"/>
      <c r="H785" s="40"/>
    </row>
    <row r="786" spans="1:8" hidden="1" x14ac:dyDescent="0.35">
      <c r="A786" s="33">
        <v>785</v>
      </c>
      <c r="B786" s="34" t="s">
        <v>1139</v>
      </c>
      <c r="C786" s="33" t="s">
        <v>346</v>
      </c>
      <c r="D786" s="33" t="s">
        <v>50</v>
      </c>
      <c r="E786" s="33" t="s">
        <v>968</v>
      </c>
      <c r="F786" s="35">
        <v>0.3</v>
      </c>
      <c r="G786" s="40"/>
      <c r="H786" s="40"/>
    </row>
    <row r="787" spans="1:8" hidden="1" x14ac:dyDescent="0.35">
      <c r="A787" s="33">
        <v>786</v>
      </c>
      <c r="B787" s="34" t="s">
        <v>1140</v>
      </c>
      <c r="C787" s="33" t="s">
        <v>346</v>
      </c>
      <c r="D787" s="33" t="s">
        <v>50</v>
      </c>
      <c r="E787" s="33" t="s">
        <v>972</v>
      </c>
      <c r="F787" s="35">
        <v>0.5</v>
      </c>
      <c r="G787" s="40"/>
      <c r="H787" s="40"/>
    </row>
    <row r="788" spans="1:8" hidden="1" x14ac:dyDescent="0.35">
      <c r="A788" s="33">
        <v>787</v>
      </c>
      <c r="B788" s="34" t="s">
        <v>1141</v>
      </c>
      <c r="C788" s="33" t="s">
        <v>346</v>
      </c>
      <c r="D788" s="33" t="s">
        <v>50</v>
      </c>
      <c r="E788" s="33" t="s">
        <v>974</v>
      </c>
      <c r="F788" s="35">
        <v>0.3</v>
      </c>
      <c r="G788" s="40"/>
      <c r="H788" s="40"/>
    </row>
    <row r="789" spans="1:8" hidden="1" x14ac:dyDescent="0.35">
      <c r="A789" s="33">
        <v>788</v>
      </c>
      <c r="B789" s="34" t="s">
        <v>1142</v>
      </c>
      <c r="C789" s="33" t="s">
        <v>346</v>
      </c>
      <c r="D789" s="33" t="s">
        <v>50</v>
      </c>
      <c r="E789" s="33" t="s">
        <v>982</v>
      </c>
      <c r="F789" s="35">
        <v>0.5</v>
      </c>
      <c r="G789" s="40"/>
      <c r="H789" s="40"/>
    </row>
    <row r="790" spans="1:8" hidden="1" x14ac:dyDescent="0.35">
      <c r="A790" s="33">
        <v>789</v>
      </c>
      <c r="B790" s="34" t="s">
        <v>1143</v>
      </c>
      <c r="C790" s="33" t="s">
        <v>346</v>
      </c>
      <c r="D790" s="33" t="s">
        <v>50</v>
      </c>
      <c r="E790" s="33" t="s">
        <v>982</v>
      </c>
      <c r="F790" s="35">
        <v>0.5</v>
      </c>
      <c r="G790" s="40"/>
      <c r="H790" s="40"/>
    </row>
    <row r="791" spans="1:8" hidden="1" x14ac:dyDescent="0.35">
      <c r="A791" s="33">
        <v>790</v>
      </c>
      <c r="B791" s="34" t="s">
        <v>1144</v>
      </c>
      <c r="C791" s="33" t="s">
        <v>346</v>
      </c>
      <c r="D791" s="33" t="s">
        <v>50</v>
      </c>
      <c r="E791" s="33" t="s">
        <v>982</v>
      </c>
      <c r="F791" s="35">
        <v>1</v>
      </c>
      <c r="G791" s="40"/>
      <c r="H791" s="40"/>
    </row>
    <row r="792" spans="1:8" hidden="1" x14ac:dyDescent="0.35">
      <c r="A792" s="33">
        <v>791</v>
      </c>
      <c r="B792" s="34" t="s">
        <v>1145</v>
      </c>
      <c r="C792" s="33" t="s">
        <v>346</v>
      </c>
      <c r="D792" s="33" t="s">
        <v>50</v>
      </c>
      <c r="E792" s="33" t="s">
        <v>982</v>
      </c>
      <c r="F792" s="35">
        <v>0.9</v>
      </c>
      <c r="G792" s="40"/>
      <c r="H792" s="40"/>
    </row>
    <row r="793" spans="1:8" hidden="1" x14ac:dyDescent="0.35">
      <c r="A793" s="33">
        <v>792</v>
      </c>
      <c r="B793" s="34" t="s">
        <v>1146</v>
      </c>
      <c r="C793" s="33" t="s">
        <v>297</v>
      </c>
      <c r="D793" s="33" t="s">
        <v>111</v>
      </c>
      <c r="E793" s="33" t="s">
        <v>1147</v>
      </c>
      <c r="F793" s="35">
        <v>1</v>
      </c>
      <c r="G793" s="40"/>
      <c r="H793" s="40"/>
    </row>
    <row r="794" spans="1:8" hidden="1" x14ac:dyDescent="0.35">
      <c r="A794" s="33">
        <v>793</v>
      </c>
      <c r="B794" s="34" t="s">
        <v>1148</v>
      </c>
      <c r="C794" s="33" t="s">
        <v>297</v>
      </c>
      <c r="D794" s="33" t="s">
        <v>111</v>
      </c>
      <c r="E794" s="33" t="s">
        <v>1147</v>
      </c>
      <c r="F794" s="35">
        <v>1</v>
      </c>
      <c r="G794" s="40"/>
      <c r="H794" s="40"/>
    </row>
    <row r="795" spans="1:8" hidden="1" x14ac:dyDescent="0.35">
      <c r="A795" s="33">
        <v>794</v>
      </c>
      <c r="B795" s="34" t="s">
        <v>1149</v>
      </c>
      <c r="C795" s="33" t="s">
        <v>297</v>
      </c>
      <c r="D795" s="33" t="s">
        <v>111</v>
      </c>
      <c r="E795" s="33" t="s">
        <v>1150</v>
      </c>
      <c r="F795" s="35">
        <v>1</v>
      </c>
      <c r="G795" s="40"/>
      <c r="H795" s="40"/>
    </row>
    <row r="796" spans="1:8" hidden="1" x14ac:dyDescent="0.35">
      <c r="A796" s="33">
        <v>795</v>
      </c>
      <c r="B796" s="34" t="s">
        <v>1151</v>
      </c>
      <c r="C796" s="33" t="s">
        <v>297</v>
      </c>
      <c r="D796" s="33" t="s">
        <v>111</v>
      </c>
      <c r="E796" s="33" t="s">
        <v>1150</v>
      </c>
      <c r="F796" s="35">
        <v>1</v>
      </c>
      <c r="G796" s="40"/>
      <c r="H796" s="40"/>
    </row>
    <row r="797" spans="1:8" hidden="1" x14ac:dyDescent="0.35">
      <c r="A797" s="33">
        <v>796</v>
      </c>
      <c r="B797" s="34" t="s">
        <v>1152</v>
      </c>
      <c r="C797" s="33" t="s">
        <v>297</v>
      </c>
      <c r="D797" s="33" t="s">
        <v>111</v>
      </c>
      <c r="E797" s="33" t="s">
        <v>1150</v>
      </c>
      <c r="F797" s="35">
        <v>1</v>
      </c>
      <c r="G797" s="40"/>
      <c r="H797" s="40"/>
    </row>
    <row r="798" spans="1:8" hidden="1" x14ac:dyDescent="0.35">
      <c r="A798" s="33">
        <v>797</v>
      </c>
      <c r="B798" s="34" t="s">
        <v>1153</v>
      </c>
      <c r="C798" s="33" t="s">
        <v>297</v>
      </c>
      <c r="D798" s="33" t="s">
        <v>111</v>
      </c>
      <c r="E798" s="33" t="s">
        <v>1150</v>
      </c>
      <c r="F798" s="35">
        <v>1</v>
      </c>
      <c r="G798" s="40"/>
      <c r="H798" s="40"/>
    </row>
    <row r="799" spans="1:8" hidden="1" x14ac:dyDescent="0.35">
      <c r="A799" s="33">
        <v>798</v>
      </c>
      <c r="B799" s="34" t="s">
        <v>1154</v>
      </c>
      <c r="C799" s="33" t="s">
        <v>297</v>
      </c>
      <c r="D799" s="33" t="s">
        <v>111</v>
      </c>
      <c r="E799" s="33" t="s">
        <v>1150</v>
      </c>
      <c r="F799" s="35">
        <v>1</v>
      </c>
      <c r="G799" s="40"/>
      <c r="H799" s="40"/>
    </row>
    <row r="800" spans="1:8" hidden="1" x14ac:dyDescent="0.35">
      <c r="A800" s="33">
        <v>799</v>
      </c>
      <c r="B800" s="34" t="s">
        <v>1155</v>
      </c>
      <c r="C800" s="33" t="s">
        <v>297</v>
      </c>
      <c r="D800" s="33" t="s">
        <v>111</v>
      </c>
      <c r="E800" s="33" t="s">
        <v>1150</v>
      </c>
      <c r="F800" s="35">
        <v>1</v>
      </c>
      <c r="G800" s="40"/>
      <c r="H800" s="40"/>
    </row>
    <row r="801" spans="1:8" hidden="1" x14ac:dyDescent="0.35">
      <c r="A801" s="33">
        <v>800</v>
      </c>
      <c r="B801" s="34" t="s">
        <v>1156</v>
      </c>
      <c r="C801" s="33" t="s">
        <v>297</v>
      </c>
      <c r="D801" s="33" t="s">
        <v>111</v>
      </c>
      <c r="E801" s="33" t="s">
        <v>1150</v>
      </c>
      <c r="F801" s="35">
        <v>1</v>
      </c>
      <c r="G801" s="40"/>
      <c r="H801" s="40"/>
    </row>
    <row r="802" spans="1:8" hidden="1" x14ac:dyDescent="0.35">
      <c r="A802" s="33">
        <v>801</v>
      </c>
      <c r="B802" s="34" t="s">
        <v>1157</v>
      </c>
      <c r="C802" s="33" t="s">
        <v>297</v>
      </c>
      <c r="D802" s="33" t="s">
        <v>111</v>
      </c>
      <c r="E802" s="33" t="s">
        <v>1158</v>
      </c>
      <c r="F802" s="35">
        <v>1</v>
      </c>
      <c r="G802" s="40"/>
      <c r="H802" s="40"/>
    </row>
    <row r="803" spans="1:8" hidden="1" x14ac:dyDescent="0.35">
      <c r="A803" s="33">
        <v>802</v>
      </c>
      <c r="B803" s="34" t="s">
        <v>1159</v>
      </c>
      <c r="C803" s="33" t="s">
        <v>297</v>
      </c>
      <c r="D803" s="33" t="s">
        <v>111</v>
      </c>
      <c r="E803" s="33" t="s">
        <v>1158</v>
      </c>
      <c r="F803" s="35">
        <v>1</v>
      </c>
      <c r="G803" s="40"/>
      <c r="H803" s="40"/>
    </row>
    <row r="804" spans="1:8" hidden="1" x14ac:dyDescent="0.35">
      <c r="A804" s="33">
        <v>803</v>
      </c>
      <c r="B804" s="34" t="s">
        <v>1160</v>
      </c>
      <c r="C804" s="33" t="s">
        <v>297</v>
      </c>
      <c r="D804" s="33" t="s">
        <v>111</v>
      </c>
      <c r="E804" s="33" t="s">
        <v>1158</v>
      </c>
      <c r="F804" s="35">
        <v>1</v>
      </c>
      <c r="G804" s="40"/>
      <c r="H804" s="40"/>
    </row>
    <row r="805" spans="1:8" hidden="1" x14ac:dyDescent="0.35">
      <c r="A805" s="33">
        <v>804</v>
      </c>
      <c r="B805" s="34" t="s">
        <v>1161</v>
      </c>
      <c r="C805" s="33" t="s">
        <v>297</v>
      </c>
      <c r="D805" s="33" t="s">
        <v>111</v>
      </c>
      <c r="E805" s="33" t="s">
        <v>1158</v>
      </c>
      <c r="F805" s="35">
        <v>1</v>
      </c>
      <c r="G805" s="40"/>
      <c r="H805" s="40"/>
    </row>
    <row r="806" spans="1:8" hidden="1" x14ac:dyDescent="0.35">
      <c r="A806" s="33">
        <v>805</v>
      </c>
      <c r="B806" s="34" t="s">
        <v>1162</v>
      </c>
      <c r="C806" s="33" t="s">
        <v>297</v>
      </c>
      <c r="D806" s="33" t="s">
        <v>111</v>
      </c>
      <c r="E806" s="33" t="s">
        <v>1163</v>
      </c>
      <c r="F806" s="35">
        <v>1</v>
      </c>
      <c r="G806" s="40"/>
      <c r="H806" s="40"/>
    </row>
    <row r="807" spans="1:8" hidden="1" x14ac:dyDescent="0.35">
      <c r="A807" s="33">
        <v>806</v>
      </c>
      <c r="B807" s="34" t="s">
        <v>1164</v>
      </c>
      <c r="C807" s="33" t="s">
        <v>297</v>
      </c>
      <c r="D807" s="33" t="s">
        <v>111</v>
      </c>
      <c r="E807" s="33" t="s">
        <v>1165</v>
      </c>
      <c r="F807" s="35">
        <v>1</v>
      </c>
      <c r="G807" s="40"/>
      <c r="H807" s="40"/>
    </row>
    <row r="808" spans="1:8" hidden="1" x14ac:dyDescent="0.35">
      <c r="A808" s="33">
        <v>807</v>
      </c>
      <c r="B808" s="34" t="s">
        <v>1166</v>
      </c>
      <c r="C808" s="33" t="s">
        <v>297</v>
      </c>
      <c r="D808" s="33" t="s">
        <v>111</v>
      </c>
      <c r="E808" s="33" t="s">
        <v>1167</v>
      </c>
      <c r="F808" s="35">
        <v>1</v>
      </c>
      <c r="G808" s="40"/>
      <c r="H808" s="40"/>
    </row>
    <row r="809" spans="1:8" hidden="1" x14ac:dyDescent="0.35">
      <c r="A809" s="33">
        <v>808</v>
      </c>
      <c r="B809" s="34" t="s">
        <v>1168</v>
      </c>
      <c r="C809" s="33" t="s">
        <v>297</v>
      </c>
      <c r="D809" s="33" t="s">
        <v>111</v>
      </c>
      <c r="E809" s="33" t="s">
        <v>1167</v>
      </c>
      <c r="F809" s="35">
        <v>1</v>
      </c>
      <c r="G809" s="40"/>
      <c r="H809" s="40"/>
    </row>
    <row r="810" spans="1:8" hidden="1" x14ac:dyDescent="0.35">
      <c r="A810" s="33">
        <v>809</v>
      </c>
      <c r="B810" s="34" t="s">
        <v>1169</v>
      </c>
      <c r="C810" s="33" t="s">
        <v>297</v>
      </c>
      <c r="D810" s="33" t="s">
        <v>111</v>
      </c>
      <c r="E810" s="33" t="s">
        <v>1167</v>
      </c>
      <c r="F810" s="35">
        <v>1</v>
      </c>
      <c r="G810" s="40"/>
      <c r="H810" s="40"/>
    </row>
    <row r="811" spans="1:8" hidden="1" x14ac:dyDescent="0.35">
      <c r="A811" s="33">
        <v>810</v>
      </c>
      <c r="B811" s="34" t="s">
        <v>1170</v>
      </c>
      <c r="C811" s="33" t="s">
        <v>297</v>
      </c>
      <c r="D811" s="33" t="s">
        <v>111</v>
      </c>
      <c r="E811" s="33" t="s">
        <v>1167</v>
      </c>
      <c r="F811" s="35">
        <v>1</v>
      </c>
      <c r="G811" s="40"/>
      <c r="H811" s="40"/>
    </row>
    <row r="812" spans="1:8" hidden="1" x14ac:dyDescent="0.35">
      <c r="A812" s="33">
        <v>811</v>
      </c>
      <c r="B812" s="34" t="s">
        <v>1171</v>
      </c>
      <c r="C812" s="33" t="s">
        <v>297</v>
      </c>
      <c r="D812" s="33" t="s">
        <v>111</v>
      </c>
      <c r="E812" s="33" t="s">
        <v>1167</v>
      </c>
      <c r="F812" s="35">
        <v>1</v>
      </c>
      <c r="G812" s="40"/>
      <c r="H812" s="40"/>
    </row>
    <row r="813" spans="1:8" hidden="1" x14ac:dyDescent="0.35">
      <c r="A813" s="33">
        <v>812</v>
      </c>
      <c r="B813" s="34" t="s">
        <v>1172</v>
      </c>
      <c r="C813" s="33" t="s">
        <v>297</v>
      </c>
      <c r="D813" s="33" t="s">
        <v>111</v>
      </c>
      <c r="E813" s="33" t="s">
        <v>1167</v>
      </c>
      <c r="F813" s="35">
        <v>1</v>
      </c>
      <c r="G813" s="40"/>
      <c r="H813" s="40"/>
    </row>
    <row r="814" spans="1:8" hidden="1" x14ac:dyDescent="0.35">
      <c r="A814" s="33">
        <v>813</v>
      </c>
      <c r="B814" s="34" t="s">
        <v>1173</v>
      </c>
      <c r="C814" s="33" t="s">
        <v>297</v>
      </c>
      <c r="D814" s="33" t="s">
        <v>111</v>
      </c>
      <c r="E814" s="33" t="s">
        <v>1174</v>
      </c>
      <c r="F814" s="35">
        <v>1</v>
      </c>
      <c r="G814" s="40"/>
      <c r="H814" s="40"/>
    </row>
    <row r="815" spans="1:8" hidden="1" x14ac:dyDescent="0.35">
      <c r="A815" s="33">
        <v>814</v>
      </c>
      <c r="B815" s="34" t="s">
        <v>1175</v>
      </c>
      <c r="C815" s="33" t="s">
        <v>297</v>
      </c>
      <c r="D815" s="33" t="s">
        <v>111</v>
      </c>
      <c r="E815" s="33" t="s">
        <v>1176</v>
      </c>
      <c r="F815" s="35">
        <v>1</v>
      </c>
      <c r="G815" s="40"/>
      <c r="H815" s="40"/>
    </row>
    <row r="816" spans="1:8" hidden="1" x14ac:dyDescent="0.35">
      <c r="A816" s="33">
        <v>815</v>
      </c>
      <c r="B816" s="34" t="s">
        <v>1177</v>
      </c>
      <c r="C816" s="33" t="s">
        <v>297</v>
      </c>
      <c r="D816" s="33" t="s">
        <v>111</v>
      </c>
      <c r="E816" s="33" t="s">
        <v>1176</v>
      </c>
      <c r="F816" s="35">
        <v>1</v>
      </c>
      <c r="G816" s="40"/>
      <c r="H816" s="40"/>
    </row>
    <row r="817" spans="1:8" hidden="1" x14ac:dyDescent="0.35">
      <c r="A817" s="33">
        <v>816</v>
      </c>
      <c r="B817" s="34" t="s">
        <v>1178</v>
      </c>
      <c r="C817" s="33" t="s">
        <v>297</v>
      </c>
      <c r="D817" s="33" t="s">
        <v>111</v>
      </c>
      <c r="E817" s="33" t="s">
        <v>1176</v>
      </c>
      <c r="F817" s="35">
        <v>1</v>
      </c>
      <c r="G817" s="40"/>
      <c r="H817" s="40"/>
    </row>
    <row r="818" spans="1:8" hidden="1" x14ac:dyDescent="0.35">
      <c r="A818" s="33">
        <v>817</v>
      </c>
      <c r="B818" s="34" t="s">
        <v>1179</v>
      </c>
      <c r="C818" s="33" t="s">
        <v>297</v>
      </c>
      <c r="D818" s="33" t="s">
        <v>111</v>
      </c>
      <c r="E818" s="33" t="s">
        <v>1176</v>
      </c>
      <c r="F818" s="35">
        <v>1</v>
      </c>
      <c r="G818" s="40"/>
      <c r="H818" s="40"/>
    </row>
    <row r="819" spans="1:8" hidden="1" x14ac:dyDescent="0.35">
      <c r="A819" s="33">
        <v>818</v>
      </c>
      <c r="B819" s="34" t="s">
        <v>1180</v>
      </c>
      <c r="C819" s="33" t="s">
        <v>297</v>
      </c>
      <c r="D819" s="33" t="s">
        <v>111</v>
      </c>
      <c r="E819" s="33" t="s">
        <v>1176</v>
      </c>
      <c r="F819" s="35">
        <v>1</v>
      </c>
      <c r="G819" s="40"/>
      <c r="H819" s="40"/>
    </row>
    <row r="820" spans="1:8" hidden="1" x14ac:dyDescent="0.35">
      <c r="A820" s="33">
        <v>819</v>
      </c>
      <c r="B820" s="34" t="s">
        <v>1181</v>
      </c>
      <c r="C820" s="33" t="s">
        <v>297</v>
      </c>
      <c r="D820" s="33" t="s">
        <v>111</v>
      </c>
      <c r="E820" s="33" t="s">
        <v>1182</v>
      </c>
      <c r="F820" s="35">
        <v>1</v>
      </c>
      <c r="G820" s="40"/>
      <c r="H820" s="40"/>
    </row>
    <row r="821" spans="1:8" hidden="1" x14ac:dyDescent="0.35">
      <c r="A821" s="33">
        <v>820</v>
      </c>
      <c r="B821" s="34" t="s">
        <v>1183</v>
      </c>
      <c r="C821" s="33" t="s">
        <v>297</v>
      </c>
      <c r="D821" s="33" t="s">
        <v>111</v>
      </c>
      <c r="E821" s="33" t="s">
        <v>1182</v>
      </c>
      <c r="F821" s="35">
        <v>1</v>
      </c>
      <c r="G821" s="40"/>
      <c r="H821" s="40"/>
    </row>
    <row r="822" spans="1:8" hidden="1" x14ac:dyDescent="0.35">
      <c r="A822" s="33">
        <v>821</v>
      </c>
      <c r="B822" s="34" t="s">
        <v>1184</v>
      </c>
      <c r="C822" s="33" t="s">
        <v>297</v>
      </c>
      <c r="D822" s="33" t="s">
        <v>111</v>
      </c>
      <c r="E822" s="33" t="s">
        <v>1182</v>
      </c>
      <c r="F822" s="35">
        <v>1</v>
      </c>
      <c r="G822" s="40"/>
      <c r="H822" s="40"/>
    </row>
    <row r="823" spans="1:8" hidden="1" x14ac:dyDescent="0.35">
      <c r="A823" s="33">
        <v>822</v>
      </c>
      <c r="B823" s="34" t="s">
        <v>1185</v>
      </c>
      <c r="C823" s="33" t="s">
        <v>297</v>
      </c>
      <c r="D823" s="33" t="s">
        <v>111</v>
      </c>
      <c r="E823" s="33" t="s">
        <v>1182</v>
      </c>
      <c r="F823" s="35">
        <v>1</v>
      </c>
      <c r="G823" s="40"/>
      <c r="H823" s="40"/>
    </row>
    <row r="824" spans="1:8" hidden="1" x14ac:dyDescent="0.35">
      <c r="A824" s="33">
        <v>823</v>
      </c>
      <c r="B824" s="34" t="s">
        <v>1186</v>
      </c>
      <c r="C824" s="33" t="s">
        <v>297</v>
      </c>
      <c r="D824" s="33" t="s">
        <v>111</v>
      </c>
      <c r="E824" s="33" t="s">
        <v>1182</v>
      </c>
      <c r="F824" s="35">
        <v>1</v>
      </c>
      <c r="G824" s="40"/>
      <c r="H824" s="40"/>
    </row>
    <row r="825" spans="1:8" hidden="1" x14ac:dyDescent="0.35">
      <c r="A825" s="33">
        <v>824</v>
      </c>
      <c r="B825" s="34" t="s">
        <v>1187</v>
      </c>
      <c r="C825" s="33" t="s">
        <v>297</v>
      </c>
      <c r="D825" s="33" t="s">
        <v>111</v>
      </c>
      <c r="E825" s="33" t="s">
        <v>1188</v>
      </c>
      <c r="F825" s="35">
        <v>1</v>
      </c>
      <c r="G825" s="40"/>
      <c r="H825" s="40"/>
    </row>
    <row r="826" spans="1:8" hidden="1" x14ac:dyDescent="0.35">
      <c r="A826" s="33">
        <v>825</v>
      </c>
      <c r="B826" s="34" t="s">
        <v>1189</v>
      </c>
      <c r="C826" s="33" t="s">
        <v>297</v>
      </c>
      <c r="D826" s="33" t="s">
        <v>111</v>
      </c>
      <c r="E826" s="33" t="s">
        <v>1190</v>
      </c>
      <c r="F826" s="35">
        <v>1</v>
      </c>
      <c r="G826" s="40"/>
      <c r="H826" s="40"/>
    </row>
    <row r="827" spans="1:8" hidden="1" x14ac:dyDescent="0.35">
      <c r="A827" s="33">
        <v>826</v>
      </c>
      <c r="B827" s="34" t="s">
        <v>1191</v>
      </c>
      <c r="C827" s="33" t="s">
        <v>297</v>
      </c>
      <c r="D827" s="33" t="s">
        <v>111</v>
      </c>
      <c r="E827" s="33" t="s">
        <v>1190</v>
      </c>
      <c r="F827" s="35">
        <v>1</v>
      </c>
      <c r="G827" s="40"/>
      <c r="H827" s="40"/>
    </row>
    <row r="828" spans="1:8" hidden="1" x14ac:dyDescent="0.35">
      <c r="A828" s="33">
        <v>827</v>
      </c>
      <c r="B828" s="34" t="s">
        <v>1192</v>
      </c>
      <c r="C828" s="33" t="s">
        <v>297</v>
      </c>
      <c r="D828" s="33" t="s">
        <v>111</v>
      </c>
      <c r="E828" s="33" t="s">
        <v>1190</v>
      </c>
      <c r="F828" s="35">
        <v>1</v>
      </c>
      <c r="G828" s="40"/>
      <c r="H828" s="40"/>
    </row>
    <row r="829" spans="1:8" hidden="1" x14ac:dyDescent="0.35">
      <c r="A829" s="33">
        <v>828</v>
      </c>
      <c r="B829" s="34" t="s">
        <v>1193</v>
      </c>
      <c r="C829" s="33" t="s">
        <v>297</v>
      </c>
      <c r="D829" s="33" t="s">
        <v>111</v>
      </c>
      <c r="E829" s="33" t="s">
        <v>1190</v>
      </c>
      <c r="F829" s="35">
        <v>1</v>
      </c>
      <c r="G829" s="40"/>
      <c r="H829" s="40"/>
    </row>
    <row r="830" spans="1:8" hidden="1" x14ac:dyDescent="0.35">
      <c r="A830" s="33">
        <v>829</v>
      </c>
      <c r="B830" s="34" t="s">
        <v>1194</v>
      </c>
      <c r="C830" s="33" t="s">
        <v>297</v>
      </c>
      <c r="D830" s="33" t="s">
        <v>111</v>
      </c>
      <c r="E830" s="33" t="s">
        <v>1195</v>
      </c>
      <c r="F830" s="35">
        <v>1</v>
      </c>
      <c r="G830" s="40"/>
      <c r="H830" s="40"/>
    </row>
    <row r="831" spans="1:8" hidden="1" x14ac:dyDescent="0.35">
      <c r="A831" s="33">
        <v>830</v>
      </c>
      <c r="B831" s="34" t="s">
        <v>1196</v>
      </c>
      <c r="C831" s="33" t="s">
        <v>297</v>
      </c>
      <c r="D831" s="33" t="s">
        <v>111</v>
      </c>
      <c r="E831" s="33" t="s">
        <v>1195</v>
      </c>
      <c r="F831" s="35">
        <v>1</v>
      </c>
      <c r="G831" s="40"/>
      <c r="H831" s="40"/>
    </row>
    <row r="832" spans="1:8" hidden="1" x14ac:dyDescent="0.35">
      <c r="A832" s="33">
        <v>831</v>
      </c>
      <c r="B832" s="34" t="s">
        <v>1197</v>
      </c>
      <c r="C832" s="33" t="s">
        <v>297</v>
      </c>
      <c r="D832" s="33" t="s">
        <v>111</v>
      </c>
      <c r="E832" s="33" t="s">
        <v>1195</v>
      </c>
      <c r="F832" s="35">
        <v>1</v>
      </c>
      <c r="G832" s="40"/>
      <c r="H832" s="40"/>
    </row>
    <row r="833" spans="1:8" hidden="1" x14ac:dyDescent="0.35">
      <c r="A833" s="33">
        <v>832</v>
      </c>
      <c r="B833" s="34" t="s">
        <v>1198</v>
      </c>
      <c r="C833" s="33" t="s">
        <v>346</v>
      </c>
      <c r="D833" s="33" t="s">
        <v>111</v>
      </c>
      <c r="E833" s="33" t="s">
        <v>1147</v>
      </c>
      <c r="F833" s="35">
        <v>1</v>
      </c>
      <c r="G833" s="40"/>
      <c r="H833" s="40"/>
    </row>
    <row r="834" spans="1:8" hidden="1" x14ac:dyDescent="0.35">
      <c r="A834" s="33">
        <v>833</v>
      </c>
      <c r="B834" s="34" t="s">
        <v>1199</v>
      </c>
      <c r="C834" s="33" t="s">
        <v>346</v>
      </c>
      <c r="D834" s="33" t="s">
        <v>111</v>
      </c>
      <c r="E834" s="33" t="s">
        <v>1147</v>
      </c>
      <c r="F834" s="35">
        <v>0.2</v>
      </c>
      <c r="G834" s="40"/>
      <c r="H834" s="40"/>
    </row>
    <row r="835" spans="1:8" hidden="1" x14ac:dyDescent="0.35">
      <c r="A835" s="33">
        <v>834</v>
      </c>
      <c r="B835" s="34" t="s">
        <v>1200</v>
      </c>
      <c r="C835" s="33" t="s">
        <v>346</v>
      </c>
      <c r="D835" s="33" t="s">
        <v>111</v>
      </c>
      <c r="E835" s="33" t="s">
        <v>1150</v>
      </c>
      <c r="F835" s="35">
        <v>0.2</v>
      </c>
      <c r="G835" s="40"/>
      <c r="H835" s="40"/>
    </row>
    <row r="836" spans="1:8" hidden="1" x14ac:dyDescent="0.35">
      <c r="A836" s="33">
        <v>835</v>
      </c>
      <c r="B836" s="34" t="s">
        <v>1201</v>
      </c>
      <c r="C836" s="33" t="s">
        <v>346</v>
      </c>
      <c r="D836" s="33" t="s">
        <v>111</v>
      </c>
      <c r="E836" s="33" t="s">
        <v>1150</v>
      </c>
      <c r="F836" s="35">
        <v>0.2</v>
      </c>
      <c r="G836" s="40"/>
      <c r="H836" s="40"/>
    </row>
    <row r="837" spans="1:8" hidden="1" x14ac:dyDescent="0.35">
      <c r="A837" s="33">
        <v>836</v>
      </c>
      <c r="B837" s="34" t="s">
        <v>1202</v>
      </c>
      <c r="C837" s="33" t="s">
        <v>346</v>
      </c>
      <c r="D837" s="33" t="s">
        <v>111</v>
      </c>
      <c r="E837" s="33" t="s">
        <v>1150</v>
      </c>
      <c r="F837" s="35">
        <v>1</v>
      </c>
      <c r="G837" s="40"/>
      <c r="H837" s="40"/>
    </row>
    <row r="838" spans="1:8" hidden="1" x14ac:dyDescent="0.35">
      <c r="A838" s="33">
        <v>837</v>
      </c>
      <c r="B838" s="34" t="s">
        <v>1203</v>
      </c>
      <c r="C838" s="33" t="s">
        <v>346</v>
      </c>
      <c r="D838" s="33" t="s">
        <v>111</v>
      </c>
      <c r="E838" s="33" t="s">
        <v>1150</v>
      </c>
      <c r="F838" s="35">
        <v>1</v>
      </c>
      <c r="G838" s="40"/>
      <c r="H838" s="40"/>
    </row>
    <row r="839" spans="1:8" hidden="1" x14ac:dyDescent="0.35">
      <c r="A839" s="33">
        <v>838</v>
      </c>
      <c r="B839" s="34" t="s">
        <v>1204</v>
      </c>
      <c r="C839" s="33" t="s">
        <v>346</v>
      </c>
      <c r="D839" s="33" t="s">
        <v>111</v>
      </c>
      <c r="E839" s="33" t="s">
        <v>1150</v>
      </c>
      <c r="F839" s="35">
        <v>1</v>
      </c>
      <c r="G839" s="40"/>
      <c r="H839" s="40"/>
    </row>
    <row r="840" spans="1:8" hidden="1" x14ac:dyDescent="0.35">
      <c r="A840" s="33">
        <v>839</v>
      </c>
      <c r="B840" s="34" t="s">
        <v>1205</v>
      </c>
      <c r="C840" s="33" t="s">
        <v>346</v>
      </c>
      <c r="D840" s="33" t="s">
        <v>111</v>
      </c>
      <c r="E840" s="33" t="s">
        <v>1158</v>
      </c>
      <c r="F840" s="35">
        <v>1</v>
      </c>
      <c r="G840" s="40"/>
      <c r="H840" s="40"/>
    </row>
    <row r="841" spans="1:8" hidden="1" x14ac:dyDescent="0.35">
      <c r="A841" s="33">
        <v>840</v>
      </c>
      <c r="B841" s="34" t="s">
        <v>1206</v>
      </c>
      <c r="C841" s="33" t="s">
        <v>346</v>
      </c>
      <c r="D841" s="33" t="s">
        <v>111</v>
      </c>
      <c r="E841" s="33" t="s">
        <v>1163</v>
      </c>
      <c r="F841" s="35">
        <v>1</v>
      </c>
      <c r="G841" s="40"/>
      <c r="H841" s="40"/>
    </row>
    <row r="842" spans="1:8" hidden="1" x14ac:dyDescent="0.35">
      <c r="A842" s="33">
        <v>841</v>
      </c>
      <c r="B842" s="34" t="s">
        <v>1207</v>
      </c>
      <c r="C842" s="33" t="s">
        <v>346</v>
      </c>
      <c r="D842" s="33" t="s">
        <v>111</v>
      </c>
      <c r="E842" s="33" t="s">
        <v>1165</v>
      </c>
      <c r="F842" s="35">
        <v>1</v>
      </c>
      <c r="G842" s="40"/>
      <c r="H842" s="40"/>
    </row>
    <row r="843" spans="1:8" hidden="1" x14ac:dyDescent="0.35">
      <c r="A843" s="33">
        <v>842</v>
      </c>
      <c r="B843" s="34" t="s">
        <v>1208</v>
      </c>
      <c r="C843" s="33" t="s">
        <v>346</v>
      </c>
      <c r="D843" s="33" t="s">
        <v>111</v>
      </c>
      <c r="E843" s="33" t="s">
        <v>1165</v>
      </c>
      <c r="F843" s="35">
        <v>0.2</v>
      </c>
      <c r="G843" s="40"/>
      <c r="H843" s="40"/>
    </row>
    <row r="844" spans="1:8" hidden="1" x14ac:dyDescent="0.35">
      <c r="A844" s="33">
        <v>843</v>
      </c>
      <c r="B844" s="34" t="s">
        <v>1209</v>
      </c>
      <c r="C844" s="33" t="s">
        <v>346</v>
      </c>
      <c r="D844" s="33" t="s">
        <v>111</v>
      </c>
      <c r="E844" s="33" t="s">
        <v>1165</v>
      </c>
      <c r="F844" s="35">
        <v>1</v>
      </c>
      <c r="G844" s="40"/>
      <c r="H844" s="40"/>
    </row>
    <row r="845" spans="1:8" hidden="1" x14ac:dyDescent="0.35">
      <c r="A845" s="33">
        <v>844</v>
      </c>
      <c r="B845" s="34" t="s">
        <v>1210</v>
      </c>
      <c r="C845" s="33" t="s">
        <v>346</v>
      </c>
      <c r="D845" s="33" t="s">
        <v>111</v>
      </c>
      <c r="E845" s="33" t="s">
        <v>1167</v>
      </c>
      <c r="F845" s="35">
        <v>1</v>
      </c>
      <c r="G845" s="40"/>
      <c r="H845" s="40"/>
    </row>
    <row r="846" spans="1:8" hidden="1" x14ac:dyDescent="0.35">
      <c r="A846" s="33">
        <v>845</v>
      </c>
      <c r="B846" s="34" t="s">
        <v>1211</v>
      </c>
      <c r="C846" s="33" t="s">
        <v>346</v>
      </c>
      <c r="D846" s="33" t="s">
        <v>111</v>
      </c>
      <c r="E846" s="33" t="s">
        <v>1167</v>
      </c>
      <c r="F846" s="35">
        <v>1</v>
      </c>
      <c r="G846" s="40"/>
      <c r="H846" s="40"/>
    </row>
    <row r="847" spans="1:8" hidden="1" x14ac:dyDescent="0.35">
      <c r="A847" s="33">
        <v>846</v>
      </c>
      <c r="B847" s="34" t="s">
        <v>1212</v>
      </c>
      <c r="C847" s="33" t="s">
        <v>346</v>
      </c>
      <c r="D847" s="33" t="s">
        <v>111</v>
      </c>
      <c r="E847" s="33" t="s">
        <v>1174</v>
      </c>
      <c r="F847" s="35">
        <v>1</v>
      </c>
      <c r="G847" s="40"/>
      <c r="H847" s="40"/>
    </row>
    <row r="848" spans="1:8" hidden="1" x14ac:dyDescent="0.35">
      <c r="A848" s="33">
        <v>847</v>
      </c>
      <c r="B848" s="34" t="s">
        <v>1213</v>
      </c>
      <c r="C848" s="33" t="s">
        <v>346</v>
      </c>
      <c r="D848" s="33" t="s">
        <v>111</v>
      </c>
      <c r="E848" s="33" t="s">
        <v>1176</v>
      </c>
      <c r="F848" s="35">
        <v>1</v>
      </c>
      <c r="G848" s="40"/>
      <c r="H848" s="40"/>
    </row>
    <row r="849" spans="1:8" hidden="1" x14ac:dyDescent="0.35">
      <c r="A849" s="33">
        <v>848</v>
      </c>
      <c r="B849" s="34" t="s">
        <v>1214</v>
      </c>
      <c r="C849" s="33" t="s">
        <v>346</v>
      </c>
      <c r="D849" s="33" t="s">
        <v>111</v>
      </c>
      <c r="E849" s="33" t="s">
        <v>1190</v>
      </c>
      <c r="F849" s="35">
        <v>1</v>
      </c>
      <c r="G849" s="40"/>
      <c r="H849" s="40"/>
    </row>
    <row r="850" spans="1:8" hidden="1" x14ac:dyDescent="0.35">
      <c r="A850" s="33">
        <v>849</v>
      </c>
      <c r="B850" s="34" t="s">
        <v>1215</v>
      </c>
      <c r="C850" s="33" t="s">
        <v>346</v>
      </c>
      <c r="D850" s="33" t="s">
        <v>111</v>
      </c>
      <c r="E850" s="33" t="s">
        <v>1190</v>
      </c>
      <c r="F850" s="35">
        <v>1</v>
      </c>
      <c r="G850" s="40"/>
      <c r="H850" s="40"/>
    </row>
    <row r="851" spans="1:8" hidden="1" x14ac:dyDescent="0.35">
      <c r="A851" s="33">
        <v>850</v>
      </c>
      <c r="B851" s="34" t="s">
        <v>1216</v>
      </c>
      <c r="C851" s="33" t="s">
        <v>346</v>
      </c>
      <c r="D851" s="33" t="s">
        <v>111</v>
      </c>
      <c r="E851" s="33" t="s">
        <v>1190</v>
      </c>
      <c r="F851" s="35">
        <v>1</v>
      </c>
      <c r="G851" s="40"/>
      <c r="H851" s="40"/>
    </row>
    <row r="852" spans="1:8" hidden="1" x14ac:dyDescent="0.35">
      <c r="A852" s="33">
        <v>851</v>
      </c>
      <c r="B852" s="34" t="s">
        <v>1217</v>
      </c>
      <c r="C852" s="33" t="s">
        <v>346</v>
      </c>
      <c r="D852" s="33" t="s">
        <v>111</v>
      </c>
      <c r="E852" s="33" t="s">
        <v>1195</v>
      </c>
      <c r="F852" s="35">
        <v>1</v>
      </c>
      <c r="G852" s="40"/>
      <c r="H852" s="40"/>
    </row>
    <row r="853" spans="1:8" hidden="1" x14ac:dyDescent="0.35">
      <c r="A853" s="33">
        <v>852</v>
      </c>
      <c r="B853" s="34" t="s">
        <v>1218</v>
      </c>
      <c r="C853" s="33" t="s">
        <v>346</v>
      </c>
      <c r="D853" s="33" t="s">
        <v>111</v>
      </c>
      <c r="E853" s="33" t="s">
        <v>1195</v>
      </c>
      <c r="F853" s="35">
        <v>0.2</v>
      </c>
      <c r="G853" s="40"/>
      <c r="H853" s="40"/>
    </row>
    <row r="854" spans="1:8" hidden="1" x14ac:dyDescent="0.35">
      <c r="A854" s="33">
        <v>853</v>
      </c>
      <c r="B854" s="34" t="s">
        <v>1219</v>
      </c>
      <c r="C854" s="33" t="s">
        <v>346</v>
      </c>
      <c r="D854" s="33" t="s">
        <v>111</v>
      </c>
      <c r="E854" s="33" t="s">
        <v>1195</v>
      </c>
      <c r="F854" s="35">
        <v>1</v>
      </c>
      <c r="G854" s="40"/>
      <c r="H854" s="40"/>
    </row>
    <row r="855" spans="1:8" hidden="1" x14ac:dyDescent="0.35">
      <c r="A855" s="33">
        <v>854</v>
      </c>
      <c r="B855" s="34" t="s">
        <v>1220</v>
      </c>
      <c r="C855" s="33" t="s">
        <v>346</v>
      </c>
      <c r="D855" s="33" t="s">
        <v>111</v>
      </c>
      <c r="E855" s="33" t="s">
        <v>1195</v>
      </c>
      <c r="F855" s="35">
        <v>1</v>
      </c>
      <c r="G855" s="40"/>
      <c r="H855" s="40"/>
    </row>
    <row r="856" spans="1:8" hidden="1" x14ac:dyDescent="0.35">
      <c r="A856" s="33">
        <v>855</v>
      </c>
      <c r="B856" s="34" t="s">
        <v>1221</v>
      </c>
      <c r="C856" s="33" t="s">
        <v>346</v>
      </c>
      <c r="D856" s="33" t="s">
        <v>1222</v>
      </c>
      <c r="E856" s="33" t="s">
        <v>1223</v>
      </c>
      <c r="F856" s="35">
        <v>0.68</v>
      </c>
      <c r="G856" s="40"/>
      <c r="H856" s="40"/>
    </row>
    <row r="857" spans="1:8" hidden="1" x14ac:dyDescent="0.35">
      <c r="A857" s="33">
        <v>856</v>
      </c>
      <c r="B857" s="34" t="s">
        <v>1224</v>
      </c>
      <c r="C857" s="33" t="s">
        <v>346</v>
      </c>
      <c r="D857" s="33" t="s">
        <v>1222</v>
      </c>
      <c r="E857" s="33" t="s">
        <v>1223</v>
      </c>
      <c r="F857" s="35">
        <v>0.4</v>
      </c>
      <c r="G857" s="40"/>
      <c r="H857" s="40"/>
    </row>
    <row r="858" spans="1:8" hidden="1" x14ac:dyDescent="0.35">
      <c r="A858" s="33">
        <v>857</v>
      </c>
      <c r="B858" s="34" t="s">
        <v>1225</v>
      </c>
      <c r="C858" s="33" t="s">
        <v>346</v>
      </c>
      <c r="D858" s="33" t="s">
        <v>1222</v>
      </c>
      <c r="E858" s="33" t="s">
        <v>1223</v>
      </c>
      <c r="F858" s="35">
        <v>0.4</v>
      </c>
      <c r="G858" s="40"/>
      <c r="H858" s="40"/>
    </row>
    <row r="859" spans="1:8" hidden="1" x14ac:dyDescent="0.35">
      <c r="A859" s="33">
        <v>858</v>
      </c>
      <c r="B859" s="34" t="s">
        <v>1226</v>
      </c>
      <c r="C859" s="33" t="s">
        <v>346</v>
      </c>
      <c r="D859" s="33" t="s">
        <v>1222</v>
      </c>
      <c r="E859" s="33" t="s">
        <v>1223</v>
      </c>
      <c r="F859" s="35">
        <v>0.3</v>
      </c>
      <c r="G859" s="40"/>
      <c r="H859" s="40"/>
    </row>
    <row r="860" spans="1:8" hidden="1" x14ac:dyDescent="0.35">
      <c r="A860" s="33">
        <v>859</v>
      </c>
      <c r="B860" s="34" t="s">
        <v>1227</v>
      </c>
      <c r="C860" s="33" t="s">
        <v>346</v>
      </c>
      <c r="D860" s="33" t="s">
        <v>1222</v>
      </c>
      <c r="E860" s="33" t="s">
        <v>1223</v>
      </c>
      <c r="F860" s="35">
        <v>0.36</v>
      </c>
      <c r="G860" s="40"/>
      <c r="H860" s="40"/>
    </row>
    <row r="861" spans="1:8" hidden="1" x14ac:dyDescent="0.35">
      <c r="A861" s="33">
        <v>860</v>
      </c>
      <c r="B861" s="34" t="s">
        <v>1228</v>
      </c>
      <c r="C861" s="33" t="s">
        <v>346</v>
      </c>
      <c r="D861" s="33" t="s">
        <v>1222</v>
      </c>
      <c r="E861" s="33" t="s">
        <v>1223</v>
      </c>
      <c r="F861" s="35">
        <v>0.3</v>
      </c>
      <c r="G861" s="40"/>
      <c r="H861" s="40"/>
    </row>
    <row r="862" spans="1:8" hidden="1" x14ac:dyDescent="0.35">
      <c r="A862" s="33">
        <v>861</v>
      </c>
      <c r="B862" s="34" t="s">
        <v>1229</v>
      </c>
      <c r="C862" s="33" t="s">
        <v>346</v>
      </c>
      <c r="D862" s="33" t="s">
        <v>1222</v>
      </c>
      <c r="E862" s="33" t="s">
        <v>1223</v>
      </c>
      <c r="F862" s="35">
        <v>0.24199999999999999</v>
      </c>
      <c r="G862" s="40"/>
      <c r="H862" s="40"/>
    </row>
    <row r="863" spans="1:8" hidden="1" x14ac:dyDescent="0.35">
      <c r="A863" s="33">
        <v>862</v>
      </c>
      <c r="B863" s="34" t="s">
        <v>1230</v>
      </c>
      <c r="C863" s="33" t="s">
        <v>346</v>
      </c>
      <c r="D863" s="33" t="s">
        <v>1222</v>
      </c>
      <c r="E863" s="33" t="s">
        <v>1223</v>
      </c>
      <c r="F863" s="35">
        <v>0.4</v>
      </c>
      <c r="G863" s="40"/>
      <c r="H863" s="40"/>
    </row>
    <row r="864" spans="1:8" hidden="1" x14ac:dyDescent="0.35">
      <c r="A864" s="33">
        <v>863</v>
      </c>
      <c r="B864" s="34" t="s">
        <v>1231</v>
      </c>
      <c r="C864" s="33" t="s">
        <v>346</v>
      </c>
      <c r="D864" s="33" t="s">
        <v>1222</v>
      </c>
      <c r="E864" s="33" t="s">
        <v>1223</v>
      </c>
      <c r="F864" s="35">
        <v>0.6</v>
      </c>
      <c r="G864" s="40"/>
      <c r="H864" s="40"/>
    </row>
    <row r="865" spans="1:8" hidden="1" x14ac:dyDescent="0.35">
      <c r="A865" s="33">
        <v>864</v>
      </c>
      <c r="B865" s="34" t="s">
        <v>1232</v>
      </c>
      <c r="C865" s="33" t="s">
        <v>346</v>
      </c>
      <c r="D865" s="33" t="s">
        <v>1222</v>
      </c>
      <c r="E865" s="33" t="s">
        <v>1223</v>
      </c>
      <c r="F865" s="35">
        <v>0.6</v>
      </c>
      <c r="G865" s="40"/>
      <c r="H865" s="40"/>
    </row>
    <row r="866" spans="1:8" hidden="1" x14ac:dyDescent="0.35">
      <c r="A866" s="33">
        <v>865</v>
      </c>
      <c r="B866" s="34" t="s">
        <v>1233</v>
      </c>
      <c r="C866" s="33" t="s">
        <v>346</v>
      </c>
      <c r="D866" s="33" t="s">
        <v>1222</v>
      </c>
      <c r="E866" s="33" t="s">
        <v>1223</v>
      </c>
      <c r="F866" s="35">
        <v>0.52</v>
      </c>
      <c r="G866" s="40"/>
      <c r="H866" s="40"/>
    </row>
    <row r="867" spans="1:8" hidden="1" x14ac:dyDescent="0.35">
      <c r="A867" s="33">
        <v>866</v>
      </c>
      <c r="B867" s="34" t="s">
        <v>1234</v>
      </c>
      <c r="C867" s="33" t="s">
        <v>346</v>
      </c>
      <c r="D867" s="33" t="s">
        <v>1222</v>
      </c>
      <c r="E867" s="33" t="s">
        <v>1223</v>
      </c>
      <c r="F867" s="35">
        <v>0.52</v>
      </c>
      <c r="G867" s="40"/>
      <c r="H867" s="40"/>
    </row>
    <row r="868" spans="1:8" hidden="1" x14ac:dyDescent="0.35">
      <c r="A868" s="33">
        <v>867</v>
      </c>
      <c r="B868" s="34" t="s">
        <v>1235</v>
      </c>
      <c r="C868" s="33" t="s">
        <v>346</v>
      </c>
      <c r="D868" s="33" t="s">
        <v>1222</v>
      </c>
      <c r="E868" s="33" t="s">
        <v>1223</v>
      </c>
      <c r="F868" s="35">
        <v>0.36</v>
      </c>
      <c r="G868" s="40"/>
      <c r="H868" s="40"/>
    </row>
    <row r="869" spans="1:8" hidden="1" x14ac:dyDescent="0.35">
      <c r="A869" s="33">
        <v>868</v>
      </c>
      <c r="B869" s="34" t="s">
        <v>1236</v>
      </c>
      <c r="C869" s="33" t="s">
        <v>346</v>
      </c>
      <c r="D869" s="33" t="s">
        <v>1222</v>
      </c>
      <c r="E869" s="33" t="s">
        <v>1223</v>
      </c>
      <c r="F869" s="35">
        <v>0.36</v>
      </c>
      <c r="G869" s="40"/>
      <c r="H869" s="40"/>
    </row>
    <row r="870" spans="1:8" hidden="1" x14ac:dyDescent="0.35">
      <c r="A870" s="33">
        <v>869</v>
      </c>
      <c r="B870" s="34" t="s">
        <v>1237</v>
      </c>
      <c r="C870" s="33" t="s">
        <v>346</v>
      </c>
      <c r="D870" s="33" t="s">
        <v>1222</v>
      </c>
      <c r="E870" s="33" t="s">
        <v>1223</v>
      </c>
      <c r="F870" s="35">
        <v>0.6</v>
      </c>
      <c r="G870" s="40"/>
      <c r="H870" s="40"/>
    </row>
    <row r="871" spans="1:8" hidden="1" x14ac:dyDescent="0.35">
      <c r="A871" s="33">
        <v>870</v>
      </c>
      <c r="B871" s="34" t="s">
        <v>1238</v>
      </c>
      <c r="C871" s="33" t="s">
        <v>346</v>
      </c>
      <c r="D871" s="33" t="s">
        <v>1222</v>
      </c>
      <c r="E871" s="33" t="s">
        <v>1223</v>
      </c>
      <c r="F871" s="35">
        <v>0.4</v>
      </c>
      <c r="G871" s="40"/>
      <c r="H871" s="40"/>
    </row>
    <row r="872" spans="1:8" hidden="1" x14ac:dyDescent="0.35">
      <c r="A872" s="33">
        <v>871</v>
      </c>
      <c r="B872" s="34" t="s">
        <v>1239</v>
      </c>
      <c r="C872" s="33" t="s">
        <v>346</v>
      </c>
      <c r="D872" s="33" t="s">
        <v>1222</v>
      </c>
      <c r="E872" s="33" t="s">
        <v>1223</v>
      </c>
      <c r="F872" s="35">
        <v>0.55000000000000004</v>
      </c>
      <c r="G872" s="40"/>
      <c r="H872" s="40"/>
    </row>
    <row r="873" spans="1:8" hidden="1" x14ac:dyDescent="0.35">
      <c r="A873" s="33">
        <v>872</v>
      </c>
      <c r="B873" s="34" t="s">
        <v>1240</v>
      </c>
      <c r="C873" s="33" t="s">
        <v>346</v>
      </c>
      <c r="D873" s="33" t="s">
        <v>1222</v>
      </c>
      <c r="E873" s="33" t="s">
        <v>1223</v>
      </c>
      <c r="F873" s="35">
        <v>0.3</v>
      </c>
      <c r="G873" s="40"/>
      <c r="H873" s="40"/>
    </row>
    <row r="874" spans="1:8" hidden="1" x14ac:dyDescent="0.35">
      <c r="A874" s="33">
        <v>873</v>
      </c>
      <c r="B874" s="34" t="s">
        <v>1241</v>
      </c>
      <c r="C874" s="33" t="s">
        <v>346</v>
      </c>
      <c r="D874" s="33" t="s">
        <v>1222</v>
      </c>
      <c r="E874" s="33" t="s">
        <v>1223</v>
      </c>
      <c r="F874" s="35">
        <v>0.7</v>
      </c>
      <c r="G874" s="40"/>
      <c r="H874" s="40"/>
    </row>
    <row r="875" spans="1:8" hidden="1" x14ac:dyDescent="0.35">
      <c r="A875" s="33">
        <v>874</v>
      </c>
      <c r="B875" s="34" t="s">
        <v>1242</v>
      </c>
      <c r="C875" s="33" t="s">
        <v>346</v>
      </c>
      <c r="D875" s="33" t="s">
        <v>1222</v>
      </c>
      <c r="E875" s="33" t="s">
        <v>1223</v>
      </c>
      <c r="F875" s="35">
        <v>0.3</v>
      </c>
      <c r="G875" s="40"/>
      <c r="H875" s="40"/>
    </row>
    <row r="876" spans="1:8" hidden="1" x14ac:dyDescent="0.35">
      <c r="A876" s="33">
        <v>875</v>
      </c>
      <c r="B876" s="34" t="s">
        <v>1243</v>
      </c>
      <c r="C876" s="33" t="s">
        <v>346</v>
      </c>
      <c r="D876" s="33" t="s">
        <v>1222</v>
      </c>
      <c r="E876" s="33" t="s">
        <v>1223</v>
      </c>
      <c r="F876" s="35">
        <v>0.8</v>
      </c>
      <c r="G876" s="40"/>
      <c r="H876" s="40"/>
    </row>
    <row r="877" spans="1:8" hidden="1" x14ac:dyDescent="0.35">
      <c r="A877" s="33">
        <v>876</v>
      </c>
      <c r="B877" s="34" t="s">
        <v>1244</v>
      </c>
      <c r="C877" s="33" t="s">
        <v>346</v>
      </c>
      <c r="D877" s="33" t="s">
        <v>1222</v>
      </c>
      <c r="E877" s="33" t="s">
        <v>1223</v>
      </c>
      <c r="F877" s="35">
        <v>0.2</v>
      </c>
      <c r="G877" s="40"/>
      <c r="H877" s="40"/>
    </row>
    <row r="878" spans="1:8" hidden="1" x14ac:dyDescent="0.35">
      <c r="A878" s="33">
        <v>877</v>
      </c>
      <c r="B878" s="34" t="s">
        <v>1245</v>
      </c>
      <c r="C878" s="33" t="s">
        <v>346</v>
      </c>
      <c r="D878" s="33" t="s">
        <v>1222</v>
      </c>
      <c r="E878" s="33" t="s">
        <v>1223</v>
      </c>
      <c r="F878" s="35">
        <v>0.3</v>
      </c>
      <c r="G878" s="40"/>
      <c r="H878" s="40"/>
    </row>
    <row r="879" spans="1:8" hidden="1" x14ac:dyDescent="0.35">
      <c r="A879" s="33">
        <v>878</v>
      </c>
      <c r="B879" s="34" t="s">
        <v>1246</v>
      </c>
      <c r="C879" s="33" t="s">
        <v>346</v>
      </c>
      <c r="D879" s="33" t="s">
        <v>1222</v>
      </c>
      <c r="E879" s="33" t="s">
        <v>1223</v>
      </c>
      <c r="F879" s="35">
        <v>0.3</v>
      </c>
      <c r="G879" s="40"/>
      <c r="H879" s="40"/>
    </row>
    <row r="880" spans="1:8" hidden="1" x14ac:dyDescent="0.35">
      <c r="A880" s="33">
        <v>879</v>
      </c>
      <c r="B880" s="34" t="s">
        <v>1247</v>
      </c>
      <c r="C880" s="33" t="s">
        <v>346</v>
      </c>
      <c r="D880" s="33" t="s">
        <v>1222</v>
      </c>
      <c r="E880" s="33" t="s">
        <v>1223</v>
      </c>
      <c r="F880" s="35">
        <v>0.38</v>
      </c>
      <c r="G880" s="40"/>
      <c r="H880" s="40"/>
    </row>
    <row r="881" spans="1:8" hidden="1" x14ac:dyDescent="0.35">
      <c r="A881" s="33">
        <v>880</v>
      </c>
      <c r="B881" s="34" t="s">
        <v>1248</v>
      </c>
      <c r="C881" s="33" t="s">
        <v>346</v>
      </c>
      <c r="D881" s="33" t="s">
        <v>1222</v>
      </c>
      <c r="E881" s="33" t="s">
        <v>1223</v>
      </c>
      <c r="F881" s="35">
        <v>0.55000000000000004</v>
      </c>
      <c r="G881" s="40"/>
      <c r="H881" s="40"/>
    </row>
    <row r="882" spans="1:8" hidden="1" x14ac:dyDescent="0.35">
      <c r="A882" s="33">
        <v>881</v>
      </c>
      <c r="B882" s="34" t="s">
        <v>1249</v>
      </c>
      <c r="C882" s="33" t="s">
        <v>346</v>
      </c>
      <c r="D882" s="33" t="s">
        <v>1222</v>
      </c>
      <c r="E882" s="33" t="s">
        <v>1223</v>
      </c>
      <c r="F882" s="35">
        <v>0.48</v>
      </c>
      <c r="G882" s="40"/>
      <c r="H882" s="40"/>
    </row>
    <row r="883" spans="1:8" hidden="1" x14ac:dyDescent="0.35">
      <c r="A883" s="33">
        <v>882</v>
      </c>
      <c r="B883" s="34" t="s">
        <v>1250</v>
      </c>
      <c r="C883" s="33" t="s">
        <v>346</v>
      </c>
      <c r="D883" s="33" t="s">
        <v>1222</v>
      </c>
      <c r="E883" s="33" t="s">
        <v>1223</v>
      </c>
      <c r="F883" s="35">
        <v>0.5</v>
      </c>
      <c r="G883" s="40"/>
      <c r="H883" s="40"/>
    </row>
    <row r="884" spans="1:8" hidden="1" x14ac:dyDescent="0.35">
      <c r="A884" s="33">
        <v>883</v>
      </c>
      <c r="B884" s="34" t="s">
        <v>1251</v>
      </c>
      <c r="C884" s="33" t="s">
        <v>346</v>
      </c>
      <c r="D884" s="33" t="s">
        <v>1222</v>
      </c>
      <c r="E884" s="33" t="s">
        <v>1223</v>
      </c>
      <c r="F884" s="35">
        <v>0.93</v>
      </c>
      <c r="G884" s="40"/>
      <c r="H884" s="40"/>
    </row>
    <row r="885" spans="1:8" hidden="1" x14ac:dyDescent="0.35">
      <c r="A885" s="33">
        <v>884</v>
      </c>
      <c r="B885" s="34" t="s">
        <v>1252</v>
      </c>
      <c r="C885" s="33" t="s">
        <v>346</v>
      </c>
      <c r="D885" s="33" t="s">
        <v>1222</v>
      </c>
      <c r="E885" s="33" t="s">
        <v>1223</v>
      </c>
      <c r="F885" s="35">
        <v>0.3</v>
      </c>
      <c r="G885" s="40"/>
      <c r="H885" s="40"/>
    </row>
    <row r="886" spans="1:8" hidden="1" x14ac:dyDescent="0.35">
      <c r="A886" s="33">
        <v>885</v>
      </c>
      <c r="B886" s="34" t="s">
        <v>1253</v>
      </c>
      <c r="C886" s="33" t="s">
        <v>346</v>
      </c>
      <c r="D886" s="33" t="s">
        <v>1222</v>
      </c>
      <c r="E886" s="33" t="s">
        <v>1223</v>
      </c>
      <c r="F886" s="35">
        <v>0.6</v>
      </c>
      <c r="G886" s="40"/>
      <c r="H886" s="40"/>
    </row>
    <row r="887" spans="1:8" hidden="1" x14ac:dyDescent="0.35">
      <c r="A887" s="33">
        <v>886</v>
      </c>
      <c r="B887" s="34" t="s">
        <v>1254</v>
      </c>
      <c r="C887" s="33" t="s">
        <v>346</v>
      </c>
      <c r="D887" s="33" t="s">
        <v>1222</v>
      </c>
      <c r="E887" s="33" t="s">
        <v>1223</v>
      </c>
      <c r="F887" s="35">
        <v>1</v>
      </c>
      <c r="G887" s="40"/>
      <c r="H887" s="40"/>
    </row>
    <row r="888" spans="1:8" hidden="1" x14ac:dyDescent="0.35">
      <c r="A888" s="33">
        <v>887</v>
      </c>
      <c r="B888" s="34" t="s">
        <v>1255</v>
      </c>
      <c r="C888" s="33" t="s">
        <v>346</v>
      </c>
      <c r="D888" s="33" t="s">
        <v>1222</v>
      </c>
      <c r="E888" s="33" t="s">
        <v>1223</v>
      </c>
      <c r="F888" s="35">
        <v>0.56000000000000005</v>
      </c>
      <c r="G888" s="40"/>
      <c r="H888" s="40"/>
    </row>
    <row r="889" spans="1:8" hidden="1" x14ac:dyDescent="0.35">
      <c r="A889" s="33">
        <v>888</v>
      </c>
      <c r="B889" s="34" t="s">
        <v>1256</v>
      </c>
      <c r="C889" s="33" t="s">
        <v>346</v>
      </c>
      <c r="D889" s="33" t="s">
        <v>1222</v>
      </c>
      <c r="E889" s="33" t="s">
        <v>1223</v>
      </c>
      <c r="F889" s="35">
        <v>1.26</v>
      </c>
      <c r="G889" s="40"/>
      <c r="H889" s="40"/>
    </row>
    <row r="890" spans="1:8" hidden="1" x14ac:dyDescent="0.35">
      <c r="A890" s="33">
        <v>889</v>
      </c>
      <c r="B890" s="34" t="s">
        <v>1257</v>
      </c>
      <c r="C890" s="33" t="s">
        <v>346</v>
      </c>
      <c r="D890" s="33" t="s">
        <v>1222</v>
      </c>
      <c r="E890" s="33" t="s">
        <v>1223</v>
      </c>
      <c r="F890" s="35">
        <v>0.46</v>
      </c>
      <c r="G890" s="40"/>
      <c r="H890" s="40"/>
    </row>
    <row r="891" spans="1:8" hidden="1" x14ac:dyDescent="0.35">
      <c r="A891" s="33">
        <v>890</v>
      </c>
      <c r="B891" s="34" t="s">
        <v>1258</v>
      </c>
      <c r="C891" s="33" t="s">
        <v>346</v>
      </c>
      <c r="D891" s="33" t="s">
        <v>1222</v>
      </c>
      <c r="E891" s="33" t="s">
        <v>1223</v>
      </c>
      <c r="F891" s="35">
        <v>0.71</v>
      </c>
      <c r="G891" s="40"/>
      <c r="H891" s="40"/>
    </row>
    <row r="892" spans="1:8" hidden="1" x14ac:dyDescent="0.35">
      <c r="A892" s="33">
        <v>891</v>
      </c>
      <c r="B892" s="34" t="s">
        <v>1259</v>
      </c>
      <c r="C892" s="33" t="s">
        <v>346</v>
      </c>
      <c r="D892" s="33" t="s">
        <v>1222</v>
      </c>
      <c r="E892" s="33" t="s">
        <v>1223</v>
      </c>
      <c r="F892" s="35">
        <v>0.8</v>
      </c>
      <c r="G892" s="40"/>
      <c r="H892" s="40"/>
    </row>
    <row r="893" spans="1:8" hidden="1" x14ac:dyDescent="0.35">
      <c r="A893" s="33">
        <v>892</v>
      </c>
      <c r="B893" s="34" t="s">
        <v>1260</v>
      </c>
      <c r="C893" s="33" t="s">
        <v>346</v>
      </c>
      <c r="D893" s="33" t="s">
        <v>1222</v>
      </c>
      <c r="E893" s="33" t="s">
        <v>1223</v>
      </c>
      <c r="F893" s="35">
        <v>0.69</v>
      </c>
      <c r="G893" s="40"/>
      <c r="H893" s="40"/>
    </row>
    <row r="894" spans="1:8" hidden="1" x14ac:dyDescent="0.35">
      <c r="A894" s="33">
        <v>893</v>
      </c>
      <c r="B894" s="34" t="s">
        <v>1261</v>
      </c>
      <c r="C894" s="33" t="s">
        <v>346</v>
      </c>
      <c r="D894" s="33" t="s">
        <v>1222</v>
      </c>
      <c r="E894" s="33" t="s">
        <v>1223</v>
      </c>
      <c r="F894" s="35">
        <v>0.55000000000000004</v>
      </c>
      <c r="G894" s="40"/>
      <c r="H894" s="40"/>
    </row>
    <row r="895" spans="1:8" hidden="1" x14ac:dyDescent="0.35">
      <c r="A895" s="33">
        <v>894</v>
      </c>
      <c r="B895" s="34" t="s">
        <v>1262</v>
      </c>
      <c r="C895" s="33" t="s">
        <v>346</v>
      </c>
      <c r="D895" s="33" t="s">
        <v>1222</v>
      </c>
      <c r="E895" s="33" t="s">
        <v>1223</v>
      </c>
      <c r="F895" s="35">
        <v>2.09</v>
      </c>
      <c r="G895" s="40"/>
      <c r="H895" s="40"/>
    </row>
    <row r="896" spans="1:8" hidden="1" x14ac:dyDescent="0.35">
      <c r="A896" s="33">
        <v>895</v>
      </c>
      <c r="B896" s="34" t="s">
        <v>1263</v>
      </c>
      <c r="C896" s="33" t="s">
        <v>346</v>
      </c>
      <c r="D896" s="33" t="s">
        <v>1222</v>
      </c>
      <c r="E896" s="33" t="s">
        <v>1223</v>
      </c>
      <c r="F896" s="35">
        <v>0.55500000000000005</v>
      </c>
      <c r="G896" s="40"/>
      <c r="H896" s="40"/>
    </row>
    <row r="897" spans="1:8" hidden="1" x14ac:dyDescent="0.35">
      <c r="A897" s="33">
        <v>896</v>
      </c>
      <c r="B897" s="34" t="s">
        <v>1264</v>
      </c>
      <c r="C897" s="33" t="s">
        <v>346</v>
      </c>
      <c r="D897" s="33" t="s">
        <v>1222</v>
      </c>
      <c r="E897" s="33" t="s">
        <v>1223</v>
      </c>
      <c r="F897" s="35">
        <v>0.28000000000000003</v>
      </c>
      <c r="G897" s="40"/>
      <c r="H897" s="40"/>
    </row>
    <row r="898" spans="1:8" hidden="1" x14ac:dyDescent="0.35">
      <c r="A898" s="33">
        <v>897</v>
      </c>
      <c r="B898" s="34" t="s">
        <v>1265</v>
      </c>
      <c r="C898" s="33" t="s">
        <v>346</v>
      </c>
      <c r="D898" s="33" t="s">
        <v>1222</v>
      </c>
      <c r="E898" s="33" t="s">
        <v>1223</v>
      </c>
      <c r="F898" s="35">
        <v>0.19</v>
      </c>
      <c r="G898" s="40"/>
      <c r="H898" s="40"/>
    </row>
    <row r="899" spans="1:8" hidden="1" x14ac:dyDescent="0.35">
      <c r="A899" s="33">
        <v>898</v>
      </c>
      <c r="B899" s="34" t="s">
        <v>1266</v>
      </c>
      <c r="C899" s="33" t="s">
        <v>346</v>
      </c>
      <c r="D899" s="33" t="s">
        <v>1222</v>
      </c>
      <c r="E899" s="33" t="s">
        <v>1223</v>
      </c>
      <c r="F899" s="35">
        <v>0.26800000000000002</v>
      </c>
      <c r="G899" s="40"/>
      <c r="H899" s="40"/>
    </row>
    <row r="900" spans="1:8" hidden="1" x14ac:dyDescent="0.35">
      <c r="A900" s="33">
        <v>899</v>
      </c>
      <c r="B900" s="34" t="s">
        <v>1267</v>
      </c>
      <c r="C900" s="33" t="s">
        <v>346</v>
      </c>
      <c r="D900" s="33" t="s">
        <v>1222</v>
      </c>
      <c r="E900" s="33" t="s">
        <v>1223</v>
      </c>
      <c r="F900" s="35">
        <v>0.3</v>
      </c>
      <c r="G900" s="40"/>
      <c r="H900" s="40"/>
    </row>
    <row r="901" spans="1:8" hidden="1" x14ac:dyDescent="0.35">
      <c r="A901" s="33">
        <v>900</v>
      </c>
      <c r="B901" s="34" t="s">
        <v>1268</v>
      </c>
      <c r="C901" s="33" t="s">
        <v>346</v>
      </c>
      <c r="D901" s="33" t="s">
        <v>1222</v>
      </c>
      <c r="E901" s="33" t="s">
        <v>1223</v>
      </c>
      <c r="F901" s="35">
        <v>0.96</v>
      </c>
      <c r="G901" s="40"/>
      <c r="H901" s="40"/>
    </row>
    <row r="902" spans="1:8" hidden="1" x14ac:dyDescent="0.35">
      <c r="A902" s="33">
        <v>901</v>
      </c>
      <c r="B902" s="34" t="s">
        <v>1269</v>
      </c>
      <c r="C902" s="33" t="s">
        <v>346</v>
      </c>
      <c r="D902" s="33" t="s">
        <v>1222</v>
      </c>
      <c r="E902" s="33" t="s">
        <v>1223</v>
      </c>
      <c r="F902" s="35">
        <v>0.54</v>
      </c>
      <c r="G902" s="40"/>
      <c r="H902" s="40"/>
    </row>
    <row r="903" spans="1:8" hidden="1" x14ac:dyDescent="0.35">
      <c r="A903" s="33">
        <v>902</v>
      </c>
      <c r="B903" s="34" t="s">
        <v>1270</v>
      </c>
      <c r="C903" s="33" t="s">
        <v>346</v>
      </c>
      <c r="D903" s="33" t="s">
        <v>1222</v>
      </c>
      <c r="E903" s="33" t="s">
        <v>1223</v>
      </c>
      <c r="F903" s="35">
        <v>0.5</v>
      </c>
      <c r="G903" s="40"/>
      <c r="H903" s="40"/>
    </row>
    <row r="904" spans="1:8" hidden="1" x14ac:dyDescent="0.35">
      <c r="A904" s="33">
        <v>903</v>
      </c>
      <c r="B904" s="34" t="s">
        <v>1271</v>
      </c>
      <c r="C904" s="33" t="s">
        <v>346</v>
      </c>
      <c r="D904" s="33" t="s">
        <v>1222</v>
      </c>
      <c r="E904" s="33" t="s">
        <v>1223</v>
      </c>
      <c r="F904" s="35">
        <v>0.3</v>
      </c>
      <c r="G904" s="40"/>
      <c r="H904" s="40"/>
    </row>
    <row r="905" spans="1:8" hidden="1" x14ac:dyDescent="0.35">
      <c r="A905" s="33">
        <v>904</v>
      </c>
      <c r="B905" s="34" t="s">
        <v>1272</v>
      </c>
      <c r="C905" s="33" t="s">
        <v>346</v>
      </c>
      <c r="D905" s="33" t="s">
        <v>1222</v>
      </c>
      <c r="E905" s="33" t="s">
        <v>1223</v>
      </c>
      <c r="F905" s="35">
        <v>0.4</v>
      </c>
      <c r="G905" s="40"/>
      <c r="H905" s="40"/>
    </row>
    <row r="906" spans="1:8" hidden="1" x14ac:dyDescent="0.35">
      <c r="A906" s="33">
        <v>905</v>
      </c>
      <c r="B906" s="34" t="s">
        <v>1273</v>
      </c>
      <c r="C906" s="33" t="s">
        <v>346</v>
      </c>
      <c r="D906" s="33" t="s">
        <v>1222</v>
      </c>
      <c r="E906" s="33" t="s">
        <v>1223</v>
      </c>
      <c r="F906" s="35">
        <v>0.3</v>
      </c>
      <c r="G906" s="40"/>
      <c r="H906" s="40"/>
    </row>
    <row r="907" spans="1:8" hidden="1" x14ac:dyDescent="0.35">
      <c r="A907" s="33">
        <v>906</v>
      </c>
      <c r="B907" s="34" t="s">
        <v>1274</v>
      </c>
      <c r="C907" s="33" t="s">
        <v>346</v>
      </c>
      <c r="D907" s="33" t="s">
        <v>1222</v>
      </c>
      <c r="E907" s="33" t="s">
        <v>1223</v>
      </c>
      <c r="F907" s="35">
        <v>0.3</v>
      </c>
      <c r="G907" s="40"/>
      <c r="H907" s="40"/>
    </row>
    <row r="908" spans="1:8" hidden="1" x14ac:dyDescent="0.35">
      <c r="A908" s="33">
        <v>907</v>
      </c>
      <c r="B908" s="34" t="s">
        <v>1275</v>
      </c>
      <c r="C908" s="33" t="s">
        <v>346</v>
      </c>
      <c r="D908" s="33" t="s">
        <v>1222</v>
      </c>
      <c r="E908" s="33" t="s">
        <v>1223</v>
      </c>
      <c r="F908" s="35">
        <v>0.18</v>
      </c>
      <c r="G908" s="40"/>
      <c r="H908" s="40"/>
    </row>
    <row r="909" spans="1:8" hidden="1" x14ac:dyDescent="0.35">
      <c r="A909" s="33">
        <v>908</v>
      </c>
      <c r="B909" s="34" t="s">
        <v>1276</v>
      </c>
      <c r="C909" s="33" t="s">
        <v>346</v>
      </c>
      <c r="D909" s="33" t="s">
        <v>1222</v>
      </c>
      <c r="E909" s="33" t="s">
        <v>1223</v>
      </c>
      <c r="F909" s="35">
        <v>0.6</v>
      </c>
      <c r="G909" s="40"/>
      <c r="H909" s="40"/>
    </row>
    <row r="910" spans="1:8" hidden="1" x14ac:dyDescent="0.35">
      <c r="A910" s="33">
        <v>909</v>
      </c>
      <c r="B910" s="34" t="s">
        <v>1277</v>
      </c>
      <c r="C910" s="33" t="s">
        <v>346</v>
      </c>
      <c r="D910" s="33" t="s">
        <v>1222</v>
      </c>
      <c r="E910" s="33" t="s">
        <v>1223</v>
      </c>
      <c r="F910" s="35">
        <v>0.4</v>
      </c>
      <c r="G910" s="40"/>
      <c r="H910" s="40"/>
    </row>
    <row r="911" spans="1:8" hidden="1" x14ac:dyDescent="0.35">
      <c r="A911" s="33">
        <v>910</v>
      </c>
      <c r="B911" s="34" t="s">
        <v>1278</v>
      </c>
      <c r="C911" s="33" t="s">
        <v>346</v>
      </c>
      <c r="D911" s="33" t="s">
        <v>1222</v>
      </c>
      <c r="E911" s="33" t="s">
        <v>1223</v>
      </c>
      <c r="F911" s="35">
        <v>0.8</v>
      </c>
      <c r="G911" s="40"/>
      <c r="H911" s="40"/>
    </row>
    <row r="912" spans="1:8" hidden="1" x14ac:dyDescent="0.35">
      <c r="A912" s="33">
        <v>911</v>
      </c>
      <c r="B912" s="34" t="s">
        <v>1279</v>
      </c>
      <c r="C912" s="33" t="s">
        <v>346</v>
      </c>
      <c r="D912" s="33" t="s">
        <v>1222</v>
      </c>
      <c r="E912" s="33" t="s">
        <v>1223</v>
      </c>
      <c r="F912" s="35">
        <v>0.8</v>
      </c>
      <c r="G912" s="40"/>
      <c r="H912" s="40"/>
    </row>
    <row r="913" spans="1:8" hidden="1" x14ac:dyDescent="0.35">
      <c r="A913" s="33">
        <v>912</v>
      </c>
      <c r="B913" s="34" t="s">
        <v>1280</v>
      </c>
      <c r="C913" s="33" t="s">
        <v>346</v>
      </c>
      <c r="D913" s="33" t="s">
        <v>1222</v>
      </c>
      <c r="E913" s="33" t="s">
        <v>1223</v>
      </c>
      <c r="F913" s="35">
        <v>1</v>
      </c>
      <c r="G913" s="40"/>
      <c r="H913" s="40"/>
    </row>
    <row r="914" spans="1:8" hidden="1" x14ac:dyDescent="0.35">
      <c r="A914" s="33">
        <v>913</v>
      </c>
      <c r="B914" s="34" t="s">
        <v>1281</v>
      </c>
      <c r="C914" s="33" t="s">
        <v>346</v>
      </c>
      <c r="D914" s="33" t="s">
        <v>1222</v>
      </c>
      <c r="E914" s="33" t="s">
        <v>1223</v>
      </c>
      <c r="F914" s="35">
        <v>0.5</v>
      </c>
      <c r="G914" s="40"/>
      <c r="H914" s="40"/>
    </row>
    <row r="915" spans="1:8" hidden="1" x14ac:dyDescent="0.35">
      <c r="A915" s="33">
        <v>914</v>
      </c>
      <c r="B915" s="34" t="s">
        <v>1282</v>
      </c>
      <c r="C915" s="33" t="s">
        <v>297</v>
      </c>
      <c r="D915" s="33" t="s">
        <v>265</v>
      </c>
      <c r="E915" s="33" t="s">
        <v>1283</v>
      </c>
      <c r="F915" s="35">
        <v>1</v>
      </c>
      <c r="G915" s="40"/>
      <c r="H915" s="40"/>
    </row>
    <row r="916" spans="1:8" hidden="1" x14ac:dyDescent="0.35">
      <c r="A916" s="33">
        <v>915</v>
      </c>
      <c r="B916" s="34" t="s">
        <v>1284</v>
      </c>
      <c r="C916" s="33" t="s">
        <v>297</v>
      </c>
      <c r="D916" s="33" t="s">
        <v>265</v>
      </c>
      <c r="E916" s="33" t="s">
        <v>1283</v>
      </c>
      <c r="F916" s="35">
        <v>1</v>
      </c>
      <c r="G916" s="40"/>
      <c r="H916" s="40"/>
    </row>
    <row r="917" spans="1:8" hidden="1" x14ac:dyDescent="0.35">
      <c r="A917" s="33">
        <v>916</v>
      </c>
      <c r="B917" s="34" t="s">
        <v>1285</v>
      </c>
      <c r="C917" s="33" t="s">
        <v>297</v>
      </c>
      <c r="D917" s="33" t="s">
        <v>265</v>
      </c>
      <c r="E917" s="33" t="s">
        <v>1283</v>
      </c>
      <c r="F917" s="35">
        <v>1</v>
      </c>
      <c r="G917" s="40"/>
      <c r="H917" s="40"/>
    </row>
    <row r="918" spans="1:8" hidden="1" x14ac:dyDescent="0.35">
      <c r="A918" s="33">
        <v>917</v>
      </c>
      <c r="B918" s="34" t="s">
        <v>1286</v>
      </c>
      <c r="C918" s="33" t="s">
        <v>297</v>
      </c>
      <c r="D918" s="33" t="s">
        <v>265</v>
      </c>
      <c r="E918" s="33" t="s">
        <v>344</v>
      </c>
      <c r="F918" s="35">
        <v>1</v>
      </c>
      <c r="G918" s="40"/>
      <c r="H918" s="40"/>
    </row>
    <row r="919" spans="1:8" hidden="1" x14ac:dyDescent="0.35">
      <c r="A919" s="33">
        <v>918</v>
      </c>
      <c r="B919" s="34" t="s">
        <v>1287</v>
      </c>
      <c r="C919" s="33" t="s">
        <v>346</v>
      </c>
      <c r="D919" s="33" t="s">
        <v>265</v>
      </c>
      <c r="E919" s="33" t="s">
        <v>1283</v>
      </c>
      <c r="F919" s="35">
        <v>1</v>
      </c>
      <c r="G919" s="40"/>
      <c r="H919" s="40"/>
    </row>
    <row r="920" spans="1:8" hidden="1" x14ac:dyDescent="0.35">
      <c r="A920" s="33">
        <v>919</v>
      </c>
      <c r="B920" s="34" t="s">
        <v>1288</v>
      </c>
      <c r="C920" s="33" t="s">
        <v>346</v>
      </c>
      <c r="D920" s="33" t="s">
        <v>265</v>
      </c>
      <c r="E920" s="33" t="s">
        <v>1283</v>
      </c>
      <c r="F920" s="35">
        <v>0.125</v>
      </c>
      <c r="G920" s="40"/>
      <c r="H920" s="40"/>
    </row>
    <row r="921" spans="1:8" hidden="1" x14ac:dyDescent="0.35">
      <c r="A921" s="33">
        <v>920</v>
      </c>
      <c r="B921" s="34" t="s">
        <v>1289</v>
      </c>
      <c r="C921" s="33" t="s">
        <v>346</v>
      </c>
      <c r="D921" s="33" t="s">
        <v>265</v>
      </c>
      <c r="E921" s="33" t="s">
        <v>1283</v>
      </c>
      <c r="F921" s="35">
        <v>5.5E-2</v>
      </c>
      <c r="G921" s="40"/>
      <c r="H921" s="40"/>
    </row>
    <row r="922" spans="1:8" hidden="1" x14ac:dyDescent="0.35">
      <c r="A922" s="33">
        <v>921</v>
      </c>
      <c r="B922" s="34" t="s">
        <v>1290</v>
      </c>
      <c r="C922" s="33" t="s">
        <v>346</v>
      </c>
      <c r="D922" s="33" t="s">
        <v>265</v>
      </c>
      <c r="E922" s="33" t="s">
        <v>1283</v>
      </c>
      <c r="F922" s="35">
        <v>0.125</v>
      </c>
      <c r="G922" s="40"/>
      <c r="H922" s="40"/>
    </row>
    <row r="923" spans="1:8" hidden="1" x14ac:dyDescent="0.35">
      <c r="A923" s="33">
        <v>922</v>
      </c>
      <c r="B923" s="34" t="s">
        <v>1291</v>
      </c>
      <c r="C923" s="33" t="s">
        <v>346</v>
      </c>
      <c r="D923" s="33" t="s">
        <v>265</v>
      </c>
      <c r="E923" s="33" t="s">
        <v>1283</v>
      </c>
      <c r="F923" s="35">
        <v>5.5E-2</v>
      </c>
      <c r="G923" s="40"/>
      <c r="H923" s="40"/>
    </row>
    <row r="924" spans="1:8" hidden="1" x14ac:dyDescent="0.35">
      <c r="A924" s="33">
        <v>923</v>
      </c>
      <c r="B924" s="34" t="s">
        <v>1292</v>
      </c>
      <c r="C924" s="33" t="s">
        <v>346</v>
      </c>
      <c r="D924" s="33" t="s">
        <v>265</v>
      </c>
      <c r="E924" s="33" t="s">
        <v>1283</v>
      </c>
      <c r="F924" s="35">
        <v>0.125</v>
      </c>
      <c r="G924" s="40"/>
      <c r="H924" s="40"/>
    </row>
    <row r="925" spans="1:8" hidden="1" x14ac:dyDescent="0.35">
      <c r="A925" s="33">
        <v>924</v>
      </c>
      <c r="B925" s="34" t="s">
        <v>1293</v>
      </c>
      <c r="C925" s="33" t="s">
        <v>346</v>
      </c>
      <c r="D925" s="33" t="s">
        <v>265</v>
      </c>
      <c r="E925" s="33" t="s">
        <v>1283</v>
      </c>
      <c r="F925" s="35">
        <v>5.5E-2</v>
      </c>
      <c r="G925" s="40"/>
      <c r="H925" s="40"/>
    </row>
    <row r="926" spans="1:8" hidden="1" x14ac:dyDescent="0.35">
      <c r="A926" s="33">
        <v>925</v>
      </c>
      <c r="B926" s="34" t="s">
        <v>1294</v>
      </c>
      <c r="C926" s="33" t="s">
        <v>346</v>
      </c>
      <c r="D926" s="33" t="s">
        <v>265</v>
      </c>
      <c r="E926" s="33" t="s">
        <v>1283</v>
      </c>
      <c r="F926" s="35">
        <v>0.25</v>
      </c>
      <c r="G926" s="40"/>
      <c r="H926" s="40"/>
    </row>
    <row r="927" spans="1:8" hidden="1" x14ac:dyDescent="0.35">
      <c r="A927" s="33">
        <v>926</v>
      </c>
      <c r="B927" s="34" t="s">
        <v>1295</v>
      </c>
      <c r="C927" s="33" t="s">
        <v>346</v>
      </c>
      <c r="D927" s="33" t="s">
        <v>265</v>
      </c>
      <c r="E927" s="33" t="s">
        <v>1283</v>
      </c>
      <c r="F927" s="35">
        <v>0.125</v>
      </c>
      <c r="G927" s="40"/>
      <c r="H927" s="40"/>
    </row>
    <row r="928" spans="1:8" hidden="1" x14ac:dyDescent="0.35">
      <c r="A928" s="33">
        <v>927</v>
      </c>
      <c r="B928" s="34" t="s">
        <v>1296</v>
      </c>
      <c r="C928" s="33" t="s">
        <v>346</v>
      </c>
      <c r="D928" s="33" t="s">
        <v>265</v>
      </c>
      <c r="E928" s="33" t="s">
        <v>1283</v>
      </c>
      <c r="F928" s="35">
        <v>5.5E-2</v>
      </c>
      <c r="G928" s="40"/>
      <c r="H928" s="40"/>
    </row>
    <row r="929" spans="1:8" hidden="1" x14ac:dyDescent="0.35">
      <c r="A929" s="33">
        <v>928</v>
      </c>
      <c r="B929" s="34" t="s">
        <v>1297</v>
      </c>
      <c r="C929" s="33" t="s">
        <v>346</v>
      </c>
      <c r="D929" s="33" t="s">
        <v>265</v>
      </c>
      <c r="E929" s="33" t="s">
        <v>1283</v>
      </c>
      <c r="F929" s="35">
        <v>0.125</v>
      </c>
      <c r="G929" s="40"/>
      <c r="H929" s="40"/>
    </row>
    <row r="930" spans="1:8" hidden="1" x14ac:dyDescent="0.35">
      <c r="A930" s="33">
        <v>929</v>
      </c>
      <c r="B930" s="34" t="s">
        <v>1298</v>
      </c>
      <c r="C930" s="33" t="s">
        <v>346</v>
      </c>
      <c r="D930" s="33" t="s">
        <v>265</v>
      </c>
      <c r="E930" s="33" t="s">
        <v>1283</v>
      </c>
      <c r="F930" s="35">
        <v>5.5E-2</v>
      </c>
      <c r="G930" s="40"/>
      <c r="H930" s="40"/>
    </row>
    <row r="931" spans="1:8" hidden="1" x14ac:dyDescent="0.35">
      <c r="A931" s="33">
        <v>930</v>
      </c>
      <c r="B931" s="34" t="s">
        <v>1299</v>
      </c>
      <c r="C931" s="33" t="s">
        <v>346</v>
      </c>
      <c r="D931" s="33" t="s">
        <v>265</v>
      </c>
      <c r="E931" s="33" t="s">
        <v>1283</v>
      </c>
      <c r="F931" s="35">
        <v>0.125</v>
      </c>
      <c r="G931" s="40"/>
      <c r="H931" s="40"/>
    </row>
    <row r="932" spans="1:8" hidden="1" x14ac:dyDescent="0.35">
      <c r="A932" s="33">
        <v>931</v>
      </c>
      <c r="B932" s="34" t="s">
        <v>1300</v>
      </c>
      <c r="C932" s="33" t="s">
        <v>346</v>
      </c>
      <c r="D932" s="33" t="s">
        <v>265</v>
      </c>
      <c r="E932" s="33" t="s">
        <v>1283</v>
      </c>
      <c r="F932" s="35">
        <v>5.5E-2</v>
      </c>
      <c r="G932" s="40"/>
      <c r="H932" s="40"/>
    </row>
    <row r="933" spans="1:8" hidden="1" x14ac:dyDescent="0.35">
      <c r="A933" s="33">
        <v>932</v>
      </c>
      <c r="B933" s="34" t="s">
        <v>1301</v>
      </c>
      <c r="C933" s="33" t="s">
        <v>346</v>
      </c>
      <c r="D933" s="33" t="s">
        <v>265</v>
      </c>
      <c r="E933" s="33" t="s">
        <v>1283</v>
      </c>
      <c r="F933" s="35">
        <v>1</v>
      </c>
      <c r="G933" s="40"/>
      <c r="H933" s="40"/>
    </row>
    <row r="934" spans="1:8" hidden="1" x14ac:dyDescent="0.35">
      <c r="A934" s="33">
        <v>933</v>
      </c>
      <c r="B934" s="34" t="s">
        <v>1302</v>
      </c>
      <c r="C934" s="33" t="s">
        <v>346</v>
      </c>
      <c r="D934" s="33" t="s">
        <v>265</v>
      </c>
      <c r="E934" s="33" t="s">
        <v>1283</v>
      </c>
      <c r="F934" s="35">
        <v>0.1</v>
      </c>
      <c r="G934" s="40"/>
      <c r="H934" s="40"/>
    </row>
    <row r="935" spans="1:8" hidden="1" x14ac:dyDescent="0.35">
      <c r="A935" s="33">
        <v>934</v>
      </c>
      <c r="B935" s="34" t="s">
        <v>1303</v>
      </c>
      <c r="C935" s="33" t="s">
        <v>346</v>
      </c>
      <c r="D935" s="33" t="s">
        <v>265</v>
      </c>
      <c r="E935" s="33" t="s">
        <v>1283</v>
      </c>
      <c r="F935" s="35">
        <v>0.1</v>
      </c>
      <c r="G935" s="40"/>
      <c r="H935" s="40"/>
    </row>
    <row r="936" spans="1:8" hidden="1" x14ac:dyDescent="0.35">
      <c r="A936" s="33">
        <v>935</v>
      </c>
      <c r="B936" s="34" t="s">
        <v>1304</v>
      </c>
      <c r="C936" s="33" t="s">
        <v>346</v>
      </c>
      <c r="D936" s="33" t="s">
        <v>265</v>
      </c>
      <c r="E936" s="33" t="s">
        <v>1283</v>
      </c>
      <c r="F936" s="35">
        <v>0.1</v>
      </c>
      <c r="G936" s="40"/>
      <c r="H936" s="40"/>
    </row>
    <row r="937" spans="1:8" hidden="1" x14ac:dyDescent="0.35">
      <c r="A937" s="33">
        <v>936</v>
      </c>
      <c r="B937" s="34" t="s">
        <v>1305</v>
      </c>
      <c r="C937" s="33" t="s">
        <v>346</v>
      </c>
      <c r="D937" s="33" t="s">
        <v>265</v>
      </c>
      <c r="E937" s="33" t="s">
        <v>1283</v>
      </c>
      <c r="F937" s="35">
        <v>0.1</v>
      </c>
      <c r="G937" s="40"/>
      <c r="H937" s="40"/>
    </row>
    <row r="938" spans="1:8" hidden="1" x14ac:dyDescent="0.35">
      <c r="A938" s="33">
        <v>937</v>
      </c>
      <c r="B938" s="34" t="s">
        <v>1306</v>
      </c>
      <c r="C938" s="33" t="s">
        <v>346</v>
      </c>
      <c r="D938" s="33" t="s">
        <v>265</v>
      </c>
      <c r="E938" s="33" t="s">
        <v>1283</v>
      </c>
      <c r="F938" s="35">
        <v>2.5000000000000001E-2</v>
      </c>
      <c r="G938" s="40"/>
      <c r="H938" s="40"/>
    </row>
    <row r="939" spans="1:8" hidden="1" x14ac:dyDescent="0.35">
      <c r="A939" s="33">
        <v>938</v>
      </c>
      <c r="B939" s="34" t="s">
        <v>1307</v>
      </c>
      <c r="C939" s="33" t="s">
        <v>346</v>
      </c>
      <c r="D939" s="33" t="s">
        <v>265</v>
      </c>
      <c r="E939" s="33" t="s">
        <v>1283</v>
      </c>
      <c r="F939" s="35">
        <v>2.5000000000000001E-2</v>
      </c>
      <c r="G939" s="40"/>
      <c r="H939" s="40"/>
    </row>
    <row r="940" spans="1:8" hidden="1" x14ac:dyDescent="0.35">
      <c r="A940" s="33">
        <v>939</v>
      </c>
      <c r="B940" s="34" t="s">
        <v>1308</v>
      </c>
      <c r="C940" s="33" t="s">
        <v>346</v>
      </c>
      <c r="D940" s="33" t="s">
        <v>265</v>
      </c>
      <c r="E940" s="33" t="s">
        <v>1283</v>
      </c>
      <c r="F940" s="35">
        <v>2.5000000000000001E-2</v>
      </c>
      <c r="G940" s="40"/>
      <c r="H940" s="40"/>
    </row>
    <row r="941" spans="1:8" hidden="1" x14ac:dyDescent="0.35">
      <c r="A941" s="33">
        <v>940</v>
      </c>
      <c r="B941" s="34" t="s">
        <v>1309</v>
      </c>
      <c r="C941" s="33" t="s">
        <v>346</v>
      </c>
      <c r="D941" s="33" t="s">
        <v>265</v>
      </c>
      <c r="E941" s="33" t="s">
        <v>1283</v>
      </c>
      <c r="F941" s="35">
        <v>2.5000000000000001E-2</v>
      </c>
      <c r="G941" s="40"/>
      <c r="H941" s="40"/>
    </row>
    <row r="942" spans="1:8" hidden="1" x14ac:dyDescent="0.35">
      <c r="A942" s="33">
        <v>941</v>
      </c>
      <c r="B942" s="34" t="s">
        <v>1310</v>
      </c>
      <c r="C942" s="33" t="s">
        <v>346</v>
      </c>
      <c r="D942" s="33" t="s">
        <v>265</v>
      </c>
      <c r="E942" s="33" t="s">
        <v>1283</v>
      </c>
      <c r="F942" s="35">
        <v>1</v>
      </c>
      <c r="G942" s="40"/>
      <c r="H942" s="40"/>
    </row>
    <row r="943" spans="1:8" hidden="1" x14ac:dyDescent="0.35">
      <c r="A943" s="33">
        <v>942</v>
      </c>
      <c r="B943" s="34" t="s">
        <v>1311</v>
      </c>
      <c r="C943" s="33" t="s">
        <v>346</v>
      </c>
      <c r="D943" s="33" t="s">
        <v>265</v>
      </c>
      <c r="E943" s="33" t="s">
        <v>1283</v>
      </c>
      <c r="F943" s="35">
        <v>7.4999999999999997E-2</v>
      </c>
      <c r="G943" s="40"/>
      <c r="H943" s="40"/>
    </row>
    <row r="944" spans="1:8" hidden="1" x14ac:dyDescent="0.35">
      <c r="A944" s="33">
        <v>943</v>
      </c>
      <c r="B944" s="34" t="s">
        <v>1312</v>
      </c>
      <c r="C944" s="33" t="s">
        <v>346</v>
      </c>
      <c r="D944" s="33" t="s">
        <v>265</v>
      </c>
      <c r="E944" s="33" t="s">
        <v>1283</v>
      </c>
      <c r="F944" s="35">
        <v>7.4999999999999997E-2</v>
      </c>
      <c r="G944" s="40"/>
      <c r="H944" s="40"/>
    </row>
    <row r="945" spans="1:9" hidden="1" x14ac:dyDescent="0.35">
      <c r="A945" s="33">
        <v>944</v>
      </c>
      <c r="B945" s="34" t="s">
        <v>1313</v>
      </c>
      <c r="C945" s="33" t="s">
        <v>346</v>
      </c>
      <c r="D945" s="33" t="s">
        <v>265</v>
      </c>
      <c r="E945" s="33" t="s">
        <v>1283</v>
      </c>
      <c r="F945" s="35">
        <v>1</v>
      </c>
      <c r="G945" s="40"/>
      <c r="H945" s="40"/>
    </row>
    <row r="946" spans="1:9" hidden="1" x14ac:dyDescent="0.35">
      <c r="A946" s="33">
        <v>945</v>
      </c>
      <c r="B946" s="34" t="s">
        <v>1314</v>
      </c>
      <c r="C946" s="33" t="s">
        <v>346</v>
      </c>
      <c r="D946" s="33" t="s">
        <v>265</v>
      </c>
      <c r="E946" s="33" t="s">
        <v>1283</v>
      </c>
      <c r="F946" s="35">
        <v>7.4999999999999997E-2</v>
      </c>
      <c r="G946" s="40"/>
      <c r="H946" s="40"/>
    </row>
    <row r="947" spans="1:9" hidden="1" x14ac:dyDescent="0.35">
      <c r="A947" s="33">
        <v>946</v>
      </c>
      <c r="B947" s="34" t="s">
        <v>1315</v>
      </c>
      <c r="C947" s="33" t="s">
        <v>346</v>
      </c>
      <c r="D947" s="33" t="s">
        <v>265</v>
      </c>
      <c r="E947" s="33" t="s">
        <v>1283</v>
      </c>
      <c r="F947" s="35">
        <v>1</v>
      </c>
      <c r="G947" s="40"/>
      <c r="H947" s="40"/>
    </row>
    <row r="948" spans="1:9" hidden="1" x14ac:dyDescent="0.35">
      <c r="A948" s="33">
        <v>947</v>
      </c>
      <c r="B948" s="34" t="s">
        <v>1316</v>
      </c>
      <c r="C948" s="33" t="s">
        <v>346</v>
      </c>
      <c r="D948" s="33" t="s">
        <v>265</v>
      </c>
      <c r="E948" s="33" t="s">
        <v>1283</v>
      </c>
      <c r="F948" s="35">
        <v>1</v>
      </c>
      <c r="G948" s="40"/>
      <c r="H948" s="40"/>
    </row>
    <row r="949" spans="1:9" hidden="1" x14ac:dyDescent="0.35">
      <c r="A949" s="33">
        <v>948</v>
      </c>
      <c r="B949" s="34" t="s">
        <v>1317</v>
      </c>
      <c r="C949" s="33" t="s">
        <v>346</v>
      </c>
      <c r="D949" s="33" t="s">
        <v>265</v>
      </c>
      <c r="E949" s="33" t="s">
        <v>1283</v>
      </c>
      <c r="F949" s="35">
        <v>0.05</v>
      </c>
      <c r="G949" s="40"/>
      <c r="H949" s="40"/>
    </row>
    <row r="950" spans="1:9" hidden="1" x14ac:dyDescent="0.35">
      <c r="A950" s="33">
        <v>949</v>
      </c>
      <c r="B950" s="34" t="s">
        <v>1318</v>
      </c>
      <c r="C950" s="33" t="s">
        <v>346</v>
      </c>
      <c r="D950" s="33" t="s">
        <v>265</v>
      </c>
      <c r="E950" s="33" t="s">
        <v>1283</v>
      </c>
      <c r="F950" s="35">
        <v>7.4999999999999997E-2</v>
      </c>
      <c r="G950" s="40"/>
      <c r="H950" s="40"/>
    </row>
    <row r="951" spans="1:9" hidden="1" x14ac:dyDescent="0.35">
      <c r="A951" s="33">
        <v>950</v>
      </c>
      <c r="B951" s="34" t="s">
        <v>1319</v>
      </c>
      <c r="C951" s="33" t="s">
        <v>346</v>
      </c>
      <c r="D951" s="33" t="s">
        <v>265</v>
      </c>
      <c r="E951" s="33" t="s">
        <v>1283</v>
      </c>
      <c r="F951" s="35">
        <v>1</v>
      </c>
      <c r="G951" s="40"/>
      <c r="H951" s="40"/>
    </row>
    <row r="952" spans="1:9" hidden="1" x14ac:dyDescent="0.35">
      <c r="A952" s="33">
        <v>951</v>
      </c>
      <c r="B952" s="34" t="s">
        <v>1320</v>
      </c>
      <c r="C952" s="33" t="s">
        <v>346</v>
      </c>
      <c r="D952" s="33" t="s">
        <v>265</v>
      </c>
      <c r="E952" s="33" t="s">
        <v>1283</v>
      </c>
      <c r="F952" s="35">
        <v>0.05</v>
      </c>
      <c r="G952" s="40"/>
      <c r="H952" s="40"/>
    </row>
    <row r="953" spans="1:9" hidden="1" x14ac:dyDescent="0.35">
      <c r="A953" s="33">
        <v>952</v>
      </c>
      <c r="B953" s="34" t="s">
        <v>1321</v>
      </c>
      <c r="C953" s="33" t="s">
        <v>346</v>
      </c>
      <c r="D953" s="33" t="s">
        <v>265</v>
      </c>
      <c r="E953" s="33" t="s">
        <v>1283</v>
      </c>
      <c r="F953" s="35">
        <v>1</v>
      </c>
      <c r="G953" s="40"/>
      <c r="H953" s="40"/>
    </row>
    <row r="954" spans="1:9" x14ac:dyDescent="0.35">
      <c r="A954" s="33">
        <v>953</v>
      </c>
      <c r="B954" s="34" t="s">
        <v>1322</v>
      </c>
      <c r="C954" s="33" t="s">
        <v>346</v>
      </c>
      <c r="D954" s="33" t="s">
        <v>265</v>
      </c>
      <c r="E954" s="33" t="s">
        <v>1283</v>
      </c>
      <c r="F954" s="35">
        <v>5.5E-2</v>
      </c>
      <c r="G954" s="40"/>
      <c r="H954" s="40">
        <v>0.5</v>
      </c>
      <c r="I954" s="40" t="s">
        <v>2303</v>
      </c>
    </row>
    <row r="955" spans="1:9" hidden="1" x14ac:dyDescent="0.35">
      <c r="A955" s="41">
        <v>954</v>
      </c>
      <c r="B955" s="42" t="s">
        <v>1323</v>
      </c>
      <c r="C955" s="41" t="s">
        <v>346</v>
      </c>
      <c r="D955" s="41" t="s">
        <v>265</v>
      </c>
      <c r="E955" s="41" t="s">
        <v>1283</v>
      </c>
      <c r="F955" s="43">
        <v>2.5000000000000001E-2</v>
      </c>
      <c r="G955" s="44"/>
      <c r="H955" s="44"/>
    </row>
    <row r="956" spans="1:9" hidden="1" x14ac:dyDescent="0.35">
      <c r="A956" s="33">
        <v>955</v>
      </c>
      <c r="B956" s="34" t="s">
        <v>1324</v>
      </c>
      <c r="C956" s="33" t="s">
        <v>346</v>
      </c>
      <c r="D956" s="33" t="s">
        <v>265</v>
      </c>
      <c r="E956" s="33" t="s">
        <v>1283</v>
      </c>
      <c r="F956" s="35">
        <v>2.5000000000000001E-2</v>
      </c>
      <c r="G956" s="40"/>
      <c r="H956" s="40"/>
    </row>
    <row r="957" spans="1:9" hidden="1" x14ac:dyDescent="0.35">
      <c r="A957" s="33">
        <v>956</v>
      </c>
      <c r="B957" s="34" t="s">
        <v>1325</v>
      </c>
      <c r="C957" s="33" t="s">
        <v>346</v>
      </c>
      <c r="D957" s="33" t="s">
        <v>265</v>
      </c>
      <c r="E957" s="33" t="s">
        <v>1283</v>
      </c>
      <c r="F957" s="35">
        <v>2.5000000000000001E-2</v>
      </c>
      <c r="G957" s="40"/>
      <c r="H957" s="40"/>
    </row>
    <row r="958" spans="1:9" hidden="1" x14ac:dyDescent="0.35">
      <c r="A958" s="33">
        <v>957</v>
      </c>
      <c r="B958" s="34" t="s">
        <v>1326</v>
      </c>
      <c r="C958" s="33" t="s">
        <v>346</v>
      </c>
      <c r="D958" s="33" t="s">
        <v>265</v>
      </c>
      <c r="E958" s="33" t="s">
        <v>1283</v>
      </c>
      <c r="F958" s="35">
        <v>2.5000000000000001E-2</v>
      </c>
      <c r="G958" s="40"/>
      <c r="H958" s="40"/>
    </row>
    <row r="959" spans="1:9" hidden="1" x14ac:dyDescent="0.35">
      <c r="A959" s="33">
        <v>958</v>
      </c>
      <c r="B959" s="34" t="s">
        <v>1327</v>
      </c>
      <c r="C959" s="33" t="s">
        <v>346</v>
      </c>
      <c r="D959" s="33" t="s">
        <v>265</v>
      </c>
      <c r="E959" s="33" t="s">
        <v>1283</v>
      </c>
      <c r="F959" s="35">
        <v>1</v>
      </c>
      <c r="G959" s="40"/>
      <c r="H959" s="40"/>
    </row>
    <row r="960" spans="1:9" hidden="1" x14ac:dyDescent="0.35">
      <c r="A960" s="33">
        <v>959</v>
      </c>
      <c r="B960" s="34" t="s">
        <v>1328</v>
      </c>
      <c r="C960" s="33" t="s">
        <v>297</v>
      </c>
      <c r="D960" s="33" t="s">
        <v>22</v>
      </c>
      <c r="E960" s="33" t="s">
        <v>561</v>
      </c>
      <c r="F960" s="35">
        <v>1</v>
      </c>
      <c r="G960" s="40"/>
      <c r="H960" s="40"/>
    </row>
    <row r="961" spans="1:8" hidden="1" x14ac:dyDescent="0.35">
      <c r="A961" s="33">
        <v>960</v>
      </c>
      <c r="B961" s="34" t="s">
        <v>1329</v>
      </c>
      <c r="C961" s="33" t="s">
        <v>297</v>
      </c>
      <c r="D961" s="33" t="s">
        <v>22</v>
      </c>
      <c r="E961" s="33" t="s">
        <v>561</v>
      </c>
      <c r="F961" s="35">
        <v>1</v>
      </c>
      <c r="G961" s="40"/>
      <c r="H961" s="40"/>
    </row>
    <row r="962" spans="1:8" hidden="1" x14ac:dyDescent="0.35">
      <c r="A962" s="33">
        <v>961</v>
      </c>
      <c r="B962" s="34" t="s">
        <v>1330</v>
      </c>
      <c r="C962" s="33" t="s">
        <v>297</v>
      </c>
      <c r="D962" s="33" t="s">
        <v>22</v>
      </c>
      <c r="E962" s="33" t="s">
        <v>561</v>
      </c>
      <c r="F962" s="35">
        <v>1</v>
      </c>
      <c r="G962" s="40"/>
      <c r="H962" s="40"/>
    </row>
    <row r="963" spans="1:8" hidden="1" x14ac:dyDescent="0.35">
      <c r="A963" s="33">
        <v>962</v>
      </c>
      <c r="B963" s="34" t="s">
        <v>1331</v>
      </c>
      <c r="C963" s="33" t="s">
        <v>297</v>
      </c>
      <c r="D963" s="33" t="s">
        <v>22</v>
      </c>
      <c r="E963" s="33" t="s">
        <v>561</v>
      </c>
      <c r="F963" s="35">
        <v>1</v>
      </c>
      <c r="G963" s="40"/>
      <c r="H963" s="40"/>
    </row>
    <row r="964" spans="1:8" hidden="1" x14ac:dyDescent="0.35">
      <c r="A964" s="33">
        <v>963</v>
      </c>
      <c r="B964" s="34" t="s">
        <v>1332</v>
      </c>
      <c r="C964" s="33" t="s">
        <v>297</v>
      </c>
      <c r="D964" s="33" t="s">
        <v>22</v>
      </c>
      <c r="E964" s="33" t="s">
        <v>561</v>
      </c>
      <c r="F964" s="35">
        <v>1</v>
      </c>
      <c r="G964" s="40"/>
      <c r="H964" s="40"/>
    </row>
    <row r="965" spans="1:8" hidden="1" x14ac:dyDescent="0.35">
      <c r="A965" s="33">
        <v>964</v>
      </c>
      <c r="B965" s="34" t="s">
        <v>1333</v>
      </c>
      <c r="C965" s="33" t="s">
        <v>297</v>
      </c>
      <c r="D965" s="33" t="s">
        <v>22</v>
      </c>
      <c r="E965" s="33" t="s">
        <v>561</v>
      </c>
      <c r="F965" s="35">
        <v>1</v>
      </c>
      <c r="G965" s="40"/>
      <c r="H965" s="40"/>
    </row>
    <row r="966" spans="1:8" hidden="1" x14ac:dyDescent="0.35">
      <c r="A966" s="33">
        <v>965</v>
      </c>
      <c r="B966" s="34" t="s">
        <v>1334</v>
      </c>
      <c r="C966" s="33" t="s">
        <v>297</v>
      </c>
      <c r="D966" s="33" t="s">
        <v>22</v>
      </c>
      <c r="E966" s="33" t="s">
        <v>561</v>
      </c>
      <c r="F966" s="35">
        <v>1</v>
      </c>
      <c r="G966" s="40"/>
      <c r="H966" s="40"/>
    </row>
    <row r="967" spans="1:8" hidden="1" x14ac:dyDescent="0.35">
      <c r="A967" s="33">
        <v>966</v>
      </c>
      <c r="B967" s="34" t="s">
        <v>1335</v>
      </c>
      <c r="C967" s="33" t="s">
        <v>297</v>
      </c>
      <c r="D967" s="33" t="s">
        <v>22</v>
      </c>
      <c r="E967" s="33" t="s">
        <v>561</v>
      </c>
      <c r="F967" s="35">
        <v>1</v>
      </c>
      <c r="G967" s="40"/>
      <c r="H967" s="40"/>
    </row>
    <row r="968" spans="1:8" hidden="1" x14ac:dyDescent="0.35">
      <c r="A968" s="33">
        <v>967</v>
      </c>
      <c r="B968" s="34" t="s">
        <v>1336</v>
      </c>
      <c r="C968" s="33" t="s">
        <v>297</v>
      </c>
      <c r="D968" s="33" t="s">
        <v>22</v>
      </c>
      <c r="E968" s="33" t="s">
        <v>561</v>
      </c>
      <c r="F968" s="35">
        <v>1</v>
      </c>
      <c r="G968" s="40"/>
      <c r="H968" s="40"/>
    </row>
    <row r="969" spans="1:8" hidden="1" x14ac:dyDescent="0.35">
      <c r="A969" s="33">
        <v>968</v>
      </c>
      <c r="B969" s="34" t="s">
        <v>1337</v>
      </c>
      <c r="C969" s="33" t="s">
        <v>297</v>
      </c>
      <c r="D969" s="33" t="s">
        <v>22</v>
      </c>
      <c r="E969" s="33" t="s">
        <v>561</v>
      </c>
      <c r="F969" s="35">
        <v>1</v>
      </c>
      <c r="G969" s="40"/>
      <c r="H969" s="40"/>
    </row>
    <row r="970" spans="1:8" hidden="1" x14ac:dyDescent="0.35">
      <c r="A970" s="33">
        <v>969</v>
      </c>
      <c r="B970" s="34" t="s">
        <v>1338</v>
      </c>
      <c r="C970" s="33" t="s">
        <v>297</v>
      </c>
      <c r="D970" s="33" t="s">
        <v>22</v>
      </c>
      <c r="E970" s="33" t="s">
        <v>561</v>
      </c>
      <c r="F970" s="35">
        <v>1</v>
      </c>
      <c r="G970" s="40"/>
      <c r="H970" s="40"/>
    </row>
    <row r="971" spans="1:8" hidden="1" x14ac:dyDescent="0.35">
      <c r="A971" s="33">
        <v>970</v>
      </c>
      <c r="B971" s="34" t="s">
        <v>1339</v>
      </c>
      <c r="C971" s="33" t="s">
        <v>297</v>
      </c>
      <c r="D971" s="33" t="s">
        <v>22</v>
      </c>
      <c r="E971" s="33" t="s">
        <v>561</v>
      </c>
      <c r="F971" s="35">
        <v>1</v>
      </c>
      <c r="G971" s="40"/>
      <c r="H971" s="40"/>
    </row>
    <row r="972" spans="1:8" hidden="1" x14ac:dyDescent="0.35">
      <c r="A972" s="33">
        <v>971</v>
      </c>
      <c r="B972" s="34" t="s">
        <v>1340</v>
      </c>
      <c r="C972" s="33" t="s">
        <v>297</v>
      </c>
      <c r="D972" s="33" t="s">
        <v>22</v>
      </c>
      <c r="E972" s="33" t="s">
        <v>561</v>
      </c>
      <c r="F972" s="35">
        <v>1</v>
      </c>
      <c r="G972" s="40"/>
      <c r="H972" s="40"/>
    </row>
    <row r="973" spans="1:8" hidden="1" x14ac:dyDescent="0.35">
      <c r="A973" s="33">
        <v>972</v>
      </c>
      <c r="B973" s="34" t="s">
        <v>1341</v>
      </c>
      <c r="C973" s="33" t="s">
        <v>297</v>
      </c>
      <c r="D973" s="33" t="s">
        <v>22</v>
      </c>
      <c r="E973" s="33" t="s">
        <v>561</v>
      </c>
      <c r="F973" s="35">
        <v>1</v>
      </c>
      <c r="G973" s="40"/>
      <c r="H973" s="40"/>
    </row>
    <row r="974" spans="1:8" hidden="1" x14ac:dyDescent="0.35">
      <c r="A974" s="33">
        <v>973</v>
      </c>
      <c r="B974" s="34" t="s">
        <v>1342</v>
      </c>
      <c r="C974" s="33" t="s">
        <v>297</v>
      </c>
      <c r="D974" s="33" t="s">
        <v>22</v>
      </c>
      <c r="E974" s="33" t="s">
        <v>561</v>
      </c>
      <c r="F974" s="35">
        <v>1</v>
      </c>
      <c r="G974" s="40"/>
      <c r="H974" s="40"/>
    </row>
    <row r="975" spans="1:8" hidden="1" x14ac:dyDescent="0.35">
      <c r="A975" s="33">
        <v>974</v>
      </c>
      <c r="B975" s="34" t="s">
        <v>1343</v>
      </c>
      <c r="C975" s="33" t="s">
        <v>297</v>
      </c>
      <c r="D975" s="33" t="s">
        <v>22</v>
      </c>
      <c r="E975" s="33" t="s">
        <v>1344</v>
      </c>
      <c r="F975" s="35">
        <v>1</v>
      </c>
      <c r="G975" s="40"/>
      <c r="H975" s="40"/>
    </row>
    <row r="976" spans="1:8" hidden="1" x14ac:dyDescent="0.35">
      <c r="A976" s="33">
        <v>975</v>
      </c>
      <c r="B976" s="34" t="s">
        <v>1345</v>
      </c>
      <c r="C976" s="33" t="s">
        <v>297</v>
      </c>
      <c r="D976" s="33" t="s">
        <v>22</v>
      </c>
      <c r="E976" s="33" t="s">
        <v>1344</v>
      </c>
      <c r="F976" s="35">
        <v>1</v>
      </c>
      <c r="G976" s="40"/>
      <c r="H976" s="40"/>
    </row>
    <row r="977" spans="1:8" hidden="1" x14ac:dyDescent="0.35">
      <c r="A977" s="33">
        <v>976</v>
      </c>
      <c r="B977" s="34" t="s">
        <v>1346</v>
      </c>
      <c r="C977" s="33" t="s">
        <v>297</v>
      </c>
      <c r="D977" s="33" t="s">
        <v>22</v>
      </c>
      <c r="E977" s="33" t="s">
        <v>1344</v>
      </c>
      <c r="F977" s="35">
        <v>1</v>
      </c>
      <c r="G977" s="40"/>
      <c r="H977" s="40"/>
    </row>
    <row r="978" spans="1:8" hidden="1" x14ac:dyDescent="0.35">
      <c r="A978" s="33">
        <v>977</v>
      </c>
      <c r="B978" s="34" t="s">
        <v>1347</v>
      </c>
      <c r="C978" s="33" t="s">
        <v>297</v>
      </c>
      <c r="D978" s="33" t="s">
        <v>22</v>
      </c>
      <c r="E978" s="33" t="s">
        <v>1344</v>
      </c>
      <c r="F978" s="35">
        <v>1</v>
      </c>
      <c r="G978" s="40"/>
      <c r="H978" s="40"/>
    </row>
    <row r="979" spans="1:8" hidden="1" x14ac:dyDescent="0.35">
      <c r="A979" s="33">
        <v>978</v>
      </c>
      <c r="B979" s="34" t="s">
        <v>1348</v>
      </c>
      <c r="C979" s="33" t="s">
        <v>297</v>
      </c>
      <c r="D979" s="33" t="s">
        <v>22</v>
      </c>
      <c r="E979" s="33" t="s">
        <v>1344</v>
      </c>
      <c r="F979" s="35">
        <v>1</v>
      </c>
      <c r="G979" s="40"/>
      <c r="H979" s="40"/>
    </row>
    <row r="980" spans="1:8" hidden="1" x14ac:dyDescent="0.35">
      <c r="A980" s="33">
        <v>979</v>
      </c>
      <c r="B980" s="34" t="s">
        <v>1349</v>
      </c>
      <c r="C980" s="33" t="s">
        <v>297</v>
      </c>
      <c r="D980" s="33" t="s">
        <v>22</v>
      </c>
      <c r="E980" s="33" t="s">
        <v>1350</v>
      </c>
      <c r="F980" s="35">
        <v>1</v>
      </c>
      <c r="G980" s="40"/>
      <c r="H980" s="40"/>
    </row>
    <row r="981" spans="1:8" hidden="1" x14ac:dyDescent="0.35">
      <c r="A981" s="33">
        <v>980</v>
      </c>
      <c r="B981" s="34" t="s">
        <v>1351</v>
      </c>
      <c r="C981" s="33" t="s">
        <v>297</v>
      </c>
      <c r="D981" s="33" t="s">
        <v>22</v>
      </c>
      <c r="E981" s="33" t="s">
        <v>1350</v>
      </c>
      <c r="F981" s="35">
        <v>1</v>
      </c>
      <c r="G981" s="40"/>
      <c r="H981" s="40"/>
    </row>
    <row r="982" spans="1:8" hidden="1" x14ac:dyDescent="0.35">
      <c r="A982" s="33">
        <v>981</v>
      </c>
      <c r="B982" s="34" t="s">
        <v>1352</v>
      </c>
      <c r="C982" s="33" t="s">
        <v>297</v>
      </c>
      <c r="D982" s="33" t="s">
        <v>22</v>
      </c>
      <c r="E982" s="33" t="s">
        <v>1350</v>
      </c>
      <c r="F982" s="35">
        <v>1</v>
      </c>
      <c r="G982" s="40"/>
      <c r="H982" s="40"/>
    </row>
    <row r="983" spans="1:8" hidden="1" x14ac:dyDescent="0.35">
      <c r="A983" s="33">
        <v>982</v>
      </c>
      <c r="B983" s="34" t="s">
        <v>1353</v>
      </c>
      <c r="C983" s="33" t="s">
        <v>297</v>
      </c>
      <c r="D983" s="33" t="s">
        <v>22</v>
      </c>
      <c r="E983" s="33" t="s">
        <v>1350</v>
      </c>
      <c r="F983" s="35">
        <v>1</v>
      </c>
      <c r="G983" s="40"/>
      <c r="H983" s="40"/>
    </row>
    <row r="984" spans="1:8" hidden="1" x14ac:dyDescent="0.35">
      <c r="A984" s="33">
        <v>983</v>
      </c>
      <c r="B984" s="34" t="s">
        <v>1354</v>
      </c>
      <c r="C984" s="33" t="s">
        <v>297</v>
      </c>
      <c r="D984" s="33" t="s">
        <v>22</v>
      </c>
      <c r="E984" s="33" t="s">
        <v>1350</v>
      </c>
      <c r="F984" s="35">
        <v>1</v>
      </c>
      <c r="G984" s="40"/>
      <c r="H984" s="40"/>
    </row>
    <row r="985" spans="1:8" hidden="1" x14ac:dyDescent="0.35">
      <c r="A985" s="33">
        <v>984</v>
      </c>
      <c r="B985" s="34" t="s">
        <v>1355</v>
      </c>
      <c r="C985" s="33" t="s">
        <v>297</v>
      </c>
      <c r="D985" s="33" t="s">
        <v>22</v>
      </c>
      <c r="E985" s="33" t="s">
        <v>1350</v>
      </c>
      <c r="F985" s="35">
        <v>1</v>
      </c>
      <c r="G985" s="40"/>
      <c r="H985" s="40"/>
    </row>
    <row r="986" spans="1:8" hidden="1" x14ac:dyDescent="0.35">
      <c r="A986" s="33">
        <v>985</v>
      </c>
      <c r="B986" s="34" t="s">
        <v>1356</v>
      </c>
      <c r="C986" s="33" t="s">
        <v>297</v>
      </c>
      <c r="D986" s="33" t="s">
        <v>22</v>
      </c>
      <c r="E986" s="33" t="s">
        <v>344</v>
      </c>
      <c r="F986" s="35">
        <v>1</v>
      </c>
      <c r="G986" s="40"/>
      <c r="H986" s="40"/>
    </row>
    <row r="987" spans="1:8" hidden="1" x14ac:dyDescent="0.35">
      <c r="A987" s="33">
        <v>986</v>
      </c>
      <c r="B987" s="34" t="s">
        <v>1357</v>
      </c>
      <c r="C987" s="33" t="s">
        <v>297</v>
      </c>
      <c r="D987" s="33" t="s">
        <v>22</v>
      </c>
      <c r="E987" s="33" t="s">
        <v>344</v>
      </c>
      <c r="F987" s="35">
        <v>1</v>
      </c>
      <c r="G987" s="40"/>
      <c r="H987" s="40"/>
    </row>
    <row r="988" spans="1:8" hidden="1" x14ac:dyDescent="0.35">
      <c r="A988" s="33">
        <v>987</v>
      </c>
      <c r="B988" s="34" t="s">
        <v>1358</v>
      </c>
      <c r="C988" s="33" t="s">
        <v>297</v>
      </c>
      <c r="D988" s="33" t="s">
        <v>22</v>
      </c>
      <c r="E988" s="33" t="s">
        <v>1359</v>
      </c>
      <c r="F988" s="35">
        <v>1</v>
      </c>
      <c r="G988" s="40"/>
      <c r="H988" s="40"/>
    </row>
    <row r="989" spans="1:8" hidden="1" x14ac:dyDescent="0.35">
      <c r="A989" s="33">
        <v>988</v>
      </c>
      <c r="B989" s="34" t="s">
        <v>1360</v>
      </c>
      <c r="C989" s="33" t="s">
        <v>297</v>
      </c>
      <c r="D989" s="33" t="s">
        <v>22</v>
      </c>
      <c r="E989" s="33" t="s">
        <v>1359</v>
      </c>
      <c r="F989" s="35">
        <v>1</v>
      </c>
      <c r="G989" s="40"/>
      <c r="H989" s="40"/>
    </row>
    <row r="990" spans="1:8" hidden="1" x14ac:dyDescent="0.35">
      <c r="A990" s="33">
        <v>989</v>
      </c>
      <c r="B990" s="34" t="s">
        <v>1361</v>
      </c>
      <c r="C990" s="33" t="s">
        <v>297</v>
      </c>
      <c r="D990" s="33" t="s">
        <v>22</v>
      </c>
      <c r="E990" s="33" t="s">
        <v>1359</v>
      </c>
      <c r="F990" s="35">
        <v>1</v>
      </c>
      <c r="G990" s="40"/>
      <c r="H990" s="40"/>
    </row>
    <row r="991" spans="1:8" hidden="1" x14ac:dyDescent="0.35">
      <c r="A991" s="33">
        <v>990</v>
      </c>
      <c r="B991" s="34" t="s">
        <v>1362</v>
      </c>
      <c r="C991" s="33" t="s">
        <v>297</v>
      </c>
      <c r="D991" s="33" t="s">
        <v>22</v>
      </c>
      <c r="E991" s="33" t="s">
        <v>1359</v>
      </c>
      <c r="F991" s="35">
        <v>1</v>
      </c>
      <c r="G991" s="40"/>
      <c r="H991" s="40"/>
    </row>
    <row r="992" spans="1:8" hidden="1" x14ac:dyDescent="0.35">
      <c r="A992" s="33">
        <v>991</v>
      </c>
      <c r="B992" s="34" t="s">
        <v>1363</v>
      </c>
      <c r="C992" s="33" t="s">
        <v>297</v>
      </c>
      <c r="D992" s="33" t="s">
        <v>22</v>
      </c>
      <c r="E992" s="33" t="s">
        <v>1359</v>
      </c>
      <c r="F992" s="35">
        <v>1</v>
      </c>
      <c r="G992" s="40"/>
      <c r="H992" s="40"/>
    </row>
    <row r="993" spans="1:8" hidden="1" x14ac:dyDescent="0.35">
      <c r="A993" s="33">
        <v>992</v>
      </c>
      <c r="B993" s="34" t="s">
        <v>1364</v>
      </c>
      <c r="C993" s="33" t="s">
        <v>297</v>
      </c>
      <c r="D993" s="33" t="s">
        <v>22</v>
      </c>
      <c r="E993" s="33" t="s">
        <v>1359</v>
      </c>
      <c r="F993" s="35">
        <v>1</v>
      </c>
      <c r="G993" s="40"/>
      <c r="H993" s="40"/>
    </row>
    <row r="994" spans="1:8" hidden="1" x14ac:dyDescent="0.35">
      <c r="A994" s="33">
        <v>993</v>
      </c>
      <c r="B994" s="34" t="s">
        <v>1365</v>
      </c>
      <c r="C994" s="33" t="s">
        <v>297</v>
      </c>
      <c r="D994" s="33" t="s">
        <v>22</v>
      </c>
      <c r="E994" s="33" t="s">
        <v>1359</v>
      </c>
      <c r="F994" s="35">
        <v>1</v>
      </c>
      <c r="G994" s="40"/>
      <c r="H994" s="40"/>
    </row>
    <row r="995" spans="1:8" hidden="1" x14ac:dyDescent="0.35">
      <c r="A995" s="33">
        <v>994</v>
      </c>
      <c r="B995" s="34" t="s">
        <v>1366</v>
      </c>
      <c r="C995" s="33" t="s">
        <v>297</v>
      </c>
      <c r="D995" s="33" t="s">
        <v>22</v>
      </c>
      <c r="E995" s="33" t="s">
        <v>1359</v>
      </c>
      <c r="F995" s="35">
        <v>1</v>
      </c>
      <c r="G995" s="40"/>
      <c r="H995" s="40"/>
    </row>
    <row r="996" spans="1:8" hidden="1" x14ac:dyDescent="0.35">
      <c r="A996" s="33">
        <v>995</v>
      </c>
      <c r="B996" s="34" t="s">
        <v>1367</v>
      </c>
      <c r="C996" s="33" t="s">
        <v>297</v>
      </c>
      <c r="D996" s="33" t="s">
        <v>22</v>
      </c>
      <c r="E996" s="33" t="s">
        <v>1359</v>
      </c>
      <c r="F996" s="35">
        <v>1</v>
      </c>
      <c r="G996" s="40"/>
      <c r="H996" s="40"/>
    </row>
    <row r="997" spans="1:8" hidden="1" x14ac:dyDescent="0.35">
      <c r="A997" s="33">
        <v>996</v>
      </c>
      <c r="B997" s="34" t="s">
        <v>1368</v>
      </c>
      <c r="C997" s="33" t="s">
        <v>297</v>
      </c>
      <c r="D997" s="33" t="s">
        <v>22</v>
      </c>
      <c r="E997" s="33" t="s">
        <v>1359</v>
      </c>
      <c r="F997" s="35">
        <v>1</v>
      </c>
      <c r="G997" s="40"/>
      <c r="H997" s="40"/>
    </row>
    <row r="998" spans="1:8" hidden="1" x14ac:dyDescent="0.35">
      <c r="A998" s="33">
        <v>997</v>
      </c>
      <c r="B998" s="34" t="s">
        <v>1369</v>
      </c>
      <c r="C998" s="33" t="s">
        <v>297</v>
      </c>
      <c r="D998" s="33" t="s">
        <v>22</v>
      </c>
      <c r="E998" s="33" t="s">
        <v>1359</v>
      </c>
      <c r="F998" s="35">
        <v>1</v>
      </c>
      <c r="G998" s="40"/>
      <c r="H998" s="40"/>
    </row>
    <row r="999" spans="1:8" hidden="1" x14ac:dyDescent="0.35">
      <c r="A999" s="33">
        <v>998</v>
      </c>
      <c r="B999" s="34" t="s">
        <v>1370</v>
      </c>
      <c r="C999" s="33" t="s">
        <v>297</v>
      </c>
      <c r="D999" s="33" t="s">
        <v>22</v>
      </c>
      <c r="E999" s="33" t="s">
        <v>1359</v>
      </c>
      <c r="F999" s="35">
        <v>1</v>
      </c>
      <c r="G999" s="40"/>
      <c r="H999" s="40"/>
    </row>
    <row r="1000" spans="1:8" hidden="1" x14ac:dyDescent="0.35">
      <c r="A1000" s="33">
        <v>999</v>
      </c>
      <c r="B1000" s="34" t="s">
        <v>1371</v>
      </c>
      <c r="C1000" s="33" t="s">
        <v>297</v>
      </c>
      <c r="D1000" s="33" t="s">
        <v>22</v>
      </c>
      <c r="E1000" s="33" t="s">
        <v>1359</v>
      </c>
      <c r="F1000" s="35">
        <v>1</v>
      </c>
      <c r="G1000" s="40"/>
      <c r="H1000" s="40"/>
    </row>
    <row r="1001" spans="1:8" hidden="1" x14ac:dyDescent="0.35">
      <c r="A1001" s="33">
        <v>1000</v>
      </c>
      <c r="B1001" s="34" t="s">
        <v>1372</v>
      </c>
      <c r="C1001" s="33" t="s">
        <v>297</v>
      </c>
      <c r="D1001" s="33" t="s">
        <v>22</v>
      </c>
      <c r="E1001" s="33" t="s">
        <v>1359</v>
      </c>
      <c r="F1001" s="35">
        <v>1</v>
      </c>
      <c r="G1001" s="40"/>
      <c r="H1001" s="40"/>
    </row>
    <row r="1002" spans="1:8" hidden="1" x14ac:dyDescent="0.35">
      <c r="A1002" s="33">
        <v>1001</v>
      </c>
      <c r="B1002" s="34" t="s">
        <v>1373</v>
      </c>
      <c r="C1002" s="33" t="s">
        <v>297</v>
      </c>
      <c r="D1002" s="33" t="s">
        <v>22</v>
      </c>
      <c r="E1002" s="33" t="s">
        <v>1359</v>
      </c>
      <c r="F1002" s="35">
        <v>1</v>
      </c>
      <c r="G1002" s="40"/>
      <c r="H1002" s="40"/>
    </row>
    <row r="1003" spans="1:8" hidden="1" x14ac:dyDescent="0.35">
      <c r="A1003" s="33">
        <v>1002</v>
      </c>
      <c r="B1003" s="34" t="s">
        <v>1374</v>
      </c>
      <c r="C1003" s="33" t="s">
        <v>297</v>
      </c>
      <c r="D1003" s="33" t="s">
        <v>22</v>
      </c>
      <c r="E1003" s="33" t="s">
        <v>1359</v>
      </c>
      <c r="F1003" s="35">
        <v>1</v>
      </c>
      <c r="G1003" s="40"/>
      <c r="H1003" s="40"/>
    </row>
    <row r="1004" spans="1:8" hidden="1" x14ac:dyDescent="0.35">
      <c r="A1004" s="33">
        <v>1003</v>
      </c>
      <c r="B1004" s="34" t="s">
        <v>1375</v>
      </c>
      <c r="C1004" s="33" t="s">
        <v>297</v>
      </c>
      <c r="D1004" s="33" t="s">
        <v>22</v>
      </c>
      <c r="E1004" s="33" t="s">
        <v>1359</v>
      </c>
      <c r="F1004" s="35">
        <v>1</v>
      </c>
      <c r="G1004" s="40"/>
      <c r="H1004" s="40"/>
    </row>
    <row r="1005" spans="1:8" hidden="1" x14ac:dyDescent="0.35">
      <c r="A1005" s="33">
        <v>1004</v>
      </c>
      <c r="B1005" s="34" t="s">
        <v>1376</v>
      </c>
      <c r="C1005" s="33" t="s">
        <v>297</v>
      </c>
      <c r="D1005" s="33" t="s">
        <v>22</v>
      </c>
      <c r="E1005" s="33" t="s">
        <v>1359</v>
      </c>
      <c r="F1005" s="35">
        <v>1</v>
      </c>
      <c r="G1005" s="40"/>
      <c r="H1005" s="40"/>
    </row>
    <row r="1006" spans="1:8" hidden="1" x14ac:dyDescent="0.35">
      <c r="A1006" s="33">
        <v>1005</v>
      </c>
      <c r="B1006" s="34" t="s">
        <v>1377</v>
      </c>
      <c r="C1006" s="33" t="s">
        <v>297</v>
      </c>
      <c r="D1006" s="33" t="s">
        <v>22</v>
      </c>
      <c r="E1006" s="33" t="s">
        <v>1359</v>
      </c>
      <c r="F1006" s="35">
        <v>1</v>
      </c>
      <c r="G1006" s="40"/>
      <c r="H1006" s="40"/>
    </row>
    <row r="1007" spans="1:8" hidden="1" x14ac:dyDescent="0.35">
      <c r="A1007" s="33">
        <v>1006</v>
      </c>
      <c r="B1007" s="34" t="s">
        <v>1378</v>
      </c>
      <c r="C1007" s="33" t="s">
        <v>297</v>
      </c>
      <c r="D1007" s="33" t="s">
        <v>22</v>
      </c>
      <c r="E1007" s="33" t="s">
        <v>1359</v>
      </c>
      <c r="F1007" s="35">
        <v>1</v>
      </c>
      <c r="G1007" s="40"/>
      <c r="H1007" s="40"/>
    </row>
    <row r="1008" spans="1:8" hidden="1" x14ac:dyDescent="0.35">
      <c r="A1008" s="33">
        <v>1007</v>
      </c>
      <c r="B1008" s="34" t="s">
        <v>1379</v>
      </c>
      <c r="C1008" s="33" t="s">
        <v>297</v>
      </c>
      <c r="D1008" s="33" t="s">
        <v>22</v>
      </c>
      <c r="E1008" s="33" t="s">
        <v>1359</v>
      </c>
      <c r="F1008" s="35">
        <v>1</v>
      </c>
      <c r="G1008" s="40"/>
      <c r="H1008" s="40"/>
    </row>
    <row r="1009" spans="1:8" hidden="1" x14ac:dyDescent="0.35">
      <c r="A1009" s="33">
        <v>1008</v>
      </c>
      <c r="B1009" s="34" t="s">
        <v>1380</v>
      </c>
      <c r="C1009" s="33" t="s">
        <v>297</v>
      </c>
      <c r="D1009" s="33" t="s">
        <v>22</v>
      </c>
      <c r="E1009" s="33" t="s">
        <v>1359</v>
      </c>
      <c r="F1009" s="35">
        <v>1</v>
      </c>
      <c r="G1009" s="40"/>
      <c r="H1009" s="40"/>
    </row>
    <row r="1010" spans="1:8" hidden="1" x14ac:dyDescent="0.35">
      <c r="A1010" s="33">
        <v>1009</v>
      </c>
      <c r="B1010" s="34" t="s">
        <v>1381</v>
      </c>
      <c r="C1010" s="33" t="s">
        <v>297</v>
      </c>
      <c r="D1010" s="33" t="s">
        <v>22</v>
      </c>
      <c r="E1010" s="33" t="s">
        <v>1359</v>
      </c>
      <c r="F1010" s="35">
        <v>1</v>
      </c>
      <c r="G1010" s="40"/>
      <c r="H1010" s="40"/>
    </row>
    <row r="1011" spans="1:8" hidden="1" x14ac:dyDescent="0.35">
      <c r="A1011" s="33">
        <v>1010</v>
      </c>
      <c r="B1011" s="34" t="s">
        <v>1382</v>
      </c>
      <c r="C1011" s="33" t="s">
        <v>297</v>
      </c>
      <c r="D1011" s="33" t="s">
        <v>22</v>
      </c>
      <c r="E1011" s="33" t="s">
        <v>1359</v>
      </c>
      <c r="F1011" s="35">
        <v>1</v>
      </c>
      <c r="G1011" s="40"/>
      <c r="H1011" s="40"/>
    </row>
    <row r="1012" spans="1:8" hidden="1" x14ac:dyDescent="0.35">
      <c r="A1012" s="33">
        <v>1011</v>
      </c>
      <c r="B1012" s="34" t="s">
        <v>1383</v>
      </c>
      <c r="C1012" s="33" t="s">
        <v>297</v>
      </c>
      <c r="D1012" s="33" t="s">
        <v>22</v>
      </c>
      <c r="E1012" s="33" t="s">
        <v>1359</v>
      </c>
      <c r="F1012" s="35">
        <v>1</v>
      </c>
      <c r="G1012" s="40"/>
      <c r="H1012" s="40"/>
    </row>
    <row r="1013" spans="1:8" hidden="1" x14ac:dyDescent="0.35">
      <c r="A1013" s="33">
        <v>1012</v>
      </c>
      <c r="B1013" s="34" t="s">
        <v>1384</v>
      </c>
      <c r="C1013" s="33" t="s">
        <v>297</v>
      </c>
      <c r="D1013" s="33" t="s">
        <v>22</v>
      </c>
      <c r="E1013" s="33" t="s">
        <v>1359</v>
      </c>
      <c r="F1013" s="35">
        <v>1</v>
      </c>
      <c r="G1013" s="40"/>
      <c r="H1013" s="40"/>
    </row>
    <row r="1014" spans="1:8" hidden="1" x14ac:dyDescent="0.35">
      <c r="A1014" s="33">
        <v>1013</v>
      </c>
      <c r="B1014" s="34" t="s">
        <v>1385</v>
      </c>
      <c r="C1014" s="33" t="s">
        <v>297</v>
      </c>
      <c r="D1014" s="33" t="s">
        <v>22</v>
      </c>
      <c r="E1014" s="33" t="s">
        <v>1359</v>
      </c>
      <c r="F1014" s="35">
        <v>1</v>
      </c>
      <c r="G1014" s="40"/>
      <c r="H1014" s="40"/>
    </row>
    <row r="1015" spans="1:8" hidden="1" x14ac:dyDescent="0.35">
      <c r="A1015" s="33">
        <v>1014</v>
      </c>
      <c r="B1015" s="34" t="s">
        <v>1386</v>
      </c>
      <c r="C1015" s="33" t="s">
        <v>297</v>
      </c>
      <c r="D1015" s="33" t="s">
        <v>22</v>
      </c>
      <c r="E1015" s="33" t="s">
        <v>1359</v>
      </c>
      <c r="F1015" s="35">
        <v>1</v>
      </c>
      <c r="G1015" s="40"/>
      <c r="H1015" s="40"/>
    </row>
    <row r="1016" spans="1:8" hidden="1" x14ac:dyDescent="0.35">
      <c r="A1016" s="33">
        <v>1015</v>
      </c>
      <c r="B1016" s="34" t="s">
        <v>1387</v>
      </c>
      <c r="C1016" s="33" t="s">
        <v>297</v>
      </c>
      <c r="D1016" s="33" t="s">
        <v>22</v>
      </c>
      <c r="E1016" s="33" t="s">
        <v>1359</v>
      </c>
      <c r="F1016" s="35">
        <v>1</v>
      </c>
      <c r="G1016" s="40"/>
      <c r="H1016" s="40"/>
    </row>
    <row r="1017" spans="1:8" hidden="1" x14ac:dyDescent="0.35">
      <c r="A1017" s="33">
        <v>1016</v>
      </c>
      <c r="B1017" s="34" t="s">
        <v>1388</v>
      </c>
      <c r="C1017" s="33" t="s">
        <v>297</v>
      </c>
      <c r="D1017" s="33" t="s">
        <v>22</v>
      </c>
      <c r="E1017" s="33" t="s">
        <v>1359</v>
      </c>
      <c r="F1017" s="35">
        <v>1</v>
      </c>
      <c r="G1017" s="40"/>
      <c r="H1017" s="40"/>
    </row>
    <row r="1018" spans="1:8" hidden="1" x14ac:dyDescent="0.35">
      <c r="A1018" s="33">
        <v>1017</v>
      </c>
      <c r="B1018" s="34" t="s">
        <v>1389</v>
      </c>
      <c r="C1018" s="33" t="s">
        <v>297</v>
      </c>
      <c r="D1018" s="33" t="s">
        <v>22</v>
      </c>
      <c r="E1018" s="33" t="s">
        <v>1359</v>
      </c>
      <c r="F1018" s="35">
        <v>1</v>
      </c>
      <c r="G1018" s="40"/>
      <c r="H1018" s="40"/>
    </row>
    <row r="1019" spans="1:8" hidden="1" x14ac:dyDescent="0.35">
      <c r="A1019" s="33">
        <v>1018</v>
      </c>
      <c r="B1019" s="34" t="s">
        <v>1390</v>
      </c>
      <c r="C1019" s="33" t="s">
        <v>297</v>
      </c>
      <c r="D1019" s="33" t="s">
        <v>22</v>
      </c>
      <c r="E1019" s="33" t="s">
        <v>1359</v>
      </c>
      <c r="F1019" s="35">
        <v>1</v>
      </c>
      <c r="G1019" s="40"/>
      <c r="H1019" s="40"/>
    </row>
    <row r="1020" spans="1:8" hidden="1" x14ac:dyDescent="0.35">
      <c r="A1020" s="33">
        <v>1019</v>
      </c>
      <c r="B1020" s="34" t="s">
        <v>1391</v>
      </c>
      <c r="C1020" s="33" t="s">
        <v>297</v>
      </c>
      <c r="D1020" s="33" t="s">
        <v>22</v>
      </c>
      <c r="E1020" s="33" t="s">
        <v>1359</v>
      </c>
      <c r="F1020" s="35">
        <v>1</v>
      </c>
      <c r="G1020" s="40"/>
      <c r="H1020" s="40"/>
    </row>
    <row r="1021" spans="1:8" hidden="1" x14ac:dyDescent="0.35">
      <c r="A1021" s="33">
        <v>1020</v>
      </c>
      <c r="B1021" s="34" t="s">
        <v>1392</v>
      </c>
      <c r="C1021" s="33" t="s">
        <v>297</v>
      </c>
      <c r="D1021" s="33" t="s">
        <v>22</v>
      </c>
      <c r="E1021" s="33" t="s">
        <v>1359</v>
      </c>
      <c r="F1021" s="35">
        <v>1</v>
      </c>
      <c r="G1021" s="40"/>
      <c r="H1021" s="40"/>
    </row>
    <row r="1022" spans="1:8" hidden="1" x14ac:dyDescent="0.35">
      <c r="A1022" s="33">
        <v>1021</v>
      </c>
      <c r="B1022" s="34" t="s">
        <v>1393</v>
      </c>
      <c r="C1022" s="33" t="s">
        <v>297</v>
      </c>
      <c r="D1022" s="33" t="s">
        <v>22</v>
      </c>
      <c r="E1022" s="33" t="s">
        <v>1359</v>
      </c>
      <c r="F1022" s="35">
        <v>1</v>
      </c>
      <c r="G1022" s="40"/>
      <c r="H1022" s="40"/>
    </row>
    <row r="1023" spans="1:8" hidden="1" x14ac:dyDescent="0.35">
      <c r="A1023" s="33">
        <v>1022</v>
      </c>
      <c r="B1023" s="34" t="s">
        <v>1394</v>
      </c>
      <c r="C1023" s="33" t="s">
        <v>297</v>
      </c>
      <c r="D1023" s="33" t="s">
        <v>22</v>
      </c>
      <c r="E1023" s="33" t="s">
        <v>1359</v>
      </c>
      <c r="F1023" s="35">
        <v>1</v>
      </c>
      <c r="G1023" s="40"/>
      <c r="H1023" s="40"/>
    </row>
    <row r="1024" spans="1:8" hidden="1" x14ac:dyDescent="0.35">
      <c r="A1024" s="33">
        <v>1023</v>
      </c>
      <c r="B1024" s="34" t="s">
        <v>1395</v>
      </c>
      <c r="C1024" s="33" t="s">
        <v>297</v>
      </c>
      <c r="D1024" s="33" t="s">
        <v>22</v>
      </c>
      <c r="E1024" s="33" t="s">
        <v>1359</v>
      </c>
      <c r="F1024" s="35">
        <v>1</v>
      </c>
      <c r="G1024" s="40"/>
      <c r="H1024" s="40"/>
    </row>
    <row r="1025" spans="1:8" hidden="1" x14ac:dyDescent="0.35">
      <c r="A1025" s="33">
        <v>1024</v>
      </c>
      <c r="B1025" s="34" t="s">
        <v>1396</v>
      </c>
      <c r="C1025" s="33" t="s">
        <v>297</v>
      </c>
      <c r="D1025" s="33" t="s">
        <v>22</v>
      </c>
      <c r="E1025" s="33" t="s">
        <v>1359</v>
      </c>
      <c r="F1025" s="35">
        <v>1</v>
      </c>
      <c r="G1025" s="40"/>
      <c r="H1025" s="40"/>
    </row>
    <row r="1026" spans="1:8" hidden="1" x14ac:dyDescent="0.35">
      <c r="A1026" s="33">
        <v>1025</v>
      </c>
      <c r="B1026" s="34" t="s">
        <v>1397</v>
      </c>
      <c r="C1026" s="33" t="s">
        <v>297</v>
      </c>
      <c r="D1026" s="33" t="s">
        <v>22</v>
      </c>
      <c r="E1026" s="33" t="s">
        <v>1359</v>
      </c>
      <c r="F1026" s="35">
        <v>1</v>
      </c>
      <c r="G1026" s="40"/>
      <c r="H1026" s="40"/>
    </row>
    <row r="1027" spans="1:8" hidden="1" x14ac:dyDescent="0.35">
      <c r="A1027" s="33">
        <v>1026</v>
      </c>
      <c r="B1027" s="34" t="s">
        <v>1398</v>
      </c>
      <c r="C1027" s="33" t="s">
        <v>297</v>
      </c>
      <c r="D1027" s="33" t="s">
        <v>22</v>
      </c>
      <c r="E1027" s="33" t="s">
        <v>1359</v>
      </c>
      <c r="F1027" s="35">
        <v>1</v>
      </c>
      <c r="G1027" s="40"/>
      <c r="H1027" s="40"/>
    </row>
    <row r="1028" spans="1:8" hidden="1" x14ac:dyDescent="0.35">
      <c r="A1028" s="33">
        <v>1027</v>
      </c>
      <c r="B1028" s="34" t="s">
        <v>1399</v>
      </c>
      <c r="C1028" s="33" t="s">
        <v>297</v>
      </c>
      <c r="D1028" s="33" t="s">
        <v>22</v>
      </c>
      <c r="E1028" s="33" t="s">
        <v>1359</v>
      </c>
      <c r="F1028" s="35">
        <v>1</v>
      </c>
      <c r="G1028" s="40"/>
      <c r="H1028" s="40"/>
    </row>
    <row r="1029" spans="1:8" hidden="1" x14ac:dyDescent="0.35">
      <c r="A1029" s="33">
        <v>1028</v>
      </c>
      <c r="B1029" s="34" t="s">
        <v>1400</v>
      </c>
      <c r="C1029" s="33" t="s">
        <v>297</v>
      </c>
      <c r="D1029" s="33" t="s">
        <v>22</v>
      </c>
      <c r="E1029" s="33" t="s">
        <v>1359</v>
      </c>
      <c r="F1029" s="35">
        <v>1</v>
      </c>
      <c r="G1029" s="40"/>
      <c r="H1029" s="40"/>
    </row>
    <row r="1030" spans="1:8" hidden="1" x14ac:dyDescent="0.35">
      <c r="A1030" s="33">
        <v>1029</v>
      </c>
      <c r="B1030" s="34" t="s">
        <v>1401</v>
      </c>
      <c r="C1030" s="33" t="s">
        <v>297</v>
      </c>
      <c r="D1030" s="33" t="s">
        <v>22</v>
      </c>
      <c r="E1030" s="33" t="s">
        <v>1359</v>
      </c>
      <c r="F1030" s="35">
        <v>1</v>
      </c>
      <c r="G1030" s="40"/>
      <c r="H1030" s="40"/>
    </row>
    <row r="1031" spans="1:8" hidden="1" x14ac:dyDescent="0.35">
      <c r="A1031" s="33">
        <v>1030</v>
      </c>
      <c r="B1031" s="34" t="s">
        <v>1402</v>
      </c>
      <c r="C1031" s="33" t="s">
        <v>297</v>
      </c>
      <c r="D1031" s="33" t="s">
        <v>22</v>
      </c>
      <c r="E1031" s="33" t="s">
        <v>1359</v>
      </c>
      <c r="F1031" s="35">
        <v>1</v>
      </c>
      <c r="G1031" s="40"/>
      <c r="H1031" s="40"/>
    </row>
    <row r="1032" spans="1:8" hidden="1" x14ac:dyDescent="0.35">
      <c r="A1032" s="33">
        <v>1031</v>
      </c>
      <c r="B1032" s="34" t="s">
        <v>1403</v>
      </c>
      <c r="C1032" s="33" t="s">
        <v>297</v>
      </c>
      <c r="D1032" s="33" t="s">
        <v>22</v>
      </c>
      <c r="E1032" s="33" t="s">
        <v>1359</v>
      </c>
      <c r="F1032" s="35">
        <v>1</v>
      </c>
      <c r="G1032" s="40"/>
      <c r="H1032" s="40"/>
    </row>
    <row r="1033" spans="1:8" hidden="1" x14ac:dyDescent="0.35">
      <c r="A1033" s="33">
        <v>1032</v>
      </c>
      <c r="B1033" s="34" t="s">
        <v>1404</v>
      </c>
      <c r="C1033" s="33" t="s">
        <v>297</v>
      </c>
      <c r="D1033" s="33" t="s">
        <v>22</v>
      </c>
      <c r="E1033" s="33" t="s">
        <v>1359</v>
      </c>
      <c r="F1033" s="35">
        <v>1</v>
      </c>
      <c r="G1033" s="40"/>
      <c r="H1033" s="40"/>
    </row>
    <row r="1034" spans="1:8" hidden="1" x14ac:dyDescent="0.35">
      <c r="A1034" s="33">
        <v>1033</v>
      </c>
      <c r="B1034" s="34" t="s">
        <v>1405</v>
      </c>
      <c r="C1034" s="33" t="s">
        <v>297</v>
      </c>
      <c r="D1034" s="33" t="s">
        <v>22</v>
      </c>
      <c r="E1034" s="33" t="s">
        <v>1359</v>
      </c>
      <c r="F1034" s="35">
        <v>0.5</v>
      </c>
      <c r="G1034" s="40"/>
      <c r="H1034" s="40"/>
    </row>
    <row r="1035" spans="1:8" hidden="1" x14ac:dyDescent="0.35">
      <c r="A1035" s="33">
        <v>1034</v>
      </c>
      <c r="B1035" s="34" t="s">
        <v>1406</v>
      </c>
      <c r="C1035" s="33" t="s">
        <v>297</v>
      </c>
      <c r="D1035" s="33" t="s">
        <v>22</v>
      </c>
      <c r="E1035" s="33" t="s">
        <v>1359</v>
      </c>
      <c r="F1035" s="35">
        <v>1</v>
      </c>
      <c r="G1035" s="40"/>
      <c r="H1035" s="40"/>
    </row>
    <row r="1036" spans="1:8" hidden="1" x14ac:dyDescent="0.35">
      <c r="A1036" s="33">
        <v>1035</v>
      </c>
      <c r="B1036" s="34" t="s">
        <v>1407</v>
      </c>
      <c r="C1036" s="33" t="s">
        <v>297</v>
      </c>
      <c r="D1036" s="33" t="s">
        <v>22</v>
      </c>
      <c r="E1036" s="33" t="s">
        <v>1359</v>
      </c>
      <c r="F1036" s="35">
        <v>1</v>
      </c>
      <c r="G1036" s="40"/>
      <c r="H1036" s="40"/>
    </row>
    <row r="1037" spans="1:8" hidden="1" x14ac:dyDescent="0.35">
      <c r="A1037" s="33">
        <v>1036</v>
      </c>
      <c r="B1037" s="34" t="s">
        <v>1408</v>
      </c>
      <c r="C1037" s="33" t="s">
        <v>297</v>
      </c>
      <c r="D1037" s="33" t="s">
        <v>22</v>
      </c>
      <c r="E1037" s="33" t="s">
        <v>1359</v>
      </c>
      <c r="F1037" s="35">
        <v>1</v>
      </c>
      <c r="G1037" s="40"/>
      <c r="H1037" s="40"/>
    </row>
    <row r="1038" spans="1:8" hidden="1" x14ac:dyDescent="0.35">
      <c r="A1038" s="33">
        <v>1037</v>
      </c>
      <c r="B1038" s="34" t="s">
        <v>1409</v>
      </c>
      <c r="C1038" s="33" t="s">
        <v>297</v>
      </c>
      <c r="D1038" s="33" t="s">
        <v>22</v>
      </c>
      <c r="E1038" s="33" t="s">
        <v>1359</v>
      </c>
      <c r="F1038" s="35">
        <v>1</v>
      </c>
      <c r="G1038" s="40"/>
      <c r="H1038" s="40"/>
    </row>
    <row r="1039" spans="1:8" hidden="1" x14ac:dyDescent="0.35">
      <c r="A1039" s="33">
        <v>1038</v>
      </c>
      <c r="B1039" s="34" t="s">
        <v>1410</v>
      </c>
      <c r="C1039" s="33" t="s">
        <v>297</v>
      </c>
      <c r="D1039" s="33" t="s">
        <v>22</v>
      </c>
      <c r="E1039" s="33" t="s">
        <v>1359</v>
      </c>
      <c r="F1039" s="35">
        <v>1</v>
      </c>
      <c r="G1039" s="40"/>
      <c r="H1039" s="40"/>
    </row>
    <row r="1040" spans="1:8" hidden="1" x14ac:dyDescent="0.35">
      <c r="A1040" s="33">
        <v>1039</v>
      </c>
      <c r="B1040" s="34" t="s">
        <v>1411</v>
      </c>
      <c r="C1040" s="33" t="s">
        <v>297</v>
      </c>
      <c r="D1040" s="33" t="s">
        <v>22</v>
      </c>
      <c r="E1040" s="33" t="s">
        <v>1359</v>
      </c>
      <c r="F1040" s="35">
        <v>1</v>
      </c>
      <c r="G1040" s="40"/>
      <c r="H1040" s="40"/>
    </row>
    <row r="1041" spans="1:8" hidden="1" x14ac:dyDescent="0.35">
      <c r="A1041" s="33">
        <v>1040</v>
      </c>
      <c r="B1041" s="34" t="s">
        <v>1412</v>
      </c>
      <c r="C1041" s="33" t="s">
        <v>297</v>
      </c>
      <c r="D1041" s="33" t="s">
        <v>22</v>
      </c>
      <c r="E1041" s="33" t="s">
        <v>1359</v>
      </c>
      <c r="F1041" s="35">
        <v>1</v>
      </c>
      <c r="G1041" s="40"/>
      <c r="H1041" s="40"/>
    </row>
    <row r="1042" spans="1:8" hidden="1" x14ac:dyDescent="0.35">
      <c r="A1042" s="33">
        <v>1041</v>
      </c>
      <c r="B1042" s="34" t="s">
        <v>1413</v>
      </c>
      <c r="C1042" s="33" t="s">
        <v>297</v>
      </c>
      <c r="D1042" s="33" t="s">
        <v>22</v>
      </c>
      <c r="E1042" s="33" t="s">
        <v>1359</v>
      </c>
      <c r="F1042" s="35">
        <v>1</v>
      </c>
      <c r="G1042" s="40"/>
      <c r="H1042" s="40"/>
    </row>
    <row r="1043" spans="1:8" hidden="1" x14ac:dyDescent="0.35">
      <c r="A1043" s="33">
        <v>1042</v>
      </c>
      <c r="B1043" s="34" t="s">
        <v>1414</v>
      </c>
      <c r="C1043" s="33" t="s">
        <v>297</v>
      </c>
      <c r="D1043" s="33" t="s">
        <v>22</v>
      </c>
      <c r="E1043" s="33" t="s">
        <v>1359</v>
      </c>
      <c r="F1043" s="35">
        <v>1</v>
      </c>
      <c r="G1043" s="40"/>
      <c r="H1043" s="40"/>
    </row>
    <row r="1044" spans="1:8" hidden="1" x14ac:dyDescent="0.35">
      <c r="A1044" s="33">
        <v>1043</v>
      </c>
      <c r="B1044" s="34" t="s">
        <v>200</v>
      </c>
      <c r="C1044" s="33" t="s">
        <v>297</v>
      </c>
      <c r="D1044" s="33" t="s">
        <v>22</v>
      </c>
      <c r="E1044" s="33" t="s">
        <v>1359</v>
      </c>
      <c r="F1044" s="35">
        <v>1</v>
      </c>
      <c r="G1044" s="40"/>
      <c r="H1044" s="40"/>
    </row>
    <row r="1045" spans="1:8" hidden="1" x14ac:dyDescent="0.35">
      <c r="A1045" s="33">
        <v>1044</v>
      </c>
      <c r="B1045" s="34" t="s">
        <v>1415</v>
      </c>
      <c r="C1045" s="33" t="s">
        <v>297</v>
      </c>
      <c r="D1045" s="33" t="s">
        <v>22</v>
      </c>
      <c r="E1045" s="33" t="s">
        <v>1359</v>
      </c>
      <c r="F1045" s="35">
        <v>1</v>
      </c>
      <c r="G1045" s="40"/>
      <c r="H1045" s="40"/>
    </row>
    <row r="1046" spans="1:8" hidden="1" x14ac:dyDescent="0.35">
      <c r="A1046" s="33">
        <v>1045</v>
      </c>
      <c r="B1046" s="34" t="s">
        <v>1416</v>
      </c>
      <c r="C1046" s="33" t="s">
        <v>297</v>
      </c>
      <c r="D1046" s="33" t="s">
        <v>22</v>
      </c>
      <c r="E1046" s="33" t="s">
        <v>1359</v>
      </c>
      <c r="F1046" s="35">
        <v>1</v>
      </c>
      <c r="G1046" s="40"/>
      <c r="H1046" s="40"/>
    </row>
    <row r="1047" spans="1:8" hidden="1" x14ac:dyDescent="0.35">
      <c r="A1047" s="33">
        <v>1046</v>
      </c>
      <c r="B1047" s="34" t="s">
        <v>1417</v>
      </c>
      <c r="C1047" s="33" t="s">
        <v>297</v>
      </c>
      <c r="D1047" s="33" t="s">
        <v>22</v>
      </c>
      <c r="E1047" s="33" t="s">
        <v>1359</v>
      </c>
      <c r="F1047" s="35">
        <v>1</v>
      </c>
      <c r="G1047" s="40"/>
      <c r="H1047" s="40"/>
    </row>
    <row r="1048" spans="1:8" hidden="1" x14ac:dyDescent="0.35">
      <c r="A1048" s="33">
        <v>1047</v>
      </c>
      <c r="B1048" s="34" t="s">
        <v>1418</v>
      </c>
      <c r="C1048" s="33" t="s">
        <v>297</v>
      </c>
      <c r="D1048" s="33" t="s">
        <v>22</v>
      </c>
      <c r="E1048" s="33" t="s">
        <v>1359</v>
      </c>
      <c r="F1048" s="35">
        <v>1</v>
      </c>
      <c r="G1048" s="40"/>
      <c r="H1048" s="40"/>
    </row>
    <row r="1049" spans="1:8" hidden="1" x14ac:dyDescent="0.35">
      <c r="A1049" s="33">
        <v>1048</v>
      </c>
      <c r="B1049" s="34" t="s">
        <v>1419</v>
      </c>
      <c r="C1049" s="33" t="s">
        <v>297</v>
      </c>
      <c r="D1049" s="33" t="s">
        <v>22</v>
      </c>
      <c r="E1049" s="33" t="s">
        <v>1359</v>
      </c>
      <c r="F1049" s="35">
        <v>1</v>
      </c>
      <c r="G1049" s="40"/>
      <c r="H1049" s="40"/>
    </row>
    <row r="1050" spans="1:8" hidden="1" x14ac:dyDescent="0.35">
      <c r="A1050" s="33">
        <v>1049</v>
      </c>
      <c r="B1050" s="34" t="s">
        <v>1420</v>
      </c>
      <c r="C1050" s="33" t="s">
        <v>297</v>
      </c>
      <c r="D1050" s="33" t="s">
        <v>22</v>
      </c>
      <c r="E1050" s="33" t="s">
        <v>1359</v>
      </c>
      <c r="F1050" s="35">
        <v>1</v>
      </c>
      <c r="G1050" s="40"/>
      <c r="H1050" s="40"/>
    </row>
    <row r="1051" spans="1:8" hidden="1" x14ac:dyDescent="0.35">
      <c r="A1051" s="33">
        <v>1050</v>
      </c>
      <c r="B1051" s="34" t="s">
        <v>1421</v>
      </c>
      <c r="C1051" s="33" t="s">
        <v>297</v>
      </c>
      <c r="D1051" s="33" t="s">
        <v>22</v>
      </c>
      <c r="E1051" s="33" t="s">
        <v>1359</v>
      </c>
      <c r="F1051" s="35">
        <v>1</v>
      </c>
      <c r="G1051" s="40"/>
      <c r="H1051" s="40"/>
    </row>
    <row r="1052" spans="1:8" hidden="1" x14ac:dyDescent="0.35">
      <c r="A1052" s="33">
        <v>1051</v>
      </c>
      <c r="B1052" s="34" t="s">
        <v>1422</v>
      </c>
      <c r="C1052" s="33" t="s">
        <v>297</v>
      </c>
      <c r="D1052" s="33" t="s">
        <v>22</v>
      </c>
      <c r="E1052" s="33" t="s">
        <v>1359</v>
      </c>
      <c r="F1052" s="35">
        <v>1</v>
      </c>
      <c r="G1052" s="40"/>
      <c r="H1052" s="40"/>
    </row>
    <row r="1053" spans="1:8" hidden="1" x14ac:dyDescent="0.35">
      <c r="A1053" s="33">
        <v>1052</v>
      </c>
      <c r="B1053" s="34" t="s">
        <v>1423</v>
      </c>
      <c r="C1053" s="33" t="s">
        <v>297</v>
      </c>
      <c r="D1053" s="33" t="s">
        <v>22</v>
      </c>
      <c r="E1053" s="33" t="s">
        <v>1359</v>
      </c>
      <c r="F1053" s="35">
        <v>0.3</v>
      </c>
      <c r="G1053" s="40"/>
      <c r="H1053" s="40"/>
    </row>
    <row r="1054" spans="1:8" hidden="1" x14ac:dyDescent="0.35">
      <c r="A1054" s="33">
        <v>1053</v>
      </c>
      <c r="B1054" s="34" t="s">
        <v>1424</v>
      </c>
      <c r="C1054" s="33" t="s">
        <v>297</v>
      </c>
      <c r="D1054" s="33" t="s">
        <v>22</v>
      </c>
      <c r="E1054" s="33" t="s">
        <v>1359</v>
      </c>
      <c r="F1054" s="35">
        <v>1</v>
      </c>
      <c r="G1054" s="40"/>
      <c r="H1054" s="40"/>
    </row>
    <row r="1055" spans="1:8" hidden="1" x14ac:dyDescent="0.35">
      <c r="A1055" s="33">
        <v>1054</v>
      </c>
      <c r="B1055" s="34" t="s">
        <v>1425</v>
      </c>
      <c r="C1055" s="33" t="s">
        <v>297</v>
      </c>
      <c r="D1055" s="33" t="s">
        <v>22</v>
      </c>
      <c r="E1055" s="33" t="s">
        <v>1359</v>
      </c>
      <c r="F1055" s="35">
        <v>1</v>
      </c>
      <c r="G1055" s="40"/>
      <c r="H1055" s="40"/>
    </row>
    <row r="1056" spans="1:8" hidden="1" x14ac:dyDescent="0.35">
      <c r="A1056" s="33">
        <v>1055</v>
      </c>
      <c r="B1056" s="34" t="s">
        <v>1426</v>
      </c>
      <c r="C1056" s="33" t="s">
        <v>297</v>
      </c>
      <c r="D1056" s="33" t="s">
        <v>22</v>
      </c>
      <c r="E1056" s="33" t="s">
        <v>1359</v>
      </c>
      <c r="F1056" s="35">
        <v>1</v>
      </c>
      <c r="G1056" s="40"/>
      <c r="H1056" s="40"/>
    </row>
    <row r="1057" spans="1:8" hidden="1" x14ac:dyDescent="0.35">
      <c r="A1057" s="33">
        <v>1056</v>
      </c>
      <c r="B1057" s="34" t="s">
        <v>193</v>
      </c>
      <c r="C1057" s="33" t="s">
        <v>297</v>
      </c>
      <c r="D1057" s="33" t="s">
        <v>22</v>
      </c>
      <c r="E1057" s="33" t="s">
        <v>1359</v>
      </c>
      <c r="F1057" s="35">
        <v>1</v>
      </c>
      <c r="G1057" s="40"/>
      <c r="H1057" s="40"/>
    </row>
    <row r="1058" spans="1:8" hidden="1" x14ac:dyDescent="0.35">
      <c r="A1058" s="33">
        <v>1057</v>
      </c>
      <c r="B1058" s="34" t="s">
        <v>1427</v>
      </c>
      <c r="C1058" s="33" t="s">
        <v>297</v>
      </c>
      <c r="D1058" s="33" t="s">
        <v>22</v>
      </c>
      <c r="E1058" s="33" t="s">
        <v>1359</v>
      </c>
      <c r="F1058" s="35">
        <v>1</v>
      </c>
      <c r="G1058" s="40"/>
      <c r="H1058" s="40"/>
    </row>
    <row r="1059" spans="1:8" hidden="1" x14ac:dyDescent="0.35">
      <c r="A1059" s="33">
        <v>1058</v>
      </c>
      <c r="B1059" s="34" t="s">
        <v>1428</v>
      </c>
      <c r="C1059" s="33" t="s">
        <v>297</v>
      </c>
      <c r="D1059" s="33" t="s">
        <v>22</v>
      </c>
      <c r="E1059" s="33" t="s">
        <v>1359</v>
      </c>
      <c r="F1059" s="35">
        <v>1</v>
      </c>
      <c r="G1059" s="40"/>
      <c r="H1059" s="40"/>
    </row>
    <row r="1060" spans="1:8" hidden="1" x14ac:dyDescent="0.35">
      <c r="A1060" s="33">
        <v>1059</v>
      </c>
      <c r="B1060" s="34" t="s">
        <v>1429</v>
      </c>
      <c r="C1060" s="33" t="s">
        <v>297</v>
      </c>
      <c r="D1060" s="33" t="s">
        <v>22</v>
      </c>
      <c r="E1060" s="33" t="s">
        <v>1359</v>
      </c>
      <c r="F1060" s="35">
        <v>1</v>
      </c>
      <c r="G1060" s="40"/>
      <c r="H1060" s="40"/>
    </row>
    <row r="1061" spans="1:8" hidden="1" x14ac:dyDescent="0.35">
      <c r="A1061" s="33">
        <v>1060</v>
      </c>
      <c r="B1061" s="34" t="s">
        <v>1430</v>
      </c>
      <c r="C1061" s="33" t="s">
        <v>297</v>
      </c>
      <c r="D1061" s="33" t="s">
        <v>22</v>
      </c>
      <c r="E1061" s="33" t="s">
        <v>1359</v>
      </c>
      <c r="F1061" s="35">
        <v>1</v>
      </c>
      <c r="G1061" s="40"/>
      <c r="H1061" s="40"/>
    </row>
    <row r="1062" spans="1:8" hidden="1" x14ac:dyDescent="0.35">
      <c r="A1062" s="33">
        <v>1061</v>
      </c>
      <c r="B1062" s="34" t="s">
        <v>1431</v>
      </c>
      <c r="C1062" s="33" t="s">
        <v>297</v>
      </c>
      <c r="D1062" s="33" t="s">
        <v>22</v>
      </c>
      <c r="E1062" s="33" t="s">
        <v>1359</v>
      </c>
      <c r="F1062" s="35">
        <v>1</v>
      </c>
      <c r="G1062" s="40"/>
      <c r="H1062" s="40"/>
    </row>
    <row r="1063" spans="1:8" hidden="1" x14ac:dyDescent="0.35">
      <c r="A1063" s="33">
        <v>1062</v>
      </c>
      <c r="B1063" s="34" t="s">
        <v>1432</v>
      </c>
      <c r="C1063" s="33" t="s">
        <v>297</v>
      </c>
      <c r="D1063" s="33" t="s">
        <v>22</v>
      </c>
      <c r="E1063" s="33" t="s">
        <v>1359</v>
      </c>
      <c r="F1063" s="35">
        <v>1</v>
      </c>
      <c r="G1063" s="40"/>
      <c r="H1063" s="40"/>
    </row>
    <row r="1064" spans="1:8" hidden="1" x14ac:dyDescent="0.35">
      <c r="A1064" s="33">
        <v>1063</v>
      </c>
      <c r="B1064" s="34" t="s">
        <v>1433</v>
      </c>
      <c r="C1064" s="33" t="s">
        <v>297</v>
      </c>
      <c r="D1064" s="33" t="s">
        <v>22</v>
      </c>
      <c r="E1064" s="33" t="s">
        <v>1359</v>
      </c>
      <c r="F1064" s="35">
        <v>1</v>
      </c>
      <c r="G1064" s="40"/>
      <c r="H1064" s="40"/>
    </row>
    <row r="1065" spans="1:8" hidden="1" x14ac:dyDescent="0.35">
      <c r="A1065" s="33">
        <v>1064</v>
      </c>
      <c r="B1065" s="34" t="s">
        <v>1434</v>
      </c>
      <c r="C1065" s="33" t="s">
        <v>297</v>
      </c>
      <c r="D1065" s="33" t="s">
        <v>22</v>
      </c>
      <c r="E1065" s="33" t="s">
        <v>1359</v>
      </c>
      <c r="F1065" s="35">
        <v>1</v>
      </c>
      <c r="G1065" s="40"/>
      <c r="H1065" s="40"/>
    </row>
    <row r="1066" spans="1:8" hidden="1" x14ac:dyDescent="0.35">
      <c r="A1066" s="33">
        <v>1065</v>
      </c>
      <c r="B1066" s="34" t="s">
        <v>1435</v>
      </c>
      <c r="C1066" s="33" t="s">
        <v>297</v>
      </c>
      <c r="D1066" s="33" t="s">
        <v>22</v>
      </c>
      <c r="E1066" s="33" t="s">
        <v>1359</v>
      </c>
      <c r="F1066" s="35">
        <v>1</v>
      </c>
      <c r="G1066" s="40"/>
      <c r="H1066" s="40"/>
    </row>
    <row r="1067" spans="1:8" hidden="1" x14ac:dyDescent="0.35">
      <c r="A1067" s="33">
        <v>1066</v>
      </c>
      <c r="B1067" s="34" t="s">
        <v>1436</v>
      </c>
      <c r="C1067" s="33" t="s">
        <v>297</v>
      </c>
      <c r="D1067" s="33" t="s">
        <v>22</v>
      </c>
      <c r="E1067" s="33" t="s">
        <v>1359</v>
      </c>
      <c r="F1067" s="35">
        <v>1</v>
      </c>
      <c r="G1067" s="40"/>
      <c r="H1067" s="40"/>
    </row>
    <row r="1068" spans="1:8" hidden="1" x14ac:dyDescent="0.35">
      <c r="A1068" s="33">
        <v>1067</v>
      </c>
      <c r="B1068" s="34" t="s">
        <v>1437</v>
      </c>
      <c r="C1068" s="33" t="s">
        <v>297</v>
      </c>
      <c r="D1068" s="33" t="s">
        <v>22</v>
      </c>
      <c r="E1068" s="33" t="s">
        <v>1359</v>
      </c>
      <c r="F1068" s="35">
        <v>1</v>
      </c>
      <c r="G1068" s="40"/>
      <c r="H1068" s="40"/>
    </row>
    <row r="1069" spans="1:8" hidden="1" x14ac:dyDescent="0.35">
      <c r="A1069" s="33">
        <v>1068</v>
      </c>
      <c r="B1069" s="34" t="s">
        <v>1438</v>
      </c>
      <c r="C1069" s="33" t="s">
        <v>297</v>
      </c>
      <c r="D1069" s="33" t="s">
        <v>22</v>
      </c>
      <c r="E1069" s="33" t="s">
        <v>1359</v>
      </c>
      <c r="F1069" s="35">
        <v>1</v>
      </c>
      <c r="G1069" s="40"/>
      <c r="H1069" s="40"/>
    </row>
    <row r="1070" spans="1:8" hidden="1" x14ac:dyDescent="0.35">
      <c r="A1070" s="33">
        <v>1069</v>
      </c>
      <c r="B1070" s="34" t="s">
        <v>1439</v>
      </c>
      <c r="C1070" s="33" t="s">
        <v>297</v>
      </c>
      <c r="D1070" s="33" t="s">
        <v>22</v>
      </c>
      <c r="E1070" s="33" t="s">
        <v>1359</v>
      </c>
      <c r="F1070" s="35">
        <v>1</v>
      </c>
      <c r="G1070" s="40"/>
      <c r="H1070" s="40"/>
    </row>
    <row r="1071" spans="1:8" hidden="1" x14ac:dyDescent="0.35">
      <c r="A1071" s="33">
        <v>1070</v>
      </c>
      <c r="B1071" s="34" t="s">
        <v>1440</v>
      </c>
      <c r="C1071" s="33" t="s">
        <v>297</v>
      </c>
      <c r="D1071" s="33" t="s">
        <v>22</v>
      </c>
      <c r="E1071" s="33" t="s">
        <v>1359</v>
      </c>
      <c r="F1071" s="35">
        <v>1</v>
      </c>
      <c r="G1071" s="40"/>
      <c r="H1071" s="40"/>
    </row>
    <row r="1072" spans="1:8" hidden="1" x14ac:dyDescent="0.35">
      <c r="A1072" s="33">
        <v>1071</v>
      </c>
      <c r="B1072" s="34" t="s">
        <v>1441</v>
      </c>
      <c r="C1072" s="33" t="s">
        <v>297</v>
      </c>
      <c r="D1072" s="33" t="s">
        <v>22</v>
      </c>
      <c r="E1072" s="33" t="s">
        <v>1359</v>
      </c>
      <c r="F1072" s="35">
        <v>1</v>
      </c>
      <c r="G1072" s="40"/>
      <c r="H1072" s="40"/>
    </row>
    <row r="1073" spans="1:8" hidden="1" x14ac:dyDescent="0.35">
      <c r="A1073" s="33">
        <v>1072</v>
      </c>
      <c r="B1073" s="34" t="s">
        <v>1442</v>
      </c>
      <c r="C1073" s="33" t="s">
        <v>297</v>
      </c>
      <c r="D1073" s="33" t="s">
        <v>22</v>
      </c>
      <c r="E1073" s="33" t="s">
        <v>1359</v>
      </c>
      <c r="F1073" s="35">
        <v>1E-3</v>
      </c>
      <c r="G1073" s="40"/>
      <c r="H1073" s="40"/>
    </row>
    <row r="1074" spans="1:8" hidden="1" x14ac:dyDescent="0.35">
      <c r="A1074" s="33">
        <v>1073</v>
      </c>
      <c r="B1074" s="34" t="s">
        <v>1443</v>
      </c>
      <c r="C1074" s="33" t="s">
        <v>297</v>
      </c>
      <c r="D1074" s="33" t="s">
        <v>22</v>
      </c>
      <c r="E1074" s="33" t="s">
        <v>1359</v>
      </c>
      <c r="F1074" s="35">
        <v>1</v>
      </c>
      <c r="G1074" s="40"/>
      <c r="H1074" s="40"/>
    </row>
    <row r="1075" spans="1:8" hidden="1" x14ac:dyDescent="0.35">
      <c r="A1075" s="33">
        <v>1074</v>
      </c>
      <c r="B1075" s="34" t="s">
        <v>1444</v>
      </c>
      <c r="C1075" s="33" t="s">
        <v>297</v>
      </c>
      <c r="D1075" s="33" t="s">
        <v>22</v>
      </c>
      <c r="E1075" s="33" t="s">
        <v>1359</v>
      </c>
      <c r="F1075" s="35">
        <v>1</v>
      </c>
      <c r="G1075" s="40"/>
      <c r="H1075" s="40"/>
    </row>
    <row r="1076" spans="1:8" hidden="1" x14ac:dyDescent="0.35">
      <c r="A1076" s="33">
        <v>1075</v>
      </c>
      <c r="B1076" s="34" t="s">
        <v>1445</v>
      </c>
      <c r="C1076" s="33" t="s">
        <v>297</v>
      </c>
      <c r="D1076" s="33" t="s">
        <v>22</v>
      </c>
      <c r="E1076" s="33" t="s">
        <v>1359</v>
      </c>
      <c r="F1076" s="35">
        <v>1</v>
      </c>
      <c r="G1076" s="40"/>
      <c r="H1076" s="40"/>
    </row>
    <row r="1077" spans="1:8" hidden="1" x14ac:dyDescent="0.35">
      <c r="A1077" s="33">
        <v>1076</v>
      </c>
      <c r="B1077" s="34" t="s">
        <v>194</v>
      </c>
      <c r="C1077" s="33" t="s">
        <v>297</v>
      </c>
      <c r="D1077" s="33" t="s">
        <v>22</v>
      </c>
      <c r="E1077" s="33" t="s">
        <v>1359</v>
      </c>
      <c r="F1077" s="35">
        <v>1</v>
      </c>
      <c r="G1077" s="40"/>
      <c r="H1077" s="40"/>
    </row>
    <row r="1078" spans="1:8" hidden="1" x14ac:dyDescent="0.35">
      <c r="A1078" s="33">
        <v>1077</v>
      </c>
      <c r="B1078" s="34" t="s">
        <v>1446</v>
      </c>
      <c r="C1078" s="33" t="s">
        <v>297</v>
      </c>
      <c r="D1078" s="33" t="s">
        <v>22</v>
      </c>
      <c r="E1078" s="33" t="s">
        <v>1359</v>
      </c>
      <c r="F1078" s="35">
        <v>1</v>
      </c>
      <c r="G1078" s="40"/>
      <c r="H1078" s="40"/>
    </row>
    <row r="1079" spans="1:8" hidden="1" x14ac:dyDescent="0.35">
      <c r="A1079" s="33">
        <v>1078</v>
      </c>
      <c r="B1079" s="34" t="s">
        <v>1447</v>
      </c>
      <c r="C1079" s="33" t="s">
        <v>297</v>
      </c>
      <c r="D1079" s="33" t="s">
        <v>22</v>
      </c>
      <c r="E1079" s="33" t="s">
        <v>1359</v>
      </c>
      <c r="F1079" s="35">
        <v>1</v>
      </c>
      <c r="G1079" s="40"/>
      <c r="H1079" s="40"/>
    </row>
    <row r="1080" spans="1:8" hidden="1" x14ac:dyDescent="0.35">
      <c r="A1080" s="33">
        <v>1079</v>
      </c>
      <c r="B1080" s="34" t="s">
        <v>1448</v>
      </c>
      <c r="C1080" s="33" t="s">
        <v>297</v>
      </c>
      <c r="D1080" s="33" t="s">
        <v>22</v>
      </c>
      <c r="E1080" s="33" t="s">
        <v>1359</v>
      </c>
      <c r="F1080" s="35">
        <v>1</v>
      </c>
      <c r="G1080" s="40"/>
      <c r="H1080" s="40"/>
    </row>
    <row r="1081" spans="1:8" hidden="1" x14ac:dyDescent="0.35">
      <c r="A1081" s="33">
        <v>1080</v>
      </c>
      <c r="B1081" s="34" t="s">
        <v>1449</v>
      </c>
      <c r="C1081" s="33" t="s">
        <v>297</v>
      </c>
      <c r="D1081" s="33" t="s">
        <v>22</v>
      </c>
      <c r="E1081" s="33" t="s">
        <v>1359</v>
      </c>
      <c r="F1081" s="35">
        <v>1</v>
      </c>
      <c r="G1081" s="40"/>
      <c r="H1081" s="40"/>
    </row>
    <row r="1082" spans="1:8" hidden="1" x14ac:dyDescent="0.35">
      <c r="A1082" s="33">
        <v>1081</v>
      </c>
      <c r="B1082" s="34" t="s">
        <v>1450</v>
      </c>
      <c r="C1082" s="33" t="s">
        <v>297</v>
      </c>
      <c r="D1082" s="33" t="s">
        <v>22</v>
      </c>
      <c r="E1082" s="33" t="s">
        <v>1359</v>
      </c>
      <c r="F1082" s="35">
        <v>1</v>
      </c>
      <c r="G1082" s="40"/>
      <c r="H1082" s="40"/>
    </row>
    <row r="1083" spans="1:8" hidden="1" x14ac:dyDescent="0.35">
      <c r="A1083" s="33">
        <v>1082</v>
      </c>
      <c r="B1083" s="34" t="s">
        <v>1451</v>
      </c>
      <c r="C1083" s="33" t="s">
        <v>297</v>
      </c>
      <c r="D1083" s="33" t="s">
        <v>22</v>
      </c>
      <c r="E1083" s="33" t="s">
        <v>1359</v>
      </c>
      <c r="F1083" s="35">
        <v>1</v>
      </c>
      <c r="G1083" s="40"/>
      <c r="H1083" s="40"/>
    </row>
    <row r="1084" spans="1:8" hidden="1" x14ac:dyDescent="0.35">
      <c r="A1084" s="33">
        <v>1083</v>
      </c>
      <c r="B1084" s="34" t="s">
        <v>1452</v>
      </c>
      <c r="C1084" s="33" t="s">
        <v>297</v>
      </c>
      <c r="D1084" s="33" t="s">
        <v>22</v>
      </c>
      <c r="E1084" s="33" t="s">
        <v>1359</v>
      </c>
      <c r="F1084" s="35">
        <v>1</v>
      </c>
      <c r="G1084" s="40"/>
      <c r="H1084" s="40"/>
    </row>
    <row r="1085" spans="1:8" hidden="1" x14ac:dyDescent="0.35">
      <c r="A1085" s="33">
        <v>1084</v>
      </c>
      <c r="B1085" s="34" t="s">
        <v>1453</v>
      </c>
      <c r="C1085" s="33" t="s">
        <v>297</v>
      </c>
      <c r="D1085" s="33" t="s">
        <v>22</v>
      </c>
      <c r="E1085" s="33" t="s">
        <v>1359</v>
      </c>
      <c r="F1085" s="35">
        <v>1</v>
      </c>
      <c r="G1085" s="40"/>
      <c r="H1085" s="40"/>
    </row>
    <row r="1086" spans="1:8" hidden="1" x14ac:dyDescent="0.35">
      <c r="A1086" s="33">
        <v>1085</v>
      </c>
      <c r="B1086" s="34" t="s">
        <v>1454</v>
      </c>
      <c r="C1086" s="33" t="s">
        <v>297</v>
      </c>
      <c r="D1086" s="33" t="s">
        <v>22</v>
      </c>
      <c r="E1086" s="33" t="s">
        <v>1359</v>
      </c>
      <c r="F1086" s="35">
        <v>1</v>
      </c>
      <c r="G1086" s="40"/>
      <c r="H1086" s="40"/>
    </row>
    <row r="1087" spans="1:8" hidden="1" x14ac:dyDescent="0.35">
      <c r="A1087" s="33">
        <v>1086</v>
      </c>
      <c r="B1087" s="34" t="s">
        <v>1455</v>
      </c>
      <c r="C1087" s="33" t="s">
        <v>297</v>
      </c>
      <c r="D1087" s="33" t="s">
        <v>22</v>
      </c>
      <c r="E1087" s="33" t="s">
        <v>1359</v>
      </c>
      <c r="F1087" s="35">
        <v>1</v>
      </c>
      <c r="G1087" s="40"/>
      <c r="H1087" s="40"/>
    </row>
    <row r="1088" spans="1:8" hidden="1" x14ac:dyDescent="0.35">
      <c r="A1088" s="33">
        <v>1087</v>
      </c>
      <c r="B1088" s="34" t="s">
        <v>63</v>
      </c>
      <c r="C1088" s="33" t="s">
        <v>297</v>
      </c>
      <c r="D1088" s="33" t="s">
        <v>22</v>
      </c>
      <c r="E1088" s="33" t="s">
        <v>1359</v>
      </c>
      <c r="F1088" s="35">
        <v>1</v>
      </c>
      <c r="G1088" s="40"/>
      <c r="H1088" s="40"/>
    </row>
    <row r="1089" spans="1:8" hidden="1" x14ac:dyDescent="0.35">
      <c r="A1089" s="33">
        <v>1088</v>
      </c>
      <c r="B1089" s="34" t="s">
        <v>1456</v>
      </c>
      <c r="C1089" s="33" t="s">
        <v>297</v>
      </c>
      <c r="D1089" s="33" t="s">
        <v>22</v>
      </c>
      <c r="E1089" s="33" t="s">
        <v>1359</v>
      </c>
      <c r="F1089" s="35">
        <v>1</v>
      </c>
      <c r="G1089" s="40"/>
      <c r="H1089" s="40"/>
    </row>
    <row r="1090" spans="1:8" hidden="1" x14ac:dyDescent="0.35">
      <c r="A1090" s="33">
        <v>1089</v>
      </c>
      <c r="B1090" s="34" t="s">
        <v>1457</v>
      </c>
      <c r="C1090" s="33" t="s">
        <v>297</v>
      </c>
      <c r="D1090" s="33" t="s">
        <v>22</v>
      </c>
      <c r="E1090" s="33" t="s">
        <v>1359</v>
      </c>
      <c r="F1090" s="35">
        <v>1</v>
      </c>
      <c r="G1090" s="40"/>
      <c r="H1090" s="40"/>
    </row>
    <row r="1091" spans="1:8" hidden="1" x14ac:dyDescent="0.35">
      <c r="A1091" s="33">
        <v>1090</v>
      </c>
      <c r="B1091" s="34" t="s">
        <v>1458</v>
      </c>
      <c r="C1091" s="33" t="s">
        <v>297</v>
      </c>
      <c r="D1091" s="33" t="s">
        <v>22</v>
      </c>
      <c r="E1091" s="33" t="s">
        <v>1359</v>
      </c>
      <c r="F1091" s="35">
        <v>1</v>
      </c>
      <c r="G1091" s="40"/>
      <c r="H1091" s="40"/>
    </row>
    <row r="1092" spans="1:8" hidden="1" x14ac:dyDescent="0.35">
      <c r="A1092" s="33">
        <v>1091</v>
      </c>
      <c r="B1092" s="34" t="s">
        <v>1459</v>
      </c>
      <c r="C1092" s="33" t="s">
        <v>297</v>
      </c>
      <c r="D1092" s="33" t="s">
        <v>22</v>
      </c>
      <c r="E1092" s="33" t="s">
        <v>1359</v>
      </c>
      <c r="F1092" s="35">
        <v>1</v>
      </c>
      <c r="G1092" s="40"/>
      <c r="H1092" s="40"/>
    </row>
    <row r="1093" spans="1:8" hidden="1" x14ac:dyDescent="0.35">
      <c r="A1093" s="33">
        <v>1092</v>
      </c>
      <c r="B1093" s="34" t="s">
        <v>1460</v>
      </c>
      <c r="C1093" s="33" t="s">
        <v>297</v>
      </c>
      <c r="D1093" s="33" t="s">
        <v>22</v>
      </c>
      <c r="E1093" s="33" t="s">
        <v>1359</v>
      </c>
      <c r="F1093" s="35">
        <v>1</v>
      </c>
      <c r="G1093" s="40"/>
      <c r="H1093" s="40"/>
    </row>
    <row r="1094" spans="1:8" hidden="1" x14ac:dyDescent="0.35">
      <c r="A1094" s="33">
        <v>1093</v>
      </c>
      <c r="B1094" s="34" t="s">
        <v>1461</v>
      </c>
      <c r="C1094" s="33" t="s">
        <v>297</v>
      </c>
      <c r="D1094" s="33" t="s">
        <v>22</v>
      </c>
      <c r="E1094" s="33" t="s">
        <v>1359</v>
      </c>
      <c r="F1094" s="35">
        <v>1</v>
      </c>
      <c r="G1094" s="40"/>
      <c r="H1094" s="40"/>
    </row>
    <row r="1095" spans="1:8" hidden="1" x14ac:dyDescent="0.35">
      <c r="A1095" s="33">
        <v>1094</v>
      </c>
      <c r="B1095" s="34" t="s">
        <v>1462</v>
      </c>
      <c r="C1095" s="33" t="s">
        <v>297</v>
      </c>
      <c r="D1095" s="33" t="s">
        <v>22</v>
      </c>
      <c r="E1095" s="33" t="s">
        <v>1359</v>
      </c>
      <c r="F1095" s="35">
        <v>1</v>
      </c>
      <c r="G1095" s="40"/>
      <c r="H1095" s="40"/>
    </row>
    <row r="1096" spans="1:8" hidden="1" x14ac:dyDescent="0.35">
      <c r="A1096" s="33">
        <v>1095</v>
      </c>
      <c r="B1096" s="34" t="s">
        <v>1463</v>
      </c>
      <c r="C1096" s="33" t="s">
        <v>297</v>
      </c>
      <c r="D1096" s="33" t="s">
        <v>22</v>
      </c>
      <c r="E1096" s="33" t="s">
        <v>1359</v>
      </c>
      <c r="F1096" s="35">
        <v>1</v>
      </c>
      <c r="G1096" s="40"/>
      <c r="H1096" s="40"/>
    </row>
    <row r="1097" spans="1:8" hidden="1" x14ac:dyDescent="0.35">
      <c r="A1097" s="33">
        <v>1096</v>
      </c>
      <c r="B1097" s="34" t="s">
        <v>1464</v>
      </c>
      <c r="C1097" s="33" t="s">
        <v>297</v>
      </c>
      <c r="D1097" s="33" t="s">
        <v>22</v>
      </c>
      <c r="E1097" s="33" t="s">
        <v>1359</v>
      </c>
      <c r="F1097" s="35">
        <v>1</v>
      </c>
      <c r="G1097" s="40"/>
      <c r="H1097" s="40"/>
    </row>
    <row r="1098" spans="1:8" hidden="1" x14ac:dyDescent="0.35">
      <c r="A1098" s="33">
        <v>1097</v>
      </c>
      <c r="B1098" s="34" t="s">
        <v>1465</v>
      </c>
      <c r="C1098" s="33" t="s">
        <v>297</v>
      </c>
      <c r="D1098" s="33" t="s">
        <v>22</v>
      </c>
      <c r="E1098" s="33" t="s">
        <v>1359</v>
      </c>
      <c r="F1098" s="35">
        <v>1</v>
      </c>
      <c r="G1098" s="40"/>
      <c r="H1098" s="40"/>
    </row>
    <row r="1099" spans="1:8" hidden="1" x14ac:dyDescent="0.35">
      <c r="A1099" s="33">
        <v>1098</v>
      </c>
      <c r="B1099" s="34" t="s">
        <v>1466</v>
      </c>
      <c r="C1099" s="33" t="s">
        <v>297</v>
      </c>
      <c r="D1099" s="33" t="s">
        <v>22</v>
      </c>
      <c r="E1099" s="33" t="s">
        <v>1359</v>
      </c>
      <c r="F1099" s="35">
        <v>1</v>
      </c>
      <c r="G1099" s="40"/>
      <c r="H1099" s="40"/>
    </row>
    <row r="1100" spans="1:8" hidden="1" x14ac:dyDescent="0.35">
      <c r="A1100" s="33">
        <v>1099</v>
      </c>
      <c r="B1100" s="34" t="s">
        <v>1467</v>
      </c>
      <c r="C1100" s="33" t="s">
        <v>346</v>
      </c>
      <c r="D1100" s="33" t="s">
        <v>22</v>
      </c>
      <c r="E1100" s="33" t="s">
        <v>1359</v>
      </c>
      <c r="F1100" s="35">
        <v>1</v>
      </c>
      <c r="G1100" s="40"/>
      <c r="H1100" s="40"/>
    </row>
    <row r="1101" spans="1:8" hidden="1" x14ac:dyDescent="0.35">
      <c r="A1101" s="33">
        <v>1100</v>
      </c>
      <c r="B1101" s="34" t="s">
        <v>1468</v>
      </c>
      <c r="C1101" s="33" t="s">
        <v>346</v>
      </c>
      <c r="D1101" s="33" t="s">
        <v>22</v>
      </c>
      <c r="E1101" s="33" t="s">
        <v>1359</v>
      </c>
      <c r="F1101" s="35">
        <v>0.25</v>
      </c>
      <c r="G1101" s="40"/>
      <c r="H1101" s="40"/>
    </row>
    <row r="1102" spans="1:8" hidden="1" x14ac:dyDescent="0.35">
      <c r="A1102" s="33">
        <v>1101</v>
      </c>
      <c r="B1102" s="34" t="s">
        <v>1469</v>
      </c>
      <c r="C1102" s="33" t="s">
        <v>297</v>
      </c>
      <c r="D1102" s="33" t="s">
        <v>208</v>
      </c>
      <c r="E1102" s="33" t="s">
        <v>344</v>
      </c>
      <c r="F1102" s="35">
        <v>1</v>
      </c>
      <c r="G1102" s="40"/>
      <c r="H1102" s="40"/>
    </row>
    <row r="1103" spans="1:8" hidden="1" x14ac:dyDescent="0.35">
      <c r="A1103" s="33">
        <v>1102</v>
      </c>
      <c r="B1103" s="34" t="s">
        <v>1470</v>
      </c>
      <c r="C1103" s="33" t="s">
        <v>297</v>
      </c>
      <c r="D1103" s="33" t="s">
        <v>208</v>
      </c>
      <c r="E1103" s="33" t="s">
        <v>1471</v>
      </c>
      <c r="F1103" s="35">
        <v>1</v>
      </c>
      <c r="G1103" s="40"/>
      <c r="H1103" s="40"/>
    </row>
    <row r="1104" spans="1:8" hidden="1" x14ac:dyDescent="0.35">
      <c r="A1104" s="33">
        <v>1103</v>
      </c>
      <c r="B1104" s="34" t="s">
        <v>1472</v>
      </c>
      <c r="C1104" s="33" t="s">
        <v>297</v>
      </c>
      <c r="D1104" s="33" t="s">
        <v>208</v>
      </c>
      <c r="E1104" s="33" t="s">
        <v>1471</v>
      </c>
      <c r="F1104" s="35">
        <v>1</v>
      </c>
      <c r="G1104" s="40"/>
      <c r="H1104" s="40"/>
    </row>
    <row r="1105" spans="1:9" hidden="1" x14ac:dyDescent="0.35">
      <c r="A1105" s="33">
        <v>1104</v>
      </c>
      <c r="B1105" s="34" t="s">
        <v>1473</v>
      </c>
      <c r="C1105" s="33" t="s">
        <v>297</v>
      </c>
      <c r="D1105" s="33" t="s">
        <v>208</v>
      </c>
      <c r="E1105" s="33" t="s">
        <v>1474</v>
      </c>
      <c r="F1105" s="35">
        <v>1</v>
      </c>
      <c r="G1105" s="40"/>
      <c r="H1105" s="40"/>
    </row>
    <row r="1106" spans="1:9" hidden="1" x14ac:dyDescent="0.35">
      <c r="A1106" s="33">
        <v>1105</v>
      </c>
      <c r="B1106" s="34" t="s">
        <v>1475</v>
      </c>
      <c r="C1106" s="33" t="s">
        <v>297</v>
      </c>
      <c r="D1106" s="33" t="s">
        <v>208</v>
      </c>
      <c r="E1106" s="33" t="s">
        <v>1474</v>
      </c>
      <c r="F1106" s="35">
        <v>1</v>
      </c>
      <c r="G1106" s="40"/>
      <c r="H1106" s="40"/>
    </row>
    <row r="1107" spans="1:9" hidden="1" x14ac:dyDescent="0.35">
      <c r="A1107" s="33">
        <v>1106</v>
      </c>
      <c r="B1107" s="34" t="s">
        <v>210</v>
      </c>
      <c r="C1107" s="33" t="s">
        <v>297</v>
      </c>
      <c r="D1107" s="33" t="s">
        <v>208</v>
      </c>
      <c r="E1107" s="33" t="s">
        <v>1474</v>
      </c>
      <c r="F1107" s="35">
        <v>1</v>
      </c>
      <c r="G1107" s="40"/>
      <c r="H1107" s="40"/>
    </row>
    <row r="1108" spans="1:9" hidden="1" x14ac:dyDescent="0.35">
      <c r="A1108" s="33">
        <v>1107</v>
      </c>
      <c r="B1108" s="34" t="s">
        <v>1476</v>
      </c>
      <c r="C1108" s="33" t="s">
        <v>297</v>
      </c>
      <c r="D1108" s="33" t="s">
        <v>208</v>
      </c>
      <c r="E1108" s="33" t="s">
        <v>1474</v>
      </c>
      <c r="F1108" s="35">
        <v>1</v>
      </c>
      <c r="G1108" s="40"/>
      <c r="H1108" s="40"/>
    </row>
    <row r="1109" spans="1:9" hidden="1" x14ac:dyDescent="0.35">
      <c r="A1109" s="33">
        <v>1108</v>
      </c>
      <c r="B1109" s="34" t="s">
        <v>1477</v>
      </c>
      <c r="C1109" s="33" t="s">
        <v>346</v>
      </c>
      <c r="D1109" s="33" t="s">
        <v>208</v>
      </c>
      <c r="E1109" s="33" t="s">
        <v>1478</v>
      </c>
      <c r="F1109" s="35">
        <v>0.06</v>
      </c>
      <c r="G1109" s="40"/>
      <c r="H1109" s="40"/>
    </row>
    <row r="1110" spans="1:9" hidden="1" x14ac:dyDescent="0.35">
      <c r="A1110" s="33">
        <v>1109</v>
      </c>
      <c r="B1110" s="34" t="s">
        <v>1479</v>
      </c>
      <c r="C1110" s="33" t="s">
        <v>346</v>
      </c>
      <c r="D1110" s="33" t="s">
        <v>208</v>
      </c>
      <c r="E1110" s="33" t="s">
        <v>1478</v>
      </c>
      <c r="F1110" s="35">
        <v>0.06</v>
      </c>
      <c r="G1110" s="40"/>
      <c r="H1110" s="40"/>
    </row>
    <row r="1111" spans="1:9" hidden="1" x14ac:dyDescent="0.35">
      <c r="A1111" s="33">
        <v>1110</v>
      </c>
      <c r="B1111" s="34" t="s">
        <v>1480</v>
      </c>
      <c r="C1111" s="33" t="s">
        <v>346</v>
      </c>
      <c r="D1111" s="33" t="s">
        <v>208</v>
      </c>
      <c r="E1111" s="33" t="s">
        <v>1478</v>
      </c>
      <c r="F1111" s="35">
        <v>0.06</v>
      </c>
      <c r="G1111" s="40"/>
      <c r="H1111" s="40"/>
    </row>
    <row r="1112" spans="1:9" x14ac:dyDescent="0.35">
      <c r="A1112" s="33">
        <v>1111</v>
      </c>
      <c r="B1112" s="34" t="s">
        <v>1481</v>
      </c>
      <c r="C1112" s="33" t="s">
        <v>346</v>
      </c>
      <c r="D1112" s="33" t="s">
        <v>208</v>
      </c>
      <c r="E1112" s="33" t="s">
        <v>1478</v>
      </c>
      <c r="F1112" s="35">
        <v>1</v>
      </c>
      <c r="G1112" s="40"/>
      <c r="H1112" s="40">
        <v>10.45</v>
      </c>
      <c r="I1112" s="40" t="s">
        <v>2303</v>
      </c>
    </row>
    <row r="1113" spans="1:9" hidden="1" x14ac:dyDescent="0.35">
      <c r="A1113" s="41">
        <v>1112</v>
      </c>
      <c r="B1113" s="42" t="s">
        <v>1482</v>
      </c>
      <c r="C1113" s="41" t="s">
        <v>346</v>
      </c>
      <c r="D1113" s="41" t="s">
        <v>208</v>
      </c>
      <c r="E1113" s="41" t="s">
        <v>1478</v>
      </c>
      <c r="F1113" s="43">
        <v>3.5000000000000003E-2</v>
      </c>
      <c r="G1113" s="44"/>
      <c r="H1113" s="44"/>
    </row>
    <row r="1114" spans="1:9" hidden="1" x14ac:dyDescent="0.35">
      <c r="A1114" s="33">
        <v>1113</v>
      </c>
      <c r="B1114" s="34" t="s">
        <v>1483</v>
      </c>
      <c r="C1114" s="33" t="s">
        <v>346</v>
      </c>
      <c r="D1114" s="33" t="s">
        <v>208</v>
      </c>
      <c r="E1114" s="33" t="s">
        <v>1478</v>
      </c>
      <c r="F1114" s="35">
        <v>0.06</v>
      </c>
      <c r="G1114" s="40"/>
      <c r="H1114" s="40"/>
    </row>
    <row r="1115" spans="1:9" hidden="1" x14ac:dyDescent="0.35">
      <c r="A1115" s="33">
        <v>1114</v>
      </c>
      <c r="B1115" s="34" t="s">
        <v>1484</v>
      </c>
      <c r="C1115" s="33" t="s">
        <v>346</v>
      </c>
      <c r="D1115" s="33" t="s">
        <v>208</v>
      </c>
      <c r="E1115" s="33" t="s">
        <v>1478</v>
      </c>
      <c r="F1115" s="35">
        <v>0.2</v>
      </c>
      <c r="G1115" s="40"/>
      <c r="H1115" s="40"/>
    </row>
    <row r="1116" spans="1:9" hidden="1" x14ac:dyDescent="0.35">
      <c r="A1116" s="33">
        <v>1115</v>
      </c>
      <c r="B1116" s="34" t="s">
        <v>1485</v>
      </c>
      <c r="C1116" s="33" t="s">
        <v>346</v>
      </c>
      <c r="D1116" s="33" t="s">
        <v>208</v>
      </c>
      <c r="E1116" s="33" t="s">
        <v>1478</v>
      </c>
      <c r="F1116" s="35">
        <v>7.0000000000000007E-2</v>
      </c>
      <c r="G1116" s="40"/>
      <c r="H1116" s="40"/>
    </row>
    <row r="1117" spans="1:9" x14ac:dyDescent="0.35">
      <c r="A1117" s="33">
        <v>1116</v>
      </c>
      <c r="B1117" s="34" t="s">
        <v>1486</v>
      </c>
      <c r="C1117" s="33" t="s">
        <v>346</v>
      </c>
      <c r="D1117" s="33" t="s">
        <v>208</v>
      </c>
      <c r="E1117" s="33" t="s">
        <v>1478</v>
      </c>
      <c r="F1117" s="35">
        <v>1</v>
      </c>
      <c r="G1117" s="40"/>
      <c r="H1117" s="40">
        <f>24.7+42.15+36.05+9</f>
        <v>111.89999999999999</v>
      </c>
      <c r="I1117" s="40" t="s">
        <v>2303</v>
      </c>
    </row>
    <row r="1118" spans="1:9" x14ac:dyDescent="0.35">
      <c r="A1118" s="33">
        <v>1117</v>
      </c>
      <c r="B1118" s="34" t="s">
        <v>1487</v>
      </c>
      <c r="C1118" s="33" t="s">
        <v>346</v>
      </c>
      <c r="D1118" s="33" t="s">
        <v>208</v>
      </c>
      <c r="E1118" s="33" t="s">
        <v>1478</v>
      </c>
      <c r="F1118" s="35">
        <v>1</v>
      </c>
      <c r="G1118" s="40"/>
      <c r="H1118" s="40">
        <f>32.15+6.5+10.24</f>
        <v>48.89</v>
      </c>
      <c r="I1118" s="40" t="s">
        <v>2303</v>
      </c>
    </row>
    <row r="1119" spans="1:9" hidden="1" x14ac:dyDescent="0.35">
      <c r="A1119" s="41">
        <v>1118</v>
      </c>
      <c r="B1119" s="42" t="s">
        <v>1488</v>
      </c>
      <c r="C1119" s="41" t="s">
        <v>346</v>
      </c>
      <c r="D1119" s="41" t="s">
        <v>208</v>
      </c>
      <c r="E1119" s="41" t="s">
        <v>1478</v>
      </c>
      <c r="F1119" s="43">
        <v>1</v>
      </c>
      <c r="G1119" s="44"/>
      <c r="H1119" s="44"/>
    </row>
    <row r="1120" spans="1:9" hidden="1" x14ac:dyDescent="0.35">
      <c r="A1120" s="33">
        <v>1119</v>
      </c>
      <c r="B1120" s="34" t="s">
        <v>1489</v>
      </c>
      <c r="C1120" s="33" t="s">
        <v>346</v>
      </c>
      <c r="D1120" s="33" t="s">
        <v>208</v>
      </c>
      <c r="E1120" s="33" t="s">
        <v>1478</v>
      </c>
      <c r="F1120" s="35">
        <v>1</v>
      </c>
      <c r="G1120" s="40"/>
      <c r="H1120" s="40"/>
    </row>
    <row r="1121" spans="1:9" hidden="1" x14ac:dyDescent="0.35">
      <c r="A1121" s="33">
        <v>1120</v>
      </c>
      <c r="B1121" s="34" t="s">
        <v>1490</v>
      </c>
      <c r="C1121" s="33" t="s">
        <v>346</v>
      </c>
      <c r="D1121" s="33" t="s">
        <v>208</v>
      </c>
      <c r="E1121" s="33" t="s">
        <v>1478</v>
      </c>
      <c r="F1121" s="35">
        <v>0.11</v>
      </c>
      <c r="G1121" s="40"/>
      <c r="H1121" s="40"/>
    </row>
    <row r="1122" spans="1:9" hidden="1" x14ac:dyDescent="0.35">
      <c r="A1122" s="33">
        <v>1121</v>
      </c>
      <c r="B1122" s="34" t="s">
        <v>1491</v>
      </c>
      <c r="C1122" s="33" t="s">
        <v>346</v>
      </c>
      <c r="D1122" s="33" t="s">
        <v>208</v>
      </c>
      <c r="E1122" s="33" t="s">
        <v>1478</v>
      </c>
      <c r="F1122" s="35">
        <v>0.1</v>
      </c>
      <c r="G1122" s="40"/>
      <c r="H1122" s="40"/>
    </row>
    <row r="1123" spans="1:9" hidden="1" x14ac:dyDescent="0.35">
      <c r="A1123" s="33">
        <v>1122</v>
      </c>
      <c r="B1123" s="34" t="s">
        <v>1492</v>
      </c>
      <c r="C1123" s="33" t="s">
        <v>346</v>
      </c>
      <c r="D1123" s="33" t="s">
        <v>208</v>
      </c>
      <c r="E1123" s="33" t="s">
        <v>1478</v>
      </c>
      <c r="F1123" s="35">
        <v>2.5000000000000001E-2</v>
      </c>
      <c r="G1123" s="40"/>
      <c r="H1123" s="40"/>
    </row>
    <row r="1124" spans="1:9" hidden="1" x14ac:dyDescent="0.35">
      <c r="A1124" s="33">
        <v>1123</v>
      </c>
      <c r="B1124" s="34" t="s">
        <v>1493</v>
      </c>
      <c r="C1124" s="33" t="s">
        <v>346</v>
      </c>
      <c r="D1124" s="33" t="s">
        <v>208</v>
      </c>
      <c r="E1124" s="33" t="s">
        <v>1478</v>
      </c>
      <c r="F1124" s="35">
        <v>2.5000000000000001E-2</v>
      </c>
      <c r="G1124" s="40"/>
      <c r="H1124" s="40"/>
    </row>
    <row r="1125" spans="1:9" x14ac:dyDescent="0.35">
      <c r="A1125" s="33">
        <v>1124</v>
      </c>
      <c r="B1125" s="34" t="s">
        <v>1494</v>
      </c>
      <c r="C1125" s="33" t="s">
        <v>346</v>
      </c>
      <c r="D1125" s="33" t="s">
        <v>208</v>
      </c>
      <c r="E1125" s="33" t="s">
        <v>1478</v>
      </c>
      <c r="F1125" s="35">
        <v>1</v>
      </c>
      <c r="G1125" s="40"/>
      <c r="H1125" s="40">
        <v>2.4</v>
      </c>
      <c r="I1125" s="40" t="s">
        <v>2303</v>
      </c>
    </row>
    <row r="1126" spans="1:9" x14ac:dyDescent="0.35">
      <c r="A1126" s="33">
        <v>1125</v>
      </c>
      <c r="B1126" s="34" t="s">
        <v>1495</v>
      </c>
      <c r="C1126" s="33" t="s">
        <v>346</v>
      </c>
      <c r="D1126" s="33" t="s">
        <v>208</v>
      </c>
      <c r="E1126" s="33" t="s">
        <v>1478</v>
      </c>
      <c r="F1126" s="35">
        <v>1</v>
      </c>
      <c r="G1126" s="40"/>
      <c r="H1126" s="40">
        <f>2.3+3.15</f>
        <v>5.4499999999999993</v>
      </c>
      <c r="I1126" s="40" t="s">
        <v>2303</v>
      </c>
    </row>
    <row r="1127" spans="1:9" hidden="1" x14ac:dyDescent="0.35">
      <c r="A1127" s="41">
        <v>1126</v>
      </c>
      <c r="B1127" s="42" t="s">
        <v>1496</v>
      </c>
      <c r="C1127" s="41" t="s">
        <v>346</v>
      </c>
      <c r="D1127" s="41" t="s">
        <v>208</v>
      </c>
      <c r="E1127" s="41" t="s">
        <v>1478</v>
      </c>
      <c r="F1127" s="43">
        <v>0.1</v>
      </c>
      <c r="G1127" s="44"/>
      <c r="H1127" s="44"/>
    </row>
    <row r="1128" spans="1:9" hidden="1" x14ac:dyDescent="0.35">
      <c r="A1128" s="33">
        <v>1127</v>
      </c>
      <c r="B1128" s="34" t="s">
        <v>1497</v>
      </c>
      <c r="C1128" s="33" t="s">
        <v>346</v>
      </c>
      <c r="D1128" s="33" t="s">
        <v>208</v>
      </c>
      <c r="E1128" s="33" t="s">
        <v>1478</v>
      </c>
      <c r="F1128" s="35">
        <v>0.11</v>
      </c>
      <c r="G1128" s="40"/>
      <c r="H1128" s="40"/>
    </row>
    <row r="1129" spans="1:9" hidden="1" x14ac:dyDescent="0.35">
      <c r="A1129" s="33">
        <v>1128</v>
      </c>
      <c r="B1129" s="34" t="s">
        <v>1498</v>
      </c>
      <c r="C1129" s="33" t="s">
        <v>346</v>
      </c>
      <c r="D1129" s="33" t="s">
        <v>208</v>
      </c>
      <c r="E1129" s="33" t="s">
        <v>1478</v>
      </c>
      <c r="F1129" s="35">
        <v>0.16</v>
      </c>
      <c r="G1129" s="40"/>
      <c r="H1129" s="40"/>
    </row>
    <row r="1130" spans="1:9" hidden="1" x14ac:dyDescent="0.35">
      <c r="A1130" s="33">
        <v>1129</v>
      </c>
      <c r="B1130" s="34" t="s">
        <v>1499</v>
      </c>
      <c r="C1130" s="33" t="s">
        <v>346</v>
      </c>
      <c r="D1130" s="33" t="s">
        <v>208</v>
      </c>
      <c r="E1130" s="33" t="s">
        <v>1478</v>
      </c>
      <c r="F1130" s="35">
        <v>2.5000000000000001E-2</v>
      </c>
      <c r="G1130" s="40"/>
      <c r="H1130" s="40"/>
    </row>
    <row r="1131" spans="1:9" hidden="1" x14ac:dyDescent="0.35">
      <c r="A1131" s="33">
        <v>1130</v>
      </c>
      <c r="B1131" s="34" t="s">
        <v>1500</v>
      </c>
      <c r="C1131" s="33" t="s">
        <v>346</v>
      </c>
      <c r="D1131" s="33" t="s">
        <v>208</v>
      </c>
      <c r="E1131" s="33" t="s">
        <v>1478</v>
      </c>
      <c r="F1131" s="35">
        <v>2.5000000000000001E-2</v>
      </c>
      <c r="G1131" s="40"/>
      <c r="H1131" s="40"/>
    </row>
    <row r="1132" spans="1:9" hidden="1" x14ac:dyDescent="0.35">
      <c r="A1132" s="33">
        <v>1131</v>
      </c>
      <c r="B1132" s="34" t="s">
        <v>1501</v>
      </c>
      <c r="C1132" s="33" t="s">
        <v>346</v>
      </c>
      <c r="D1132" s="33" t="s">
        <v>208</v>
      </c>
      <c r="E1132" s="33" t="s">
        <v>1478</v>
      </c>
      <c r="F1132" s="35">
        <v>0.11</v>
      </c>
      <c r="G1132" s="40"/>
      <c r="H1132" s="40"/>
    </row>
    <row r="1133" spans="1:9" hidden="1" x14ac:dyDescent="0.35">
      <c r="A1133" s="33">
        <v>1132</v>
      </c>
      <c r="B1133" s="34" t="s">
        <v>1502</v>
      </c>
      <c r="C1133" s="33" t="s">
        <v>346</v>
      </c>
      <c r="D1133" s="33" t="s">
        <v>208</v>
      </c>
      <c r="E1133" s="33" t="s">
        <v>1478</v>
      </c>
      <c r="F1133" s="35">
        <v>0.16</v>
      </c>
      <c r="G1133" s="40"/>
      <c r="H1133" s="40"/>
    </row>
    <row r="1134" spans="1:9" x14ac:dyDescent="0.35">
      <c r="A1134" s="33">
        <v>1133</v>
      </c>
      <c r="B1134" s="34" t="s">
        <v>1503</v>
      </c>
      <c r="C1134" s="33" t="s">
        <v>346</v>
      </c>
      <c r="D1134" s="33" t="s">
        <v>208</v>
      </c>
      <c r="E1134" s="33" t="s">
        <v>1478</v>
      </c>
      <c r="F1134" s="35">
        <v>1</v>
      </c>
      <c r="G1134" s="40"/>
      <c r="H1134" s="40">
        <f>13+4.3</f>
        <v>17.3</v>
      </c>
      <c r="I1134" s="40" t="s">
        <v>2303</v>
      </c>
    </row>
    <row r="1135" spans="1:9" hidden="1" x14ac:dyDescent="0.35">
      <c r="A1135" s="41">
        <v>1134</v>
      </c>
      <c r="B1135" s="42" t="s">
        <v>1504</v>
      </c>
      <c r="C1135" s="41" t="s">
        <v>346</v>
      </c>
      <c r="D1135" s="41" t="s">
        <v>208</v>
      </c>
      <c r="E1135" s="41" t="s">
        <v>1478</v>
      </c>
      <c r="F1135" s="43">
        <v>0.11</v>
      </c>
      <c r="G1135" s="44"/>
      <c r="H1135" s="44"/>
    </row>
    <row r="1136" spans="1:9" hidden="1" x14ac:dyDescent="0.35">
      <c r="A1136" s="33">
        <v>1135</v>
      </c>
      <c r="B1136" s="34" t="s">
        <v>1505</v>
      </c>
      <c r="C1136" s="33" t="s">
        <v>346</v>
      </c>
      <c r="D1136" s="33" t="s">
        <v>208</v>
      </c>
      <c r="E1136" s="33" t="s">
        <v>1478</v>
      </c>
      <c r="F1136" s="35">
        <v>0.16</v>
      </c>
      <c r="G1136" s="40"/>
      <c r="H1136" s="40"/>
    </row>
    <row r="1137" spans="1:9" hidden="1" x14ac:dyDescent="0.35">
      <c r="A1137" s="33">
        <v>1136</v>
      </c>
      <c r="B1137" s="34" t="s">
        <v>1506</v>
      </c>
      <c r="C1137" s="33" t="s">
        <v>346</v>
      </c>
      <c r="D1137" s="33" t="s">
        <v>208</v>
      </c>
      <c r="E1137" s="33" t="s">
        <v>1478</v>
      </c>
      <c r="F1137" s="35">
        <v>0.06</v>
      </c>
      <c r="G1137" s="40"/>
      <c r="H1137" s="40"/>
    </row>
    <row r="1138" spans="1:9" hidden="1" x14ac:dyDescent="0.35">
      <c r="A1138" s="33">
        <v>1137</v>
      </c>
      <c r="B1138" s="34" t="s">
        <v>1507</v>
      </c>
      <c r="C1138" s="33" t="s">
        <v>346</v>
      </c>
      <c r="D1138" s="33" t="s">
        <v>208</v>
      </c>
      <c r="E1138" s="33" t="s">
        <v>1478</v>
      </c>
      <c r="F1138" s="35">
        <v>0.06</v>
      </c>
      <c r="G1138" s="40"/>
      <c r="H1138" s="40"/>
    </row>
    <row r="1139" spans="1:9" hidden="1" x14ac:dyDescent="0.35">
      <c r="A1139" s="33">
        <v>1138</v>
      </c>
      <c r="B1139" s="34" t="s">
        <v>1508</v>
      </c>
      <c r="C1139" s="33" t="s">
        <v>346</v>
      </c>
      <c r="D1139" s="33" t="s">
        <v>208</v>
      </c>
      <c r="E1139" s="33" t="s">
        <v>1478</v>
      </c>
      <c r="F1139" s="35">
        <v>1</v>
      </c>
      <c r="G1139" s="40"/>
      <c r="H1139" s="40"/>
    </row>
    <row r="1140" spans="1:9" hidden="1" x14ac:dyDescent="0.35">
      <c r="A1140" s="33">
        <v>1139</v>
      </c>
      <c r="B1140" s="34" t="s">
        <v>1509</v>
      </c>
      <c r="C1140" s="33" t="s">
        <v>346</v>
      </c>
      <c r="D1140" s="33" t="s">
        <v>208</v>
      </c>
      <c r="E1140" s="33" t="s">
        <v>1478</v>
      </c>
      <c r="F1140" s="35">
        <v>3.5000000000000003E-2</v>
      </c>
      <c r="G1140" s="40"/>
      <c r="H1140" s="40"/>
    </row>
    <row r="1141" spans="1:9" hidden="1" x14ac:dyDescent="0.35">
      <c r="A1141" s="33">
        <v>1140</v>
      </c>
      <c r="B1141" s="34" t="s">
        <v>1510</v>
      </c>
      <c r="C1141" s="33" t="s">
        <v>346</v>
      </c>
      <c r="D1141" s="33" t="s">
        <v>208</v>
      </c>
      <c r="E1141" s="33" t="s">
        <v>1478</v>
      </c>
      <c r="F1141" s="35">
        <v>1</v>
      </c>
      <c r="G1141" s="40"/>
      <c r="H1141" s="40"/>
    </row>
    <row r="1142" spans="1:9" x14ac:dyDescent="0.35">
      <c r="A1142" s="33">
        <v>1141</v>
      </c>
      <c r="B1142" s="34" t="s">
        <v>1511</v>
      </c>
      <c r="C1142" s="33" t="s">
        <v>346</v>
      </c>
      <c r="D1142" s="33" t="s">
        <v>208</v>
      </c>
      <c r="E1142" s="33" t="s">
        <v>1478</v>
      </c>
      <c r="F1142" s="35">
        <v>1</v>
      </c>
      <c r="G1142" s="40"/>
      <c r="H1142" s="40">
        <v>3.6</v>
      </c>
      <c r="I1142" s="40" t="s">
        <v>2303</v>
      </c>
    </row>
    <row r="1143" spans="1:9" hidden="1" x14ac:dyDescent="0.35">
      <c r="A1143" s="41">
        <v>1142</v>
      </c>
      <c r="B1143" s="42" t="s">
        <v>1512</v>
      </c>
      <c r="C1143" s="41" t="s">
        <v>346</v>
      </c>
      <c r="D1143" s="41" t="s">
        <v>208</v>
      </c>
      <c r="E1143" s="41" t="s">
        <v>1478</v>
      </c>
      <c r="F1143" s="43">
        <v>0.06</v>
      </c>
      <c r="G1143" s="44"/>
      <c r="H1143" s="44"/>
    </row>
    <row r="1144" spans="1:9" hidden="1" x14ac:dyDescent="0.35">
      <c r="A1144" s="33">
        <v>1143</v>
      </c>
      <c r="B1144" s="34" t="s">
        <v>1513</v>
      </c>
      <c r="C1144" s="33" t="s">
        <v>346</v>
      </c>
      <c r="D1144" s="33" t="s">
        <v>208</v>
      </c>
      <c r="E1144" s="33" t="s">
        <v>1478</v>
      </c>
      <c r="F1144" s="35">
        <v>1</v>
      </c>
      <c r="G1144" s="40"/>
      <c r="H1144" s="40"/>
    </row>
    <row r="1145" spans="1:9" hidden="1" x14ac:dyDescent="0.35">
      <c r="A1145" s="33">
        <v>1144</v>
      </c>
      <c r="B1145" s="34" t="s">
        <v>1514</v>
      </c>
      <c r="C1145" s="33" t="s">
        <v>346</v>
      </c>
      <c r="D1145" s="33" t="s">
        <v>208</v>
      </c>
      <c r="E1145" s="33" t="s">
        <v>1478</v>
      </c>
      <c r="F1145" s="35">
        <v>3.5000000000000003E-2</v>
      </c>
      <c r="G1145" s="40"/>
      <c r="H1145" s="40"/>
    </row>
    <row r="1146" spans="1:9" hidden="1" x14ac:dyDescent="0.35">
      <c r="A1146" s="33">
        <v>1145</v>
      </c>
      <c r="B1146" s="34" t="s">
        <v>1515</v>
      </c>
      <c r="C1146" s="33" t="s">
        <v>346</v>
      </c>
      <c r="D1146" s="33" t="s">
        <v>208</v>
      </c>
      <c r="E1146" s="33" t="s">
        <v>1478</v>
      </c>
      <c r="F1146" s="35">
        <v>1</v>
      </c>
      <c r="G1146" s="40"/>
      <c r="H1146" s="40"/>
    </row>
    <row r="1147" spans="1:9" hidden="1" x14ac:dyDescent="0.35">
      <c r="A1147" s="33">
        <v>1146</v>
      </c>
      <c r="B1147" s="34" t="s">
        <v>1516</v>
      </c>
      <c r="C1147" s="33" t="s">
        <v>346</v>
      </c>
      <c r="D1147" s="33" t="s">
        <v>208</v>
      </c>
      <c r="E1147" s="33" t="s">
        <v>1478</v>
      </c>
      <c r="F1147" s="35">
        <v>0.2</v>
      </c>
      <c r="G1147" s="40"/>
      <c r="H1147" s="40"/>
    </row>
    <row r="1148" spans="1:9" hidden="1" x14ac:dyDescent="0.35">
      <c r="A1148" s="33">
        <v>1147</v>
      </c>
      <c r="B1148" s="34" t="s">
        <v>1517</v>
      </c>
      <c r="C1148" s="33" t="s">
        <v>346</v>
      </c>
      <c r="D1148" s="33" t="s">
        <v>208</v>
      </c>
      <c r="E1148" s="33" t="s">
        <v>1478</v>
      </c>
      <c r="F1148" s="35">
        <v>7.0000000000000007E-2</v>
      </c>
      <c r="G1148" s="40"/>
      <c r="H1148" s="40"/>
    </row>
    <row r="1149" spans="1:9" hidden="1" x14ac:dyDescent="0.35">
      <c r="A1149" s="33">
        <v>1148</v>
      </c>
      <c r="B1149" s="34" t="s">
        <v>1518</v>
      </c>
      <c r="C1149" s="33" t="s">
        <v>346</v>
      </c>
      <c r="D1149" s="33" t="s">
        <v>208</v>
      </c>
      <c r="E1149" s="33" t="s">
        <v>1478</v>
      </c>
      <c r="F1149" s="35">
        <v>0.1</v>
      </c>
      <c r="G1149" s="40"/>
      <c r="H1149" s="40"/>
    </row>
    <row r="1150" spans="1:9" hidden="1" x14ac:dyDescent="0.35">
      <c r="A1150" s="33">
        <v>1149</v>
      </c>
      <c r="B1150" s="34" t="s">
        <v>1519</v>
      </c>
      <c r="C1150" s="33" t="s">
        <v>346</v>
      </c>
      <c r="D1150" s="33" t="s">
        <v>208</v>
      </c>
      <c r="E1150" s="33" t="s">
        <v>1478</v>
      </c>
      <c r="F1150" s="35">
        <v>2.5000000000000001E-2</v>
      </c>
      <c r="G1150" s="40"/>
      <c r="H1150" s="40"/>
    </row>
    <row r="1151" spans="1:9" hidden="1" x14ac:dyDescent="0.35">
      <c r="A1151" s="33">
        <v>1150</v>
      </c>
      <c r="B1151" s="34" t="s">
        <v>1520</v>
      </c>
      <c r="C1151" s="33" t="s">
        <v>346</v>
      </c>
      <c r="D1151" s="33" t="s">
        <v>208</v>
      </c>
      <c r="E1151" s="33" t="s">
        <v>1478</v>
      </c>
      <c r="F1151" s="35">
        <v>2.5000000000000001E-2</v>
      </c>
      <c r="G1151" s="40"/>
      <c r="H1151" s="40"/>
    </row>
    <row r="1152" spans="1:9" hidden="1" x14ac:dyDescent="0.35">
      <c r="A1152" s="33">
        <v>1151</v>
      </c>
      <c r="B1152" s="34" t="s">
        <v>1521</v>
      </c>
      <c r="C1152" s="33" t="s">
        <v>346</v>
      </c>
      <c r="D1152" s="33" t="s">
        <v>208</v>
      </c>
      <c r="E1152" s="33" t="s">
        <v>1478</v>
      </c>
      <c r="F1152" s="35">
        <v>2.5000000000000001E-2</v>
      </c>
      <c r="G1152" s="40"/>
      <c r="H1152" s="40"/>
    </row>
    <row r="1153" spans="1:9" hidden="1" x14ac:dyDescent="0.35">
      <c r="A1153" s="33">
        <v>1152</v>
      </c>
      <c r="B1153" s="34" t="s">
        <v>1522</v>
      </c>
      <c r="C1153" s="33" t="s">
        <v>346</v>
      </c>
      <c r="D1153" s="33" t="s">
        <v>208</v>
      </c>
      <c r="E1153" s="33" t="s">
        <v>1478</v>
      </c>
      <c r="F1153" s="35">
        <v>0.06</v>
      </c>
      <c r="G1153" s="40"/>
      <c r="H1153" s="40"/>
    </row>
    <row r="1154" spans="1:9" hidden="1" x14ac:dyDescent="0.35">
      <c r="A1154" s="33">
        <v>1153</v>
      </c>
      <c r="B1154" s="34" t="s">
        <v>1523</v>
      </c>
      <c r="C1154" s="33" t="s">
        <v>346</v>
      </c>
      <c r="D1154" s="33" t="s">
        <v>208</v>
      </c>
      <c r="E1154" s="33" t="s">
        <v>1478</v>
      </c>
      <c r="F1154" s="35">
        <v>0.15</v>
      </c>
      <c r="G1154" s="40"/>
      <c r="H1154" s="40"/>
    </row>
    <row r="1155" spans="1:9" hidden="1" x14ac:dyDescent="0.35">
      <c r="A1155" s="33">
        <v>1154</v>
      </c>
      <c r="B1155" s="34" t="s">
        <v>1524</v>
      </c>
      <c r="C1155" s="33" t="s">
        <v>346</v>
      </c>
      <c r="D1155" s="33" t="s">
        <v>208</v>
      </c>
      <c r="E1155" s="33" t="s">
        <v>1478</v>
      </c>
      <c r="F1155" s="35">
        <v>0.15</v>
      </c>
      <c r="G1155" s="40"/>
      <c r="H1155" s="40"/>
    </row>
    <row r="1156" spans="1:9" hidden="1" x14ac:dyDescent="0.35">
      <c r="A1156" s="33">
        <v>1155</v>
      </c>
      <c r="B1156" s="34" t="s">
        <v>1525</v>
      </c>
      <c r="C1156" s="33" t="s">
        <v>346</v>
      </c>
      <c r="D1156" s="33" t="s">
        <v>208</v>
      </c>
      <c r="E1156" s="33" t="s">
        <v>1478</v>
      </c>
      <c r="F1156" s="35">
        <v>0.15</v>
      </c>
      <c r="G1156" s="40"/>
      <c r="H1156" s="40"/>
    </row>
    <row r="1157" spans="1:9" hidden="1" x14ac:dyDescent="0.35">
      <c r="A1157" s="33">
        <v>1156</v>
      </c>
      <c r="B1157" s="34" t="s">
        <v>1526</v>
      </c>
      <c r="C1157" s="33" t="s">
        <v>346</v>
      </c>
      <c r="D1157" s="33" t="s">
        <v>208</v>
      </c>
      <c r="E1157" s="33" t="s">
        <v>1478</v>
      </c>
      <c r="F1157" s="35">
        <v>0.15</v>
      </c>
      <c r="G1157" s="40"/>
      <c r="H1157" s="40"/>
    </row>
    <row r="1158" spans="1:9" hidden="1" x14ac:dyDescent="0.35">
      <c r="A1158" s="33">
        <v>1157</v>
      </c>
      <c r="B1158" s="34" t="s">
        <v>1527</v>
      </c>
      <c r="C1158" s="33" t="s">
        <v>346</v>
      </c>
      <c r="D1158" s="33" t="s">
        <v>208</v>
      </c>
      <c r="E1158" s="33" t="s">
        <v>1471</v>
      </c>
      <c r="F1158" s="35">
        <v>1</v>
      </c>
      <c r="G1158" s="40"/>
      <c r="H1158" s="40"/>
    </row>
    <row r="1159" spans="1:9" hidden="1" x14ac:dyDescent="0.35">
      <c r="A1159" s="33">
        <v>1158</v>
      </c>
      <c r="B1159" s="34" t="s">
        <v>1528</v>
      </c>
      <c r="C1159" s="33" t="s">
        <v>346</v>
      </c>
      <c r="D1159" s="33" t="s">
        <v>208</v>
      </c>
      <c r="E1159" s="33" t="s">
        <v>1474</v>
      </c>
      <c r="F1159" s="35">
        <v>0.2</v>
      </c>
      <c r="G1159" s="40"/>
      <c r="H1159" s="40"/>
    </row>
    <row r="1160" spans="1:9" hidden="1" x14ac:dyDescent="0.35">
      <c r="A1160" s="33">
        <v>1159</v>
      </c>
      <c r="B1160" s="34" t="s">
        <v>1529</v>
      </c>
      <c r="C1160" s="33" t="s">
        <v>346</v>
      </c>
      <c r="D1160" s="33" t="s">
        <v>208</v>
      </c>
      <c r="E1160" s="33" t="s">
        <v>1474</v>
      </c>
      <c r="F1160" s="35">
        <v>0.2</v>
      </c>
      <c r="G1160" s="40"/>
      <c r="H1160" s="40"/>
    </row>
    <row r="1161" spans="1:9" hidden="1" x14ac:dyDescent="0.35">
      <c r="A1161" s="33">
        <v>1160</v>
      </c>
      <c r="B1161" s="34" t="s">
        <v>1530</v>
      </c>
      <c r="C1161" s="33" t="s">
        <v>297</v>
      </c>
      <c r="D1161" s="33" t="s">
        <v>40</v>
      </c>
      <c r="E1161" s="33" t="s">
        <v>344</v>
      </c>
      <c r="F1161" s="35">
        <v>1</v>
      </c>
      <c r="G1161" s="40"/>
      <c r="H1161" s="40"/>
    </row>
    <row r="1162" spans="1:9" hidden="1" x14ac:dyDescent="0.35">
      <c r="A1162" s="33">
        <v>1161</v>
      </c>
      <c r="B1162" s="34" t="s">
        <v>1531</v>
      </c>
      <c r="C1162" s="33" t="s">
        <v>297</v>
      </c>
      <c r="D1162" s="33" t="s">
        <v>40</v>
      </c>
      <c r="E1162" s="33" t="s">
        <v>1532</v>
      </c>
      <c r="F1162" s="35">
        <v>1</v>
      </c>
      <c r="G1162" s="40"/>
      <c r="H1162" s="40"/>
    </row>
    <row r="1163" spans="1:9" hidden="1" x14ac:dyDescent="0.35">
      <c r="A1163" s="33">
        <v>1162</v>
      </c>
      <c r="B1163" s="34" t="s">
        <v>1533</v>
      </c>
      <c r="C1163" s="33" t="s">
        <v>297</v>
      </c>
      <c r="D1163" s="33" t="s">
        <v>40</v>
      </c>
      <c r="E1163" s="33" t="s">
        <v>1532</v>
      </c>
      <c r="F1163" s="35">
        <v>1</v>
      </c>
      <c r="G1163" s="40"/>
      <c r="H1163" s="40"/>
    </row>
    <row r="1164" spans="1:9" x14ac:dyDescent="0.35">
      <c r="A1164" s="33">
        <v>1163</v>
      </c>
      <c r="B1164" s="34" t="s">
        <v>1534</v>
      </c>
      <c r="C1164" s="33" t="s">
        <v>297</v>
      </c>
      <c r="D1164" s="33" t="s">
        <v>40</v>
      </c>
      <c r="E1164" s="33" t="s">
        <v>1535</v>
      </c>
      <c r="F1164" s="35">
        <v>1</v>
      </c>
      <c r="G1164" s="40"/>
      <c r="H1164" s="40">
        <f>2.4+6.1</f>
        <v>8.5</v>
      </c>
      <c r="I1164" s="40" t="s">
        <v>2303</v>
      </c>
    </row>
    <row r="1165" spans="1:9" hidden="1" x14ac:dyDescent="0.35">
      <c r="A1165" s="41">
        <v>1164</v>
      </c>
      <c r="B1165" s="42" t="s">
        <v>1536</v>
      </c>
      <c r="C1165" s="41" t="s">
        <v>297</v>
      </c>
      <c r="D1165" s="41" t="s">
        <v>40</v>
      </c>
      <c r="E1165" s="41" t="s">
        <v>1535</v>
      </c>
      <c r="F1165" s="43">
        <v>1</v>
      </c>
      <c r="G1165" s="44"/>
      <c r="H1165" s="44"/>
    </row>
    <row r="1166" spans="1:9" hidden="1" x14ac:dyDescent="0.35">
      <c r="A1166" s="33">
        <v>1165</v>
      </c>
      <c r="B1166" s="34" t="s">
        <v>1537</v>
      </c>
      <c r="C1166" s="33" t="s">
        <v>297</v>
      </c>
      <c r="D1166" s="33" t="s">
        <v>40</v>
      </c>
      <c r="E1166" s="33" t="s">
        <v>1538</v>
      </c>
      <c r="F1166" s="35">
        <v>1</v>
      </c>
      <c r="G1166" s="40"/>
      <c r="H1166" s="40"/>
    </row>
    <row r="1167" spans="1:9" hidden="1" x14ac:dyDescent="0.35">
      <c r="A1167" s="33">
        <v>1166</v>
      </c>
      <c r="B1167" s="34" t="s">
        <v>1539</v>
      </c>
      <c r="C1167" s="33" t="s">
        <v>297</v>
      </c>
      <c r="D1167" s="33" t="s">
        <v>40</v>
      </c>
      <c r="E1167" s="33" t="s">
        <v>1538</v>
      </c>
      <c r="F1167" s="35">
        <v>1</v>
      </c>
      <c r="G1167" s="40"/>
      <c r="H1167" s="40"/>
    </row>
    <row r="1168" spans="1:9" hidden="1" x14ac:dyDescent="0.35">
      <c r="A1168" s="33">
        <v>1167</v>
      </c>
      <c r="B1168" s="34" t="s">
        <v>1540</v>
      </c>
      <c r="C1168" s="33" t="s">
        <v>297</v>
      </c>
      <c r="D1168" s="33" t="s">
        <v>40</v>
      </c>
      <c r="E1168" s="33" t="s">
        <v>1538</v>
      </c>
      <c r="F1168" s="35">
        <v>1</v>
      </c>
      <c r="G1168" s="40"/>
      <c r="H1168" s="40"/>
    </row>
    <row r="1169" spans="1:8" hidden="1" x14ac:dyDescent="0.35">
      <c r="A1169" s="33">
        <v>1168</v>
      </c>
      <c r="B1169" s="34" t="s">
        <v>1541</v>
      </c>
      <c r="C1169" s="33" t="s">
        <v>297</v>
      </c>
      <c r="D1169" s="33" t="s">
        <v>40</v>
      </c>
      <c r="E1169" s="33" t="s">
        <v>1538</v>
      </c>
      <c r="F1169" s="35">
        <v>1</v>
      </c>
      <c r="G1169" s="40"/>
      <c r="H1169" s="40"/>
    </row>
    <row r="1170" spans="1:8" hidden="1" x14ac:dyDescent="0.35">
      <c r="A1170" s="33">
        <v>1169</v>
      </c>
      <c r="B1170" s="34" t="s">
        <v>1542</v>
      </c>
      <c r="C1170" s="33" t="s">
        <v>297</v>
      </c>
      <c r="D1170" s="33" t="s">
        <v>40</v>
      </c>
      <c r="E1170" s="33" t="s">
        <v>1538</v>
      </c>
      <c r="F1170" s="35">
        <v>1</v>
      </c>
      <c r="G1170" s="40"/>
      <c r="H1170" s="40"/>
    </row>
    <row r="1171" spans="1:8" hidden="1" x14ac:dyDescent="0.35">
      <c r="A1171" s="33">
        <v>1170</v>
      </c>
      <c r="B1171" s="34" t="s">
        <v>1543</v>
      </c>
      <c r="C1171" s="33" t="s">
        <v>297</v>
      </c>
      <c r="D1171" s="33" t="s">
        <v>40</v>
      </c>
      <c r="E1171" s="33" t="s">
        <v>1544</v>
      </c>
      <c r="F1171" s="35">
        <v>1</v>
      </c>
      <c r="G1171" s="40"/>
      <c r="H1171" s="40"/>
    </row>
    <row r="1172" spans="1:8" hidden="1" x14ac:dyDescent="0.35">
      <c r="A1172" s="33">
        <v>1171</v>
      </c>
      <c r="B1172" s="34" t="s">
        <v>1545</v>
      </c>
      <c r="C1172" s="33" t="s">
        <v>297</v>
      </c>
      <c r="D1172" s="33" t="s">
        <v>40</v>
      </c>
      <c r="E1172" s="33" t="s">
        <v>1544</v>
      </c>
      <c r="F1172" s="35">
        <v>1</v>
      </c>
      <c r="G1172" s="40"/>
      <c r="H1172" s="40"/>
    </row>
    <row r="1173" spans="1:8" hidden="1" x14ac:dyDescent="0.35">
      <c r="A1173" s="33">
        <v>1172</v>
      </c>
      <c r="B1173" s="34" t="s">
        <v>1546</v>
      </c>
      <c r="C1173" s="33" t="s">
        <v>297</v>
      </c>
      <c r="D1173" s="33" t="s">
        <v>40</v>
      </c>
      <c r="E1173" s="33" t="s">
        <v>1544</v>
      </c>
      <c r="F1173" s="35">
        <v>1</v>
      </c>
      <c r="G1173" s="40"/>
      <c r="H1173" s="40"/>
    </row>
    <row r="1174" spans="1:8" hidden="1" x14ac:dyDescent="0.35">
      <c r="A1174" s="33">
        <v>1173</v>
      </c>
      <c r="B1174" s="34" t="s">
        <v>1547</v>
      </c>
      <c r="C1174" s="33" t="s">
        <v>297</v>
      </c>
      <c r="D1174" s="33" t="s">
        <v>40</v>
      </c>
      <c r="E1174" s="33" t="s">
        <v>1544</v>
      </c>
      <c r="F1174" s="35">
        <v>1</v>
      </c>
      <c r="G1174" s="40"/>
      <c r="H1174" s="40"/>
    </row>
    <row r="1175" spans="1:8" hidden="1" x14ac:dyDescent="0.35">
      <c r="A1175" s="33">
        <v>1174</v>
      </c>
      <c r="B1175" s="34" t="s">
        <v>1548</v>
      </c>
      <c r="C1175" s="33" t="s">
        <v>297</v>
      </c>
      <c r="D1175" s="33" t="s">
        <v>40</v>
      </c>
      <c r="E1175" s="33" t="s">
        <v>1544</v>
      </c>
      <c r="F1175" s="35">
        <v>1</v>
      </c>
      <c r="G1175" s="40"/>
      <c r="H1175" s="40"/>
    </row>
    <row r="1176" spans="1:8" hidden="1" x14ac:dyDescent="0.35">
      <c r="A1176" s="33">
        <v>1175</v>
      </c>
      <c r="B1176" s="34" t="s">
        <v>1549</v>
      </c>
      <c r="C1176" s="33" t="s">
        <v>297</v>
      </c>
      <c r="D1176" s="33" t="s">
        <v>40</v>
      </c>
      <c r="E1176" s="33" t="s">
        <v>1544</v>
      </c>
      <c r="F1176" s="35">
        <v>1</v>
      </c>
      <c r="G1176" s="40"/>
      <c r="H1176" s="40"/>
    </row>
    <row r="1177" spans="1:8" hidden="1" x14ac:dyDescent="0.35">
      <c r="A1177" s="33">
        <v>1176</v>
      </c>
      <c r="B1177" s="34" t="s">
        <v>1550</v>
      </c>
      <c r="C1177" s="33" t="s">
        <v>297</v>
      </c>
      <c r="D1177" s="33" t="s">
        <v>40</v>
      </c>
      <c r="E1177" s="33" t="s">
        <v>1544</v>
      </c>
      <c r="F1177" s="35">
        <v>1</v>
      </c>
      <c r="G1177" s="40"/>
      <c r="H1177" s="40"/>
    </row>
    <row r="1178" spans="1:8" hidden="1" x14ac:dyDescent="0.35">
      <c r="A1178" s="33">
        <v>1177</v>
      </c>
      <c r="B1178" s="34" t="s">
        <v>1551</v>
      </c>
      <c r="C1178" s="33" t="s">
        <v>297</v>
      </c>
      <c r="D1178" s="33" t="s">
        <v>40</v>
      </c>
      <c r="E1178" s="33" t="s">
        <v>1544</v>
      </c>
      <c r="F1178" s="35">
        <v>1</v>
      </c>
      <c r="G1178" s="40"/>
      <c r="H1178" s="40"/>
    </row>
    <row r="1179" spans="1:8" hidden="1" x14ac:dyDescent="0.35">
      <c r="A1179" s="33">
        <v>1178</v>
      </c>
      <c r="B1179" s="34" t="s">
        <v>1552</v>
      </c>
      <c r="C1179" s="33" t="s">
        <v>297</v>
      </c>
      <c r="D1179" s="33" t="s">
        <v>40</v>
      </c>
      <c r="E1179" s="33" t="s">
        <v>1553</v>
      </c>
      <c r="F1179" s="35">
        <v>1</v>
      </c>
      <c r="G1179" s="40"/>
      <c r="H1179" s="40"/>
    </row>
    <row r="1180" spans="1:8" hidden="1" x14ac:dyDescent="0.35">
      <c r="A1180" s="33">
        <v>1179</v>
      </c>
      <c r="B1180" s="34" t="s">
        <v>1554</v>
      </c>
      <c r="C1180" s="33" t="s">
        <v>346</v>
      </c>
      <c r="D1180" s="33" t="s">
        <v>40</v>
      </c>
      <c r="E1180" s="33" t="s">
        <v>1532</v>
      </c>
      <c r="F1180" s="35">
        <v>0.25</v>
      </c>
      <c r="G1180" s="40"/>
      <c r="H1180" s="40"/>
    </row>
    <row r="1181" spans="1:8" hidden="1" x14ac:dyDescent="0.35">
      <c r="A1181" s="33">
        <v>1180</v>
      </c>
      <c r="B1181" s="34" t="s">
        <v>1555</v>
      </c>
      <c r="C1181" s="33" t="s">
        <v>346</v>
      </c>
      <c r="D1181" s="33" t="s">
        <v>40</v>
      </c>
      <c r="E1181" s="33" t="s">
        <v>1532</v>
      </c>
      <c r="F1181" s="35">
        <v>0.55000000000000004</v>
      </c>
      <c r="G1181" s="40"/>
      <c r="H1181" s="40"/>
    </row>
    <row r="1182" spans="1:8" hidden="1" x14ac:dyDescent="0.35">
      <c r="A1182" s="33">
        <v>1181</v>
      </c>
      <c r="B1182" s="34" t="s">
        <v>1556</v>
      </c>
      <c r="C1182" s="33" t="s">
        <v>346</v>
      </c>
      <c r="D1182" s="33" t="s">
        <v>40</v>
      </c>
      <c r="E1182" s="33" t="s">
        <v>1532</v>
      </c>
      <c r="F1182" s="35">
        <v>1</v>
      </c>
      <c r="G1182" s="40"/>
      <c r="H1182" s="40"/>
    </row>
    <row r="1183" spans="1:8" hidden="1" x14ac:dyDescent="0.35">
      <c r="A1183" s="33">
        <v>1182</v>
      </c>
      <c r="B1183" s="34" t="s">
        <v>1557</v>
      </c>
      <c r="C1183" s="33" t="s">
        <v>346</v>
      </c>
      <c r="D1183" s="33" t="s">
        <v>40</v>
      </c>
      <c r="E1183" s="33" t="s">
        <v>1532</v>
      </c>
      <c r="F1183" s="35">
        <v>0.2</v>
      </c>
      <c r="G1183" s="40"/>
      <c r="H1183" s="40"/>
    </row>
    <row r="1184" spans="1:8" hidden="1" x14ac:dyDescent="0.35">
      <c r="A1184" s="33">
        <v>1183</v>
      </c>
      <c r="B1184" s="34" t="s">
        <v>1558</v>
      </c>
      <c r="C1184" s="33" t="s">
        <v>346</v>
      </c>
      <c r="D1184" s="33" t="s">
        <v>40</v>
      </c>
      <c r="E1184" s="33" t="s">
        <v>1532</v>
      </c>
      <c r="F1184" s="35">
        <v>1</v>
      </c>
      <c r="G1184" s="40"/>
      <c r="H1184" s="40"/>
    </row>
    <row r="1185" spans="1:8" hidden="1" x14ac:dyDescent="0.35">
      <c r="A1185" s="33">
        <v>1184</v>
      </c>
      <c r="B1185" s="34" t="s">
        <v>1559</v>
      </c>
      <c r="C1185" s="33" t="s">
        <v>346</v>
      </c>
      <c r="D1185" s="33" t="s">
        <v>40</v>
      </c>
      <c r="E1185" s="33" t="s">
        <v>1535</v>
      </c>
      <c r="F1185" s="35">
        <v>0.25</v>
      </c>
      <c r="G1185" s="40"/>
      <c r="H1185" s="40"/>
    </row>
    <row r="1186" spans="1:8" hidden="1" x14ac:dyDescent="0.35">
      <c r="A1186" s="33">
        <v>1185</v>
      </c>
      <c r="B1186" s="34" t="s">
        <v>1560</v>
      </c>
      <c r="C1186" s="33" t="s">
        <v>346</v>
      </c>
      <c r="D1186" s="33" t="s">
        <v>40</v>
      </c>
      <c r="E1186" s="33" t="s">
        <v>1535</v>
      </c>
      <c r="F1186" s="35">
        <v>0.25</v>
      </c>
      <c r="G1186" s="40"/>
      <c r="H1186" s="40"/>
    </row>
    <row r="1187" spans="1:8" hidden="1" x14ac:dyDescent="0.35">
      <c r="A1187" s="33">
        <v>1186</v>
      </c>
      <c r="B1187" s="34" t="s">
        <v>1561</v>
      </c>
      <c r="C1187" s="33" t="s">
        <v>346</v>
      </c>
      <c r="D1187" s="33" t="s">
        <v>40</v>
      </c>
      <c r="E1187" s="33" t="s">
        <v>1535</v>
      </c>
      <c r="F1187" s="35">
        <v>0.25</v>
      </c>
      <c r="G1187" s="40"/>
      <c r="H1187" s="40"/>
    </row>
    <row r="1188" spans="1:8" hidden="1" x14ac:dyDescent="0.35">
      <c r="A1188" s="33">
        <v>1187</v>
      </c>
      <c r="B1188" s="34" t="s">
        <v>1562</v>
      </c>
      <c r="C1188" s="33" t="s">
        <v>346</v>
      </c>
      <c r="D1188" s="33" t="s">
        <v>40</v>
      </c>
      <c r="E1188" s="33" t="s">
        <v>1535</v>
      </c>
      <c r="F1188" s="35">
        <v>1</v>
      </c>
      <c r="G1188" s="40"/>
      <c r="H1188" s="40"/>
    </row>
    <row r="1189" spans="1:8" hidden="1" x14ac:dyDescent="0.35">
      <c r="A1189" s="33">
        <v>1188</v>
      </c>
      <c r="B1189" s="34" t="s">
        <v>1563</v>
      </c>
      <c r="C1189" s="33" t="s">
        <v>346</v>
      </c>
      <c r="D1189" s="33" t="s">
        <v>40</v>
      </c>
      <c r="E1189" s="33" t="s">
        <v>1535</v>
      </c>
      <c r="F1189" s="35">
        <v>1</v>
      </c>
      <c r="G1189" s="40"/>
      <c r="H1189" s="40"/>
    </row>
    <row r="1190" spans="1:8" hidden="1" x14ac:dyDescent="0.35">
      <c r="A1190" s="33">
        <v>1189</v>
      </c>
      <c r="B1190" s="34" t="s">
        <v>1564</v>
      </c>
      <c r="C1190" s="33" t="s">
        <v>346</v>
      </c>
      <c r="D1190" s="33" t="s">
        <v>40</v>
      </c>
      <c r="E1190" s="33" t="s">
        <v>1535</v>
      </c>
      <c r="F1190" s="35">
        <v>1</v>
      </c>
      <c r="G1190" s="40"/>
      <c r="H1190" s="40"/>
    </row>
    <row r="1191" spans="1:8" hidden="1" x14ac:dyDescent="0.35">
      <c r="A1191" s="33">
        <v>1190</v>
      </c>
      <c r="B1191" s="34" t="s">
        <v>1565</v>
      </c>
      <c r="C1191" s="33" t="s">
        <v>346</v>
      </c>
      <c r="D1191" s="33" t="s">
        <v>40</v>
      </c>
      <c r="E1191" s="33" t="s">
        <v>1535</v>
      </c>
      <c r="F1191" s="35">
        <v>7.4999999999999997E-2</v>
      </c>
      <c r="G1191" s="40"/>
      <c r="H1191" s="40"/>
    </row>
    <row r="1192" spans="1:8" hidden="1" x14ac:dyDescent="0.35">
      <c r="A1192" s="33">
        <v>1191</v>
      </c>
      <c r="B1192" s="34" t="s">
        <v>1566</v>
      </c>
      <c r="C1192" s="33" t="s">
        <v>346</v>
      </c>
      <c r="D1192" s="33" t="s">
        <v>40</v>
      </c>
      <c r="E1192" s="33" t="s">
        <v>1535</v>
      </c>
      <c r="F1192" s="35">
        <v>0.08</v>
      </c>
      <c r="G1192" s="40"/>
      <c r="H1192" s="40"/>
    </row>
    <row r="1193" spans="1:8" hidden="1" x14ac:dyDescent="0.35">
      <c r="A1193" s="33">
        <v>1192</v>
      </c>
      <c r="B1193" s="34" t="s">
        <v>1567</v>
      </c>
      <c r="C1193" s="33" t="s">
        <v>346</v>
      </c>
      <c r="D1193" s="33" t="s">
        <v>40</v>
      </c>
      <c r="E1193" s="33" t="s">
        <v>1535</v>
      </c>
      <c r="F1193" s="35">
        <v>0.8</v>
      </c>
      <c r="G1193" s="40"/>
      <c r="H1193" s="40"/>
    </row>
    <row r="1194" spans="1:8" hidden="1" x14ac:dyDescent="0.35">
      <c r="A1194" s="33">
        <v>1193</v>
      </c>
      <c r="B1194" s="34" t="s">
        <v>1568</v>
      </c>
      <c r="C1194" s="33" t="s">
        <v>346</v>
      </c>
      <c r="D1194" s="33" t="s">
        <v>40</v>
      </c>
      <c r="E1194" s="33" t="s">
        <v>1535</v>
      </c>
      <c r="F1194" s="35">
        <v>0.2</v>
      </c>
      <c r="G1194" s="40"/>
      <c r="H1194" s="40"/>
    </row>
    <row r="1195" spans="1:8" hidden="1" x14ac:dyDescent="0.35">
      <c r="A1195" s="33">
        <v>1194</v>
      </c>
      <c r="B1195" s="34" t="s">
        <v>1569</v>
      </c>
      <c r="C1195" s="33" t="s">
        <v>346</v>
      </c>
      <c r="D1195" s="33" t="s">
        <v>40</v>
      </c>
      <c r="E1195" s="33" t="s">
        <v>1535</v>
      </c>
      <c r="F1195" s="35">
        <v>0.1</v>
      </c>
      <c r="G1195" s="40"/>
      <c r="H1195" s="40"/>
    </row>
    <row r="1196" spans="1:8" hidden="1" x14ac:dyDescent="0.35">
      <c r="A1196" s="33">
        <v>1195</v>
      </c>
      <c r="B1196" s="34" t="s">
        <v>1570</v>
      </c>
      <c r="C1196" s="33" t="s">
        <v>346</v>
      </c>
      <c r="D1196" s="33" t="s">
        <v>40</v>
      </c>
      <c r="E1196" s="33" t="s">
        <v>1535</v>
      </c>
      <c r="F1196" s="35">
        <v>0.125</v>
      </c>
      <c r="G1196" s="40"/>
      <c r="H1196" s="40"/>
    </row>
    <row r="1197" spans="1:8" hidden="1" x14ac:dyDescent="0.35">
      <c r="A1197" s="33">
        <v>1196</v>
      </c>
      <c r="B1197" s="34" t="s">
        <v>1571</v>
      </c>
      <c r="C1197" s="33" t="s">
        <v>346</v>
      </c>
      <c r="D1197" s="33" t="s">
        <v>40</v>
      </c>
      <c r="E1197" s="33" t="s">
        <v>1535</v>
      </c>
      <c r="F1197" s="35">
        <v>0.15</v>
      </c>
      <c r="G1197" s="40"/>
      <c r="H1197" s="40"/>
    </row>
    <row r="1198" spans="1:8" hidden="1" x14ac:dyDescent="0.35">
      <c r="A1198" s="33">
        <v>1197</v>
      </c>
      <c r="B1198" s="34" t="s">
        <v>1572</v>
      </c>
      <c r="C1198" s="33" t="s">
        <v>346</v>
      </c>
      <c r="D1198" s="33" t="s">
        <v>40</v>
      </c>
      <c r="E1198" s="33" t="s">
        <v>1535</v>
      </c>
      <c r="F1198" s="35">
        <v>0.2</v>
      </c>
      <c r="G1198" s="40"/>
      <c r="H1198" s="40"/>
    </row>
    <row r="1199" spans="1:8" hidden="1" x14ac:dyDescent="0.35">
      <c r="A1199" s="33">
        <v>1198</v>
      </c>
      <c r="B1199" s="34" t="s">
        <v>1573</v>
      </c>
      <c r="C1199" s="33" t="s">
        <v>346</v>
      </c>
      <c r="D1199" s="33" t="s">
        <v>40</v>
      </c>
      <c r="E1199" s="33" t="s">
        <v>1535</v>
      </c>
      <c r="F1199" s="35">
        <v>0.08</v>
      </c>
      <c r="G1199" s="40"/>
      <c r="H1199" s="40"/>
    </row>
    <row r="1200" spans="1:8" hidden="1" x14ac:dyDescent="0.35">
      <c r="A1200" s="33">
        <v>1199</v>
      </c>
      <c r="B1200" s="34" t="s">
        <v>1574</v>
      </c>
      <c r="C1200" s="33" t="s">
        <v>346</v>
      </c>
      <c r="D1200" s="33" t="s">
        <v>40</v>
      </c>
      <c r="E1200" s="33" t="s">
        <v>1535</v>
      </c>
      <c r="F1200" s="35">
        <v>0.2</v>
      </c>
      <c r="G1200" s="40"/>
      <c r="H1200" s="40"/>
    </row>
    <row r="1201" spans="1:8" hidden="1" x14ac:dyDescent="0.35">
      <c r="A1201" s="33">
        <v>1200</v>
      </c>
      <c r="B1201" s="34" t="s">
        <v>1575</v>
      </c>
      <c r="C1201" s="33" t="s">
        <v>346</v>
      </c>
      <c r="D1201" s="33" t="s">
        <v>40</v>
      </c>
      <c r="E1201" s="33" t="s">
        <v>1535</v>
      </c>
      <c r="F1201" s="35">
        <v>2.5000000000000001E-2</v>
      </c>
      <c r="G1201" s="40"/>
      <c r="H1201" s="40"/>
    </row>
    <row r="1202" spans="1:8" hidden="1" x14ac:dyDescent="0.35">
      <c r="A1202" s="33">
        <v>1201</v>
      </c>
      <c r="B1202" s="34" t="s">
        <v>1576</v>
      </c>
      <c r="C1202" s="33" t="s">
        <v>346</v>
      </c>
      <c r="D1202" s="33" t="s">
        <v>40</v>
      </c>
      <c r="E1202" s="33" t="s">
        <v>1535</v>
      </c>
      <c r="F1202" s="35">
        <v>0.2</v>
      </c>
      <c r="G1202" s="40"/>
      <c r="H1202" s="40"/>
    </row>
    <row r="1203" spans="1:8" hidden="1" x14ac:dyDescent="0.35">
      <c r="A1203" s="33">
        <v>1202</v>
      </c>
      <c r="B1203" s="34" t="s">
        <v>1577</v>
      </c>
      <c r="C1203" s="33" t="s">
        <v>346</v>
      </c>
      <c r="D1203" s="33" t="s">
        <v>40</v>
      </c>
      <c r="E1203" s="33" t="s">
        <v>1535</v>
      </c>
      <c r="F1203" s="35">
        <v>0.1</v>
      </c>
      <c r="G1203" s="40"/>
      <c r="H1203" s="40"/>
    </row>
    <row r="1204" spans="1:8" hidden="1" x14ac:dyDescent="0.35">
      <c r="A1204" s="33">
        <v>1203</v>
      </c>
      <c r="B1204" s="34" t="s">
        <v>1578</v>
      </c>
      <c r="C1204" s="33" t="s">
        <v>346</v>
      </c>
      <c r="D1204" s="33" t="s">
        <v>40</v>
      </c>
      <c r="E1204" s="33" t="s">
        <v>1535</v>
      </c>
      <c r="F1204" s="35">
        <v>0.2</v>
      </c>
      <c r="G1204" s="40"/>
      <c r="H1204" s="40"/>
    </row>
    <row r="1205" spans="1:8" hidden="1" x14ac:dyDescent="0.35">
      <c r="A1205" s="33">
        <v>1204</v>
      </c>
      <c r="B1205" s="34" t="s">
        <v>1579</v>
      </c>
      <c r="C1205" s="33" t="s">
        <v>346</v>
      </c>
      <c r="D1205" s="33" t="s">
        <v>40</v>
      </c>
      <c r="E1205" s="33" t="s">
        <v>1535</v>
      </c>
      <c r="F1205" s="35">
        <v>0.25</v>
      </c>
      <c r="G1205" s="40"/>
      <c r="H1205" s="40"/>
    </row>
    <row r="1206" spans="1:8" hidden="1" x14ac:dyDescent="0.35">
      <c r="A1206" s="33">
        <v>1205</v>
      </c>
      <c r="B1206" s="34" t="s">
        <v>1580</v>
      </c>
      <c r="C1206" s="33" t="s">
        <v>346</v>
      </c>
      <c r="D1206" s="33" t="s">
        <v>40</v>
      </c>
      <c r="E1206" s="33" t="s">
        <v>1535</v>
      </c>
      <c r="F1206" s="35">
        <v>0.3</v>
      </c>
      <c r="G1206" s="40"/>
      <c r="H1206" s="40"/>
    </row>
    <row r="1207" spans="1:8" hidden="1" x14ac:dyDescent="0.35">
      <c r="A1207" s="33">
        <v>1206</v>
      </c>
      <c r="B1207" s="34" t="s">
        <v>1581</v>
      </c>
      <c r="C1207" s="33" t="s">
        <v>346</v>
      </c>
      <c r="D1207" s="33" t="s">
        <v>40</v>
      </c>
      <c r="E1207" s="33" t="s">
        <v>1535</v>
      </c>
      <c r="F1207" s="35">
        <v>1</v>
      </c>
      <c r="G1207" s="40"/>
      <c r="H1207" s="40"/>
    </row>
    <row r="1208" spans="1:8" hidden="1" x14ac:dyDescent="0.35">
      <c r="A1208" s="33">
        <v>1207</v>
      </c>
      <c r="B1208" s="34" t="s">
        <v>1582</v>
      </c>
      <c r="C1208" s="33" t="s">
        <v>346</v>
      </c>
      <c r="D1208" s="33" t="s">
        <v>40</v>
      </c>
      <c r="E1208" s="33" t="s">
        <v>1535</v>
      </c>
      <c r="F1208" s="35">
        <v>0.2</v>
      </c>
      <c r="G1208" s="40"/>
      <c r="H1208" s="40"/>
    </row>
    <row r="1209" spans="1:8" hidden="1" x14ac:dyDescent="0.35">
      <c r="A1209" s="33">
        <v>1208</v>
      </c>
      <c r="B1209" s="34" t="s">
        <v>1583</v>
      </c>
      <c r="C1209" s="33" t="s">
        <v>346</v>
      </c>
      <c r="D1209" s="33" t="s">
        <v>40</v>
      </c>
      <c r="E1209" s="33" t="s">
        <v>1535</v>
      </c>
      <c r="F1209" s="35">
        <v>0.05</v>
      </c>
      <c r="G1209" s="40"/>
      <c r="H1209" s="40"/>
    </row>
    <row r="1210" spans="1:8" hidden="1" x14ac:dyDescent="0.35">
      <c r="A1210" s="33">
        <v>1209</v>
      </c>
      <c r="B1210" s="34" t="s">
        <v>1584</v>
      </c>
      <c r="C1210" s="33" t="s">
        <v>346</v>
      </c>
      <c r="D1210" s="33" t="s">
        <v>40</v>
      </c>
      <c r="E1210" s="33" t="s">
        <v>1535</v>
      </c>
      <c r="F1210" s="35">
        <v>0.5</v>
      </c>
      <c r="G1210" s="40"/>
      <c r="H1210" s="40"/>
    </row>
    <row r="1211" spans="1:8" hidden="1" x14ac:dyDescent="0.35">
      <c r="A1211" s="33">
        <v>1210</v>
      </c>
      <c r="B1211" s="34" t="s">
        <v>1585</v>
      </c>
      <c r="C1211" s="33" t="s">
        <v>346</v>
      </c>
      <c r="D1211" s="33" t="s">
        <v>40</v>
      </c>
      <c r="E1211" s="33" t="s">
        <v>1535</v>
      </c>
      <c r="F1211" s="35">
        <v>0.2</v>
      </c>
      <c r="G1211" s="40"/>
      <c r="H1211" s="40"/>
    </row>
    <row r="1212" spans="1:8" hidden="1" x14ac:dyDescent="0.35">
      <c r="A1212" s="33">
        <v>1211</v>
      </c>
      <c r="B1212" s="34" t="s">
        <v>1586</v>
      </c>
      <c r="C1212" s="33" t="s">
        <v>346</v>
      </c>
      <c r="D1212" s="33" t="s">
        <v>40</v>
      </c>
      <c r="E1212" s="33" t="s">
        <v>1535</v>
      </c>
      <c r="F1212" s="35">
        <v>0.2</v>
      </c>
      <c r="G1212" s="40"/>
      <c r="H1212" s="40"/>
    </row>
    <row r="1213" spans="1:8" hidden="1" x14ac:dyDescent="0.35">
      <c r="A1213" s="33">
        <v>1212</v>
      </c>
      <c r="B1213" s="34" t="s">
        <v>1587</v>
      </c>
      <c r="C1213" s="33" t="s">
        <v>346</v>
      </c>
      <c r="D1213" s="33" t="s">
        <v>40</v>
      </c>
      <c r="E1213" s="33" t="s">
        <v>1535</v>
      </c>
      <c r="F1213" s="35">
        <v>0.2</v>
      </c>
      <c r="G1213" s="40"/>
      <c r="H1213" s="40"/>
    </row>
    <row r="1214" spans="1:8" hidden="1" x14ac:dyDescent="0.35">
      <c r="A1214" s="33">
        <v>1213</v>
      </c>
      <c r="B1214" s="34" t="s">
        <v>1588</v>
      </c>
      <c r="C1214" s="33" t="s">
        <v>346</v>
      </c>
      <c r="D1214" s="33" t="s">
        <v>40</v>
      </c>
      <c r="E1214" s="33" t="s">
        <v>1535</v>
      </c>
      <c r="F1214" s="35">
        <v>1</v>
      </c>
      <c r="G1214" s="40"/>
      <c r="H1214" s="40"/>
    </row>
    <row r="1215" spans="1:8" hidden="1" x14ac:dyDescent="0.35">
      <c r="A1215" s="33">
        <v>1214</v>
      </c>
      <c r="B1215" s="34" t="s">
        <v>1589</v>
      </c>
      <c r="C1215" s="33" t="s">
        <v>346</v>
      </c>
      <c r="D1215" s="33" t="s">
        <v>40</v>
      </c>
      <c r="E1215" s="33" t="s">
        <v>1535</v>
      </c>
      <c r="F1215" s="35">
        <v>0.1</v>
      </c>
      <c r="G1215" s="40"/>
      <c r="H1215" s="40"/>
    </row>
    <row r="1216" spans="1:8" hidden="1" x14ac:dyDescent="0.35">
      <c r="A1216" s="33">
        <v>1215</v>
      </c>
      <c r="B1216" s="34" t="s">
        <v>1590</v>
      </c>
      <c r="C1216" s="33" t="s">
        <v>346</v>
      </c>
      <c r="D1216" s="33" t="s">
        <v>40</v>
      </c>
      <c r="E1216" s="33" t="s">
        <v>1535</v>
      </c>
      <c r="F1216" s="35">
        <v>1</v>
      </c>
      <c r="G1216" s="40"/>
      <c r="H1216" s="40"/>
    </row>
    <row r="1217" spans="1:8" hidden="1" x14ac:dyDescent="0.35">
      <c r="A1217" s="33">
        <v>1216</v>
      </c>
      <c r="B1217" s="34" t="s">
        <v>1591</v>
      </c>
      <c r="C1217" s="33" t="s">
        <v>346</v>
      </c>
      <c r="D1217" s="33" t="s">
        <v>40</v>
      </c>
      <c r="E1217" s="33" t="s">
        <v>1535</v>
      </c>
      <c r="F1217" s="35">
        <v>0.09</v>
      </c>
      <c r="G1217" s="40"/>
      <c r="H1217" s="40"/>
    </row>
    <row r="1218" spans="1:8" hidden="1" x14ac:dyDescent="0.35">
      <c r="A1218" s="33">
        <v>1217</v>
      </c>
      <c r="B1218" s="34" t="s">
        <v>1592</v>
      </c>
      <c r="C1218" s="33" t="s">
        <v>346</v>
      </c>
      <c r="D1218" s="33" t="s">
        <v>40</v>
      </c>
      <c r="E1218" s="33" t="s">
        <v>1535</v>
      </c>
      <c r="F1218" s="35">
        <v>1</v>
      </c>
      <c r="G1218" s="40"/>
      <c r="H1218" s="40"/>
    </row>
    <row r="1219" spans="1:8" hidden="1" x14ac:dyDescent="0.35">
      <c r="A1219" s="33">
        <v>1218</v>
      </c>
      <c r="B1219" s="34" t="s">
        <v>1593</v>
      </c>
      <c r="C1219" s="33" t="s">
        <v>346</v>
      </c>
      <c r="D1219" s="33" t="s">
        <v>40</v>
      </c>
      <c r="E1219" s="33" t="s">
        <v>1535</v>
      </c>
      <c r="F1219" s="35">
        <v>0.23</v>
      </c>
      <c r="G1219" s="40"/>
      <c r="H1219" s="40"/>
    </row>
    <row r="1220" spans="1:8" hidden="1" x14ac:dyDescent="0.35">
      <c r="A1220" s="33">
        <v>1219</v>
      </c>
      <c r="B1220" s="34" t="s">
        <v>1594</v>
      </c>
      <c r="C1220" s="33" t="s">
        <v>346</v>
      </c>
      <c r="D1220" s="33" t="s">
        <v>40</v>
      </c>
      <c r="E1220" s="33" t="s">
        <v>1535</v>
      </c>
      <c r="F1220" s="35">
        <v>7.4999999999999997E-2</v>
      </c>
      <c r="G1220" s="40"/>
      <c r="H1220" s="40"/>
    </row>
    <row r="1221" spans="1:8" hidden="1" x14ac:dyDescent="0.35">
      <c r="A1221" s="33">
        <v>1220</v>
      </c>
      <c r="B1221" s="34" t="s">
        <v>1595</v>
      </c>
      <c r="C1221" s="33" t="s">
        <v>346</v>
      </c>
      <c r="D1221" s="33" t="s">
        <v>40</v>
      </c>
      <c r="E1221" s="33" t="s">
        <v>1535</v>
      </c>
      <c r="F1221" s="35">
        <v>0.17</v>
      </c>
      <c r="G1221" s="40"/>
      <c r="H1221" s="40"/>
    </row>
    <row r="1222" spans="1:8" hidden="1" x14ac:dyDescent="0.35">
      <c r="A1222" s="33">
        <v>1221</v>
      </c>
      <c r="B1222" s="34" t="s">
        <v>1596</v>
      </c>
      <c r="C1222" s="33" t="s">
        <v>346</v>
      </c>
      <c r="D1222" s="33" t="s">
        <v>40</v>
      </c>
      <c r="E1222" s="33" t="s">
        <v>1535</v>
      </c>
      <c r="F1222" s="35">
        <v>0.23</v>
      </c>
      <c r="G1222" s="40"/>
      <c r="H1222" s="40"/>
    </row>
    <row r="1223" spans="1:8" hidden="1" x14ac:dyDescent="0.35">
      <c r="A1223" s="33">
        <v>1222</v>
      </c>
      <c r="B1223" s="34" t="s">
        <v>1597</v>
      </c>
      <c r="C1223" s="33" t="s">
        <v>346</v>
      </c>
      <c r="D1223" s="33" t="s">
        <v>40</v>
      </c>
      <c r="E1223" s="33" t="s">
        <v>1535</v>
      </c>
      <c r="F1223" s="35">
        <v>0.23</v>
      </c>
      <c r="G1223" s="40"/>
      <c r="H1223" s="40"/>
    </row>
    <row r="1224" spans="1:8" hidden="1" x14ac:dyDescent="0.35">
      <c r="A1224" s="33">
        <v>1223</v>
      </c>
      <c r="B1224" s="34" t="s">
        <v>1598</v>
      </c>
      <c r="C1224" s="33" t="s">
        <v>346</v>
      </c>
      <c r="D1224" s="33" t="s">
        <v>40</v>
      </c>
      <c r="E1224" s="33" t="s">
        <v>1535</v>
      </c>
      <c r="F1224" s="35">
        <v>7.4999999999999997E-2</v>
      </c>
      <c r="G1224" s="40"/>
      <c r="H1224" s="40"/>
    </row>
    <row r="1225" spans="1:8" hidden="1" x14ac:dyDescent="0.35">
      <c r="A1225" s="33">
        <v>1224</v>
      </c>
      <c r="B1225" s="34" t="s">
        <v>1599</v>
      </c>
      <c r="C1225" s="33" t="s">
        <v>346</v>
      </c>
      <c r="D1225" s="33" t="s">
        <v>40</v>
      </c>
      <c r="E1225" s="33" t="s">
        <v>1535</v>
      </c>
      <c r="F1225" s="35">
        <v>0.5</v>
      </c>
      <c r="G1225" s="40"/>
      <c r="H1225" s="40"/>
    </row>
    <row r="1226" spans="1:8" hidden="1" x14ac:dyDescent="0.35">
      <c r="A1226" s="33">
        <v>1225</v>
      </c>
      <c r="B1226" s="34" t="s">
        <v>1600</v>
      </c>
      <c r="C1226" s="33" t="s">
        <v>346</v>
      </c>
      <c r="D1226" s="33" t="s">
        <v>40</v>
      </c>
      <c r="E1226" s="33" t="s">
        <v>1538</v>
      </c>
      <c r="F1226" s="35">
        <v>0.15</v>
      </c>
      <c r="G1226" s="40"/>
      <c r="H1226" s="40"/>
    </row>
    <row r="1227" spans="1:8" hidden="1" x14ac:dyDescent="0.35">
      <c r="A1227" s="33">
        <v>1226</v>
      </c>
      <c r="B1227" s="34" t="s">
        <v>1601</v>
      </c>
      <c r="C1227" s="33" t="s">
        <v>346</v>
      </c>
      <c r="D1227" s="33" t="s">
        <v>40</v>
      </c>
      <c r="E1227" s="33" t="s">
        <v>1538</v>
      </c>
      <c r="F1227" s="35">
        <v>0.08</v>
      </c>
      <c r="G1227" s="40"/>
      <c r="H1227" s="40"/>
    </row>
    <row r="1228" spans="1:8" hidden="1" x14ac:dyDescent="0.35">
      <c r="A1228" s="33">
        <v>1227</v>
      </c>
      <c r="B1228" s="34" t="s">
        <v>1602</v>
      </c>
      <c r="C1228" s="33" t="s">
        <v>346</v>
      </c>
      <c r="D1228" s="33" t="s">
        <v>40</v>
      </c>
      <c r="E1228" s="33" t="s">
        <v>1538</v>
      </c>
      <c r="F1228" s="35">
        <v>0.25</v>
      </c>
      <c r="G1228" s="40"/>
      <c r="H1228" s="40"/>
    </row>
    <row r="1229" spans="1:8" hidden="1" x14ac:dyDescent="0.35">
      <c r="A1229" s="33">
        <v>1228</v>
      </c>
      <c r="B1229" s="34" t="s">
        <v>1603</v>
      </c>
      <c r="C1229" s="33" t="s">
        <v>346</v>
      </c>
      <c r="D1229" s="33" t="s">
        <v>40</v>
      </c>
      <c r="E1229" s="33" t="s">
        <v>1538</v>
      </c>
      <c r="F1229" s="35">
        <v>0.25</v>
      </c>
      <c r="G1229" s="40"/>
      <c r="H1229" s="40"/>
    </row>
    <row r="1230" spans="1:8" hidden="1" x14ac:dyDescent="0.35">
      <c r="A1230" s="33">
        <v>1229</v>
      </c>
      <c r="B1230" s="34" t="s">
        <v>1604</v>
      </c>
      <c r="C1230" s="33" t="s">
        <v>346</v>
      </c>
      <c r="D1230" s="33" t="s">
        <v>40</v>
      </c>
      <c r="E1230" s="33" t="s">
        <v>1538</v>
      </c>
      <c r="F1230" s="35">
        <v>1</v>
      </c>
      <c r="G1230" s="40"/>
      <c r="H1230" s="40"/>
    </row>
    <row r="1231" spans="1:8" hidden="1" x14ac:dyDescent="0.35">
      <c r="A1231" s="33">
        <v>1230</v>
      </c>
      <c r="B1231" s="34" t="s">
        <v>1605</v>
      </c>
      <c r="C1231" s="33" t="s">
        <v>346</v>
      </c>
      <c r="D1231" s="33" t="s">
        <v>40</v>
      </c>
      <c r="E1231" s="33" t="s">
        <v>1538</v>
      </c>
      <c r="F1231" s="35">
        <v>0.1</v>
      </c>
      <c r="G1231" s="40"/>
      <c r="H1231" s="40"/>
    </row>
    <row r="1232" spans="1:8" hidden="1" x14ac:dyDescent="0.35">
      <c r="A1232" s="33">
        <v>1231</v>
      </c>
      <c r="B1232" s="34" t="s">
        <v>1606</v>
      </c>
      <c r="C1232" s="33" t="s">
        <v>346</v>
      </c>
      <c r="D1232" s="33" t="s">
        <v>40</v>
      </c>
      <c r="E1232" s="33" t="s">
        <v>1538</v>
      </c>
      <c r="F1232" s="35">
        <v>0.25</v>
      </c>
      <c r="G1232" s="40"/>
      <c r="H1232" s="40"/>
    </row>
    <row r="1233" spans="1:8" hidden="1" x14ac:dyDescent="0.35">
      <c r="A1233" s="33">
        <v>1232</v>
      </c>
      <c r="B1233" s="34" t="s">
        <v>1607</v>
      </c>
      <c r="C1233" s="33" t="s">
        <v>346</v>
      </c>
      <c r="D1233" s="33" t="s">
        <v>40</v>
      </c>
      <c r="E1233" s="33" t="s">
        <v>1538</v>
      </c>
      <c r="F1233" s="35">
        <v>0.5</v>
      </c>
      <c r="G1233" s="40"/>
      <c r="H1233" s="40"/>
    </row>
    <row r="1234" spans="1:8" hidden="1" x14ac:dyDescent="0.35">
      <c r="A1234" s="33">
        <v>1233</v>
      </c>
      <c r="B1234" s="34" t="s">
        <v>1608</v>
      </c>
      <c r="C1234" s="33" t="s">
        <v>346</v>
      </c>
      <c r="D1234" s="33" t="s">
        <v>40</v>
      </c>
      <c r="E1234" s="33" t="s">
        <v>1538</v>
      </c>
      <c r="F1234" s="35">
        <v>1</v>
      </c>
      <c r="G1234" s="40"/>
      <c r="H1234" s="40"/>
    </row>
    <row r="1235" spans="1:8" hidden="1" x14ac:dyDescent="0.35">
      <c r="A1235" s="33">
        <v>1234</v>
      </c>
      <c r="B1235" s="34" t="s">
        <v>1609</v>
      </c>
      <c r="C1235" s="33" t="s">
        <v>346</v>
      </c>
      <c r="D1235" s="33" t="s">
        <v>40</v>
      </c>
      <c r="E1235" s="33" t="s">
        <v>1538</v>
      </c>
      <c r="F1235" s="35">
        <v>1</v>
      </c>
      <c r="G1235" s="40"/>
      <c r="H1235" s="40"/>
    </row>
    <row r="1236" spans="1:8" hidden="1" x14ac:dyDescent="0.35">
      <c r="A1236" s="33">
        <v>1235</v>
      </c>
      <c r="B1236" s="34" t="s">
        <v>1610</v>
      </c>
      <c r="C1236" s="33" t="s">
        <v>346</v>
      </c>
      <c r="D1236" s="33" t="s">
        <v>40</v>
      </c>
      <c r="E1236" s="33" t="s">
        <v>1538</v>
      </c>
      <c r="F1236" s="35">
        <v>1</v>
      </c>
      <c r="G1236" s="40"/>
      <c r="H1236" s="40"/>
    </row>
    <row r="1237" spans="1:8" hidden="1" x14ac:dyDescent="0.35">
      <c r="A1237" s="33">
        <v>1236</v>
      </c>
      <c r="B1237" s="34" t="s">
        <v>1611</v>
      </c>
      <c r="C1237" s="33" t="s">
        <v>346</v>
      </c>
      <c r="D1237" s="33" t="s">
        <v>40</v>
      </c>
      <c r="E1237" s="33" t="s">
        <v>1544</v>
      </c>
      <c r="F1237" s="35">
        <v>1</v>
      </c>
      <c r="G1237" s="40"/>
      <c r="H1237" s="40"/>
    </row>
    <row r="1238" spans="1:8" hidden="1" x14ac:dyDescent="0.35">
      <c r="A1238" s="33">
        <v>1237</v>
      </c>
      <c r="B1238" s="34" t="s">
        <v>1612</v>
      </c>
      <c r="C1238" s="33" t="s">
        <v>346</v>
      </c>
      <c r="D1238" s="33" t="s">
        <v>40</v>
      </c>
      <c r="E1238" s="33" t="s">
        <v>1544</v>
      </c>
      <c r="F1238" s="35">
        <v>1</v>
      </c>
      <c r="G1238" s="40"/>
      <c r="H1238" s="40"/>
    </row>
    <row r="1239" spans="1:8" hidden="1" x14ac:dyDescent="0.35">
      <c r="A1239" s="33">
        <v>1238</v>
      </c>
      <c r="B1239" s="34" t="s">
        <v>1613</v>
      </c>
      <c r="C1239" s="33" t="s">
        <v>346</v>
      </c>
      <c r="D1239" s="33" t="s">
        <v>40</v>
      </c>
      <c r="E1239" s="33" t="s">
        <v>1544</v>
      </c>
      <c r="F1239" s="35">
        <v>1</v>
      </c>
      <c r="G1239" s="40"/>
      <c r="H1239" s="40"/>
    </row>
    <row r="1240" spans="1:8" hidden="1" x14ac:dyDescent="0.35">
      <c r="A1240" s="33">
        <v>1239</v>
      </c>
      <c r="B1240" s="34" t="s">
        <v>1614</v>
      </c>
      <c r="C1240" s="33" t="s">
        <v>346</v>
      </c>
      <c r="D1240" s="33" t="s">
        <v>40</v>
      </c>
      <c r="E1240" s="33" t="s">
        <v>1544</v>
      </c>
      <c r="F1240" s="35">
        <v>0.25</v>
      </c>
      <c r="G1240" s="40"/>
      <c r="H1240" s="40"/>
    </row>
    <row r="1241" spans="1:8" hidden="1" x14ac:dyDescent="0.35">
      <c r="A1241" s="33">
        <v>1240</v>
      </c>
      <c r="B1241" s="34" t="s">
        <v>1615</v>
      </c>
      <c r="C1241" s="33" t="s">
        <v>346</v>
      </c>
      <c r="D1241" s="33" t="s">
        <v>40</v>
      </c>
      <c r="E1241" s="33" t="s">
        <v>1544</v>
      </c>
      <c r="F1241" s="35">
        <v>0.5</v>
      </c>
      <c r="G1241" s="40"/>
      <c r="H1241" s="40"/>
    </row>
    <row r="1242" spans="1:8" hidden="1" x14ac:dyDescent="0.35">
      <c r="A1242" s="33">
        <v>1241</v>
      </c>
      <c r="B1242" s="34" t="s">
        <v>1616</v>
      </c>
      <c r="C1242" s="33" t="s">
        <v>346</v>
      </c>
      <c r="D1242" s="33" t="s">
        <v>40</v>
      </c>
      <c r="E1242" s="33" t="s">
        <v>1553</v>
      </c>
      <c r="F1242" s="35">
        <v>0.2</v>
      </c>
      <c r="G1242" s="40"/>
      <c r="H1242" s="40"/>
    </row>
    <row r="1243" spans="1:8" hidden="1" x14ac:dyDescent="0.35">
      <c r="A1243" s="33">
        <v>1242</v>
      </c>
      <c r="B1243" s="34" t="s">
        <v>1617</v>
      </c>
      <c r="C1243" s="33" t="s">
        <v>297</v>
      </c>
      <c r="D1243" s="33" t="s">
        <v>100</v>
      </c>
      <c r="E1243" s="33" t="s">
        <v>1617</v>
      </c>
      <c r="F1243" s="35">
        <v>1</v>
      </c>
      <c r="G1243" s="40"/>
      <c r="H1243" s="40"/>
    </row>
    <row r="1244" spans="1:8" hidden="1" x14ac:dyDescent="0.35">
      <c r="A1244" s="33">
        <v>1243</v>
      </c>
      <c r="B1244" s="34" t="s">
        <v>1618</v>
      </c>
      <c r="C1244" s="33" t="s">
        <v>297</v>
      </c>
      <c r="D1244" s="33" t="s">
        <v>100</v>
      </c>
      <c r="E1244" s="33" t="s">
        <v>1619</v>
      </c>
      <c r="F1244" s="35">
        <v>1</v>
      </c>
      <c r="G1244" s="40"/>
      <c r="H1244" s="40"/>
    </row>
    <row r="1245" spans="1:8" hidden="1" x14ac:dyDescent="0.35">
      <c r="A1245" s="33">
        <v>1244</v>
      </c>
      <c r="B1245" s="34" t="s">
        <v>1620</v>
      </c>
      <c r="C1245" s="33" t="s">
        <v>297</v>
      </c>
      <c r="D1245" s="33" t="s">
        <v>100</v>
      </c>
      <c r="E1245" s="33" t="s">
        <v>1619</v>
      </c>
      <c r="F1245" s="35">
        <v>1</v>
      </c>
      <c r="G1245" s="40"/>
      <c r="H1245" s="40"/>
    </row>
    <row r="1246" spans="1:8" hidden="1" x14ac:dyDescent="0.35">
      <c r="A1246" s="33">
        <v>1245</v>
      </c>
      <c r="B1246" s="34" t="s">
        <v>1621</v>
      </c>
      <c r="C1246" s="33" t="s">
        <v>297</v>
      </c>
      <c r="D1246" s="33" t="s">
        <v>100</v>
      </c>
      <c r="E1246" s="33" t="s">
        <v>1619</v>
      </c>
      <c r="F1246" s="35">
        <v>1</v>
      </c>
      <c r="G1246" s="40"/>
      <c r="H1246" s="40"/>
    </row>
    <row r="1247" spans="1:8" hidden="1" x14ac:dyDescent="0.35">
      <c r="A1247" s="33">
        <v>1246</v>
      </c>
      <c r="B1247" s="34" t="s">
        <v>1622</v>
      </c>
      <c r="C1247" s="33" t="s">
        <v>297</v>
      </c>
      <c r="D1247" s="33" t="s">
        <v>100</v>
      </c>
      <c r="E1247" s="33" t="s">
        <v>1623</v>
      </c>
      <c r="F1247" s="35">
        <v>1</v>
      </c>
      <c r="G1247" s="40"/>
      <c r="H1247" s="40"/>
    </row>
    <row r="1248" spans="1:8" hidden="1" x14ac:dyDescent="0.35">
      <c r="A1248" s="33">
        <v>1247</v>
      </c>
      <c r="B1248" s="34" t="s">
        <v>1624</v>
      </c>
      <c r="C1248" s="33" t="s">
        <v>297</v>
      </c>
      <c r="D1248" s="33" t="s">
        <v>100</v>
      </c>
      <c r="E1248" s="33" t="s">
        <v>1623</v>
      </c>
      <c r="F1248" s="35">
        <v>1</v>
      </c>
      <c r="G1248" s="40"/>
      <c r="H1248" s="40"/>
    </row>
    <row r="1249" spans="1:8" hidden="1" x14ac:dyDescent="0.35">
      <c r="A1249" s="33">
        <v>1248</v>
      </c>
      <c r="B1249" s="34" t="s">
        <v>1625</v>
      </c>
      <c r="C1249" s="33" t="s">
        <v>297</v>
      </c>
      <c r="D1249" s="33" t="s">
        <v>100</v>
      </c>
      <c r="E1249" s="33" t="s">
        <v>1623</v>
      </c>
      <c r="F1249" s="35">
        <v>1</v>
      </c>
      <c r="G1249" s="40"/>
      <c r="H1249" s="40"/>
    </row>
    <row r="1250" spans="1:8" hidden="1" x14ac:dyDescent="0.35">
      <c r="A1250" s="33">
        <v>1249</v>
      </c>
      <c r="B1250" s="34" t="s">
        <v>1626</v>
      </c>
      <c r="C1250" s="33" t="s">
        <v>297</v>
      </c>
      <c r="D1250" s="33" t="s">
        <v>100</v>
      </c>
      <c r="E1250" s="33" t="s">
        <v>1623</v>
      </c>
      <c r="F1250" s="35">
        <v>1</v>
      </c>
      <c r="G1250" s="40"/>
      <c r="H1250" s="40"/>
    </row>
    <row r="1251" spans="1:8" hidden="1" x14ac:dyDescent="0.35">
      <c r="A1251" s="33">
        <v>1250</v>
      </c>
      <c r="B1251" s="34" t="s">
        <v>1627</v>
      </c>
      <c r="C1251" s="33" t="s">
        <v>297</v>
      </c>
      <c r="D1251" s="33" t="s">
        <v>100</v>
      </c>
      <c r="E1251" s="33" t="s">
        <v>1623</v>
      </c>
      <c r="F1251" s="35">
        <v>1</v>
      </c>
      <c r="G1251" s="40"/>
      <c r="H1251" s="40"/>
    </row>
    <row r="1252" spans="1:8" hidden="1" x14ac:dyDescent="0.35">
      <c r="A1252" s="33">
        <v>1251</v>
      </c>
      <c r="B1252" s="34" t="s">
        <v>1628</v>
      </c>
      <c r="C1252" s="33" t="s">
        <v>297</v>
      </c>
      <c r="D1252" s="33" t="s">
        <v>100</v>
      </c>
      <c r="E1252" s="33" t="s">
        <v>1623</v>
      </c>
      <c r="F1252" s="35">
        <v>1</v>
      </c>
      <c r="G1252" s="40"/>
      <c r="H1252" s="40"/>
    </row>
    <row r="1253" spans="1:8" hidden="1" x14ac:dyDescent="0.35">
      <c r="A1253" s="33">
        <v>1252</v>
      </c>
      <c r="B1253" s="34" t="s">
        <v>1629</v>
      </c>
      <c r="C1253" s="33" t="s">
        <v>297</v>
      </c>
      <c r="D1253" s="33" t="s">
        <v>100</v>
      </c>
      <c r="E1253" s="33" t="s">
        <v>1623</v>
      </c>
      <c r="F1253" s="35">
        <v>1</v>
      </c>
      <c r="G1253" s="40"/>
      <c r="H1253" s="40"/>
    </row>
    <row r="1254" spans="1:8" hidden="1" x14ac:dyDescent="0.35">
      <c r="A1254" s="33">
        <v>1253</v>
      </c>
      <c r="B1254" s="34" t="s">
        <v>1630</v>
      </c>
      <c r="C1254" s="33" t="s">
        <v>297</v>
      </c>
      <c r="D1254" s="33" t="s">
        <v>100</v>
      </c>
      <c r="E1254" s="33" t="s">
        <v>1623</v>
      </c>
      <c r="F1254" s="35">
        <v>1</v>
      </c>
      <c r="G1254" s="40"/>
      <c r="H1254" s="40"/>
    </row>
    <row r="1255" spans="1:8" hidden="1" x14ac:dyDescent="0.35">
      <c r="A1255" s="33">
        <v>1254</v>
      </c>
      <c r="B1255" s="34" t="s">
        <v>1631</v>
      </c>
      <c r="C1255" s="33" t="s">
        <v>297</v>
      </c>
      <c r="D1255" s="33" t="s">
        <v>100</v>
      </c>
      <c r="E1255" s="33" t="s">
        <v>1623</v>
      </c>
      <c r="F1255" s="35">
        <v>1</v>
      </c>
      <c r="G1255" s="40"/>
      <c r="H1255" s="40"/>
    </row>
    <row r="1256" spans="1:8" hidden="1" x14ac:dyDescent="0.35">
      <c r="A1256" s="33">
        <v>1255</v>
      </c>
      <c r="B1256" s="34" t="s">
        <v>1632</v>
      </c>
      <c r="C1256" s="33" t="s">
        <v>297</v>
      </c>
      <c r="D1256" s="33" t="s">
        <v>100</v>
      </c>
      <c r="E1256" s="33" t="s">
        <v>1623</v>
      </c>
      <c r="F1256" s="35">
        <v>1</v>
      </c>
      <c r="G1256" s="40"/>
      <c r="H1256" s="40"/>
    </row>
    <row r="1257" spans="1:8" hidden="1" x14ac:dyDescent="0.35">
      <c r="A1257" s="33">
        <v>1256</v>
      </c>
      <c r="B1257" s="34" t="s">
        <v>1633</v>
      </c>
      <c r="C1257" s="33" t="s">
        <v>297</v>
      </c>
      <c r="D1257" s="33" t="s">
        <v>100</v>
      </c>
      <c r="E1257" s="33" t="s">
        <v>1623</v>
      </c>
      <c r="F1257" s="35">
        <v>1</v>
      </c>
      <c r="G1257" s="40"/>
      <c r="H1257" s="40"/>
    </row>
    <row r="1258" spans="1:8" hidden="1" x14ac:dyDescent="0.35">
      <c r="A1258" s="33">
        <v>1257</v>
      </c>
      <c r="B1258" s="34" t="s">
        <v>1634</v>
      </c>
      <c r="C1258" s="33" t="s">
        <v>297</v>
      </c>
      <c r="D1258" s="33" t="s">
        <v>100</v>
      </c>
      <c r="E1258" s="33" t="s">
        <v>1623</v>
      </c>
      <c r="F1258" s="35">
        <v>1</v>
      </c>
      <c r="G1258" s="40"/>
      <c r="H1258" s="40"/>
    </row>
    <row r="1259" spans="1:8" hidden="1" x14ac:dyDescent="0.35">
      <c r="A1259" s="33">
        <v>1258</v>
      </c>
      <c r="B1259" s="34" t="s">
        <v>1635</v>
      </c>
      <c r="C1259" s="33" t="s">
        <v>297</v>
      </c>
      <c r="D1259" s="33" t="s">
        <v>100</v>
      </c>
      <c r="E1259" s="33" t="s">
        <v>1623</v>
      </c>
      <c r="F1259" s="35">
        <v>1</v>
      </c>
      <c r="G1259" s="40"/>
      <c r="H1259" s="40"/>
    </row>
    <row r="1260" spans="1:8" hidden="1" x14ac:dyDescent="0.35">
      <c r="A1260" s="33">
        <v>1259</v>
      </c>
      <c r="B1260" s="34" t="s">
        <v>1636</v>
      </c>
      <c r="C1260" s="33" t="s">
        <v>297</v>
      </c>
      <c r="D1260" s="33" t="s">
        <v>100</v>
      </c>
      <c r="E1260" s="33" t="s">
        <v>1623</v>
      </c>
      <c r="F1260" s="35">
        <v>1</v>
      </c>
      <c r="G1260" s="40"/>
      <c r="H1260" s="40"/>
    </row>
    <row r="1261" spans="1:8" hidden="1" x14ac:dyDescent="0.35">
      <c r="A1261" s="33">
        <v>1260</v>
      </c>
      <c r="B1261" s="34" t="s">
        <v>1637</v>
      </c>
      <c r="C1261" s="33" t="s">
        <v>297</v>
      </c>
      <c r="D1261" s="33" t="s">
        <v>100</v>
      </c>
      <c r="E1261" s="33" t="s">
        <v>1623</v>
      </c>
      <c r="F1261" s="35">
        <v>1</v>
      </c>
      <c r="G1261" s="40"/>
      <c r="H1261" s="40"/>
    </row>
    <row r="1262" spans="1:8" hidden="1" x14ac:dyDescent="0.35">
      <c r="A1262" s="33">
        <v>1261</v>
      </c>
      <c r="B1262" s="34" t="s">
        <v>1638</v>
      </c>
      <c r="C1262" s="33" t="s">
        <v>297</v>
      </c>
      <c r="D1262" s="33" t="s">
        <v>100</v>
      </c>
      <c r="E1262" s="33" t="s">
        <v>1623</v>
      </c>
      <c r="F1262" s="35">
        <v>1</v>
      </c>
      <c r="G1262" s="40"/>
      <c r="H1262" s="40"/>
    </row>
    <row r="1263" spans="1:8" hidden="1" x14ac:dyDescent="0.35">
      <c r="A1263" s="33">
        <v>1262</v>
      </c>
      <c r="B1263" s="34" t="s">
        <v>1639</v>
      </c>
      <c r="C1263" s="33" t="s">
        <v>297</v>
      </c>
      <c r="D1263" s="33" t="s">
        <v>100</v>
      </c>
      <c r="E1263" s="33" t="s">
        <v>1623</v>
      </c>
      <c r="F1263" s="35">
        <v>1</v>
      </c>
      <c r="G1263" s="40"/>
      <c r="H1263" s="40"/>
    </row>
    <row r="1264" spans="1:8" hidden="1" x14ac:dyDescent="0.35">
      <c r="A1264" s="33">
        <v>1263</v>
      </c>
      <c r="B1264" s="34" t="s">
        <v>1640</v>
      </c>
      <c r="C1264" s="33" t="s">
        <v>297</v>
      </c>
      <c r="D1264" s="33" t="s">
        <v>100</v>
      </c>
      <c r="E1264" s="33" t="s">
        <v>1623</v>
      </c>
      <c r="F1264" s="35">
        <v>1</v>
      </c>
      <c r="G1264" s="40"/>
      <c r="H1264" s="40"/>
    </row>
    <row r="1265" spans="1:8" hidden="1" x14ac:dyDescent="0.35">
      <c r="A1265" s="33">
        <v>1264</v>
      </c>
      <c r="B1265" s="34" t="s">
        <v>1641</v>
      </c>
      <c r="C1265" s="33" t="s">
        <v>297</v>
      </c>
      <c r="D1265" s="33" t="s">
        <v>100</v>
      </c>
      <c r="E1265" s="33" t="s">
        <v>344</v>
      </c>
      <c r="F1265" s="35">
        <v>1</v>
      </c>
      <c r="G1265" s="40"/>
      <c r="H1265" s="40"/>
    </row>
    <row r="1266" spans="1:8" hidden="1" x14ac:dyDescent="0.35">
      <c r="A1266" s="33">
        <v>1265</v>
      </c>
      <c r="B1266" s="34" t="s">
        <v>1642</v>
      </c>
      <c r="C1266" s="33" t="s">
        <v>297</v>
      </c>
      <c r="D1266" s="33" t="s">
        <v>100</v>
      </c>
      <c r="E1266" s="33" t="s">
        <v>1642</v>
      </c>
      <c r="F1266" s="35">
        <v>1</v>
      </c>
      <c r="G1266" s="40"/>
      <c r="H1266" s="40"/>
    </row>
    <row r="1267" spans="1:8" hidden="1" x14ac:dyDescent="0.35">
      <c r="A1267" s="33">
        <v>1266</v>
      </c>
      <c r="B1267" s="34" t="s">
        <v>1643</v>
      </c>
      <c r="C1267" s="33" t="s">
        <v>297</v>
      </c>
      <c r="D1267" s="33" t="s">
        <v>100</v>
      </c>
      <c r="E1267" s="33" t="s">
        <v>1642</v>
      </c>
      <c r="F1267" s="35">
        <v>1</v>
      </c>
      <c r="G1267" s="40"/>
      <c r="H1267" s="40"/>
    </row>
    <row r="1268" spans="1:8" hidden="1" x14ac:dyDescent="0.35">
      <c r="A1268" s="33">
        <v>1267</v>
      </c>
      <c r="B1268" s="34" t="s">
        <v>1644</v>
      </c>
      <c r="C1268" s="33" t="s">
        <v>297</v>
      </c>
      <c r="D1268" s="33" t="s">
        <v>100</v>
      </c>
      <c r="E1268" s="33" t="s">
        <v>1642</v>
      </c>
      <c r="F1268" s="35">
        <v>1</v>
      </c>
      <c r="G1268" s="40"/>
      <c r="H1268" s="40"/>
    </row>
    <row r="1269" spans="1:8" hidden="1" x14ac:dyDescent="0.35">
      <c r="A1269" s="33">
        <v>1268</v>
      </c>
      <c r="B1269" s="34" t="s">
        <v>1645</v>
      </c>
      <c r="C1269" s="33" t="s">
        <v>297</v>
      </c>
      <c r="D1269" s="33" t="s">
        <v>100</v>
      </c>
      <c r="E1269" s="33" t="s">
        <v>1646</v>
      </c>
      <c r="F1269" s="35">
        <v>1</v>
      </c>
      <c r="G1269" s="40"/>
      <c r="H1269" s="40"/>
    </row>
    <row r="1270" spans="1:8" hidden="1" x14ac:dyDescent="0.35">
      <c r="A1270" s="33">
        <v>1269</v>
      </c>
      <c r="B1270" s="34" t="s">
        <v>1647</v>
      </c>
      <c r="C1270" s="33" t="s">
        <v>297</v>
      </c>
      <c r="D1270" s="33" t="s">
        <v>100</v>
      </c>
      <c r="E1270" s="33" t="s">
        <v>1646</v>
      </c>
      <c r="F1270" s="35">
        <v>1</v>
      </c>
      <c r="G1270" s="40"/>
      <c r="H1270" s="40"/>
    </row>
    <row r="1271" spans="1:8" hidden="1" x14ac:dyDescent="0.35">
      <c r="A1271" s="33">
        <v>1270</v>
      </c>
      <c r="B1271" s="34" t="s">
        <v>1648</v>
      </c>
      <c r="C1271" s="33" t="s">
        <v>346</v>
      </c>
      <c r="D1271" s="33" t="s">
        <v>100</v>
      </c>
      <c r="E1271" s="33" t="s">
        <v>1617</v>
      </c>
      <c r="F1271" s="35">
        <v>0.25</v>
      </c>
      <c r="G1271" s="40"/>
      <c r="H1271" s="40"/>
    </row>
    <row r="1272" spans="1:8" hidden="1" x14ac:dyDescent="0.35">
      <c r="A1272" s="33">
        <v>1271</v>
      </c>
      <c r="B1272" s="34" t="s">
        <v>1649</v>
      </c>
      <c r="C1272" s="33" t="s">
        <v>346</v>
      </c>
      <c r="D1272" s="33" t="s">
        <v>100</v>
      </c>
      <c r="E1272" s="33" t="s">
        <v>1617</v>
      </c>
      <c r="F1272" s="35">
        <v>0.25</v>
      </c>
      <c r="G1272" s="40"/>
      <c r="H1272" s="40"/>
    </row>
    <row r="1273" spans="1:8" hidden="1" x14ac:dyDescent="0.35">
      <c r="A1273" s="33">
        <v>1272</v>
      </c>
      <c r="B1273" s="34" t="s">
        <v>1650</v>
      </c>
      <c r="C1273" s="33" t="s">
        <v>346</v>
      </c>
      <c r="D1273" s="33" t="s">
        <v>100</v>
      </c>
      <c r="E1273" s="33" t="s">
        <v>1617</v>
      </c>
      <c r="F1273" s="35">
        <v>0.2</v>
      </c>
      <c r="G1273" s="40"/>
      <c r="H1273" s="40"/>
    </row>
    <row r="1274" spans="1:8" hidden="1" x14ac:dyDescent="0.35">
      <c r="A1274" s="33">
        <v>1273</v>
      </c>
      <c r="B1274" s="34" t="s">
        <v>1651</v>
      </c>
      <c r="C1274" s="33" t="s">
        <v>346</v>
      </c>
      <c r="D1274" s="33" t="s">
        <v>100</v>
      </c>
      <c r="E1274" s="33" t="s">
        <v>1617</v>
      </c>
      <c r="F1274" s="35">
        <v>1</v>
      </c>
      <c r="G1274" s="40"/>
      <c r="H1274" s="40"/>
    </row>
    <row r="1275" spans="1:8" hidden="1" x14ac:dyDescent="0.35">
      <c r="A1275" s="33">
        <v>1274</v>
      </c>
      <c r="B1275" s="34" t="s">
        <v>1652</v>
      </c>
      <c r="C1275" s="33" t="s">
        <v>346</v>
      </c>
      <c r="D1275" s="33" t="s">
        <v>100</v>
      </c>
      <c r="E1275" s="33" t="s">
        <v>1617</v>
      </c>
      <c r="F1275" s="35">
        <v>0.05</v>
      </c>
      <c r="G1275" s="40"/>
      <c r="H1275" s="40"/>
    </row>
    <row r="1276" spans="1:8" hidden="1" x14ac:dyDescent="0.35">
      <c r="A1276" s="33">
        <v>1275</v>
      </c>
      <c r="B1276" s="34" t="s">
        <v>1653</v>
      </c>
      <c r="C1276" s="33" t="s">
        <v>346</v>
      </c>
      <c r="D1276" s="33" t="s">
        <v>100</v>
      </c>
      <c r="E1276" s="33" t="s">
        <v>1619</v>
      </c>
      <c r="F1276" s="35">
        <v>0.25</v>
      </c>
      <c r="G1276" s="40"/>
      <c r="H1276" s="40"/>
    </row>
    <row r="1277" spans="1:8" hidden="1" x14ac:dyDescent="0.35">
      <c r="A1277" s="33">
        <v>1276</v>
      </c>
      <c r="B1277" s="34" t="s">
        <v>1654</v>
      </c>
      <c r="C1277" s="33" t="s">
        <v>346</v>
      </c>
      <c r="D1277" s="33" t="s">
        <v>100</v>
      </c>
      <c r="E1277" s="33" t="s">
        <v>1619</v>
      </c>
      <c r="F1277" s="35">
        <v>0.25</v>
      </c>
      <c r="G1277" s="40"/>
      <c r="H1277" s="40"/>
    </row>
    <row r="1278" spans="1:8" hidden="1" x14ac:dyDescent="0.35">
      <c r="A1278" s="33">
        <v>1277</v>
      </c>
      <c r="B1278" s="34" t="s">
        <v>1655</v>
      </c>
      <c r="C1278" s="33" t="s">
        <v>346</v>
      </c>
      <c r="D1278" s="33" t="s">
        <v>100</v>
      </c>
      <c r="E1278" s="33" t="s">
        <v>1619</v>
      </c>
      <c r="F1278" s="35">
        <v>1</v>
      </c>
      <c r="G1278" s="40"/>
      <c r="H1278" s="40"/>
    </row>
    <row r="1279" spans="1:8" hidden="1" x14ac:dyDescent="0.35">
      <c r="A1279" s="33">
        <v>1278</v>
      </c>
      <c r="B1279" s="34" t="s">
        <v>1656</v>
      </c>
      <c r="C1279" s="33" t="s">
        <v>346</v>
      </c>
      <c r="D1279" s="33" t="s">
        <v>100</v>
      </c>
      <c r="E1279" s="33" t="s">
        <v>1619</v>
      </c>
      <c r="F1279" s="35">
        <v>0.2</v>
      </c>
      <c r="G1279" s="40"/>
      <c r="H1279" s="40"/>
    </row>
    <row r="1280" spans="1:8" hidden="1" x14ac:dyDescent="0.35">
      <c r="A1280" s="33">
        <v>1279</v>
      </c>
      <c r="B1280" s="34" t="s">
        <v>1657</v>
      </c>
      <c r="C1280" s="33" t="s">
        <v>346</v>
      </c>
      <c r="D1280" s="33" t="s">
        <v>100</v>
      </c>
      <c r="E1280" s="33" t="s">
        <v>1619</v>
      </c>
      <c r="F1280" s="35">
        <v>0.25</v>
      </c>
      <c r="G1280" s="40"/>
      <c r="H1280" s="40"/>
    </row>
    <row r="1281" spans="1:8" hidden="1" x14ac:dyDescent="0.35">
      <c r="A1281" s="33">
        <v>1280</v>
      </c>
      <c r="B1281" s="34" t="s">
        <v>1658</v>
      </c>
      <c r="C1281" s="33" t="s">
        <v>346</v>
      </c>
      <c r="D1281" s="33" t="s">
        <v>100</v>
      </c>
      <c r="E1281" s="33" t="s">
        <v>1619</v>
      </c>
      <c r="F1281" s="35">
        <v>0.55000000000000004</v>
      </c>
      <c r="G1281" s="40"/>
      <c r="H1281" s="40"/>
    </row>
    <row r="1282" spans="1:8" hidden="1" x14ac:dyDescent="0.35">
      <c r="A1282" s="33">
        <v>1281</v>
      </c>
      <c r="B1282" s="34" t="s">
        <v>1659</v>
      </c>
      <c r="C1282" s="33" t="s">
        <v>346</v>
      </c>
      <c r="D1282" s="33" t="s">
        <v>100</v>
      </c>
      <c r="E1282" s="33" t="s">
        <v>1619</v>
      </c>
      <c r="F1282" s="35">
        <v>0.25</v>
      </c>
      <c r="G1282" s="40"/>
      <c r="H1282" s="40"/>
    </row>
    <row r="1283" spans="1:8" hidden="1" x14ac:dyDescent="0.35">
      <c r="A1283" s="33">
        <v>1282</v>
      </c>
      <c r="B1283" s="34" t="s">
        <v>1660</v>
      </c>
      <c r="C1283" s="33" t="s">
        <v>346</v>
      </c>
      <c r="D1283" s="33" t="s">
        <v>100</v>
      </c>
      <c r="E1283" s="33" t="s">
        <v>1619</v>
      </c>
      <c r="F1283" s="35">
        <v>1</v>
      </c>
      <c r="G1283" s="40"/>
      <c r="H1283" s="40"/>
    </row>
    <row r="1284" spans="1:8" hidden="1" x14ac:dyDescent="0.35">
      <c r="A1284" s="33">
        <v>1283</v>
      </c>
      <c r="B1284" s="34" t="s">
        <v>1661</v>
      </c>
      <c r="C1284" s="33" t="s">
        <v>346</v>
      </c>
      <c r="D1284" s="33" t="s">
        <v>100</v>
      </c>
      <c r="E1284" s="33" t="s">
        <v>1619</v>
      </c>
      <c r="F1284" s="35">
        <v>0.25</v>
      </c>
      <c r="G1284" s="40"/>
      <c r="H1284" s="40"/>
    </row>
    <row r="1285" spans="1:8" hidden="1" x14ac:dyDescent="0.35">
      <c r="A1285" s="33">
        <v>1284</v>
      </c>
      <c r="B1285" s="34" t="s">
        <v>1662</v>
      </c>
      <c r="C1285" s="33" t="s">
        <v>346</v>
      </c>
      <c r="D1285" s="33" t="s">
        <v>100</v>
      </c>
      <c r="E1285" s="33" t="s">
        <v>1619</v>
      </c>
      <c r="F1285" s="35">
        <v>0.05</v>
      </c>
      <c r="G1285" s="40"/>
      <c r="H1285" s="40"/>
    </row>
    <row r="1286" spans="1:8" hidden="1" x14ac:dyDescent="0.35">
      <c r="A1286" s="33">
        <v>1285</v>
      </c>
      <c r="B1286" s="34" t="s">
        <v>1663</v>
      </c>
      <c r="C1286" s="33" t="s">
        <v>346</v>
      </c>
      <c r="D1286" s="33" t="s">
        <v>100</v>
      </c>
      <c r="E1286" s="33" t="s">
        <v>1623</v>
      </c>
      <c r="F1286" s="35">
        <v>0.1</v>
      </c>
      <c r="G1286" s="40"/>
      <c r="H1286" s="40"/>
    </row>
    <row r="1287" spans="1:8" hidden="1" x14ac:dyDescent="0.35">
      <c r="A1287" s="33">
        <v>1286</v>
      </c>
      <c r="B1287" s="34" t="s">
        <v>1664</v>
      </c>
      <c r="C1287" s="33" t="s">
        <v>346</v>
      </c>
      <c r="D1287" s="33" t="s">
        <v>100</v>
      </c>
      <c r="E1287" s="33" t="s">
        <v>1623</v>
      </c>
      <c r="F1287" s="35">
        <v>0.1</v>
      </c>
      <c r="G1287" s="40"/>
      <c r="H1287" s="40"/>
    </row>
    <row r="1288" spans="1:8" hidden="1" x14ac:dyDescent="0.35">
      <c r="A1288" s="33">
        <v>1287</v>
      </c>
      <c r="B1288" s="34" t="s">
        <v>1665</v>
      </c>
      <c r="C1288" s="33" t="s">
        <v>346</v>
      </c>
      <c r="D1288" s="33" t="s">
        <v>100</v>
      </c>
      <c r="E1288" s="33" t="s">
        <v>1623</v>
      </c>
      <c r="F1288" s="35">
        <v>0.1</v>
      </c>
      <c r="G1288" s="40"/>
      <c r="H1288" s="40"/>
    </row>
    <row r="1289" spans="1:8" hidden="1" x14ac:dyDescent="0.35">
      <c r="A1289" s="33">
        <v>1288</v>
      </c>
      <c r="B1289" s="34" t="s">
        <v>1666</v>
      </c>
      <c r="C1289" s="33" t="s">
        <v>346</v>
      </c>
      <c r="D1289" s="33" t="s">
        <v>100</v>
      </c>
      <c r="E1289" s="33" t="s">
        <v>1623</v>
      </c>
      <c r="F1289" s="35">
        <v>0.1</v>
      </c>
      <c r="G1289" s="40"/>
      <c r="H1289" s="40"/>
    </row>
    <row r="1290" spans="1:8" hidden="1" x14ac:dyDescent="0.35">
      <c r="A1290" s="33">
        <v>1289</v>
      </c>
      <c r="B1290" s="34" t="s">
        <v>1667</v>
      </c>
      <c r="C1290" s="33" t="s">
        <v>346</v>
      </c>
      <c r="D1290" s="33" t="s">
        <v>100</v>
      </c>
      <c r="E1290" s="33" t="s">
        <v>1623</v>
      </c>
      <c r="F1290" s="35">
        <v>1</v>
      </c>
      <c r="G1290" s="40"/>
      <c r="H1290" s="40"/>
    </row>
    <row r="1291" spans="1:8" hidden="1" x14ac:dyDescent="0.35">
      <c r="A1291" s="33">
        <v>1290</v>
      </c>
      <c r="B1291" s="34" t="s">
        <v>1668</v>
      </c>
      <c r="C1291" s="33" t="s">
        <v>346</v>
      </c>
      <c r="D1291" s="33" t="s">
        <v>100</v>
      </c>
      <c r="E1291" s="33" t="s">
        <v>1623</v>
      </c>
      <c r="F1291" s="35">
        <v>1</v>
      </c>
      <c r="G1291" s="40"/>
      <c r="H1291" s="40"/>
    </row>
    <row r="1292" spans="1:8" hidden="1" x14ac:dyDescent="0.35">
      <c r="A1292" s="33">
        <v>1291</v>
      </c>
      <c r="B1292" s="34" t="s">
        <v>1669</v>
      </c>
      <c r="C1292" s="33" t="s">
        <v>346</v>
      </c>
      <c r="D1292" s="33" t="s">
        <v>100</v>
      </c>
      <c r="E1292" s="33" t="s">
        <v>1623</v>
      </c>
      <c r="F1292" s="35">
        <v>0.25</v>
      </c>
      <c r="G1292" s="40"/>
      <c r="H1292" s="40"/>
    </row>
    <row r="1293" spans="1:8" hidden="1" x14ac:dyDescent="0.35">
      <c r="A1293" s="33">
        <v>1292</v>
      </c>
      <c r="B1293" s="34" t="s">
        <v>1670</v>
      </c>
      <c r="C1293" s="33" t="s">
        <v>346</v>
      </c>
      <c r="D1293" s="33" t="s">
        <v>100</v>
      </c>
      <c r="E1293" s="33" t="s">
        <v>1623</v>
      </c>
      <c r="F1293" s="35">
        <v>0.2</v>
      </c>
      <c r="G1293" s="40"/>
      <c r="H1293" s="40"/>
    </row>
    <row r="1294" spans="1:8" hidden="1" x14ac:dyDescent="0.35">
      <c r="A1294" s="33">
        <v>1293</v>
      </c>
      <c r="B1294" s="34" t="s">
        <v>1671</v>
      </c>
      <c r="C1294" s="33" t="s">
        <v>346</v>
      </c>
      <c r="D1294" s="33" t="s">
        <v>100</v>
      </c>
      <c r="E1294" s="33" t="s">
        <v>1623</v>
      </c>
      <c r="F1294" s="35">
        <v>0.25</v>
      </c>
      <c r="G1294" s="40"/>
      <c r="H1294" s="40"/>
    </row>
    <row r="1295" spans="1:8" hidden="1" x14ac:dyDescent="0.35">
      <c r="A1295" s="33">
        <v>1294</v>
      </c>
      <c r="B1295" s="34" t="s">
        <v>1672</v>
      </c>
      <c r="C1295" s="33" t="s">
        <v>346</v>
      </c>
      <c r="D1295" s="33" t="s">
        <v>100</v>
      </c>
      <c r="E1295" s="33" t="s">
        <v>1623</v>
      </c>
      <c r="F1295" s="35">
        <v>0.1</v>
      </c>
      <c r="G1295" s="40"/>
      <c r="H1295" s="40"/>
    </row>
    <row r="1296" spans="1:8" hidden="1" x14ac:dyDescent="0.35">
      <c r="A1296" s="33">
        <v>1295</v>
      </c>
      <c r="B1296" s="34" t="s">
        <v>1673</v>
      </c>
      <c r="C1296" s="33" t="s">
        <v>346</v>
      </c>
      <c r="D1296" s="33" t="s">
        <v>100</v>
      </c>
      <c r="E1296" s="33" t="s">
        <v>1623</v>
      </c>
      <c r="F1296" s="35">
        <v>0.25</v>
      </c>
      <c r="G1296" s="40"/>
      <c r="H1296" s="40"/>
    </row>
    <row r="1297" spans="1:8" hidden="1" x14ac:dyDescent="0.35">
      <c r="A1297" s="33">
        <v>1296</v>
      </c>
      <c r="B1297" s="34" t="s">
        <v>1674</v>
      </c>
      <c r="C1297" s="33" t="s">
        <v>346</v>
      </c>
      <c r="D1297" s="33" t="s">
        <v>100</v>
      </c>
      <c r="E1297" s="33" t="s">
        <v>1623</v>
      </c>
      <c r="F1297" s="35">
        <v>0.25</v>
      </c>
      <c r="G1297" s="40"/>
      <c r="H1297" s="40"/>
    </row>
    <row r="1298" spans="1:8" hidden="1" x14ac:dyDescent="0.35">
      <c r="A1298" s="33">
        <v>1297</v>
      </c>
      <c r="B1298" s="34" t="s">
        <v>1675</v>
      </c>
      <c r="C1298" s="33" t="s">
        <v>346</v>
      </c>
      <c r="D1298" s="33" t="s">
        <v>100</v>
      </c>
      <c r="E1298" s="33" t="s">
        <v>1623</v>
      </c>
      <c r="F1298" s="35">
        <v>0.2</v>
      </c>
      <c r="G1298" s="40"/>
      <c r="H1298" s="40"/>
    </row>
    <row r="1299" spans="1:8" hidden="1" x14ac:dyDescent="0.35">
      <c r="A1299" s="33">
        <v>1298</v>
      </c>
      <c r="B1299" s="34" t="s">
        <v>1676</v>
      </c>
      <c r="C1299" s="33" t="s">
        <v>346</v>
      </c>
      <c r="D1299" s="33" t="s">
        <v>100</v>
      </c>
      <c r="E1299" s="33" t="s">
        <v>1623</v>
      </c>
      <c r="F1299" s="35">
        <v>0.1</v>
      </c>
      <c r="G1299" s="40"/>
      <c r="H1299" s="40"/>
    </row>
    <row r="1300" spans="1:8" hidden="1" x14ac:dyDescent="0.35">
      <c r="A1300" s="33">
        <v>1299</v>
      </c>
      <c r="B1300" s="34" t="s">
        <v>1677</v>
      </c>
      <c r="C1300" s="33" t="s">
        <v>346</v>
      </c>
      <c r="D1300" s="33" t="s">
        <v>100</v>
      </c>
      <c r="E1300" s="33" t="s">
        <v>1623</v>
      </c>
      <c r="F1300" s="35">
        <v>1</v>
      </c>
      <c r="G1300" s="40"/>
      <c r="H1300" s="40"/>
    </row>
    <row r="1301" spans="1:8" hidden="1" x14ac:dyDescent="0.35">
      <c r="A1301" s="33">
        <v>1300</v>
      </c>
      <c r="B1301" s="34" t="s">
        <v>1678</v>
      </c>
      <c r="C1301" s="33" t="s">
        <v>346</v>
      </c>
      <c r="D1301" s="33" t="s">
        <v>100</v>
      </c>
      <c r="E1301" s="33" t="s">
        <v>1623</v>
      </c>
      <c r="F1301" s="35">
        <v>0.1</v>
      </c>
      <c r="G1301" s="40"/>
      <c r="H1301" s="40"/>
    </row>
    <row r="1302" spans="1:8" hidden="1" x14ac:dyDescent="0.35">
      <c r="A1302" s="33">
        <v>1301</v>
      </c>
      <c r="B1302" s="34" t="s">
        <v>1679</v>
      </c>
      <c r="C1302" s="33" t="s">
        <v>346</v>
      </c>
      <c r="D1302" s="33" t="s">
        <v>100</v>
      </c>
      <c r="E1302" s="33" t="s">
        <v>1623</v>
      </c>
      <c r="F1302" s="35">
        <v>0.2</v>
      </c>
      <c r="G1302" s="40"/>
      <c r="H1302" s="40"/>
    </row>
    <row r="1303" spans="1:8" hidden="1" x14ac:dyDescent="0.35">
      <c r="A1303" s="33">
        <v>1302</v>
      </c>
      <c r="B1303" s="34" t="s">
        <v>1680</v>
      </c>
      <c r="C1303" s="33" t="s">
        <v>346</v>
      </c>
      <c r="D1303" s="33" t="s">
        <v>100</v>
      </c>
      <c r="E1303" s="33" t="s">
        <v>1623</v>
      </c>
      <c r="F1303" s="35">
        <v>0.2</v>
      </c>
      <c r="G1303" s="40"/>
      <c r="H1303" s="40"/>
    </row>
    <row r="1304" spans="1:8" hidden="1" x14ac:dyDescent="0.35">
      <c r="A1304" s="33">
        <v>1303</v>
      </c>
      <c r="B1304" s="34" t="s">
        <v>1681</v>
      </c>
      <c r="C1304" s="33" t="s">
        <v>346</v>
      </c>
      <c r="D1304" s="33" t="s">
        <v>100</v>
      </c>
      <c r="E1304" s="33" t="s">
        <v>1623</v>
      </c>
      <c r="F1304" s="35">
        <v>1</v>
      </c>
      <c r="G1304" s="40"/>
      <c r="H1304" s="40"/>
    </row>
    <row r="1305" spans="1:8" hidden="1" x14ac:dyDescent="0.35">
      <c r="A1305" s="33">
        <v>1304</v>
      </c>
      <c r="B1305" s="34" t="s">
        <v>1682</v>
      </c>
      <c r="C1305" s="33" t="s">
        <v>346</v>
      </c>
      <c r="D1305" s="33" t="s">
        <v>100</v>
      </c>
      <c r="E1305" s="33" t="s">
        <v>1623</v>
      </c>
      <c r="F1305" s="35">
        <v>1</v>
      </c>
      <c r="G1305" s="40"/>
      <c r="H1305" s="40"/>
    </row>
    <row r="1306" spans="1:8" hidden="1" x14ac:dyDescent="0.35">
      <c r="A1306" s="33">
        <v>1305</v>
      </c>
      <c r="B1306" s="34" t="s">
        <v>1683</v>
      </c>
      <c r="C1306" s="33" t="s">
        <v>346</v>
      </c>
      <c r="D1306" s="33" t="s">
        <v>100</v>
      </c>
      <c r="E1306" s="33" t="s">
        <v>1623</v>
      </c>
      <c r="F1306" s="35">
        <v>0.15</v>
      </c>
      <c r="G1306" s="40"/>
      <c r="H1306" s="40"/>
    </row>
    <row r="1307" spans="1:8" hidden="1" x14ac:dyDescent="0.35">
      <c r="A1307" s="33">
        <v>1306</v>
      </c>
      <c r="B1307" s="34" t="s">
        <v>1684</v>
      </c>
      <c r="C1307" s="33" t="s">
        <v>346</v>
      </c>
      <c r="D1307" s="33" t="s">
        <v>100</v>
      </c>
      <c r="E1307" s="33" t="s">
        <v>1623</v>
      </c>
      <c r="F1307" s="35">
        <v>0.15</v>
      </c>
      <c r="G1307" s="40"/>
      <c r="H1307" s="40"/>
    </row>
    <row r="1308" spans="1:8" hidden="1" x14ac:dyDescent="0.35">
      <c r="A1308" s="33">
        <v>1307</v>
      </c>
      <c r="B1308" s="34" t="s">
        <v>1685</v>
      </c>
      <c r="C1308" s="33" t="s">
        <v>346</v>
      </c>
      <c r="D1308" s="33" t="s">
        <v>100</v>
      </c>
      <c r="E1308" s="33" t="s">
        <v>1623</v>
      </c>
      <c r="F1308" s="35">
        <v>1</v>
      </c>
      <c r="G1308" s="40"/>
      <c r="H1308" s="40"/>
    </row>
    <row r="1309" spans="1:8" hidden="1" x14ac:dyDescent="0.35">
      <c r="A1309" s="33">
        <v>1308</v>
      </c>
      <c r="B1309" s="34" t="s">
        <v>1686</v>
      </c>
      <c r="C1309" s="33" t="s">
        <v>346</v>
      </c>
      <c r="D1309" s="33" t="s">
        <v>100</v>
      </c>
      <c r="E1309" s="33" t="s">
        <v>1623</v>
      </c>
      <c r="F1309" s="35">
        <v>1</v>
      </c>
      <c r="G1309" s="40"/>
      <c r="H1309" s="40"/>
    </row>
    <row r="1310" spans="1:8" hidden="1" x14ac:dyDescent="0.35">
      <c r="A1310" s="33">
        <v>1309</v>
      </c>
      <c r="B1310" s="34" t="s">
        <v>1687</v>
      </c>
      <c r="C1310" s="33" t="s">
        <v>346</v>
      </c>
      <c r="D1310" s="33" t="s">
        <v>100</v>
      </c>
      <c r="E1310" s="33" t="s">
        <v>1623</v>
      </c>
      <c r="F1310" s="35">
        <v>1</v>
      </c>
      <c r="G1310" s="40"/>
      <c r="H1310" s="40"/>
    </row>
    <row r="1311" spans="1:8" hidden="1" x14ac:dyDescent="0.35">
      <c r="A1311" s="33">
        <v>1310</v>
      </c>
      <c r="B1311" s="34" t="s">
        <v>1688</v>
      </c>
      <c r="C1311" s="33" t="s">
        <v>346</v>
      </c>
      <c r="D1311" s="33" t="s">
        <v>100</v>
      </c>
      <c r="E1311" s="33" t="s">
        <v>1623</v>
      </c>
      <c r="F1311" s="35">
        <v>1</v>
      </c>
      <c r="G1311" s="40"/>
      <c r="H1311" s="40"/>
    </row>
    <row r="1312" spans="1:8" hidden="1" x14ac:dyDescent="0.35">
      <c r="A1312" s="33">
        <v>1311</v>
      </c>
      <c r="B1312" s="34" t="s">
        <v>1689</v>
      </c>
      <c r="C1312" s="33" t="s">
        <v>346</v>
      </c>
      <c r="D1312" s="33" t="s">
        <v>100</v>
      </c>
      <c r="E1312" s="33" t="s">
        <v>1623</v>
      </c>
      <c r="F1312" s="35">
        <v>1</v>
      </c>
      <c r="G1312" s="40"/>
      <c r="H1312" s="40"/>
    </row>
    <row r="1313" spans="1:8" hidden="1" x14ac:dyDescent="0.35">
      <c r="A1313" s="33">
        <v>1312</v>
      </c>
      <c r="B1313" s="34" t="s">
        <v>1690</v>
      </c>
      <c r="C1313" s="33" t="s">
        <v>346</v>
      </c>
      <c r="D1313" s="33" t="s">
        <v>100</v>
      </c>
      <c r="E1313" s="33" t="s">
        <v>1623</v>
      </c>
      <c r="F1313" s="35">
        <v>0.1</v>
      </c>
      <c r="G1313" s="40"/>
      <c r="H1313" s="40"/>
    </row>
    <row r="1314" spans="1:8" hidden="1" x14ac:dyDescent="0.35">
      <c r="A1314" s="33">
        <v>1313</v>
      </c>
      <c r="B1314" s="34" t="s">
        <v>1691</v>
      </c>
      <c r="C1314" s="33" t="s">
        <v>346</v>
      </c>
      <c r="D1314" s="33" t="s">
        <v>100</v>
      </c>
      <c r="E1314" s="33" t="s">
        <v>1623</v>
      </c>
      <c r="F1314" s="35">
        <v>0.2</v>
      </c>
      <c r="G1314" s="40"/>
      <c r="H1314" s="40"/>
    </row>
    <row r="1315" spans="1:8" hidden="1" x14ac:dyDescent="0.35">
      <c r="A1315" s="33">
        <v>1314</v>
      </c>
      <c r="B1315" s="34" t="s">
        <v>1692</v>
      </c>
      <c r="C1315" s="33" t="s">
        <v>346</v>
      </c>
      <c r="D1315" s="33" t="s">
        <v>100</v>
      </c>
      <c r="E1315" s="33" t="s">
        <v>1623</v>
      </c>
      <c r="F1315" s="35">
        <v>0.1</v>
      </c>
      <c r="G1315" s="40"/>
      <c r="H1315" s="40"/>
    </row>
    <row r="1316" spans="1:8" hidden="1" x14ac:dyDescent="0.35">
      <c r="A1316" s="33">
        <v>1315</v>
      </c>
      <c r="B1316" s="34" t="s">
        <v>1693</v>
      </c>
      <c r="C1316" s="33" t="s">
        <v>346</v>
      </c>
      <c r="D1316" s="33" t="s">
        <v>100</v>
      </c>
      <c r="E1316" s="33" t="s">
        <v>1623</v>
      </c>
      <c r="F1316" s="35">
        <v>0.2</v>
      </c>
      <c r="G1316" s="40"/>
      <c r="H1316" s="40"/>
    </row>
    <row r="1317" spans="1:8" hidden="1" x14ac:dyDescent="0.35">
      <c r="A1317" s="33">
        <v>1316</v>
      </c>
      <c r="B1317" s="34" t="s">
        <v>1694</v>
      </c>
      <c r="C1317" s="33" t="s">
        <v>346</v>
      </c>
      <c r="D1317" s="33" t="s">
        <v>100</v>
      </c>
      <c r="E1317" s="33" t="s">
        <v>1623</v>
      </c>
      <c r="F1317" s="35">
        <v>0.1</v>
      </c>
      <c r="G1317" s="40"/>
      <c r="H1317" s="40"/>
    </row>
    <row r="1318" spans="1:8" hidden="1" x14ac:dyDescent="0.35">
      <c r="A1318" s="33">
        <v>1317</v>
      </c>
      <c r="B1318" s="34" t="s">
        <v>1695</v>
      </c>
      <c r="C1318" s="33" t="s">
        <v>346</v>
      </c>
      <c r="D1318" s="33" t="s">
        <v>100</v>
      </c>
      <c r="E1318" s="33" t="s">
        <v>1623</v>
      </c>
      <c r="F1318" s="35">
        <v>0.1</v>
      </c>
      <c r="G1318" s="40"/>
      <c r="H1318" s="40"/>
    </row>
    <row r="1319" spans="1:8" hidden="1" x14ac:dyDescent="0.35">
      <c r="A1319" s="33">
        <v>1318</v>
      </c>
      <c r="B1319" s="34" t="s">
        <v>1696</v>
      </c>
      <c r="C1319" s="33" t="s">
        <v>346</v>
      </c>
      <c r="D1319" s="33" t="s">
        <v>100</v>
      </c>
      <c r="E1319" s="33" t="s">
        <v>1623</v>
      </c>
      <c r="F1319" s="35">
        <v>1</v>
      </c>
      <c r="G1319" s="40"/>
      <c r="H1319" s="40"/>
    </row>
    <row r="1320" spans="1:8" hidden="1" x14ac:dyDescent="0.35">
      <c r="A1320" s="33">
        <v>1319</v>
      </c>
      <c r="B1320" s="34" t="s">
        <v>1697</v>
      </c>
      <c r="C1320" s="33" t="s">
        <v>346</v>
      </c>
      <c r="D1320" s="33" t="s">
        <v>100</v>
      </c>
      <c r="E1320" s="33" t="s">
        <v>1623</v>
      </c>
      <c r="F1320" s="35">
        <v>1</v>
      </c>
      <c r="G1320" s="40"/>
      <c r="H1320" s="40"/>
    </row>
    <row r="1321" spans="1:8" hidden="1" x14ac:dyDescent="0.35">
      <c r="A1321" s="33">
        <v>1320</v>
      </c>
      <c r="B1321" s="34" t="s">
        <v>1698</v>
      </c>
      <c r="C1321" s="33" t="s">
        <v>346</v>
      </c>
      <c r="D1321" s="33" t="s">
        <v>100</v>
      </c>
      <c r="E1321" s="33" t="s">
        <v>1623</v>
      </c>
      <c r="F1321" s="35">
        <v>1</v>
      </c>
      <c r="G1321" s="40"/>
      <c r="H1321" s="40"/>
    </row>
    <row r="1322" spans="1:8" hidden="1" x14ac:dyDescent="0.35">
      <c r="A1322" s="33">
        <v>1321</v>
      </c>
      <c r="B1322" s="34" t="s">
        <v>1699</v>
      </c>
      <c r="C1322" s="33" t="s">
        <v>346</v>
      </c>
      <c r="D1322" s="33" t="s">
        <v>100</v>
      </c>
      <c r="E1322" s="33" t="s">
        <v>1623</v>
      </c>
      <c r="F1322" s="35">
        <v>7.4999999999999997E-2</v>
      </c>
      <c r="G1322" s="40"/>
      <c r="H1322" s="40"/>
    </row>
    <row r="1323" spans="1:8" hidden="1" x14ac:dyDescent="0.35">
      <c r="A1323" s="33">
        <v>1322</v>
      </c>
      <c r="B1323" s="34" t="s">
        <v>1700</v>
      </c>
      <c r="C1323" s="33" t="s">
        <v>346</v>
      </c>
      <c r="D1323" s="33" t="s">
        <v>100</v>
      </c>
      <c r="E1323" s="33" t="s">
        <v>1623</v>
      </c>
      <c r="F1323" s="35">
        <v>0.2</v>
      </c>
      <c r="G1323" s="40"/>
      <c r="H1323" s="40"/>
    </row>
    <row r="1324" spans="1:8" hidden="1" x14ac:dyDescent="0.35">
      <c r="A1324" s="33">
        <v>1323</v>
      </c>
      <c r="B1324" s="34" t="s">
        <v>1701</v>
      </c>
      <c r="C1324" s="33" t="s">
        <v>346</v>
      </c>
      <c r="D1324" s="33" t="s">
        <v>100</v>
      </c>
      <c r="E1324" s="33" t="s">
        <v>1623</v>
      </c>
      <c r="F1324" s="35">
        <v>7.4999999999999997E-2</v>
      </c>
      <c r="G1324" s="40"/>
      <c r="H1324" s="40"/>
    </row>
    <row r="1325" spans="1:8" hidden="1" x14ac:dyDescent="0.35">
      <c r="A1325" s="33">
        <v>1324</v>
      </c>
      <c r="B1325" s="34" t="s">
        <v>1702</v>
      </c>
      <c r="C1325" s="33" t="s">
        <v>346</v>
      </c>
      <c r="D1325" s="33" t="s">
        <v>100</v>
      </c>
      <c r="E1325" s="33" t="s">
        <v>1623</v>
      </c>
      <c r="F1325" s="35">
        <v>7.4999999999999997E-2</v>
      </c>
      <c r="G1325" s="40"/>
      <c r="H1325" s="40"/>
    </row>
    <row r="1326" spans="1:8" hidden="1" x14ac:dyDescent="0.35">
      <c r="A1326" s="33">
        <v>1325</v>
      </c>
      <c r="B1326" s="34" t="s">
        <v>1703</v>
      </c>
      <c r="C1326" s="33" t="s">
        <v>346</v>
      </c>
      <c r="D1326" s="33" t="s">
        <v>100</v>
      </c>
      <c r="E1326" s="33" t="s">
        <v>1623</v>
      </c>
      <c r="F1326" s="35">
        <v>1</v>
      </c>
      <c r="G1326" s="40"/>
      <c r="H1326" s="40"/>
    </row>
    <row r="1327" spans="1:8" hidden="1" x14ac:dyDescent="0.35">
      <c r="A1327" s="33">
        <v>1326</v>
      </c>
      <c r="B1327" s="34" t="s">
        <v>1704</v>
      </c>
      <c r="C1327" s="33" t="s">
        <v>346</v>
      </c>
      <c r="D1327" s="33" t="s">
        <v>100</v>
      </c>
      <c r="E1327" s="33" t="s">
        <v>1623</v>
      </c>
      <c r="F1327" s="35">
        <v>0.05</v>
      </c>
      <c r="G1327" s="40"/>
      <c r="H1327" s="40"/>
    </row>
    <row r="1328" spans="1:8" hidden="1" x14ac:dyDescent="0.35">
      <c r="A1328" s="33">
        <v>1327</v>
      </c>
      <c r="B1328" s="34" t="s">
        <v>1705</v>
      </c>
      <c r="C1328" s="33" t="s">
        <v>346</v>
      </c>
      <c r="D1328" s="33" t="s">
        <v>100</v>
      </c>
      <c r="E1328" s="33" t="s">
        <v>1623</v>
      </c>
      <c r="F1328" s="35">
        <v>0.25</v>
      </c>
      <c r="G1328" s="40"/>
      <c r="H1328" s="40"/>
    </row>
    <row r="1329" spans="1:8" hidden="1" x14ac:dyDescent="0.35">
      <c r="A1329" s="33">
        <v>1328</v>
      </c>
      <c r="B1329" s="34" t="s">
        <v>1706</v>
      </c>
      <c r="C1329" s="33" t="s">
        <v>346</v>
      </c>
      <c r="D1329" s="33" t="s">
        <v>100</v>
      </c>
      <c r="E1329" s="33" t="s">
        <v>1623</v>
      </c>
      <c r="F1329" s="35">
        <v>1</v>
      </c>
      <c r="G1329" s="40"/>
      <c r="H1329" s="40"/>
    </row>
    <row r="1330" spans="1:8" hidden="1" x14ac:dyDescent="0.35">
      <c r="A1330" s="33">
        <v>1329</v>
      </c>
      <c r="B1330" s="34" t="s">
        <v>1707</v>
      </c>
      <c r="C1330" s="33" t="s">
        <v>346</v>
      </c>
      <c r="D1330" s="33" t="s">
        <v>100</v>
      </c>
      <c r="E1330" s="33" t="s">
        <v>1623</v>
      </c>
      <c r="F1330" s="35">
        <v>0.1</v>
      </c>
      <c r="G1330" s="40"/>
      <c r="H1330" s="40"/>
    </row>
    <row r="1331" spans="1:8" hidden="1" x14ac:dyDescent="0.35">
      <c r="A1331" s="33">
        <v>1330</v>
      </c>
      <c r="B1331" s="34" t="s">
        <v>1708</v>
      </c>
      <c r="C1331" s="33" t="s">
        <v>346</v>
      </c>
      <c r="D1331" s="33" t="s">
        <v>100</v>
      </c>
      <c r="E1331" s="33" t="s">
        <v>1623</v>
      </c>
      <c r="F1331" s="35">
        <v>0.05</v>
      </c>
      <c r="G1331" s="40"/>
      <c r="H1331" s="40"/>
    </row>
    <row r="1332" spans="1:8" hidden="1" x14ac:dyDescent="0.35">
      <c r="A1332" s="33">
        <v>1331</v>
      </c>
      <c r="B1332" s="34" t="s">
        <v>1709</v>
      </c>
      <c r="C1332" s="33" t="s">
        <v>346</v>
      </c>
      <c r="D1332" s="33" t="s">
        <v>100</v>
      </c>
      <c r="E1332" s="33" t="s">
        <v>1623</v>
      </c>
      <c r="F1332" s="35">
        <v>1</v>
      </c>
      <c r="G1332" s="40"/>
      <c r="H1332" s="40"/>
    </row>
    <row r="1333" spans="1:8" hidden="1" x14ac:dyDescent="0.35">
      <c r="A1333" s="33">
        <v>1332</v>
      </c>
      <c r="B1333" s="34" t="s">
        <v>1710</v>
      </c>
      <c r="C1333" s="33" t="s">
        <v>346</v>
      </c>
      <c r="D1333" s="33" t="s">
        <v>100</v>
      </c>
      <c r="E1333" s="33" t="s">
        <v>1642</v>
      </c>
      <c r="F1333" s="35">
        <v>0.05</v>
      </c>
      <c r="G1333" s="40"/>
      <c r="H1333" s="40"/>
    </row>
    <row r="1334" spans="1:8" hidden="1" x14ac:dyDescent="0.35">
      <c r="A1334" s="33">
        <v>1333</v>
      </c>
      <c r="B1334" s="34" t="s">
        <v>1711</v>
      </c>
      <c r="C1334" s="33" t="s">
        <v>346</v>
      </c>
      <c r="D1334" s="33" t="s">
        <v>100</v>
      </c>
      <c r="E1334" s="33" t="s">
        <v>1642</v>
      </c>
      <c r="F1334" s="35">
        <v>1</v>
      </c>
      <c r="G1334" s="40"/>
      <c r="H1334" s="40"/>
    </row>
    <row r="1335" spans="1:8" hidden="1" x14ac:dyDescent="0.35">
      <c r="A1335" s="33">
        <v>1334</v>
      </c>
      <c r="B1335" s="34" t="s">
        <v>1712</v>
      </c>
      <c r="C1335" s="33" t="s">
        <v>346</v>
      </c>
      <c r="D1335" s="33" t="s">
        <v>100</v>
      </c>
      <c r="E1335" s="33" t="s">
        <v>1642</v>
      </c>
      <c r="F1335" s="35">
        <v>0.25</v>
      </c>
      <c r="G1335" s="40"/>
      <c r="H1335" s="40"/>
    </row>
    <row r="1336" spans="1:8" hidden="1" x14ac:dyDescent="0.35">
      <c r="A1336" s="33">
        <v>1335</v>
      </c>
      <c r="B1336" s="34" t="s">
        <v>1713</v>
      </c>
      <c r="C1336" s="33" t="s">
        <v>346</v>
      </c>
      <c r="D1336" s="33" t="s">
        <v>100</v>
      </c>
      <c r="E1336" s="33" t="s">
        <v>1642</v>
      </c>
      <c r="F1336" s="35">
        <v>1</v>
      </c>
      <c r="G1336" s="40"/>
      <c r="H1336" s="40"/>
    </row>
    <row r="1337" spans="1:8" hidden="1" x14ac:dyDescent="0.35">
      <c r="A1337" s="33">
        <v>1336</v>
      </c>
      <c r="B1337" s="34" t="s">
        <v>1714</v>
      </c>
      <c r="C1337" s="33" t="s">
        <v>346</v>
      </c>
      <c r="D1337" s="33" t="s">
        <v>100</v>
      </c>
      <c r="E1337" s="33" t="s">
        <v>1642</v>
      </c>
      <c r="F1337" s="35">
        <v>1</v>
      </c>
      <c r="G1337" s="40"/>
      <c r="H1337" s="40"/>
    </row>
    <row r="1338" spans="1:8" hidden="1" x14ac:dyDescent="0.35">
      <c r="A1338" s="33">
        <v>1337</v>
      </c>
      <c r="B1338" s="34" t="s">
        <v>1715</v>
      </c>
      <c r="C1338" s="33" t="s">
        <v>346</v>
      </c>
      <c r="D1338" s="33" t="s">
        <v>100</v>
      </c>
      <c r="E1338" s="33" t="s">
        <v>1642</v>
      </c>
      <c r="F1338" s="35">
        <v>0.2</v>
      </c>
      <c r="G1338" s="40"/>
      <c r="H1338" s="40"/>
    </row>
    <row r="1339" spans="1:8" hidden="1" x14ac:dyDescent="0.35">
      <c r="A1339" s="33">
        <v>1338</v>
      </c>
      <c r="B1339" s="34" t="s">
        <v>1716</v>
      </c>
      <c r="C1339" s="33" t="s">
        <v>346</v>
      </c>
      <c r="D1339" s="33" t="s">
        <v>100</v>
      </c>
      <c r="E1339" s="33" t="s">
        <v>1642</v>
      </c>
      <c r="F1339" s="35">
        <v>0.25</v>
      </c>
      <c r="G1339" s="40"/>
      <c r="H1339" s="40"/>
    </row>
    <row r="1340" spans="1:8" hidden="1" x14ac:dyDescent="0.35">
      <c r="A1340" s="33">
        <v>1339</v>
      </c>
      <c r="B1340" s="34" t="s">
        <v>1717</v>
      </c>
      <c r="C1340" s="33" t="s">
        <v>346</v>
      </c>
      <c r="D1340" s="33" t="s">
        <v>100</v>
      </c>
      <c r="E1340" s="33" t="s">
        <v>1642</v>
      </c>
      <c r="F1340" s="35">
        <v>0.08</v>
      </c>
      <c r="G1340" s="40"/>
      <c r="H1340" s="40"/>
    </row>
    <row r="1341" spans="1:8" hidden="1" x14ac:dyDescent="0.35">
      <c r="A1341" s="33">
        <v>1340</v>
      </c>
      <c r="B1341" s="34" t="s">
        <v>1718</v>
      </c>
      <c r="C1341" s="33" t="s">
        <v>346</v>
      </c>
      <c r="D1341" s="33" t="s">
        <v>100</v>
      </c>
      <c r="E1341" s="33" t="s">
        <v>1642</v>
      </c>
      <c r="F1341" s="35">
        <v>1</v>
      </c>
      <c r="G1341" s="40"/>
      <c r="H1341" s="40"/>
    </row>
    <row r="1342" spans="1:8" hidden="1" x14ac:dyDescent="0.35">
      <c r="A1342" s="33">
        <v>1341</v>
      </c>
      <c r="B1342" s="34" t="s">
        <v>1719</v>
      </c>
      <c r="C1342" s="33" t="s">
        <v>346</v>
      </c>
      <c r="D1342" s="33" t="s">
        <v>100</v>
      </c>
      <c r="E1342" s="33" t="s">
        <v>1642</v>
      </c>
      <c r="F1342" s="35">
        <v>1</v>
      </c>
      <c r="G1342" s="40"/>
      <c r="H1342" s="40"/>
    </row>
    <row r="1343" spans="1:8" hidden="1" x14ac:dyDescent="0.35">
      <c r="A1343" s="33">
        <v>1342</v>
      </c>
      <c r="B1343" s="34" t="s">
        <v>1720</v>
      </c>
      <c r="C1343" s="33" t="s">
        <v>346</v>
      </c>
      <c r="D1343" s="33" t="s">
        <v>100</v>
      </c>
      <c r="E1343" s="33" t="s">
        <v>1642</v>
      </c>
      <c r="F1343" s="35">
        <v>0.15</v>
      </c>
      <c r="G1343" s="40"/>
      <c r="H1343" s="40"/>
    </row>
    <row r="1344" spans="1:8" hidden="1" x14ac:dyDescent="0.35">
      <c r="A1344" s="33">
        <v>1343</v>
      </c>
      <c r="B1344" s="34" t="s">
        <v>1721</v>
      </c>
      <c r="C1344" s="33" t="s">
        <v>346</v>
      </c>
      <c r="D1344" s="33" t="s">
        <v>100</v>
      </c>
      <c r="E1344" s="33" t="s">
        <v>1642</v>
      </c>
      <c r="F1344" s="35">
        <v>0.5</v>
      </c>
      <c r="G1344" s="40"/>
      <c r="H1344" s="40"/>
    </row>
    <row r="1345" spans="1:8" hidden="1" x14ac:dyDescent="0.35">
      <c r="A1345" s="33">
        <v>1344</v>
      </c>
      <c r="B1345" s="34" t="s">
        <v>1722</v>
      </c>
      <c r="C1345" s="33" t="s">
        <v>346</v>
      </c>
      <c r="D1345" s="33" t="s">
        <v>100</v>
      </c>
      <c r="E1345" s="33" t="s">
        <v>1642</v>
      </c>
      <c r="F1345" s="35">
        <v>0.1</v>
      </c>
      <c r="G1345" s="40"/>
      <c r="H1345" s="40"/>
    </row>
    <row r="1346" spans="1:8" hidden="1" x14ac:dyDescent="0.35">
      <c r="A1346" s="33">
        <v>1345</v>
      </c>
      <c r="B1346" s="34" t="s">
        <v>1723</v>
      </c>
      <c r="C1346" s="33" t="s">
        <v>346</v>
      </c>
      <c r="D1346" s="33" t="s">
        <v>100</v>
      </c>
      <c r="E1346" s="33" t="s">
        <v>1642</v>
      </c>
      <c r="F1346" s="35">
        <v>0.1</v>
      </c>
      <c r="G1346" s="40"/>
      <c r="H1346" s="40"/>
    </row>
    <row r="1347" spans="1:8" hidden="1" x14ac:dyDescent="0.35">
      <c r="A1347" s="33">
        <v>1346</v>
      </c>
      <c r="B1347" s="34" t="s">
        <v>1724</v>
      </c>
      <c r="C1347" s="33" t="s">
        <v>346</v>
      </c>
      <c r="D1347" s="33" t="s">
        <v>100</v>
      </c>
      <c r="E1347" s="33" t="s">
        <v>1642</v>
      </c>
      <c r="F1347" s="35">
        <v>0.1</v>
      </c>
      <c r="G1347" s="40"/>
      <c r="H1347" s="40"/>
    </row>
    <row r="1348" spans="1:8" hidden="1" x14ac:dyDescent="0.35">
      <c r="A1348" s="33">
        <v>1347</v>
      </c>
      <c r="B1348" s="34" t="s">
        <v>1725</v>
      </c>
      <c r="C1348" s="33" t="s">
        <v>346</v>
      </c>
      <c r="D1348" s="33" t="s">
        <v>100</v>
      </c>
      <c r="E1348" s="33" t="s">
        <v>1642</v>
      </c>
      <c r="F1348" s="35">
        <v>0.1</v>
      </c>
      <c r="G1348" s="40"/>
      <c r="H1348" s="40"/>
    </row>
    <row r="1349" spans="1:8" hidden="1" x14ac:dyDescent="0.35">
      <c r="A1349" s="33">
        <v>1348</v>
      </c>
      <c r="B1349" s="34" t="s">
        <v>1726</v>
      </c>
      <c r="C1349" s="33" t="s">
        <v>346</v>
      </c>
      <c r="D1349" s="33" t="s">
        <v>100</v>
      </c>
      <c r="E1349" s="33" t="s">
        <v>1642</v>
      </c>
      <c r="F1349" s="35">
        <v>0.1</v>
      </c>
      <c r="G1349" s="40"/>
      <c r="H1349" s="40"/>
    </row>
    <row r="1350" spans="1:8" hidden="1" x14ac:dyDescent="0.35">
      <c r="A1350" s="33">
        <v>1349</v>
      </c>
      <c r="B1350" s="34" t="s">
        <v>1727</v>
      </c>
      <c r="C1350" s="33" t="s">
        <v>346</v>
      </c>
      <c r="D1350" s="33" t="s">
        <v>100</v>
      </c>
      <c r="E1350" s="33" t="s">
        <v>1642</v>
      </c>
      <c r="F1350" s="35">
        <v>1</v>
      </c>
      <c r="G1350" s="40"/>
      <c r="H1350" s="40"/>
    </row>
    <row r="1351" spans="1:8" hidden="1" x14ac:dyDescent="0.35">
      <c r="A1351" s="33">
        <v>1350</v>
      </c>
      <c r="B1351" s="34" t="s">
        <v>1728</v>
      </c>
      <c r="C1351" s="33" t="s">
        <v>346</v>
      </c>
      <c r="D1351" s="33" t="s">
        <v>100</v>
      </c>
      <c r="E1351" s="33" t="s">
        <v>1642</v>
      </c>
      <c r="F1351" s="35">
        <v>1</v>
      </c>
      <c r="G1351" s="40"/>
      <c r="H1351" s="40"/>
    </row>
    <row r="1352" spans="1:8" hidden="1" x14ac:dyDescent="0.35">
      <c r="A1352" s="33">
        <v>1351</v>
      </c>
      <c r="B1352" s="34" t="s">
        <v>1729</v>
      </c>
      <c r="C1352" s="33" t="s">
        <v>346</v>
      </c>
      <c r="D1352" s="33" t="s">
        <v>100</v>
      </c>
      <c r="E1352" s="33" t="s">
        <v>1642</v>
      </c>
      <c r="F1352" s="35">
        <v>1</v>
      </c>
      <c r="G1352" s="40"/>
      <c r="H1352" s="40"/>
    </row>
    <row r="1353" spans="1:8" hidden="1" x14ac:dyDescent="0.35">
      <c r="A1353" s="33">
        <v>1352</v>
      </c>
      <c r="B1353" s="34" t="s">
        <v>1730</v>
      </c>
      <c r="C1353" s="33" t="s">
        <v>346</v>
      </c>
      <c r="D1353" s="33" t="s">
        <v>100</v>
      </c>
      <c r="E1353" s="33" t="s">
        <v>1642</v>
      </c>
      <c r="F1353" s="35">
        <v>1</v>
      </c>
      <c r="G1353" s="40"/>
      <c r="H1353" s="40"/>
    </row>
    <row r="1354" spans="1:8" hidden="1" x14ac:dyDescent="0.35">
      <c r="A1354" s="33">
        <v>1353</v>
      </c>
      <c r="B1354" s="34" t="s">
        <v>1731</v>
      </c>
      <c r="C1354" s="33" t="s">
        <v>346</v>
      </c>
      <c r="D1354" s="33" t="s">
        <v>100</v>
      </c>
      <c r="E1354" s="33" t="s">
        <v>1642</v>
      </c>
      <c r="F1354" s="35">
        <v>7.4999999999999997E-2</v>
      </c>
      <c r="G1354" s="40"/>
      <c r="H1354" s="40"/>
    </row>
    <row r="1355" spans="1:8" hidden="1" x14ac:dyDescent="0.35">
      <c r="A1355" s="33">
        <v>1354</v>
      </c>
      <c r="B1355" s="34" t="s">
        <v>1732</v>
      </c>
      <c r="C1355" s="33" t="s">
        <v>346</v>
      </c>
      <c r="D1355" s="33" t="s">
        <v>100</v>
      </c>
      <c r="E1355" s="33" t="s">
        <v>1642</v>
      </c>
      <c r="F1355" s="35">
        <v>1</v>
      </c>
      <c r="G1355" s="40"/>
      <c r="H1355" s="40"/>
    </row>
    <row r="1356" spans="1:8" hidden="1" x14ac:dyDescent="0.35">
      <c r="A1356" s="33">
        <v>1355</v>
      </c>
      <c r="B1356" s="34" t="s">
        <v>1733</v>
      </c>
      <c r="C1356" s="33" t="s">
        <v>346</v>
      </c>
      <c r="D1356" s="33" t="s">
        <v>100</v>
      </c>
      <c r="E1356" s="33" t="s">
        <v>1642</v>
      </c>
      <c r="F1356" s="35">
        <v>0.25</v>
      </c>
      <c r="G1356" s="40"/>
      <c r="H1356" s="40"/>
    </row>
    <row r="1357" spans="1:8" hidden="1" x14ac:dyDescent="0.35">
      <c r="A1357" s="33">
        <v>1356</v>
      </c>
      <c r="B1357" s="34" t="s">
        <v>1734</v>
      </c>
      <c r="C1357" s="33" t="s">
        <v>346</v>
      </c>
      <c r="D1357" s="33" t="s">
        <v>100</v>
      </c>
      <c r="E1357" s="33" t="s">
        <v>1642</v>
      </c>
      <c r="F1357" s="35">
        <v>1</v>
      </c>
      <c r="G1357" s="40"/>
      <c r="H1357" s="40"/>
    </row>
    <row r="1358" spans="1:8" hidden="1" x14ac:dyDescent="0.35">
      <c r="A1358" s="33">
        <v>1357</v>
      </c>
      <c r="B1358" s="34" t="s">
        <v>1735</v>
      </c>
      <c r="C1358" s="33" t="s">
        <v>346</v>
      </c>
      <c r="D1358" s="33" t="s">
        <v>100</v>
      </c>
      <c r="E1358" s="33" t="s">
        <v>1642</v>
      </c>
      <c r="F1358" s="35">
        <v>0.05</v>
      </c>
      <c r="G1358" s="40"/>
      <c r="H1358" s="40"/>
    </row>
    <row r="1359" spans="1:8" hidden="1" x14ac:dyDescent="0.35">
      <c r="A1359" s="33">
        <v>1358</v>
      </c>
      <c r="B1359" s="34" t="s">
        <v>1736</v>
      </c>
      <c r="C1359" s="33" t="s">
        <v>346</v>
      </c>
      <c r="D1359" s="33" t="s">
        <v>100</v>
      </c>
      <c r="E1359" s="33" t="s">
        <v>1642</v>
      </c>
      <c r="F1359" s="35">
        <v>0.1</v>
      </c>
      <c r="G1359" s="40"/>
      <c r="H1359" s="40"/>
    </row>
    <row r="1360" spans="1:8" hidden="1" x14ac:dyDescent="0.35">
      <c r="A1360" s="33">
        <v>1359</v>
      </c>
      <c r="B1360" s="34" t="s">
        <v>1737</v>
      </c>
      <c r="C1360" s="33" t="s">
        <v>346</v>
      </c>
      <c r="D1360" s="33" t="s">
        <v>100</v>
      </c>
      <c r="E1360" s="33" t="s">
        <v>1642</v>
      </c>
      <c r="F1360" s="35">
        <v>0.1</v>
      </c>
      <c r="G1360" s="40"/>
      <c r="H1360" s="40"/>
    </row>
    <row r="1361" spans="1:8" hidden="1" x14ac:dyDescent="0.35">
      <c r="A1361" s="33">
        <v>1360</v>
      </c>
      <c r="B1361" s="34" t="s">
        <v>1738</v>
      </c>
      <c r="C1361" s="33" t="s">
        <v>346</v>
      </c>
      <c r="D1361" s="33" t="s">
        <v>100</v>
      </c>
      <c r="E1361" s="33" t="s">
        <v>1642</v>
      </c>
      <c r="F1361" s="35">
        <v>0.1</v>
      </c>
      <c r="G1361" s="40"/>
      <c r="H1361" s="40"/>
    </row>
    <row r="1362" spans="1:8" hidden="1" x14ac:dyDescent="0.35">
      <c r="A1362" s="33">
        <v>1361</v>
      </c>
      <c r="B1362" s="34" t="s">
        <v>1739</v>
      </c>
      <c r="C1362" s="33" t="s">
        <v>346</v>
      </c>
      <c r="D1362" s="33" t="s">
        <v>100</v>
      </c>
      <c r="E1362" s="33" t="s">
        <v>1642</v>
      </c>
      <c r="F1362" s="35">
        <v>0.1</v>
      </c>
      <c r="G1362" s="40"/>
      <c r="H1362" s="40"/>
    </row>
    <row r="1363" spans="1:8" hidden="1" x14ac:dyDescent="0.35">
      <c r="A1363" s="33">
        <v>1362</v>
      </c>
      <c r="B1363" s="34" t="s">
        <v>1740</v>
      </c>
      <c r="C1363" s="33" t="s">
        <v>346</v>
      </c>
      <c r="D1363" s="33" t="s">
        <v>100</v>
      </c>
      <c r="E1363" s="33" t="s">
        <v>1642</v>
      </c>
      <c r="F1363" s="35">
        <v>0.1</v>
      </c>
      <c r="G1363" s="40"/>
      <c r="H1363" s="40"/>
    </row>
    <row r="1364" spans="1:8" hidden="1" x14ac:dyDescent="0.35">
      <c r="A1364" s="33">
        <v>1363</v>
      </c>
      <c r="B1364" s="34" t="s">
        <v>1741</v>
      </c>
      <c r="C1364" s="33" t="s">
        <v>346</v>
      </c>
      <c r="D1364" s="33" t="s">
        <v>100</v>
      </c>
      <c r="E1364" s="33" t="s">
        <v>1646</v>
      </c>
      <c r="F1364" s="35">
        <v>0.25</v>
      </c>
      <c r="G1364" s="40"/>
      <c r="H1364" s="40"/>
    </row>
    <row r="1365" spans="1:8" hidden="1" x14ac:dyDescent="0.35">
      <c r="A1365" s="33">
        <v>1364</v>
      </c>
      <c r="B1365" s="34" t="s">
        <v>1742</v>
      </c>
      <c r="C1365" s="33" t="s">
        <v>346</v>
      </c>
      <c r="D1365" s="33" t="s">
        <v>100</v>
      </c>
      <c r="E1365" s="33" t="s">
        <v>1646</v>
      </c>
      <c r="F1365" s="35">
        <v>0.1</v>
      </c>
      <c r="G1365" s="40"/>
      <c r="H1365" s="40"/>
    </row>
    <row r="1366" spans="1:8" hidden="1" x14ac:dyDescent="0.35">
      <c r="A1366" s="33">
        <v>1365</v>
      </c>
      <c r="B1366" s="34" t="s">
        <v>1743</v>
      </c>
      <c r="C1366" s="33" t="s">
        <v>346</v>
      </c>
      <c r="D1366" s="33" t="s">
        <v>100</v>
      </c>
      <c r="E1366" s="33" t="s">
        <v>1646</v>
      </c>
      <c r="F1366" s="35">
        <v>0.1</v>
      </c>
      <c r="G1366" s="40"/>
      <c r="H1366" s="40"/>
    </row>
    <row r="1367" spans="1:8" hidden="1" x14ac:dyDescent="0.35">
      <c r="A1367" s="33">
        <v>1366</v>
      </c>
      <c r="B1367" s="34" t="s">
        <v>1744</v>
      </c>
      <c r="C1367" s="33" t="s">
        <v>346</v>
      </c>
      <c r="D1367" s="33" t="s">
        <v>100</v>
      </c>
      <c r="E1367" s="33" t="s">
        <v>1646</v>
      </c>
      <c r="F1367" s="35">
        <v>1</v>
      </c>
      <c r="G1367" s="40"/>
      <c r="H1367" s="40"/>
    </row>
    <row r="1368" spans="1:8" hidden="1" x14ac:dyDescent="0.35">
      <c r="A1368" s="33">
        <v>1367</v>
      </c>
      <c r="B1368" s="34" t="s">
        <v>1745</v>
      </c>
      <c r="C1368" s="33" t="s">
        <v>346</v>
      </c>
      <c r="D1368" s="33" t="s">
        <v>100</v>
      </c>
      <c r="E1368" s="33" t="s">
        <v>1646</v>
      </c>
      <c r="F1368" s="35">
        <v>0.25</v>
      </c>
      <c r="G1368" s="40"/>
      <c r="H1368" s="40"/>
    </row>
    <row r="1369" spans="1:8" hidden="1" x14ac:dyDescent="0.35">
      <c r="A1369" s="33">
        <v>1368</v>
      </c>
      <c r="B1369" s="34" t="s">
        <v>1746</v>
      </c>
      <c r="C1369" s="33" t="s">
        <v>297</v>
      </c>
      <c r="D1369" s="33" t="s">
        <v>124</v>
      </c>
      <c r="E1369" s="33" t="s">
        <v>344</v>
      </c>
      <c r="F1369" s="35">
        <v>1</v>
      </c>
      <c r="G1369" s="40"/>
      <c r="H1369" s="40"/>
    </row>
    <row r="1370" spans="1:8" hidden="1" x14ac:dyDescent="0.35">
      <c r="A1370" s="33">
        <v>1369</v>
      </c>
      <c r="B1370" s="34" t="s">
        <v>1747</v>
      </c>
      <c r="C1370" s="33" t="s">
        <v>297</v>
      </c>
      <c r="D1370" s="33" t="s">
        <v>124</v>
      </c>
      <c r="E1370" s="33" t="s">
        <v>1748</v>
      </c>
      <c r="F1370" s="35">
        <v>1</v>
      </c>
      <c r="G1370" s="40"/>
      <c r="H1370" s="40"/>
    </row>
    <row r="1371" spans="1:8" hidden="1" x14ac:dyDescent="0.35">
      <c r="A1371" s="33">
        <v>1370</v>
      </c>
      <c r="B1371" s="34" t="s">
        <v>1749</v>
      </c>
      <c r="C1371" s="33" t="s">
        <v>346</v>
      </c>
      <c r="D1371" s="33" t="s">
        <v>124</v>
      </c>
      <c r="E1371" s="33" t="s">
        <v>1748</v>
      </c>
      <c r="F1371" s="35">
        <v>0.3</v>
      </c>
      <c r="G1371" s="40"/>
      <c r="H1371" s="40"/>
    </row>
    <row r="1372" spans="1:8" hidden="1" x14ac:dyDescent="0.35">
      <c r="A1372" s="33">
        <v>1371</v>
      </c>
      <c r="B1372" s="34" t="s">
        <v>1750</v>
      </c>
      <c r="C1372" s="33" t="s">
        <v>346</v>
      </c>
      <c r="D1372" s="33" t="s">
        <v>124</v>
      </c>
      <c r="E1372" s="33" t="s">
        <v>1748</v>
      </c>
      <c r="F1372" s="35">
        <v>0.1</v>
      </c>
      <c r="G1372" s="40"/>
      <c r="H1372" s="40"/>
    </row>
    <row r="1373" spans="1:8" hidden="1" x14ac:dyDescent="0.35">
      <c r="A1373" s="33">
        <v>1372</v>
      </c>
      <c r="B1373" s="34" t="s">
        <v>1751</v>
      </c>
      <c r="C1373" s="33" t="s">
        <v>346</v>
      </c>
      <c r="D1373" s="33" t="s">
        <v>124</v>
      </c>
      <c r="E1373" s="33" t="s">
        <v>1748</v>
      </c>
      <c r="F1373" s="35">
        <v>0.25</v>
      </c>
      <c r="G1373" s="40"/>
      <c r="H1373" s="40"/>
    </row>
    <row r="1374" spans="1:8" hidden="1" x14ac:dyDescent="0.35">
      <c r="A1374" s="33">
        <v>1373</v>
      </c>
      <c r="B1374" s="34" t="s">
        <v>1752</v>
      </c>
      <c r="C1374" s="33" t="s">
        <v>346</v>
      </c>
      <c r="D1374" s="33" t="s">
        <v>124</v>
      </c>
      <c r="E1374" s="33" t="s">
        <v>1748</v>
      </c>
      <c r="F1374" s="35">
        <v>1</v>
      </c>
      <c r="G1374" s="40"/>
      <c r="H1374" s="40"/>
    </row>
    <row r="1375" spans="1:8" hidden="1" x14ac:dyDescent="0.35">
      <c r="A1375" s="33">
        <v>1374</v>
      </c>
      <c r="B1375" s="34" t="s">
        <v>1753</v>
      </c>
      <c r="C1375" s="33" t="s">
        <v>346</v>
      </c>
      <c r="D1375" s="33" t="s">
        <v>124</v>
      </c>
      <c r="E1375" s="33" t="s">
        <v>1748</v>
      </c>
      <c r="F1375" s="35">
        <v>0.3</v>
      </c>
      <c r="G1375" s="40"/>
      <c r="H1375" s="40"/>
    </row>
    <row r="1376" spans="1:8" hidden="1" x14ac:dyDescent="0.35">
      <c r="A1376" s="33">
        <v>1375</v>
      </c>
      <c r="B1376" s="34" t="s">
        <v>1754</v>
      </c>
      <c r="C1376" s="33" t="s">
        <v>346</v>
      </c>
      <c r="D1376" s="33" t="s">
        <v>124</v>
      </c>
      <c r="E1376" s="33" t="s">
        <v>1748</v>
      </c>
      <c r="F1376" s="35">
        <v>0.2</v>
      </c>
      <c r="G1376" s="40"/>
      <c r="H1376" s="40"/>
    </row>
    <row r="1377" spans="1:9" hidden="1" x14ac:dyDescent="0.35">
      <c r="A1377" s="33">
        <v>1376</v>
      </c>
      <c r="B1377" s="34" t="s">
        <v>1755</v>
      </c>
      <c r="C1377" s="33" t="s">
        <v>346</v>
      </c>
      <c r="D1377" s="33" t="s">
        <v>124</v>
      </c>
      <c r="E1377" s="33" t="s">
        <v>1748</v>
      </c>
      <c r="F1377" s="35">
        <v>0.13</v>
      </c>
      <c r="G1377" s="40"/>
      <c r="H1377" s="40"/>
    </row>
    <row r="1378" spans="1:9" hidden="1" x14ac:dyDescent="0.35">
      <c r="A1378" s="33">
        <v>1377</v>
      </c>
      <c r="B1378" s="34" t="s">
        <v>1756</v>
      </c>
      <c r="C1378" s="33" t="s">
        <v>346</v>
      </c>
      <c r="D1378" s="33" t="s">
        <v>124</v>
      </c>
      <c r="E1378" s="33" t="s">
        <v>1748</v>
      </c>
      <c r="F1378" s="35">
        <v>5.2</v>
      </c>
      <c r="G1378" s="40"/>
      <c r="H1378" s="40"/>
    </row>
    <row r="1379" spans="1:9" hidden="1" x14ac:dyDescent="0.35">
      <c r="A1379" s="33">
        <v>1378</v>
      </c>
      <c r="B1379" s="34" t="s">
        <v>1757</v>
      </c>
      <c r="C1379" s="33" t="s">
        <v>346</v>
      </c>
      <c r="D1379" s="33" t="s">
        <v>124</v>
      </c>
      <c r="E1379" s="33" t="s">
        <v>1748</v>
      </c>
      <c r="F1379" s="35">
        <v>0.34</v>
      </c>
      <c r="G1379" s="40"/>
      <c r="H1379" s="40"/>
    </row>
    <row r="1380" spans="1:9" hidden="1" x14ac:dyDescent="0.35">
      <c r="A1380" s="33">
        <v>1379</v>
      </c>
      <c r="B1380" s="34" t="s">
        <v>1758</v>
      </c>
      <c r="C1380" s="33" t="s">
        <v>346</v>
      </c>
      <c r="D1380" s="33" t="s">
        <v>124</v>
      </c>
      <c r="E1380" s="33" t="s">
        <v>1748</v>
      </c>
      <c r="F1380" s="35">
        <v>6.8</v>
      </c>
      <c r="G1380" s="40"/>
      <c r="H1380" s="40"/>
    </row>
    <row r="1381" spans="1:9" hidden="1" x14ac:dyDescent="0.35">
      <c r="A1381" s="33">
        <v>1380</v>
      </c>
      <c r="B1381" s="34" t="s">
        <v>1759</v>
      </c>
      <c r="C1381" s="33" t="s">
        <v>346</v>
      </c>
      <c r="D1381" s="33" t="s">
        <v>124</v>
      </c>
      <c r="E1381" s="33" t="s">
        <v>1748</v>
      </c>
      <c r="F1381" s="35">
        <v>0.27500000000000002</v>
      </c>
      <c r="G1381" s="40"/>
      <c r="H1381" s="40"/>
    </row>
    <row r="1382" spans="1:9" hidden="1" x14ac:dyDescent="0.35">
      <c r="A1382" s="33">
        <v>1381</v>
      </c>
      <c r="B1382" s="34" t="s">
        <v>1760</v>
      </c>
      <c r="C1382" s="33" t="s">
        <v>346</v>
      </c>
      <c r="D1382" s="33" t="s">
        <v>124</v>
      </c>
      <c r="E1382" s="33" t="s">
        <v>1748</v>
      </c>
      <c r="F1382" s="35">
        <v>1</v>
      </c>
      <c r="G1382" s="40"/>
      <c r="H1382" s="40"/>
    </row>
    <row r="1383" spans="1:9" hidden="1" x14ac:dyDescent="0.35">
      <c r="A1383" s="33">
        <v>1382</v>
      </c>
      <c r="B1383" s="34" t="s">
        <v>1761</v>
      </c>
      <c r="C1383" s="33" t="s">
        <v>346</v>
      </c>
      <c r="D1383" s="33" t="s">
        <v>124</v>
      </c>
      <c r="E1383" s="33" t="s">
        <v>1748</v>
      </c>
      <c r="F1383" s="35">
        <v>0.2</v>
      </c>
      <c r="G1383" s="40"/>
      <c r="H1383" s="40"/>
    </row>
    <row r="1384" spans="1:9" hidden="1" x14ac:dyDescent="0.35">
      <c r="A1384" s="33">
        <v>1383</v>
      </c>
      <c r="B1384" s="34" t="s">
        <v>1762</v>
      </c>
      <c r="C1384" s="33" t="s">
        <v>346</v>
      </c>
      <c r="D1384" s="33" t="s">
        <v>124</v>
      </c>
      <c r="E1384" s="33" t="s">
        <v>1748</v>
      </c>
      <c r="F1384" s="35">
        <v>0.1</v>
      </c>
      <c r="G1384" s="40"/>
      <c r="H1384" s="40"/>
    </row>
    <row r="1385" spans="1:9" hidden="1" x14ac:dyDescent="0.35">
      <c r="A1385" s="33">
        <v>1384</v>
      </c>
      <c r="B1385" s="34" t="s">
        <v>1763</v>
      </c>
      <c r="C1385" s="33" t="s">
        <v>346</v>
      </c>
      <c r="D1385" s="33" t="s">
        <v>124</v>
      </c>
      <c r="E1385" s="33" t="s">
        <v>1748</v>
      </c>
      <c r="F1385" s="35">
        <v>1</v>
      </c>
      <c r="G1385" s="40"/>
      <c r="H1385" s="40"/>
    </row>
    <row r="1386" spans="1:9" hidden="1" x14ac:dyDescent="0.35">
      <c r="A1386" s="33">
        <v>1385</v>
      </c>
      <c r="B1386" s="34" t="s">
        <v>1764</v>
      </c>
      <c r="C1386" s="33" t="s">
        <v>346</v>
      </c>
      <c r="D1386" s="33" t="s">
        <v>124</v>
      </c>
      <c r="E1386" s="33" t="s">
        <v>1748</v>
      </c>
      <c r="F1386" s="35">
        <v>0.2</v>
      </c>
      <c r="G1386" s="40"/>
      <c r="H1386" s="40"/>
    </row>
    <row r="1387" spans="1:9" hidden="1" x14ac:dyDescent="0.35">
      <c r="A1387" s="33">
        <v>1386</v>
      </c>
      <c r="B1387" s="34" t="s">
        <v>1765</v>
      </c>
      <c r="C1387" s="33" t="s">
        <v>346</v>
      </c>
      <c r="D1387" s="33" t="s">
        <v>124</v>
      </c>
      <c r="E1387" s="33" t="s">
        <v>1748</v>
      </c>
      <c r="F1387" s="35">
        <v>0.5</v>
      </c>
      <c r="G1387" s="40"/>
      <c r="H1387" s="40"/>
    </row>
    <row r="1388" spans="1:9" hidden="1" x14ac:dyDescent="0.35">
      <c r="A1388" s="33">
        <v>1387</v>
      </c>
      <c r="B1388" s="34" t="s">
        <v>1766</v>
      </c>
      <c r="C1388" s="33" t="s">
        <v>346</v>
      </c>
      <c r="D1388" s="33" t="s">
        <v>124</v>
      </c>
      <c r="E1388" s="33" t="s">
        <v>1748</v>
      </c>
      <c r="F1388" s="35">
        <v>0.2</v>
      </c>
      <c r="G1388" s="40"/>
      <c r="H1388" s="40"/>
    </row>
    <row r="1389" spans="1:9" hidden="1" x14ac:dyDescent="0.35">
      <c r="A1389" s="33">
        <v>1388</v>
      </c>
      <c r="B1389" s="34" t="s">
        <v>1767</v>
      </c>
      <c r="C1389" s="33" t="s">
        <v>297</v>
      </c>
      <c r="D1389" s="33" t="s">
        <v>43</v>
      </c>
      <c r="E1389" s="33" t="s">
        <v>344</v>
      </c>
      <c r="F1389" s="35">
        <v>1</v>
      </c>
      <c r="G1389" s="40"/>
      <c r="H1389" s="40"/>
    </row>
    <row r="1390" spans="1:9" hidden="1" x14ac:dyDescent="0.35">
      <c r="A1390" s="33">
        <v>1389</v>
      </c>
      <c r="B1390" s="34" t="s">
        <v>1768</v>
      </c>
      <c r="C1390" s="33" t="s">
        <v>297</v>
      </c>
      <c r="D1390" s="33" t="s">
        <v>43</v>
      </c>
      <c r="E1390" s="33" t="s">
        <v>1769</v>
      </c>
      <c r="F1390" s="35">
        <v>1</v>
      </c>
      <c r="G1390" s="40"/>
      <c r="H1390" s="40"/>
    </row>
    <row r="1391" spans="1:9" x14ac:dyDescent="0.35">
      <c r="A1391" s="33">
        <v>1390</v>
      </c>
      <c r="B1391" s="34" t="s">
        <v>1770</v>
      </c>
      <c r="C1391" s="33" t="s">
        <v>297</v>
      </c>
      <c r="D1391" s="33" t="s">
        <v>43</v>
      </c>
      <c r="E1391" s="33" t="s">
        <v>1769</v>
      </c>
      <c r="F1391" s="35">
        <v>1</v>
      </c>
      <c r="G1391" s="40"/>
      <c r="H1391" s="40">
        <f>11.6+3.8</f>
        <v>15.399999999999999</v>
      </c>
      <c r="I1391" s="40" t="s">
        <v>2303</v>
      </c>
    </row>
    <row r="1392" spans="1:9" hidden="1" x14ac:dyDescent="0.35">
      <c r="A1392" s="41">
        <v>1391</v>
      </c>
      <c r="B1392" s="42" t="s">
        <v>1771</v>
      </c>
      <c r="C1392" s="41" t="s">
        <v>297</v>
      </c>
      <c r="D1392" s="41" t="s">
        <v>43</v>
      </c>
      <c r="E1392" s="41" t="s">
        <v>1772</v>
      </c>
      <c r="F1392" s="43">
        <v>1</v>
      </c>
      <c r="G1392" s="44"/>
      <c r="H1392" s="44"/>
    </row>
    <row r="1393" spans="1:9" hidden="1" x14ac:dyDescent="0.35">
      <c r="A1393" s="33">
        <v>1392</v>
      </c>
      <c r="B1393" s="34" t="s">
        <v>1773</v>
      </c>
      <c r="C1393" s="33" t="s">
        <v>297</v>
      </c>
      <c r="D1393" s="33" t="s">
        <v>43</v>
      </c>
      <c r="E1393" s="33" t="s">
        <v>1772</v>
      </c>
      <c r="F1393" s="35">
        <v>1</v>
      </c>
      <c r="G1393" s="40"/>
      <c r="H1393" s="40"/>
    </row>
    <row r="1394" spans="1:9" hidden="1" x14ac:dyDescent="0.35">
      <c r="A1394" s="33">
        <v>1393</v>
      </c>
      <c r="B1394" s="34" t="s">
        <v>1774</v>
      </c>
      <c r="C1394" s="33" t="s">
        <v>297</v>
      </c>
      <c r="D1394" s="33" t="s">
        <v>43</v>
      </c>
      <c r="E1394" s="33" t="s">
        <v>1775</v>
      </c>
      <c r="F1394" s="35">
        <v>1</v>
      </c>
      <c r="G1394" s="40"/>
      <c r="H1394" s="40"/>
    </row>
    <row r="1395" spans="1:9" hidden="1" x14ac:dyDescent="0.35">
      <c r="A1395" s="33">
        <v>1394</v>
      </c>
      <c r="B1395" s="34" t="s">
        <v>1776</v>
      </c>
      <c r="C1395" s="33" t="s">
        <v>297</v>
      </c>
      <c r="D1395" s="33" t="s">
        <v>43</v>
      </c>
      <c r="E1395" s="33" t="s">
        <v>1775</v>
      </c>
      <c r="F1395" s="35">
        <v>1</v>
      </c>
      <c r="G1395" s="40"/>
      <c r="H1395" s="40"/>
    </row>
    <row r="1396" spans="1:9" x14ac:dyDescent="0.35">
      <c r="A1396" s="33">
        <v>1395</v>
      </c>
      <c r="B1396" s="34" t="s">
        <v>1777</v>
      </c>
      <c r="C1396" s="33" t="s">
        <v>297</v>
      </c>
      <c r="D1396" s="33" t="s">
        <v>43</v>
      </c>
      <c r="E1396" s="33" t="s">
        <v>1775</v>
      </c>
      <c r="F1396" s="35">
        <v>1</v>
      </c>
      <c r="G1396" s="40"/>
      <c r="H1396" s="40">
        <f>2.8+12.15</f>
        <v>14.95</v>
      </c>
      <c r="I1396" s="40" t="s">
        <v>2303</v>
      </c>
    </row>
    <row r="1397" spans="1:9" hidden="1" x14ac:dyDescent="0.35">
      <c r="A1397" s="41">
        <v>1396</v>
      </c>
      <c r="B1397" s="42" t="s">
        <v>1778</v>
      </c>
      <c r="C1397" s="41" t="s">
        <v>297</v>
      </c>
      <c r="D1397" s="41" t="s">
        <v>43</v>
      </c>
      <c r="E1397" s="41" t="s">
        <v>1775</v>
      </c>
      <c r="F1397" s="43">
        <v>1</v>
      </c>
      <c r="G1397" s="44"/>
      <c r="H1397" s="44"/>
    </row>
    <row r="1398" spans="1:9" hidden="1" x14ac:dyDescent="0.35">
      <c r="A1398" s="33">
        <v>1397</v>
      </c>
      <c r="B1398" s="34" t="s">
        <v>1779</v>
      </c>
      <c r="C1398" s="33" t="s">
        <v>297</v>
      </c>
      <c r="D1398" s="33" t="s">
        <v>43</v>
      </c>
      <c r="E1398" s="33" t="s">
        <v>1775</v>
      </c>
      <c r="F1398" s="35">
        <v>1</v>
      </c>
      <c r="G1398" s="40"/>
      <c r="H1398" s="40"/>
    </row>
    <row r="1399" spans="1:9" x14ac:dyDescent="0.35">
      <c r="A1399" s="33">
        <v>1398</v>
      </c>
      <c r="B1399" s="34" t="s">
        <v>1780</v>
      </c>
      <c r="C1399" s="33" t="s">
        <v>297</v>
      </c>
      <c r="D1399" s="33" t="s">
        <v>43</v>
      </c>
      <c r="E1399" s="33" t="s">
        <v>1781</v>
      </c>
      <c r="F1399" s="35">
        <v>1</v>
      </c>
      <c r="G1399" s="40"/>
      <c r="H1399" s="40">
        <f>1.2+1.5+1.1</f>
        <v>3.8000000000000003</v>
      </c>
      <c r="I1399" s="40" t="s">
        <v>2303</v>
      </c>
    </row>
    <row r="1400" spans="1:9" hidden="1" x14ac:dyDescent="0.35">
      <c r="A1400" s="41">
        <v>1399</v>
      </c>
      <c r="B1400" s="42" t="s">
        <v>1782</v>
      </c>
      <c r="C1400" s="41" t="s">
        <v>297</v>
      </c>
      <c r="D1400" s="41" t="s">
        <v>43</v>
      </c>
      <c r="E1400" s="41" t="s">
        <v>1781</v>
      </c>
      <c r="F1400" s="43">
        <v>1</v>
      </c>
      <c r="G1400" s="44"/>
      <c r="H1400" s="44"/>
    </row>
    <row r="1401" spans="1:9" hidden="1" x14ac:dyDescent="0.35">
      <c r="A1401" s="33">
        <v>1400</v>
      </c>
      <c r="B1401" s="34" t="s">
        <v>1783</v>
      </c>
      <c r="C1401" s="33" t="s">
        <v>297</v>
      </c>
      <c r="D1401" s="33" t="s">
        <v>43</v>
      </c>
      <c r="E1401" s="33" t="s">
        <v>1781</v>
      </c>
      <c r="F1401" s="35">
        <v>1</v>
      </c>
      <c r="G1401" s="40"/>
      <c r="H1401" s="40"/>
    </row>
    <row r="1402" spans="1:9" hidden="1" x14ac:dyDescent="0.35">
      <c r="A1402" s="33">
        <v>1401</v>
      </c>
      <c r="B1402" s="34" t="s">
        <v>1784</v>
      </c>
      <c r="C1402" s="33" t="s">
        <v>297</v>
      </c>
      <c r="D1402" s="33" t="s">
        <v>43</v>
      </c>
      <c r="E1402" s="33" t="s">
        <v>1785</v>
      </c>
      <c r="F1402" s="35">
        <v>1</v>
      </c>
      <c r="G1402" s="40"/>
      <c r="H1402" s="40"/>
    </row>
    <row r="1403" spans="1:9" hidden="1" x14ac:dyDescent="0.35">
      <c r="A1403" s="33">
        <v>1402</v>
      </c>
      <c r="B1403" s="34" t="s">
        <v>1786</v>
      </c>
      <c r="C1403" s="33" t="s">
        <v>297</v>
      </c>
      <c r="D1403" s="33" t="s">
        <v>43</v>
      </c>
      <c r="E1403" s="33" t="s">
        <v>1785</v>
      </c>
      <c r="F1403" s="35">
        <v>1</v>
      </c>
      <c r="G1403" s="40"/>
      <c r="H1403" s="40"/>
    </row>
    <row r="1404" spans="1:9" hidden="1" x14ac:dyDescent="0.35">
      <c r="A1404" s="33">
        <v>1403</v>
      </c>
      <c r="B1404" s="34" t="s">
        <v>1787</v>
      </c>
      <c r="C1404" s="33" t="s">
        <v>346</v>
      </c>
      <c r="D1404" s="33" t="s">
        <v>43</v>
      </c>
      <c r="E1404" s="33" t="s">
        <v>1769</v>
      </c>
      <c r="F1404" s="35">
        <v>0.1</v>
      </c>
      <c r="G1404" s="40"/>
      <c r="H1404" s="40"/>
    </row>
    <row r="1405" spans="1:9" hidden="1" x14ac:dyDescent="0.35">
      <c r="A1405" s="33">
        <v>1404</v>
      </c>
      <c r="B1405" s="34" t="s">
        <v>1788</v>
      </c>
      <c r="C1405" s="33" t="s">
        <v>346</v>
      </c>
      <c r="D1405" s="33" t="s">
        <v>43</v>
      </c>
      <c r="E1405" s="33" t="s">
        <v>1769</v>
      </c>
      <c r="F1405" s="35">
        <v>0.1</v>
      </c>
      <c r="G1405" s="40"/>
      <c r="H1405" s="40"/>
    </row>
    <row r="1406" spans="1:9" hidden="1" x14ac:dyDescent="0.35">
      <c r="A1406" s="33">
        <v>1405</v>
      </c>
      <c r="B1406" s="34" t="s">
        <v>1789</v>
      </c>
      <c r="C1406" s="33" t="s">
        <v>346</v>
      </c>
      <c r="D1406" s="33" t="s">
        <v>43</v>
      </c>
      <c r="E1406" s="33" t="s">
        <v>1769</v>
      </c>
      <c r="F1406" s="35">
        <v>1</v>
      </c>
      <c r="G1406" s="40"/>
      <c r="H1406" s="40"/>
    </row>
    <row r="1407" spans="1:9" hidden="1" x14ac:dyDescent="0.35">
      <c r="A1407" s="33">
        <v>1406</v>
      </c>
      <c r="B1407" s="34" t="s">
        <v>1790</v>
      </c>
      <c r="C1407" s="33" t="s">
        <v>346</v>
      </c>
      <c r="D1407" s="33" t="s">
        <v>43</v>
      </c>
      <c r="E1407" s="33" t="s">
        <v>1769</v>
      </c>
      <c r="F1407" s="35">
        <v>1</v>
      </c>
      <c r="G1407" s="40"/>
      <c r="H1407" s="40"/>
    </row>
    <row r="1408" spans="1:9" hidden="1" x14ac:dyDescent="0.35">
      <c r="A1408" s="33">
        <v>1407</v>
      </c>
      <c r="B1408" s="34" t="s">
        <v>1791</v>
      </c>
      <c r="C1408" s="33" t="s">
        <v>346</v>
      </c>
      <c r="D1408" s="33" t="s">
        <v>43</v>
      </c>
      <c r="E1408" s="33" t="s">
        <v>1772</v>
      </c>
      <c r="F1408" s="35">
        <v>1</v>
      </c>
      <c r="G1408" s="40"/>
      <c r="H1408" s="40"/>
    </row>
    <row r="1409" spans="1:8" hidden="1" x14ac:dyDescent="0.35">
      <c r="A1409" s="33">
        <v>1408</v>
      </c>
      <c r="B1409" s="34" t="s">
        <v>1792</v>
      </c>
      <c r="C1409" s="33" t="s">
        <v>346</v>
      </c>
      <c r="D1409" s="33" t="s">
        <v>43</v>
      </c>
      <c r="E1409" s="33" t="s">
        <v>1772</v>
      </c>
      <c r="F1409" s="35">
        <v>0.23</v>
      </c>
      <c r="G1409" s="40"/>
      <c r="H1409" s="40"/>
    </row>
    <row r="1410" spans="1:8" hidden="1" x14ac:dyDescent="0.35">
      <c r="A1410" s="33">
        <v>1409</v>
      </c>
      <c r="B1410" s="34" t="s">
        <v>1793</v>
      </c>
      <c r="C1410" s="33" t="s">
        <v>346</v>
      </c>
      <c r="D1410" s="33" t="s">
        <v>43</v>
      </c>
      <c r="E1410" s="33" t="s">
        <v>1775</v>
      </c>
      <c r="F1410" s="35">
        <v>0.1</v>
      </c>
      <c r="G1410" s="40"/>
      <c r="H1410" s="40"/>
    </row>
    <row r="1411" spans="1:8" hidden="1" x14ac:dyDescent="0.35">
      <c r="A1411" s="33">
        <v>1410</v>
      </c>
      <c r="B1411" s="34" t="s">
        <v>1794</v>
      </c>
      <c r="C1411" s="33" t="s">
        <v>346</v>
      </c>
      <c r="D1411" s="33" t="s">
        <v>43</v>
      </c>
      <c r="E1411" s="33" t="s">
        <v>1775</v>
      </c>
      <c r="F1411" s="35">
        <v>0.25</v>
      </c>
      <c r="G1411" s="40"/>
      <c r="H1411" s="40"/>
    </row>
    <row r="1412" spans="1:8" hidden="1" x14ac:dyDescent="0.35">
      <c r="A1412" s="33">
        <v>1411</v>
      </c>
      <c r="B1412" s="34" t="s">
        <v>1795</v>
      </c>
      <c r="C1412" s="33" t="s">
        <v>346</v>
      </c>
      <c r="D1412" s="33" t="s">
        <v>43</v>
      </c>
      <c r="E1412" s="33" t="s">
        <v>1775</v>
      </c>
      <c r="F1412" s="35">
        <v>0.15</v>
      </c>
      <c r="G1412" s="40"/>
      <c r="H1412" s="40"/>
    </row>
    <row r="1413" spans="1:8" hidden="1" x14ac:dyDescent="0.35">
      <c r="A1413" s="33">
        <v>1412</v>
      </c>
      <c r="B1413" s="34" t="s">
        <v>1796</v>
      </c>
      <c r="C1413" s="33" t="s">
        <v>346</v>
      </c>
      <c r="D1413" s="33" t="s">
        <v>43</v>
      </c>
      <c r="E1413" s="33" t="s">
        <v>1775</v>
      </c>
      <c r="F1413" s="35">
        <v>0.2</v>
      </c>
      <c r="G1413" s="40"/>
      <c r="H1413" s="40"/>
    </row>
    <row r="1414" spans="1:8" hidden="1" x14ac:dyDescent="0.35">
      <c r="A1414" s="33">
        <v>1413</v>
      </c>
      <c r="B1414" s="34" t="s">
        <v>1797</v>
      </c>
      <c r="C1414" s="33" t="s">
        <v>346</v>
      </c>
      <c r="D1414" s="33" t="s">
        <v>43</v>
      </c>
      <c r="E1414" s="33" t="s">
        <v>1775</v>
      </c>
      <c r="F1414" s="35">
        <v>0.25</v>
      </c>
      <c r="G1414" s="40"/>
      <c r="H1414" s="40"/>
    </row>
    <row r="1415" spans="1:8" hidden="1" x14ac:dyDescent="0.35">
      <c r="A1415" s="33">
        <v>1414</v>
      </c>
      <c r="B1415" s="34" t="s">
        <v>1798</v>
      </c>
      <c r="C1415" s="33" t="s">
        <v>346</v>
      </c>
      <c r="D1415" s="33" t="s">
        <v>43</v>
      </c>
      <c r="E1415" s="33" t="s">
        <v>1775</v>
      </c>
      <c r="F1415" s="35">
        <v>0.2</v>
      </c>
      <c r="G1415" s="40"/>
      <c r="H1415" s="40"/>
    </row>
    <row r="1416" spans="1:8" hidden="1" x14ac:dyDescent="0.35">
      <c r="A1416" s="33">
        <v>1415</v>
      </c>
      <c r="B1416" s="34" t="s">
        <v>1799</v>
      </c>
      <c r="C1416" s="33" t="s">
        <v>346</v>
      </c>
      <c r="D1416" s="33" t="s">
        <v>43</v>
      </c>
      <c r="E1416" s="33" t="s">
        <v>1775</v>
      </c>
      <c r="F1416" s="35">
        <v>0.25</v>
      </c>
      <c r="G1416" s="40"/>
      <c r="H1416" s="40"/>
    </row>
    <row r="1417" spans="1:8" hidden="1" x14ac:dyDescent="0.35">
      <c r="A1417" s="33">
        <v>1416</v>
      </c>
      <c r="B1417" s="34" t="s">
        <v>1800</v>
      </c>
      <c r="C1417" s="33" t="s">
        <v>346</v>
      </c>
      <c r="D1417" s="33" t="s">
        <v>43</v>
      </c>
      <c r="E1417" s="33" t="s">
        <v>1775</v>
      </c>
      <c r="F1417" s="35">
        <v>1</v>
      </c>
      <c r="G1417" s="40"/>
      <c r="H1417" s="40"/>
    </row>
    <row r="1418" spans="1:8" hidden="1" x14ac:dyDescent="0.35">
      <c r="A1418" s="33">
        <v>1417</v>
      </c>
      <c r="B1418" s="34" t="s">
        <v>1801</v>
      </c>
      <c r="C1418" s="33" t="s">
        <v>346</v>
      </c>
      <c r="D1418" s="33" t="s">
        <v>43</v>
      </c>
      <c r="E1418" s="33" t="s">
        <v>1775</v>
      </c>
      <c r="F1418" s="35">
        <v>1</v>
      </c>
      <c r="G1418" s="40"/>
      <c r="H1418" s="40"/>
    </row>
    <row r="1419" spans="1:8" hidden="1" x14ac:dyDescent="0.35">
      <c r="A1419" s="33">
        <v>1418</v>
      </c>
      <c r="B1419" s="34" t="s">
        <v>1802</v>
      </c>
      <c r="C1419" s="33" t="s">
        <v>346</v>
      </c>
      <c r="D1419" s="33" t="s">
        <v>43</v>
      </c>
      <c r="E1419" s="33" t="s">
        <v>1775</v>
      </c>
      <c r="F1419" s="35">
        <v>1</v>
      </c>
      <c r="G1419" s="40"/>
      <c r="H1419" s="40"/>
    </row>
    <row r="1420" spans="1:8" hidden="1" x14ac:dyDescent="0.35">
      <c r="A1420" s="33">
        <v>1419</v>
      </c>
      <c r="B1420" s="34" t="s">
        <v>1803</v>
      </c>
      <c r="C1420" s="33" t="s">
        <v>346</v>
      </c>
      <c r="D1420" s="33" t="s">
        <v>43</v>
      </c>
      <c r="E1420" s="33" t="s">
        <v>1775</v>
      </c>
      <c r="F1420" s="35">
        <v>0.1</v>
      </c>
      <c r="G1420" s="40"/>
      <c r="H1420" s="40"/>
    </row>
    <row r="1421" spans="1:8" hidden="1" x14ac:dyDescent="0.35">
      <c r="A1421" s="33">
        <v>1420</v>
      </c>
      <c r="B1421" s="34" t="s">
        <v>1804</v>
      </c>
      <c r="C1421" s="33" t="s">
        <v>346</v>
      </c>
      <c r="D1421" s="33" t="s">
        <v>43</v>
      </c>
      <c r="E1421" s="33" t="s">
        <v>1775</v>
      </c>
      <c r="F1421" s="35">
        <v>0.2</v>
      </c>
      <c r="G1421" s="40"/>
      <c r="H1421" s="40"/>
    </row>
    <row r="1422" spans="1:8" hidden="1" x14ac:dyDescent="0.35">
      <c r="A1422" s="33">
        <v>1421</v>
      </c>
      <c r="B1422" s="34" t="s">
        <v>1805</v>
      </c>
      <c r="C1422" s="33" t="s">
        <v>346</v>
      </c>
      <c r="D1422" s="33" t="s">
        <v>43</v>
      </c>
      <c r="E1422" s="33" t="s">
        <v>1775</v>
      </c>
      <c r="F1422" s="35">
        <v>0.5</v>
      </c>
      <c r="G1422" s="40"/>
      <c r="H1422" s="40"/>
    </row>
    <row r="1423" spans="1:8" hidden="1" x14ac:dyDescent="0.35">
      <c r="A1423" s="33">
        <v>1422</v>
      </c>
      <c r="B1423" s="34" t="s">
        <v>1806</v>
      </c>
      <c r="C1423" s="33" t="s">
        <v>346</v>
      </c>
      <c r="D1423" s="33" t="s">
        <v>43</v>
      </c>
      <c r="E1423" s="33" t="s">
        <v>1775</v>
      </c>
      <c r="F1423" s="35">
        <v>0.2</v>
      </c>
      <c r="G1423" s="40"/>
      <c r="H1423" s="40"/>
    </row>
    <row r="1424" spans="1:8" hidden="1" x14ac:dyDescent="0.35">
      <c r="A1424" s="33">
        <v>1423</v>
      </c>
      <c r="B1424" s="34" t="s">
        <v>1807</v>
      </c>
      <c r="C1424" s="33" t="s">
        <v>346</v>
      </c>
      <c r="D1424" s="33" t="s">
        <v>43</v>
      </c>
      <c r="E1424" s="33" t="s">
        <v>1775</v>
      </c>
      <c r="F1424" s="35">
        <v>1</v>
      </c>
      <c r="G1424" s="40"/>
      <c r="H1424" s="40"/>
    </row>
    <row r="1425" spans="1:8" hidden="1" x14ac:dyDescent="0.35">
      <c r="A1425" s="33">
        <v>1424</v>
      </c>
      <c r="B1425" s="34" t="s">
        <v>1808</v>
      </c>
      <c r="C1425" s="33" t="s">
        <v>346</v>
      </c>
      <c r="D1425" s="33" t="s">
        <v>43</v>
      </c>
      <c r="E1425" s="33" t="s">
        <v>1775</v>
      </c>
      <c r="F1425" s="35">
        <v>0.23</v>
      </c>
      <c r="G1425" s="40"/>
      <c r="H1425" s="40"/>
    </row>
    <row r="1426" spans="1:8" hidden="1" x14ac:dyDescent="0.35">
      <c r="A1426" s="33">
        <v>1425</v>
      </c>
      <c r="B1426" s="34" t="s">
        <v>1809</v>
      </c>
      <c r="C1426" s="33" t="s">
        <v>346</v>
      </c>
      <c r="D1426" s="33" t="s">
        <v>43</v>
      </c>
      <c r="E1426" s="33" t="s">
        <v>1775</v>
      </c>
      <c r="F1426" s="35">
        <v>0.5</v>
      </c>
      <c r="G1426" s="40"/>
      <c r="H1426" s="40"/>
    </row>
    <row r="1427" spans="1:8" hidden="1" x14ac:dyDescent="0.35">
      <c r="A1427" s="33">
        <v>1426</v>
      </c>
      <c r="B1427" s="34" t="s">
        <v>1810</v>
      </c>
      <c r="C1427" s="33" t="s">
        <v>346</v>
      </c>
      <c r="D1427" s="33" t="s">
        <v>43</v>
      </c>
      <c r="E1427" s="33" t="s">
        <v>1775</v>
      </c>
      <c r="F1427" s="35">
        <v>0.1</v>
      </c>
      <c r="G1427" s="40"/>
      <c r="H1427" s="40"/>
    </row>
    <row r="1428" spans="1:8" hidden="1" x14ac:dyDescent="0.35">
      <c r="A1428" s="33">
        <v>1427</v>
      </c>
      <c r="B1428" s="34" t="s">
        <v>1811</v>
      </c>
      <c r="C1428" s="33" t="s">
        <v>346</v>
      </c>
      <c r="D1428" s="33" t="s">
        <v>43</v>
      </c>
      <c r="E1428" s="33" t="s">
        <v>1775</v>
      </c>
      <c r="F1428" s="35">
        <v>0.2</v>
      </c>
      <c r="G1428" s="40"/>
      <c r="H1428" s="40"/>
    </row>
    <row r="1429" spans="1:8" hidden="1" x14ac:dyDescent="0.35">
      <c r="A1429" s="33">
        <v>1428</v>
      </c>
      <c r="B1429" s="34" t="s">
        <v>1812</v>
      </c>
      <c r="C1429" s="33" t="s">
        <v>346</v>
      </c>
      <c r="D1429" s="33" t="s">
        <v>43</v>
      </c>
      <c r="E1429" s="33" t="s">
        <v>1781</v>
      </c>
      <c r="F1429" s="35">
        <v>0.15</v>
      </c>
      <c r="G1429" s="40"/>
      <c r="H1429" s="40"/>
    </row>
    <row r="1430" spans="1:8" hidden="1" x14ac:dyDescent="0.35">
      <c r="A1430" s="33">
        <v>1429</v>
      </c>
      <c r="B1430" s="34" t="s">
        <v>1813</v>
      </c>
      <c r="C1430" s="33" t="s">
        <v>346</v>
      </c>
      <c r="D1430" s="33" t="s">
        <v>43</v>
      </c>
      <c r="E1430" s="33" t="s">
        <v>1781</v>
      </c>
      <c r="F1430" s="35">
        <v>0.5</v>
      </c>
      <c r="G1430" s="40"/>
      <c r="H1430" s="40"/>
    </row>
    <row r="1431" spans="1:8" hidden="1" x14ac:dyDescent="0.35">
      <c r="A1431" s="33">
        <v>1430</v>
      </c>
      <c r="B1431" s="34" t="s">
        <v>1814</v>
      </c>
      <c r="C1431" s="33" t="s">
        <v>346</v>
      </c>
      <c r="D1431" s="33" t="s">
        <v>43</v>
      </c>
      <c r="E1431" s="33" t="s">
        <v>1781</v>
      </c>
      <c r="F1431" s="35">
        <v>0.25</v>
      </c>
      <c r="G1431" s="40"/>
      <c r="H1431" s="40"/>
    </row>
    <row r="1432" spans="1:8" hidden="1" x14ac:dyDescent="0.35">
      <c r="A1432" s="33">
        <v>1431</v>
      </c>
      <c r="B1432" s="34" t="s">
        <v>1815</v>
      </c>
      <c r="C1432" s="33" t="s">
        <v>346</v>
      </c>
      <c r="D1432" s="33" t="s">
        <v>43</v>
      </c>
      <c r="E1432" s="33" t="s">
        <v>1781</v>
      </c>
      <c r="F1432" s="35">
        <v>0.1</v>
      </c>
      <c r="G1432" s="40"/>
      <c r="H1432" s="40"/>
    </row>
    <row r="1433" spans="1:8" hidden="1" x14ac:dyDescent="0.35">
      <c r="A1433" s="33">
        <v>1432</v>
      </c>
      <c r="B1433" s="34" t="s">
        <v>1816</v>
      </c>
      <c r="C1433" s="33" t="s">
        <v>346</v>
      </c>
      <c r="D1433" s="33" t="s">
        <v>43</v>
      </c>
      <c r="E1433" s="33" t="s">
        <v>1781</v>
      </c>
      <c r="F1433" s="35">
        <v>0.15</v>
      </c>
      <c r="G1433" s="40"/>
      <c r="H1433" s="40"/>
    </row>
    <row r="1434" spans="1:8" hidden="1" x14ac:dyDescent="0.35">
      <c r="A1434" s="33">
        <v>1433</v>
      </c>
      <c r="B1434" s="34" t="s">
        <v>1817</v>
      </c>
      <c r="C1434" s="33" t="s">
        <v>346</v>
      </c>
      <c r="D1434" s="33" t="s">
        <v>43</v>
      </c>
      <c r="E1434" s="33" t="s">
        <v>1781</v>
      </c>
      <c r="F1434" s="35">
        <v>0.17499999999999999</v>
      </c>
      <c r="G1434" s="40"/>
      <c r="H1434" s="40"/>
    </row>
    <row r="1435" spans="1:8" hidden="1" x14ac:dyDescent="0.35">
      <c r="A1435" s="33">
        <v>1434</v>
      </c>
      <c r="B1435" s="34" t="s">
        <v>1818</v>
      </c>
      <c r="C1435" s="33" t="s">
        <v>346</v>
      </c>
      <c r="D1435" s="33" t="s">
        <v>43</v>
      </c>
      <c r="E1435" s="33" t="s">
        <v>1781</v>
      </c>
      <c r="F1435" s="35">
        <v>0.2</v>
      </c>
      <c r="G1435" s="40"/>
      <c r="H1435" s="40"/>
    </row>
    <row r="1436" spans="1:8" hidden="1" x14ac:dyDescent="0.35">
      <c r="A1436" s="33">
        <v>1435</v>
      </c>
      <c r="B1436" s="34" t="s">
        <v>1819</v>
      </c>
      <c r="C1436" s="33" t="s">
        <v>346</v>
      </c>
      <c r="D1436" s="33" t="s">
        <v>43</v>
      </c>
      <c r="E1436" s="33" t="s">
        <v>1781</v>
      </c>
      <c r="F1436" s="35">
        <v>0.25</v>
      </c>
      <c r="G1436" s="40"/>
      <c r="H1436" s="40"/>
    </row>
    <row r="1437" spans="1:8" hidden="1" x14ac:dyDescent="0.35">
      <c r="A1437" s="33">
        <v>1436</v>
      </c>
      <c r="B1437" s="34" t="s">
        <v>1820</v>
      </c>
      <c r="C1437" s="33" t="s">
        <v>346</v>
      </c>
      <c r="D1437" s="33" t="s">
        <v>43</v>
      </c>
      <c r="E1437" s="33" t="s">
        <v>1781</v>
      </c>
      <c r="F1437" s="35">
        <v>0.125</v>
      </c>
      <c r="G1437" s="40"/>
      <c r="H1437" s="40"/>
    </row>
    <row r="1438" spans="1:8" hidden="1" x14ac:dyDescent="0.35">
      <c r="A1438" s="33">
        <v>1437</v>
      </c>
      <c r="B1438" s="34" t="s">
        <v>1821</v>
      </c>
      <c r="C1438" s="33" t="s">
        <v>346</v>
      </c>
      <c r="D1438" s="33" t="s">
        <v>43</v>
      </c>
      <c r="E1438" s="33" t="s">
        <v>1781</v>
      </c>
      <c r="F1438" s="35">
        <v>0.2</v>
      </c>
      <c r="G1438" s="40"/>
      <c r="H1438" s="40"/>
    </row>
    <row r="1439" spans="1:8" hidden="1" x14ac:dyDescent="0.35">
      <c r="A1439" s="33">
        <v>1438</v>
      </c>
      <c r="B1439" s="34" t="s">
        <v>1822</v>
      </c>
      <c r="C1439" s="33" t="s">
        <v>346</v>
      </c>
      <c r="D1439" s="33" t="s">
        <v>43</v>
      </c>
      <c r="E1439" s="33" t="s">
        <v>1781</v>
      </c>
      <c r="F1439" s="35">
        <v>0.1</v>
      </c>
      <c r="G1439" s="40"/>
      <c r="H1439" s="40"/>
    </row>
    <row r="1440" spans="1:8" hidden="1" x14ac:dyDescent="0.35">
      <c r="A1440" s="33">
        <v>1439</v>
      </c>
      <c r="B1440" s="34" t="s">
        <v>1823</v>
      </c>
      <c r="C1440" s="33" t="s">
        <v>346</v>
      </c>
      <c r="D1440" s="33" t="s">
        <v>43</v>
      </c>
      <c r="E1440" s="33" t="s">
        <v>1781</v>
      </c>
      <c r="F1440" s="35">
        <v>0.125</v>
      </c>
      <c r="G1440" s="40"/>
      <c r="H1440" s="40"/>
    </row>
    <row r="1441" spans="1:8" hidden="1" x14ac:dyDescent="0.35">
      <c r="A1441" s="33">
        <v>1440</v>
      </c>
      <c r="B1441" s="34" t="s">
        <v>1824</v>
      </c>
      <c r="C1441" s="33" t="s">
        <v>346</v>
      </c>
      <c r="D1441" s="33" t="s">
        <v>43</v>
      </c>
      <c r="E1441" s="33" t="s">
        <v>1781</v>
      </c>
      <c r="F1441" s="35">
        <v>1</v>
      </c>
      <c r="G1441" s="40"/>
      <c r="H1441" s="40"/>
    </row>
    <row r="1442" spans="1:8" hidden="1" x14ac:dyDescent="0.35">
      <c r="A1442" s="33">
        <v>1441</v>
      </c>
      <c r="B1442" s="34" t="s">
        <v>1825</v>
      </c>
      <c r="C1442" s="33" t="s">
        <v>346</v>
      </c>
      <c r="D1442" s="33" t="s">
        <v>43</v>
      </c>
      <c r="E1442" s="33" t="s">
        <v>1781</v>
      </c>
      <c r="F1442" s="35">
        <v>1</v>
      </c>
      <c r="G1442" s="40"/>
      <c r="H1442" s="40"/>
    </row>
    <row r="1443" spans="1:8" hidden="1" x14ac:dyDescent="0.35">
      <c r="A1443" s="33">
        <v>1442</v>
      </c>
      <c r="B1443" s="34" t="s">
        <v>1826</v>
      </c>
      <c r="C1443" s="33" t="s">
        <v>346</v>
      </c>
      <c r="D1443" s="33" t="s">
        <v>43</v>
      </c>
      <c r="E1443" s="33" t="s">
        <v>1781</v>
      </c>
      <c r="F1443" s="35">
        <v>0.2</v>
      </c>
      <c r="G1443" s="40"/>
      <c r="H1443" s="40"/>
    </row>
    <row r="1444" spans="1:8" hidden="1" x14ac:dyDescent="0.35">
      <c r="A1444" s="33">
        <v>1443</v>
      </c>
      <c r="B1444" s="34" t="s">
        <v>1827</v>
      </c>
      <c r="C1444" s="33" t="s">
        <v>346</v>
      </c>
      <c r="D1444" s="33" t="s">
        <v>43</v>
      </c>
      <c r="E1444" s="33" t="s">
        <v>1781</v>
      </c>
      <c r="F1444" s="35">
        <v>0.5</v>
      </c>
      <c r="G1444" s="40"/>
      <c r="H1444" s="40"/>
    </row>
    <row r="1445" spans="1:8" hidden="1" x14ac:dyDescent="0.35">
      <c r="A1445" s="33">
        <v>1444</v>
      </c>
      <c r="B1445" s="34" t="s">
        <v>1828</v>
      </c>
      <c r="C1445" s="33" t="s">
        <v>346</v>
      </c>
      <c r="D1445" s="33" t="s">
        <v>43</v>
      </c>
      <c r="E1445" s="33" t="s">
        <v>1781</v>
      </c>
      <c r="F1445" s="35">
        <v>0.1</v>
      </c>
      <c r="G1445" s="40"/>
      <c r="H1445" s="40"/>
    </row>
    <row r="1446" spans="1:8" hidden="1" x14ac:dyDescent="0.35">
      <c r="A1446" s="33">
        <v>1445</v>
      </c>
      <c r="B1446" s="34" t="s">
        <v>1829</v>
      </c>
      <c r="C1446" s="33" t="s">
        <v>346</v>
      </c>
      <c r="D1446" s="33" t="s">
        <v>43</v>
      </c>
      <c r="E1446" s="33" t="s">
        <v>1781</v>
      </c>
      <c r="F1446" s="35">
        <v>7.0000000000000007E-2</v>
      </c>
      <c r="G1446" s="40"/>
      <c r="H1446" s="40"/>
    </row>
    <row r="1447" spans="1:8" hidden="1" x14ac:dyDescent="0.35">
      <c r="A1447" s="33">
        <v>1446</v>
      </c>
      <c r="B1447" s="34" t="s">
        <v>1830</v>
      </c>
      <c r="C1447" s="33" t="s">
        <v>346</v>
      </c>
      <c r="D1447" s="33" t="s">
        <v>43</v>
      </c>
      <c r="E1447" s="33" t="s">
        <v>1781</v>
      </c>
      <c r="F1447" s="35">
        <v>0.23</v>
      </c>
      <c r="G1447" s="40"/>
      <c r="H1447" s="40"/>
    </row>
    <row r="1448" spans="1:8" hidden="1" x14ac:dyDescent="0.35">
      <c r="A1448" s="33">
        <v>1447</v>
      </c>
      <c r="B1448" s="34" t="s">
        <v>1831</v>
      </c>
      <c r="C1448" s="33" t="s">
        <v>346</v>
      </c>
      <c r="D1448" s="33" t="s">
        <v>43</v>
      </c>
      <c r="E1448" s="33" t="s">
        <v>1781</v>
      </c>
      <c r="F1448" s="35">
        <v>0.09</v>
      </c>
      <c r="G1448" s="40"/>
      <c r="H1448" s="40"/>
    </row>
    <row r="1449" spans="1:8" hidden="1" x14ac:dyDescent="0.35">
      <c r="A1449" s="33">
        <v>1448</v>
      </c>
      <c r="B1449" s="34" t="s">
        <v>1832</v>
      </c>
      <c r="C1449" s="33" t="s">
        <v>346</v>
      </c>
      <c r="D1449" s="33" t="s">
        <v>43</v>
      </c>
      <c r="E1449" s="33" t="s">
        <v>1781</v>
      </c>
      <c r="F1449" s="35">
        <v>1</v>
      </c>
      <c r="G1449" s="40"/>
      <c r="H1449" s="40"/>
    </row>
    <row r="1450" spans="1:8" hidden="1" x14ac:dyDescent="0.35">
      <c r="A1450" s="33">
        <v>1449</v>
      </c>
      <c r="B1450" s="34" t="s">
        <v>1833</v>
      </c>
      <c r="C1450" s="33" t="s">
        <v>346</v>
      </c>
      <c r="D1450" s="33" t="s">
        <v>43</v>
      </c>
      <c r="E1450" s="33" t="s">
        <v>1781</v>
      </c>
      <c r="F1450" s="35">
        <v>0.2</v>
      </c>
      <c r="G1450" s="40"/>
      <c r="H1450" s="40"/>
    </row>
    <row r="1451" spans="1:8" hidden="1" x14ac:dyDescent="0.35">
      <c r="A1451" s="33">
        <v>1450</v>
      </c>
      <c r="B1451" s="34" t="s">
        <v>1834</v>
      </c>
      <c r="C1451" s="33" t="s">
        <v>346</v>
      </c>
      <c r="D1451" s="33" t="s">
        <v>43</v>
      </c>
      <c r="E1451" s="33" t="s">
        <v>1781</v>
      </c>
      <c r="F1451" s="35">
        <v>0.5</v>
      </c>
      <c r="G1451" s="40"/>
      <c r="H1451" s="40"/>
    </row>
    <row r="1452" spans="1:8" hidden="1" x14ac:dyDescent="0.35">
      <c r="A1452" s="33">
        <v>1451</v>
      </c>
      <c r="B1452" s="34" t="s">
        <v>1835</v>
      </c>
      <c r="C1452" s="33" t="s">
        <v>346</v>
      </c>
      <c r="D1452" s="33" t="s">
        <v>43</v>
      </c>
      <c r="E1452" s="33" t="s">
        <v>1781</v>
      </c>
      <c r="F1452" s="35">
        <v>0.1</v>
      </c>
      <c r="G1452" s="40"/>
      <c r="H1452" s="40"/>
    </row>
    <row r="1453" spans="1:8" hidden="1" x14ac:dyDescent="0.35">
      <c r="A1453" s="33">
        <v>1452</v>
      </c>
      <c r="B1453" s="34" t="s">
        <v>1836</v>
      </c>
      <c r="C1453" s="33" t="s">
        <v>346</v>
      </c>
      <c r="D1453" s="33" t="s">
        <v>43</v>
      </c>
      <c r="E1453" s="33" t="s">
        <v>1781</v>
      </c>
      <c r="F1453" s="35">
        <v>0.25</v>
      </c>
      <c r="G1453" s="40"/>
      <c r="H1453" s="40"/>
    </row>
    <row r="1454" spans="1:8" hidden="1" x14ac:dyDescent="0.35">
      <c r="A1454" s="33">
        <v>1453</v>
      </c>
      <c r="B1454" s="34" t="s">
        <v>1837</v>
      </c>
      <c r="C1454" s="33" t="s">
        <v>346</v>
      </c>
      <c r="D1454" s="33" t="s">
        <v>43</v>
      </c>
      <c r="E1454" s="33" t="s">
        <v>1781</v>
      </c>
      <c r="F1454" s="35">
        <v>0.5</v>
      </c>
      <c r="G1454" s="40"/>
      <c r="H1454" s="40"/>
    </row>
    <row r="1455" spans="1:8" hidden="1" x14ac:dyDescent="0.35">
      <c r="A1455" s="33">
        <v>1454</v>
      </c>
      <c r="B1455" s="34" t="s">
        <v>1838</v>
      </c>
      <c r="C1455" s="33" t="s">
        <v>346</v>
      </c>
      <c r="D1455" s="33" t="s">
        <v>43</v>
      </c>
      <c r="E1455" s="33" t="s">
        <v>1781</v>
      </c>
      <c r="F1455" s="35">
        <v>1</v>
      </c>
      <c r="G1455" s="40"/>
      <c r="H1455" s="40"/>
    </row>
    <row r="1456" spans="1:8" hidden="1" x14ac:dyDescent="0.35">
      <c r="A1456" s="33">
        <v>1455</v>
      </c>
      <c r="B1456" s="34" t="s">
        <v>1839</v>
      </c>
      <c r="C1456" s="33" t="s">
        <v>346</v>
      </c>
      <c r="D1456" s="33" t="s">
        <v>43</v>
      </c>
      <c r="E1456" s="33" t="s">
        <v>1781</v>
      </c>
      <c r="F1456" s="35">
        <v>1</v>
      </c>
      <c r="G1456" s="40"/>
      <c r="H1456" s="40"/>
    </row>
    <row r="1457" spans="1:8" hidden="1" x14ac:dyDescent="0.35">
      <c r="A1457" s="33">
        <v>1456</v>
      </c>
      <c r="B1457" s="34" t="s">
        <v>1840</v>
      </c>
      <c r="C1457" s="33" t="s">
        <v>346</v>
      </c>
      <c r="D1457" s="33" t="s">
        <v>43</v>
      </c>
      <c r="E1457" s="33" t="s">
        <v>1781</v>
      </c>
      <c r="F1457" s="35">
        <v>1</v>
      </c>
      <c r="G1457" s="40"/>
      <c r="H1457" s="40"/>
    </row>
    <row r="1458" spans="1:8" hidden="1" x14ac:dyDescent="0.35">
      <c r="A1458" s="33">
        <v>1457</v>
      </c>
      <c r="B1458" s="34" t="s">
        <v>1841</v>
      </c>
      <c r="C1458" s="33" t="s">
        <v>346</v>
      </c>
      <c r="D1458" s="33" t="s">
        <v>43</v>
      </c>
      <c r="E1458" s="33" t="s">
        <v>1781</v>
      </c>
      <c r="F1458" s="35">
        <v>1</v>
      </c>
      <c r="G1458" s="40"/>
      <c r="H1458" s="40"/>
    </row>
    <row r="1459" spans="1:8" hidden="1" x14ac:dyDescent="0.35">
      <c r="A1459" s="33">
        <v>1458</v>
      </c>
      <c r="B1459" s="34" t="s">
        <v>1842</v>
      </c>
      <c r="C1459" s="33" t="s">
        <v>346</v>
      </c>
      <c r="D1459" s="33" t="s">
        <v>43</v>
      </c>
      <c r="E1459" s="33" t="s">
        <v>1781</v>
      </c>
      <c r="F1459" s="35">
        <v>0.5</v>
      </c>
      <c r="G1459" s="40"/>
      <c r="H1459" s="40"/>
    </row>
    <row r="1460" spans="1:8" hidden="1" x14ac:dyDescent="0.35">
      <c r="A1460" s="33">
        <v>1459</v>
      </c>
      <c r="B1460" s="34" t="s">
        <v>1843</v>
      </c>
      <c r="C1460" s="33" t="s">
        <v>346</v>
      </c>
      <c r="D1460" s="33" t="s">
        <v>43</v>
      </c>
      <c r="E1460" s="33" t="s">
        <v>1781</v>
      </c>
      <c r="F1460" s="35">
        <v>0.1</v>
      </c>
      <c r="G1460" s="40"/>
      <c r="H1460" s="40"/>
    </row>
    <row r="1461" spans="1:8" hidden="1" x14ac:dyDescent="0.35">
      <c r="A1461" s="33">
        <v>1460</v>
      </c>
      <c r="B1461" s="34" t="s">
        <v>1844</v>
      </c>
      <c r="C1461" s="33" t="s">
        <v>346</v>
      </c>
      <c r="D1461" s="33" t="s">
        <v>43</v>
      </c>
      <c r="E1461" s="33" t="s">
        <v>1781</v>
      </c>
      <c r="F1461" s="35">
        <v>0.2</v>
      </c>
      <c r="G1461" s="40"/>
      <c r="H1461" s="40"/>
    </row>
    <row r="1462" spans="1:8" hidden="1" x14ac:dyDescent="0.35">
      <c r="A1462" s="33">
        <v>1461</v>
      </c>
      <c r="B1462" s="34" t="s">
        <v>1845</v>
      </c>
      <c r="C1462" s="33" t="s">
        <v>346</v>
      </c>
      <c r="D1462" s="33" t="s">
        <v>43</v>
      </c>
      <c r="E1462" s="33" t="s">
        <v>1781</v>
      </c>
      <c r="F1462" s="35">
        <v>0.1</v>
      </c>
      <c r="G1462" s="40"/>
      <c r="H1462" s="40"/>
    </row>
    <row r="1463" spans="1:8" hidden="1" x14ac:dyDescent="0.35">
      <c r="A1463" s="33">
        <v>1462</v>
      </c>
      <c r="B1463" s="34" t="s">
        <v>1846</v>
      </c>
      <c r="C1463" s="33" t="s">
        <v>346</v>
      </c>
      <c r="D1463" s="33" t="s">
        <v>43</v>
      </c>
      <c r="E1463" s="33" t="s">
        <v>1781</v>
      </c>
      <c r="F1463" s="35">
        <v>0.1</v>
      </c>
      <c r="G1463" s="40"/>
      <c r="H1463" s="40"/>
    </row>
    <row r="1464" spans="1:8" hidden="1" x14ac:dyDescent="0.35">
      <c r="A1464" s="33">
        <v>1463</v>
      </c>
      <c r="B1464" s="34" t="s">
        <v>1847</v>
      </c>
      <c r="C1464" s="33" t="s">
        <v>346</v>
      </c>
      <c r="D1464" s="33" t="s">
        <v>43</v>
      </c>
      <c r="E1464" s="33" t="s">
        <v>1781</v>
      </c>
      <c r="F1464" s="35">
        <v>0.25</v>
      </c>
      <c r="G1464" s="40"/>
      <c r="H1464" s="40"/>
    </row>
    <row r="1465" spans="1:8" hidden="1" x14ac:dyDescent="0.35">
      <c r="A1465" s="33">
        <v>1464</v>
      </c>
      <c r="B1465" s="34" t="s">
        <v>1848</v>
      </c>
      <c r="C1465" s="33" t="s">
        <v>346</v>
      </c>
      <c r="D1465" s="33" t="s">
        <v>43</v>
      </c>
      <c r="E1465" s="33" t="s">
        <v>1781</v>
      </c>
      <c r="F1465" s="35">
        <v>0.5</v>
      </c>
      <c r="G1465" s="40"/>
      <c r="H1465" s="40"/>
    </row>
    <row r="1466" spans="1:8" hidden="1" x14ac:dyDescent="0.35">
      <c r="A1466" s="33">
        <v>1465</v>
      </c>
      <c r="B1466" s="34" t="s">
        <v>1849</v>
      </c>
      <c r="C1466" s="33" t="s">
        <v>346</v>
      </c>
      <c r="D1466" s="33" t="s">
        <v>43</v>
      </c>
      <c r="E1466" s="33" t="s">
        <v>1781</v>
      </c>
      <c r="F1466" s="35">
        <v>1</v>
      </c>
      <c r="G1466" s="40"/>
      <c r="H1466" s="40"/>
    </row>
    <row r="1467" spans="1:8" hidden="1" x14ac:dyDescent="0.35">
      <c r="A1467" s="33">
        <v>1466</v>
      </c>
      <c r="B1467" s="34" t="s">
        <v>1850</v>
      </c>
      <c r="C1467" s="33" t="s">
        <v>346</v>
      </c>
      <c r="D1467" s="33" t="s">
        <v>43</v>
      </c>
      <c r="E1467" s="33" t="s">
        <v>1781</v>
      </c>
      <c r="F1467" s="35">
        <v>0.1</v>
      </c>
      <c r="G1467" s="40"/>
      <c r="H1467" s="40"/>
    </row>
    <row r="1468" spans="1:8" hidden="1" x14ac:dyDescent="0.35">
      <c r="A1468" s="33">
        <v>1467</v>
      </c>
      <c r="B1468" s="34" t="s">
        <v>1851</v>
      </c>
      <c r="C1468" s="33" t="s">
        <v>346</v>
      </c>
      <c r="D1468" s="33" t="s">
        <v>43</v>
      </c>
      <c r="E1468" s="33" t="s">
        <v>1785</v>
      </c>
      <c r="F1468" s="35">
        <v>0.3</v>
      </c>
      <c r="G1468" s="40"/>
      <c r="H1468" s="40"/>
    </row>
    <row r="1469" spans="1:8" hidden="1" x14ac:dyDescent="0.35">
      <c r="A1469" s="33">
        <v>1468</v>
      </c>
      <c r="B1469" s="34" t="s">
        <v>1852</v>
      </c>
      <c r="C1469" s="33" t="s">
        <v>346</v>
      </c>
      <c r="D1469" s="33" t="s">
        <v>43</v>
      </c>
      <c r="E1469" s="33" t="s">
        <v>1785</v>
      </c>
      <c r="F1469" s="35">
        <v>0.6</v>
      </c>
      <c r="G1469" s="40"/>
      <c r="H1469" s="40"/>
    </row>
    <row r="1470" spans="1:8" hidden="1" x14ac:dyDescent="0.35">
      <c r="A1470" s="33">
        <v>1469</v>
      </c>
      <c r="B1470" s="34" t="s">
        <v>1853</v>
      </c>
      <c r="C1470" s="33" t="s">
        <v>346</v>
      </c>
      <c r="D1470" s="33" t="s">
        <v>43</v>
      </c>
      <c r="E1470" s="33" t="s">
        <v>1785</v>
      </c>
      <c r="F1470" s="35">
        <v>0.25</v>
      </c>
      <c r="G1470" s="40"/>
      <c r="H1470" s="40"/>
    </row>
    <row r="1471" spans="1:8" hidden="1" x14ac:dyDescent="0.35">
      <c r="A1471" s="33">
        <v>1470</v>
      </c>
      <c r="B1471" s="34" t="s">
        <v>1854</v>
      </c>
      <c r="C1471" s="33" t="s">
        <v>346</v>
      </c>
      <c r="D1471" s="33" t="s">
        <v>43</v>
      </c>
      <c r="E1471" s="33" t="s">
        <v>1785</v>
      </c>
      <c r="F1471" s="35">
        <v>1</v>
      </c>
      <c r="G1471" s="40"/>
      <c r="H1471" s="40"/>
    </row>
    <row r="1472" spans="1:8" hidden="1" x14ac:dyDescent="0.35">
      <c r="A1472" s="33">
        <v>1471</v>
      </c>
      <c r="B1472" s="34" t="s">
        <v>1855</v>
      </c>
      <c r="C1472" s="33" t="s">
        <v>297</v>
      </c>
      <c r="D1472" s="33" t="s">
        <v>66</v>
      </c>
      <c r="E1472" s="33" t="s">
        <v>1856</v>
      </c>
      <c r="F1472" s="35">
        <v>1</v>
      </c>
      <c r="G1472" s="40"/>
      <c r="H1472" s="40"/>
    </row>
    <row r="1473" spans="1:8" hidden="1" x14ac:dyDescent="0.35">
      <c r="A1473" s="33">
        <v>1472</v>
      </c>
      <c r="B1473" s="34" t="s">
        <v>1857</v>
      </c>
      <c r="C1473" s="33" t="s">
        <v>297</v>
      </c>
      <c r="D1473" s="33" t="s">
        <v>66</v>
      </c>
      <c r="E1473" s="33" t="s">
        <v>1856</v>
      </c>
      <c r="F1473" s="35">
        <v>1</v>
      </c>
      <c r="G1473" s="40"/>
      <c r="H1473" s="40"/>
    </row>
    <row r="1474" spans="1:8" hidden="1" x14ac:dyDescent="0.35">
      <c r="A1474" s="33">
        <v>1473</v>
      </c>
      <c r="B1474" s="34" t="s">
        <v>1858</v>
      </c>
      <c r="C1474" s="33" t="s">
        <v>297</v>
      </c>
      <c r="D1474" s="33" t="s">
        <v>66</v>
      </c>
      <c r="E1474" s="33" t="s">
        <v>1856</v>
      </c>
      <c r="F1474" s="35">
        <v>1</v>
      </c>
      <c r="G1474" s="40"/>
      <c r="H1474" s="40"/>
    </row>
    <row r="1475" spans="1:8" hidden="1" x14ac:dyDescent="0.35">
      <c r="A1475" s="33">
        <v>1474</v>
      </c>
      <c r="B1475" s="34" t="s">
        <v>1859</v>
      </c>
      <c r="C1475" s="33" t="s">
        <v>297</v>
      </c>
      <c r="D1475" s="33" t="s">
        <v>66</v>
      </c>
      <c r="E1475" s="33" t="s">
        <v>1856</v>
      </c>
      <c r="F1475" s="35">
        <v>1</v>
      </c>
      <c r="G1475" s="40"/>
      <c r="H1475" s="40"/>
    </row>
    <row r="1476" spans="1:8" hidden="1" x14ac:dyDescent="0.35">
      <c r="A1476" s="33">
        <v>1475</v>
      </c>
      <c r="B1476" s="34" t="s">
        <v>1860</v>
      </c>
      <c r="C1476" s="33" t="s">
        <v>297</v>
      </c>
      <c r="D1476" s="33" t="s">
        <v>66</v>
      </c>
      <c r="E1476" s="33" t="s">
        <v>1856</v>
      </c>
      <c r="F1476" s="35">
        <v>1</v>
      </c>
      <c r="G1476" s="40"/>
      <c r="H1476" s="40"/>
    </row>
    <row r="1477" spans="1:8" hidden="1" x14ac:dyDescent="0.35">
      <c r="A1477" s="33">
        <v>1476</v>
      </c>
      <c r="B1477" s="34" t="s">
        <v>1856</v>
      </c>
      <c r="C1477" s="33" t="s">
        <v>297</v>
      </c>
      <c r="D1477" s="33" t="s">
        <v>66</v>
      </c>
      <c r="E1477" s="33" t="s">
        <v>1856</v>
      </c>
      <c r="F1477" s="35">
        <v>1</v>
      </c>
      <c r="G1477" s="40"/>
      <c r="H1477" s="40"/>
    </row>
    <row r="1478" spans="1:8" hidden="1" x14ac:dyDescent="0.35">
      <c r="A1478" s="33">
        <v>1477</v>
      </c>
      <c r="B1478" s="34" t="s">
        <v>1861</v>
      </c>
      <c r="C1478" s="33" t="s">
        <v>297</v>
      </c>
      <c r="D1478" s="33" t="s">
        <v>61</v>
      </c>
      <c r="E1478" s="33" t="s">
        <v>344</v>
      </c>
      <c r="F1478" s="35">
        <v>1</v>
      </c>
      <c r="G1478" s="40"/>
      <c r="H1478" s="40"/>
    </row>
    <row r="1479" spans="1:8" hidden="1" x14ac:dyDescent="0.35">
      <c r="A1479" s="33">
        <v>1478</v>
      </c>
      <c r="B1479" s="34" t="s">
        <v>1862</v>
      </c>
      <c r="C1479" s="33" t="s">
        <v>297</v>
      </c>
      <c r="D1479" s="33" t="s">
        <v>61</v>
      </c>
      <c r="E1479" s="33" t="s">
        <v>1863</v>
      </c>
      <c r="F1479" s="35">
        <v>1</v>
      </c>
      <c r="G1479" s="40"/>
      <c r="H1479" s="40"/>
    </row>
    <row r="1480" spans="1:8" hidden="1" x14ac:dyDescent="0.35">
      <c r="A1480" s="33">
        <v>1479</v>
      </c>
      <c r="B1480" s="34" t="s">
        <v>1864</v>
      </c>
      <c r="C1480" s="33" t="s">
        <v>297</v>
      </c>
      <c r="D1480" s="33" t="s">
        <v>61</v>
      </c>
      <c r="E1480" s="33" t="s">
        <v>1863</v>
      </c>
      <c r="F1480" s="35">
        <v>1</v>
      </c>
      <c r="G1480" s="40"/>
      <c r="H1480" s="40"/>
    </row>
    <row r="1481" spans="1:8" hidden="1" x14ac:dyDescent="0.35">
      <c r="A1481" s="33">
        <v>1480</v>
      </c>
      <c r="B1481" s="34" t="s">
        <v>1865</v>
      </c>
      <c r="C1481" s="33" t="s">
        <v>297</v>
      </c>
      <c r="D1481" s="33" t="s">
        <v>61</v>
      </c>
      <c r="E1481" s="33" t="s">
        <v>1863</v>
      </c>
      <c r="F1481" s="35">
        <v>1</v>
      </c>
      <c r="G1481" s="40"/>
      <c r="H1481" s="40"/>
    </row>
    <row r="1482" spans="1:8" hidden="1" x14ac:dyDescent="0.35">
      <c r="A1482" s="33">
        <v>1481</v>
      </c>
      <c r="B1482" s="34" t="s">
        <v>1866</v>
      </c>
      <c r="C1482" s="33" t="s">
        <v>297</v>
      </c>
      <c r="D1482" s="33" t="s">
        <v>61</v>
      </c>
      <c r="E1482" s="33" t="s">
        <v>1863</v>
      </c>
      <c r="F1482" s="35">
        <v>1</v>
      </c>
      <c r="G1482" s="40"/>
      <c r="H1482" s="40"/>
    </row>
    <row r="1483" spans="1:8" hidden="1" x14ac:dyDescent="0.35">
      <c r="A1483" s="33">
        <v>1482</v>
      </c>
      <c r="B1483" s="34" t="s">
        <v>1867</v>
      </c>
      <c r="C1483" s="33" t="s">
        <v>297</v>
      </c>
      <c r="D1483" s="33" t="s">
        <v>61</v>
      </c>
      <c r="E1483" s="33" t="s">
        <v>1863</v>
      </c>
      <c r="F1483" s="35">
        <v>1</v>
      </c>
      <c r="G1483" s="40"/>
      <c r="H1483" s="40"/>
    </row>
    <row r="1484" spans="1:8" hidden="1" x14ac:dyDescent="0.35">
      <c r="A1484" s="33">
        <v>1483</v>
      </c>
      <c r="B1484" s="34" t="s">
        <v>1868</v>
      </c>
      <c r="C1484" s="33" t="s">
        <v>297</v>
      </c>
      <c r="D1484" s="33" t="s">
        <v>61</v>
      </c>
      <c r="E1484" s="33" t="s">
        <v>1863</v>
      </c>
      <c r="F1484" s="35">
        <v>1</v>
      </c>
      <c r="G1484" s="40"/>
      <c r="H1484" s="40"/>
    </row>
    <row r="1485" spans="1:8" hidden="1" x14ac:dyDescent="0.35">
      <c r="A1485" s="33">
        <v>1484</v>
      </c>
      <c r="B1485" s="34" t="s">
        <v>1869</v>
      </c>
      <c r="C1485" s="33" t="s">
        <v>297</v>
      </c>
      <c r="D1485" s="33" t="s">
        <v>61</v>
      </c>
      <c r="E1485" s="33" t="s">
        <v>1863</v>
      </c>
      <c r="F1485" s="35">
        <v>1</v>
      </c>
      <c r="G1485" s="40"/>
      <c r="H1485" s="40"/>
    </row>
    <row r="1486" spans="1:8" hidden="1" x14ac:dyDescent="0.35">
      <c r="A1486" s="33">
        <v>1485</v>
      </c>
      <c r="B1486" s="34" t="s">
        <v>1870</v>
      </c>
      <c r="C1486" s="33" t="s">
        <v>297</v>
      </c>
      <c r="D1486" s="33" t="s">
        <v>61</v>
      </c>
      <c r="E1486" s="33" t="s">
        <v>1863</v>
      </c>
      <c r="F1486" s="35">
        <v>1</v>
      </c>
      <c r="G1486" s="40"/>
      <c r="H1486" s="40"/>
    </row>
    <row r="1487" spans="1:8" hidden="1" x14ac:dyDescent="0.35">
      <c r="A1487" s="33">
        <v>1486</v>
      </c>
      <c r="B1487" s="34" t="s">
        <v>1871</v>
      </c>
      <c r="C1487" s="33" t="s">
        <v>297</v>
      </c>
      <c r="D1487" s="33" t="s">
        <v>61</v>
      </c>
      <c r="E1487" s="33" t="s">
        <v>1863</v>
      </c>
      <c r="F1487" s="35">
        <v>1</v>
      </c>
      <c r="G1487" s="40"/>
      <c r="H1487" s="40"/>
    </row>
    <row r="1488" spans="1:8" hidden="1" x14ac:dyDescent="0.35">
      <c r="A1488" s="33">
        <v>1487</v>
      </c>
      <c r="B1488" s="34" t="s">
        <v>1872</v>
      </c>
      <c r="C1488" s="33" t="s">
        <v>297</v>
      </c>
      <c r="D1488" s="33" t="s">
        <v>61</v>
      </c>
      <c r="E1488" s="33" t="s">
        <v>1863</v>
      </c>
      <c r="F1488" s="35">
        <v>1</v>
      </c>
      <c r="G1488" s="40"/>
      <c r="H1488" s="40"/>
    </row>
    <row r="1489" spans="1:8" hidden="1" x14ac:dyDescent="0.35">
      <c r="A1489" s="33">
        <v>1488</v>
      </c>
      <c r="B1489" s="34" t="s">
        <v>1873</v>
      </c>
      <c r="C1489" s="33" t="s">
        <v>297</v>
      </c>
      <c r="D1489" s="33" t="s">
        <v>61</v>
      </c>
      <c r="E1489" s="33" t="s">
        <v>1863</v>
      </c>
      <c r="F1489" s="35">
        <v>1</v>
      </c>
      <c r="G1489" s="40"/>
      <c r="H1489" s="40"/>
    </row>
    <row r="1490" spans="1:8" hidden="1" x14ac:dyDescent="0.35">
      <c r="A1490" s="33">
        <v>1489</v>
      </c>
      <c r="B1490" s="34" t="s">
        <v>1874</v>
      </c>
      <c r="C1490" s="33" t="s">
        <v>297</v>
      </c>
      <c r="D1490" s="33" t="s">
        <v>61</v>
      </c>
      <c r="E1490" s="33" t="s">
        <v>1863</v>
      </c>
      <c r="F1490" s="35">
        <v>1</v>
      </c>
      <c r="G1490" s="40"/>
      <c r="H1490" s="40"/>
    </row>
    <row r="1491" spans="1:8" hidden="1" x14ac:dyDescent="0.35">
      <c r="A1491" s="33">
        <v>1490</v>
      </c>
      <c r="B1491" s="34" t="s">
        <v>175</v>
      </c>
      <c r="C1491" s="33" t="s">
        <v>297</v>
      </c>
      <c r="D1491" s="33" t="s">
        <v>61</v>
      </c>
      <c r="E1491" s="33" t="s">
        <v>1863</v>
      </c>
      <c r="F1491" s="35">
        <v>1</v>
      </c>
      <c r="G1491" s="40"/>
      <c r="H1491" s="40"/>
    </row>
    <row r="1492" spans="1:8" hidden="1" x14ac:dyDescent="0.35">
      <c r="A1492" s="33">
        <v>1491</v>
      </c>
      <c r="B1492" s="34" t="s">
        <v>1875</v>
      </c>
      <c r="C1492" s="33" t="s">
        <v>297</v>
      </c>
      <c r="D1492" s="33" t="s">
        <v>61</v>
      </c>
      <c r="E1492" s="33" t="s">
        <v>1863</v>
      </c>
      <c r="F1492" s="35">
        <v>1</v>
      </c>
      <c r="G1492" s="40"/>
      <c r="H1492" s="40"/>
    </row>
    <row r="1493" spans="1:8" hidden="1" x14ac:dyDescent="0.35">
      <c r="A1493" s="33">
        <v>1492</v>
      </c>
      <c r="B1493" s="34" t="s">
        <v>1876</v>
      </c>
      <c r="C1493" s="33" t="s">
        <v>297</v>
      </c>
      <c r="D1493" s="33" t="s">
        <v>61</v>
      </c>
      <c r="E1493" s="33" t="s">
        <v>1863</v>
      </c>
      <c r="F1493" s="35">
        <v>1</v>
      </c>
      <c r="G1493" s="40"/>
      <c r="H1493" s="40"/>
    </row>
    <row r="1494" spans="1:8" hidden="1" x14ac:dyDescent="0.35">
      <c r="A1494" s="33">
        <v>1493</v>
      </c>
      <c r="B1494" s="34" t="s">
        <v>1877</v>
      </c>
      <c r="C1494" s="33" t="s">
        <v>297</v>
      </c>
      <c r="D1494" s="33" t="s">
        <v>61</v>
      </c>
      <c r="E1494" s="33" t="s">
        <v>1863</v>
      </c>
      <c r="F1494" s="35">
        <v>1</v>
      </c>
      <c r="G1494" s="40"/>
      <c r="H1494" s="40"/>
    </row>
    <row r="1495" spans="1:8" hidden="1" x14ac:dyDescent="0.35">
      <c r="A1495" s="33">
        <v>1494</v>
      </c>
      <c r="B1495" s="34" t="s">
        <v>1878</v>
      </c>
      <c r="C1495" s="33" t="s">
        <v>297</v>
      </c>
      <c r="D1495" s="33" t="s">
        <v>61</v>
      </c>
      <c r="E1495" s="33" t="s">
        <v>1863</v>
      </c>
      <c r="F1495" s="35">
        <v>1</v>
      </c>
      <c r="G1495" s="40"/>
      <c r="H1495" s="40"/>
    </row>
    <row r="1496" spans="1:8" hidden="1" x14ac:dyDescent="0.35">
      <c r="A1496" s="33">
        <v>1495</v>
      </c>
      <c r="B1496" s="34" t="s">
        <v>1879</v>
      </c>
      <c r="C1496" s="33" t="s">
        <v>297</v>
      </c>
      <c r="D1496" s="33" t="s">
        <v>61</v>
      </c>
      <c r="E1496" s="33" t="s">
        <v>1863</v>
      </c>
      <c r="F1496" s="35">
        <v>1</v>
      </c>
      <c r="G1496" s="40"/>
      <c r="H1496" s="40"/>
    </row>
    <row r="1497" spans="1:8" hidden="1" x14ac:dyDescent="0.35">
      <c r="A1497" s="33">
        <v>1496</v>
      </c>
      <c r="B1497" s="34" t="s">
        <v>1880</v>
      </c>
      <c r="C1497" s="33" t="s">
        <v>297</v>
      </c>
      <c r="D1497" s="33" t="s">
        <v>61</v>
      </c>
      <c r="E1497" s="33" t="s">
        <v>1863</v>
      </c>
      <c r="F1497" s="35">
        <v>1</v>
      </c>
      <c r="G1497" s="40"/>
      <c r="H1497" s="40"/>
    </row>
    <row r="1498" spans="1:8" hidden="1" x14ac:dyDescent="0.35">
      <c r="A1498" s="33">
        <v>1497</v>
      </c>
      <c r="B1498" s="34" t="s">
        <v>1881</v>
      </c>
      <c r="C1498" s="33" t="s">
        <v>297</v>
      </c>
      <c r="D1498" s="33" t="s">
        <v>61</v>
      </c>
      <c r="E1498" s="33" t="s">
        <v>1863</v>
      </c>
      <c r="F1498" s="35">
        <v>1</v>
      </c>
      <c r="G1498" s="40"/>
      <c r="H1498" s="40"/>
    </row>
    <row r="1499" spans="1:8" hidden="1" x14ac:dyDescent="0.35">
      <c r="A1499" s="33">
        <v>1498</v>
      </c>
      <c r="B1499" s="34" t="s">
        <v>1882</v>
      </c>
      <c r="C1499" s="33" t="s">
        <v>297</v>
      </c>
      <c r="D1499" s="33" t="s">
        <v>61</v>
      </c>
      <c r="E1499" s="33" t="s">
        <v>1863</v>
      </c>
      <c r="F1499" s="35">
        <v>1</v>
      </c>
      <c r="G1499" s="40"/>
      <c r="H1499" s="40"/>
    </row>
    <row r="1500" spans="1:8" hidden="1" x14ac:dyDescent="0.35">
      <c r="A1500" s="33">
        <v>1499</v>
      </c>
      <c r="B1500" s="34" t="s">
        <v>1883</v>
      </c>
      <c r="C1500" s="33" t="s">
        <v>297</v>
      </c>
      <c r="D1500" s="33" t="s">
        <v>61</v>
      </c>
      <c r="E1500" s="33" t="s">
        <v>1863</v>
      </c>
      <c r="F1500" s="35">
        <v>1</v>
      </c>
      <c r="G1500" s="40"/>
      <c r="H1500" s="40"/>
    </row>
    <row r="1501" spans="1:8" hidden="1" x14ac:dyDescent="0.35">
      <c r="A1501" s="33">
        <v>1500</v>
      </c>
      <c r="B1501" s="34" t="s">
        <v>1884</v>
      </c>
      <c r="C1501" s="33" t="s">
        <v>297</v>
      </c>
      <c r="D1501" s="33" t="s">
        <v>61</v>
      </c>
      <c r="E1501" s="33" t="s">
        <v>1863</v>
      </c>
      <c r="F1501" s="35">
        <v>1</v>
      </c>
      <c r="G1501" s="40"/>
      <c r="H1501" s="40"/>
    </row>
    <row r="1502" spans="1:8" hidden="1" x14ac:dyDescent="0.35">
      <c r="A1502" s="33">
        <v>1501</v>
      </c>
      <c r="B1502" s="34" t="s">
        <v>1885</v>
      </c>
      <c r="C1502" s="33" t="s">
        <v>297</v>
      </c>
      <c r="D1502" s="33" t="s">
        <v>61</v>
      </c>
      <c r="E1502" s="33" t="s">
        <v>1863</v>
      </c>
      <c r="F1502" s="35">
        <v>1</v>
      </c>
      <c r="G1502" s="40"/>
      <c r="H1502" s="40"/>
    </row>
    <row r="1503" spans="1:8" hidden="1" x14ac:dyDescent="0.35">
      <c r="A1503" s="33">
        <v>1502</v>
      </c>
      <c r="B1503" s="34" t="s">
        <v>1886</v>
      </c>
      <c r="C1503" s="33" t="s">
        <v>297</v>
      </c>
      <c r="D1503" s="33" t="s">
        <v>61</v>
      </c>
      <c r="E1503" s="33" t="s">
        <v>1863</v>
      </c>
      <c r="F1503" s="35">
        <v>1</v>
      </c>
      <c r="G1503" s="40"/>
      <c r="H1503" s="40"/>
    </row>
    <row r="1504" spans="1:8" hidden="1" x14ac:dyDescent="0.35">
      <c r="A1504" s="33">
        <v>1503</v>
      </c>
      <c r="B1504" s="34" t="s">
        <v>1887</v>
      </c>
      <c r="C1504" s="33" t="s">
        <v>297</v>
      </c>
      <c r="D1504" s="33" t="s">
        <v>61</v>
      </c>
      <c r="E1504" s="33" t="s">
        <v>1863</v>
      </c>
      <c r="F1504" s="35">
        <v>1</v>
      </c>
      <c r="G1504" s="40"/>
      <c r="H1504" s="40"/>
    </row>
    <row r="1505" spans="1:8" hidden="1" x14ac:dyDescent="0.35">
      <c r="A1505" s="33">
        <v>1504</v>
      </c>
      <c r="B1505" s="34" t="s">
        <v>1888</v>
      </c>
      <c r="C1505" s="33" t="s">
        <v>297</v>
      </c>
      <c r="D1505" s="33" t="s">
        <v>61</v>
      </c>
      <c r="E1505" s="33" t="s">
        <v>1863</v>
      </c>
      <c r="F1505" s="35">
        <v>1</v>
      </c>
      <c r="G1505" s="40"/>
      <c r="H1505" s="40"/>
    </row>
    <row r="1506" spans="1:8" hidden="1" x14ac:dyDescent="0.35">
      <c r="A1506" s="33">
        <v>1505</v>
      </c>
      <c r="B1506" s="34" t="s">
        <v>1889</v>
      </c>
      <c r="C1506" s="33" t="s">
        <v>297</v>
      </c>
      <c r="D1506" s="33" t="s">
        <v>61</v>
      </c>
      <c r="E1506" s="33" t="s">
        <v>1863</v>
      </c>
      <c r="F1506" s="35">
        <v>1</v>
      </c>
      <c r="G1506" s="40"/>
      <c r="H1506" s="40"/>
    </row>
    <row r="1507" spans="1:8" hidden="1" x14ac:dyDescent="0.35">
      <c r="A1507" s="33">
        <v>1506</v>
      </c>
      <c r="B1507" s="34" t="s">
        <v>1890</v>
      </c>
      <c r="C1507" s="33" t="s">
        <v>297</v>
      </c>
      <c r="D1507" s="33" t="s">
        <v>61</v>
      </c>
      <c r="E1507" s="33" t="s">
        <v>1863</v>
      </c>
      <c r="F1507" s="35">
        <v>1</v>
      </c>
      <c r="G1507" s="40"/>
      <c r="H1507" s="40"/>
    </row>
    <row r="1508" spans="1:8" hidden="1" x14ac:dyDescent="0.35">
      <c r="A1508" s="33">
        <v>1507</v>
      </c>
      <c r="B1508" s="34" t="s">
        <v>1891</v>
      </c>
      <c r="C1508" s="33" t="s">
        <v>297</v>
      </c>
      <c r="D1508" s="33" t="s">
        <v>61</v>
      </c>
      <c r="E1508" s="33" t="s">
        <v>1863</v>
      </c>
      <c r="F1508" s="35">
        <v>1</v>
      </c>
      <c r="G1508" s="40"/>
      <c r="H1508" s="40"/>
    </row>
    <row r="1509" spans="1:8" hidden="1" x14ac:dyDescent="0.35">
      <c r="A1509" s="33">
        <v>1508</v>
      </c>
      <c r="B1509" s="34" t="s">
        <v>1892</v>
      </c>
      <c r="C1509" s="33" t="s">
        <v>297</v>
      </c>
      <c r="D1509" s="33" t="s">
        <v>61</v>
      </c>
      <c r="E1509" s="33" t="s">
        <v>1863</v>
      </c>
      <c r="F1509" s="35">
        <v>1</v>
      </c>
      <c r="G1509" s="40"/>
      <c r="H1509" s="40"/>
    </row>
    <row r="1510" spans="1:8" hidden="1" x14ac:dyDescent="0.35">
      <c r="A1510" s="33">
        <v>1509</v>
      </c>
      <c r="B1510" s="34" t="s">
        <v>1893</v>
      </c>
      <c r="C1510" s="33" t="s">
        <v>297</v>
      </c>
      <c r="D1510" s="33" t="s">
        <v>61</v>
      </c>
      <c r="E1510" s="33" t="s">
        <v>1863</v>
      </c>
      <c r="F1510" s="35">
        <v>1</v>
      </c>
      <c r="G1510" s="40"/>
      <c r="H1510" s="40"/>
    </row>
    <row r="1511" spans="1:8" hidden="1" x14ac:dyDescent="0.35">
      <c r="A1511" s="33">
        <v>1510</v>
      </c>
      <c r="B1511" s="34" t="s">
        <v>1894</v>
      </c>
      <c r="C1511" s="33" t="s">
        <v>297</v>
      </c>
      <c r="D1511" s="33" t="s">
        <v>61</v>
      </c>
      <c r="E1511" s="33" t="s">
        <v>1863</v>
      </c>
      <c r="F1511" s="35">
        <v>1</v>
      </c>
      <c r="G1511" s="40"/>
      <c r="H1511" s="40"/>
    </row>
    <row r="1512" spans="1:8" hidden="1" x14ac:dyDescent="0.35">
      <c r="A1512" s="33">
        <v>1511</v>
      </c>
      <c r="B1512" s="34" t="s">
        <v>1895</v>
      </c>
      <c r="C1512" s="33" t="s">
        <v>297</v>
      </c>
      <c r="D1512" s="33" t="s">
        <v>61</v>
      </c>
      <c r="E1512" s="33" t="s">
        <v>1863</v>
      </c>
      <c r="F1512" s="35">
        <v>1</v>
      </c>
      <c r="G1512" s="40"/>
      <c r="H1512" s="40"/>
    </row>
    <row r="1513" spans="1:8" hidden="1" x14ac:dyDescent="0.35">
      <c r="A1513" s="33">
        <v>1512</v>
      </c>
      <c r="B1513" s="34" t="s">
        <v>1896</v>
      </c>
      <c r="C1513" s="33" t="s">
        <v>297</v>
      </c>
      <c r="D1513" s="33" t="s">
        <v>61</v>
      </c>
      <c r="E1513" s="33" t="s">
        <v>1863</v>
      </c>
      <c r="F1513" s="35">
        <v>1</v>
      </c>
      <c r="G1513" s="40"/>
      <c r="H1513" s="40"/>
    </row>
    <row r="1514" spans="1:8" hidden="1" x14ac:dyDescent="0.35">
      <c r="A1514" s="33">
        <v>1513</v>
      </c>
      <c r="B1514" s="34" t="s">
        <v>1897</v>
      </c>
      <c r="C1514" s="33" t="s">
        <v>297</v>
      </c>
      <c r="D1514" s="33" t="s">
        <v>61</v>
      </c>
      <c r="E1514" s="33" t="s">
        <v>1863</v>
      </c>
      <c r="F1514" s="35">
        <v>1</v>
      </c>
      <c r="G1514" s="40"/>
      <c r="H1514" s="40"/>
    </row>
    <row r="1515" spans="1:8" hidden="1" x14ac:dyDescent="0.35">
      <c r="A1515" s="33">
        <v>1514</v>
      </c>
      <c r="B1515" s="34" t="s">
        <v>1898</v>
      </c>
      <c r="C1515" s="33" t="s">
        <v>297</v>
      </c>
      <c r="D1515" s="33" t="s">
        <v>61</v>
      </c>
      <c r="E1515" s="33" t="s">
        <v>1863</v>
      </c>
      <c r="F1515" s="35">
        <v>1</v>
      </c>
      <c r="G1515" s="40"/>
      <c r="H1515" s="40"/>
    </row>
    <row r="1516" spans="1:8" hidden="1" x14ac:dyDescent="0.35">
      <c r="A1516" s="33">
        <v>1515</v>
      </c>
      <c r="B1516" s="34" t="s">
        <v>1899</v>
      </c>
      <c r="C1516" s="33" t="s">
        <v>297</v>
      </c>
      <c r="D1516" s="33" t="s">
        <v>61</v>
      </c>
      <c r="E1516" s="33" t="s">
        <v>1863</v>
      </c>
      <c r="F1516" s="35">
        <v>1</v>
      </c>
      <c r="G1516" s="40"/>
      <c r="H1516" s="40"/>
    </row>
    <row r="1517" spans="1:8" hidden="1" x14ac:dyDescent="0.35">
      <c r="A1517" s="33">
        <v>1516</v>
      </c>
      <c r="B1517" s="34" t="s">
        <v>1900</v>
      </c>
      <c r="C1517" s="33" t="s">
        <v>297</v>
      </c>
      <c r="D1517" s="33" t="s">
        <v>61</v>
      </c>
      <c r="E1517" s="33" t="s">
        <v>1863</v>
      </c>
      <c r="F1517" s="35">
        <v>1</v>
      </c>
      <c r="G1517" s="40"/>
      <c r="H1517" s="40"/>
    </row>
    <row r="1518" spans="1:8" hidden="1" x14ac:dyDescent="0.35">
      <c r="A1518" s="33">
        <v>1517</v>
      </c>
      <c r="B1518" s="34" t="s">
        <v>1901</v>
      </c>
      <c r="C1518" s="33" t="s">
        <v>297</v>
      </c>
      <c r="D1518" s="33" t="s">
        <v>61</v>
      </c>
      <c r="E1518" s="33" t="s">
        <v>1863</v>
      </c>
      <c r="F1518" s="35">
        <v>1</v>
      </c>
      <c r="G1518" s="40"/>
      <c r="H1518" s="40"/>
    </row>
    <row r="1519" spans="1:8" hidden="1" x14ac:dyDescent="0.35">
      <c r="A1519" s="33">
        <v>1518</v>
      </c>
      <c r="B1519" s="34" t="s">
        <v>1902</v>
      </c>
      <c r="C1519" s="33" t="s">
        <v>297</v>
      </c>
      <c r="D1519" s="33" t="s">
        <v>61</v>
      </c>
      <c r="E1519" s="33" t="s">
        <v>1863</v>
      </c>
      <c r="F1519" s="35">
        <v>1</v>
      </c>
      <c r="G1519" s="40"/>
      <c r="H1519" s="40"/>
    </row>
    <row r="1520" spans="1:8" hidden="1" x14ac:dyDescent="0.35">
      <c r="A1520" s="33">
        <v>1519</v>
      </c>
      <c r="B1520" s="34" t="s">
        <v>1903</v>
      </c>
      <c r="C1520" s="33" t="s">
        <v>297</v>
      </c>
      <c r="D1520" s="33" t="s">
        <v>61</v>
      </c>
      <c r="E1520" s="33" t="s">
        <v>1863</v>
      </c>
      <c r="F1520" s="35">
        <v>1</v>
      </c>
      <c r="G1520" s="40"/>
      <c r="H1520" s="40"/>
    </row>
    <row r="1521" spans="1:8" hidden="1" x14ac:dyDescent="0.35">
      <c r="A1521" s="33">
        <v>1520</v>
      </c>
      <c r="B1521" s="34" t="s">
        <v>1904</v>
      </c>
      <c r="C1521" s="33" t="s">
        <v>297</v>
      </c>
      <c r="D1521" s="33" t="s">
        <v>61</v>
      </c>
      <c r="E1521" s="33" t="s">
        <v>1863</v>
      </c>
      <c r="F1521" s="35">
        <v>1</v>
      </c>
      <c r="G1521" s="40"/>
      <c r="H1521" s="40"/>
    </row>
    <row r="1522" spans="1:8" hidden="1" x14ac:dyDescent="0.35">
      <c r="A1522" s="33">
        <v>1521</v>
      </c>
      <c r="B1522" s="34" t="s">
        <v>1905</v>
      </c>
      <c r="C1522" s="33" t="s">
        <v>297</v>
      </c>
      <c r="D1522" s="33" t="s">
        <v>61</v>
      </c>
      <c r="E1522" s="33" t="s">
        <v>1863</v>
      </c>
      <c r="F1522" s="35">
        <v>1</v>
      </c>
      <c r="G1522" s="40"/>
      <c r="H1522" s="40"/>
    </row>
    <row r="1523" spans="1:8" hidden="1" x14ac:dyDescent="0.35">
      <c r="A1523" s="33">
        <v>1522</v>
      </c>
      <c r="B1523" s="34" t="s">
        <v>1906</v>
      </c>
      <c r="C1523" s="33" t="s">
        <v>297</v>
      </c>
      <c r="D1523" s="33" t="s">
        <v>61</v>
      </c>
      <c r="E1523" s="33" t="s">
        <v>1863</v>
      </c>
      <c r="F1523" s="35">
        <v>1</v>
      </c>
      <c r="G1523" s="40"/>
      <c r="H1523" s="40"/>
    </row>
    <row r="1524" spans="1:8" hidden="1" x14ac:dyDescent="0.35">
      <c r="A1524" s="33">
        <v>1523</v>
      </c>
      <c r="B1524" s="34" t="s">
        <v>1907</v>
      </c>
      <c r="C1524" s="33" t="s">
        <v>297</v>
      </c>
      <c r="D1524" s="33" t="s">
        <v>61</v>
      </c>
      <c r="E1524" s="33" t="s">
        <v>1863</v>
      </c>
      <c r="F1524" s="35">
        <v>1</v>
      </c>
      <c r="G1524" s="40"/>
      <c r="H1524" s="40"/>
    </row>
    <row r="1525" spans="1:8" hidden="1" x14ac:dyDescent="0.35">
      <c r="A1525" s="33">
        <v>1524</v>
      </c>
      <c r="B1525" s="34" t="s">
        <v>1908</v>
      </c>
      <c r="C1525" s="33" t="s">
        <v>297</v>
      </c>
      <c r="D1525" s="33" t="s">
        <v>61</v>
      </c>
      <c r="E1525" s="33" t="s">
        <v>1863</v>
      </c>
      <c r="F1525" s="35">
        <v>1</v>
      </c>
      <c r="G1525" s="40"/>
      <c r="H1525" s="40"/>
    </row>
    <row r="1526" spans="1:8" hidden="1" x14ac:dyDescent="0.35">
      <c r="A1526" s="33">
        <v>1525</v>
      </c>
      <c r="B1526" s="34" t="s">
        <v>1909</v>
      </c>
      <c r="C1526" s="33" t="s">
        <v>297</v>
      </c>
      <c r="D1526" s="33" t="s">
        <v>61</v>
      </c>
      <c r="E1526" s="33" t="s">
        <v>1863</v>
      </c>
      <c r="F1526" s="35">
        <v>1</v>
      </c>
      <c r="G1526" s="40"/>
      <c r="H1526" s="40"/>
    </row>
    <row r="1527" spans="1:8" hidden="1" x14ac:dyDescent="0.35">
      <c r="A1527" s="33">
        <v>1526</v>
      </c>
      <c r="B1527" s="34" t="s">
        <v>1910</v>
      </c>
      <c r="C1527" s="33" t="s">
        <v>297</v>
      </c>
      <c r="D1527" s="33" t="s">
        <v>61</v>
      </c>
      <c r="E1527" s="33" t="s">
        <v>1863</v>
      </c>
      <c r="F1527" s="35">
        <v>1</v>
      </c>
      <c r="G1527" s="40"/>
      <c r="H1527" s="40"/>
    </row>
    <row r="1528" spans="1:8" hidden="1" x14ac:dyDescent="0.35">
      <c r="A1528" s="33">
        <v>1527</v>
      </c>
      <c r="B1528" s="34" t="s">
        <v>1911</v>
      </c>
      <c r="C1528" s="33" t="s">
        <v>297</v>
      </c>
      <c r="D1528" s="33" t="s">
        <v>61</v>
      </c>
      <c r="E1528" s="33" t="s">
        <v>1863</v>
      </c>
      <c r="F1528" s="35">
        <v>1</v>
      </c>
      <c r="G1528" s="40"/>
      <c r="H1528" s="40"/>
    </row>
    <row r="1529" spans="1:8" hidden="1" x14ac:dyDescent="0.35">
      <c r="A1529" s="33">
        <v>1528</v>
      </c>
      <c r="B1529" s="34" t="s">
        <v>1912</v>
      </c>
      <c r="C1529" s="33" t="s">
        <v>297</v>
      </c>
      <c r="D1529" s="33" t="s">
        <v>61</v>
      </c>
      <c r="E1529" s="33" t="s">
        <v>1863</v>
      </c>
      <c r="F1529" s="35">
        <v>1</v>
      </c>
      <c r="G1529" s="40"/>
      <c r="H1529" s="40"/>
    </row>
    <row r="1530" spans="1:8" hidden="1" x14ac:dyDescent="0.35">
      <c r="A1530" s="33">
        <v>1529</v>
      </c>
      <c r="B1530" s="34" t="s">
        <v>1913</v>
      </c>
      <c r="C1530" s="33" t="s">
        <v>297</v>
      </c>
      <c r="D1530" s="33" t="s">
        <v>61</v>
      </c>
      <c r="E1530" s="33" t="s">
        <v>1863</v>
      </c>
      <c r="F1530" s="35">
        <v>1</v>
      </c>
      <c r="G1530" s="40"/>
      <c r="H1530" s="40"/>
    </row>
    <row r="1531" spans="1:8" hidden="1" x14ac:dyDescent="0.35">
      <c r="A1531" s="33">
        <v>1530</v>
      </c>
      <c r="B1531" s="34" t="s">
        <v>1914</v>
      </c>
      <c r="C1531" s="33" t="s">
        <v>297</v>
      </c>
      <c r="D1531" s="33" t="s">
        <v>61</v>
      </c>
      <c r="E1531" s="33" t="s">
        <v>1863</v>
      </c>
      <c r="F1531" s="35">
        <v>1</v>
      </c>
      <c r="G1531" s="40"/>
      <c r="H1531" s="40"/>
    </row>
    <row r="1532" spans="1:8" hidden="1" x14ac:dyDescent="0.35">
      <c r="A1532" s="33">
        <v>1531</v>
      </c>
      <c r="B1532" s="34" t="s">
        <v>1915</v>
      </c>
      <c r="C1532" s="33" t="s">
        <v>297</v>
      </c>
      <c r="D1532" s="33" t="s">
        <v>61</v>
      </c>
      <c r="E1532" s="33" t="s">
        <v>1863</v>
      </c>
      <c r="F1532" s="35">
        <v>1</v>
      </c>
      <c r="G1532" s="40"/>
      <c r="H1532" s="40"/>
    </row>
    <row r="1533" spans="1:8" hidden="1" x14ac:dyDescent="0.35">
      <c r="A1533" s="33">
        <v>1532</v>
      </c>
      <c r="B1533" s="34" t="s">
        <v>1916</v>
      </c>
      <c r="C1533" s="33" t="s">
        <v>297</v>
      </c>
      <c r="D1533" s="33" t="s">
        <v>61</v>
      </c>
      <c r="E1533" s="33" t="s">
        <v>1863</v>
      </c>
      <c r="F1533" s="35">
        <v>1</v>
      </c>
      <c r="G1533" s="40"/>
      <c r="H1533" s="40"/>
    </row>
    <row r="1534" spans="1:8" hidden="1" x14ac:dyDescent="0.35">
      <c r="A1534" s="33">
        <v>1533</v>
      </c>
      <c r="B1534" s="34" t="s">
        <v>1917</v>
      </c>
      <c r="C1534" s="33" t="s">
        <v>297</v>
      </c>
      <c r="D1534" s="33" t="s">
        <v>61</v>
      </c>
      <c r="E1534" s="33" t="s">
        <v>1863</v>
      </c>
      <c r="F1534" s="35">
        <v>1</v>
      </c>
      <c r="G1534" s="40"/>
      <c r="H1534" s="40"/>
    </row>
    <row r="1535" spans="1:8" hidden="1" x14ac:dyDescent="0.35">
      <c r="A1535" s="33">
        <v>1534</v>
      </c>
      <c r="B1535" s="34" t="s">
        <v>1918</v>
      </c>
      <c r="C1535" s="33" t="s">
        <v>297</v>
      </c>
      <c r="D1535" s="33" t="s">
        <v>61</v>
      </c>
      <c r="E1535" s="33" t="s">
        <v>1863</v>
      </c>
      <c r="F1535" s="35">
        <v>1</v>
      </c>
      <c r="G1535" s="40"/>
      <c r="H1535" s="40"/>
    </row>
    <row r="1536" spans="1:8" hidden="1" x14ac:dyDescent="0.35">
      <c r="A1536" s="33">
        <v>1535</v>
      </c>
      <c r="B1536" s="34" t="s">
        <v>1919</v>
      </c>
      <c r="C1536" s="33" t="s">
        <v>297</v>
      </c>
      <c r="D1536" s="33" t="s">
        <v>61</v>
      </c>
      <c r="E1536" s="33" t="s">
        <v>1863</v>
      </c>
      <c r="F1536" s="35">
        <v>1</v>
      </c>
      <c r="G1536" s="40"/>
      <c r="H1536" s="40"/>
    </row>
    <row r="1537" spans="1:8" hidden="1" x14ac:dyDescent="0.35">
      <c r="A1537" s="33">
        <v>1536</v>
      </c>
      <c r="B1537" s="34" t="s">
        <v>1920</v>
      </c>
      <c r="C1537" s="33" t="s">
        <v>297</v>
      </c>
      <c r="D1537" s="33" t="s">
        <v>61</v>
      </c>
      <c r="E1537" s="33" t="s">
        <v>1863</v>
      </c>
      <c r="F1537" s="35">
        <v>1</v>
      </c>
      <c r="G1537" s="40"/>
      <c r="H1537" s="40"/>
    </row>
    <row r="1538" spans="1:8" hidden="1" x14ac:dyDescent="0.35">
      <c r="A1538" s="33">
        <v>1537</v>
      </c>
      <c r="B1538" s="34" t="s">
        <v>1921</v>
      </c>
      <c r="C1538" s="33" t="s">
        <v>297</v>
      </c>
      <c r="D1538" s="33" t="s">
        <v>61</v>
      </c>
      <c r="E1538" s="33" t="s">
        <v>1863</v>
      </c>
      <c r="F1538" s="35">
        <v>1</v>
      </c>
      <c r="G1538" s="40"/>
      <c r="H1538" s="40"/>
    </row>
    <row r="1539" spans="1:8" hidden="1" x14ac:dyDescent="0.35">
      <c r="A1539" s="33">
        <v>1538</v>
      </c>
      <c r="B1539" s="34" t="s">
        <v>1922</v>
      </c>
      <c r="C1539" s="33" t="s">
        <v>297</v>
      </c>
      <c r="D1539" s="33" t="s">
        <v>61</v>
      </c>
      <c r="E1539" s="33" t="s">
        <v>1863</v>
      </c>
      <c r="F1539" s="35">
        <v>1</v>
      </c>
      <c r="G1539" s="40"/>
      <c r="H1539" s="40"/>
    </row>
    <row r="1540" spans="1:8" hidden="1" x14ac:dyDescent="0.35">
      <c r="A1540" s="33">
        <v>1539</v>
      </c>
      <c r="B1540" s="34" t="s">
        <v>1923</v>
      </c>
      <c r="C1540" s="33" t="s">
        <v>297</v>
      </c>
      <c r="D1540" s="33" t="s">
        <v>61</v>
      </c>
      <c r="E1540" s="33" t="s">
        <v>1863</v>
      </c>
      <c r="F1540" s="35">
        <v>1</v>
      </c>
      <c r="G1540" s="40"/>
      <c r="H1540" s="40"/>
    </row>
    <row r="1541" spans="1:8" hidden="1" x14ac:dyDescent="0.35">
      <c r="A1541" s="33">
        <v>1540</v>
      </c>
      <c r="B1541" s="34" t="s">
        <v>1924</v>
      </c>
      <c r="C1541" s="33" t="s">
        <v>297</v>
      </c>
      <c r="D1541" s="33" t="s">
        <v>61</v>
      </c>
      <c r="E1541" s="33" t="s">
        <v>1863</v>
      </c>
      <c r="F1541" s="35">
        <v>1</v>
      </c>
      <c r="G1541" s="40"/>
      <c r="H1541" s="40"/>
    </row>
    <row r="1542" spans="1:8" hidden="1" x14ac:dyDescent="0.35">
      <c r="A1542" s="33">
        <v>1541</v>
      </c>
      <c r="B1542" s="34" t="s">
        <v>1925</v>
      </c>
      <c r="C1542" s="33" t="s">
        <v>297</v>
      </c>
      <c r="D1542" s="33" t="s">
        <v>61</v>
      </c>
      <c r="E1542" s="33" t="s">
        <v>1863</v>
      </c>
      <c r="F1542" s="35">
        <v>1</v>
      </c>
      <c r="G1542" s="40"/>
      <c r="H1542" s="40"/>
    </row>
    <row r="1543" spans="1:8" hidden="1" x14ac:dyDescent="0.35">
      <c r="A1543" s="33">
        <v>1542</v>
      </c>
      <c r="B1543" s="34" t="s">
        <v>1926</v>
      </c>
      <c r="C1543" s="33" t="s">
        <v>297</v>
      </c>
      <c r="D1543" s="33" t="s">
        <v>61</v>
      </c>
      <c r="E1543" s="33" t="s">
        <v>1863</v>
      </c>
      <c r="F1543" s="35">
        <v>1</v>
      </c>
      <c r="G1543" s="40"/>
      <c r="H1543" s="40"/>
    </row>
    <row r="1544" spans="1:8" hidden="1" x14ac:dyDescent="0.35">
      <c r="A1544" s="33">
        <v>1543</v>
      </c>
      <c r="B1544" s="34" t="s">
        <v>1927</v>
      </c>
      <c r="C1544" s="33" t="s">
        <v>297</v>
      </c>
      <c r="D1544" s="33" t="s">
        <v>61</v>
      </c>
      <c r="E1544" s="33" t="s">
        <v>1863</v>
      </c>
      <c r="F1544" s="35">
        <v>1</v>
      </c>
      <c r="G1544" s="40"/>
      <c r="H1544" s="40"/>
    </row>
    <row r="1545" spans="1:8" hidden="1" x14ac:dyDescent="0.35">
      <c r="A1545" s="33">
        <v>1544</v>
      </c>
      <c r="B1545" s="34" t="s">
        <v>1928</v>
      </c>
      <c r="C1545" s="33" t="s">
        <v>297</v>
      </c>
      <c r="D1545" s="33" t="s">
        <v>61</v>
      </c>
      <c r="E1545" s="33" t="s">
        <v>1863</v>
      </c>
      <c r="F1545" s="35">
        <v>1</v>
      </c>
      <c r="G1545" s="40"/>
      <c r="H1545" s="40"/>
    </row>
    <row r="1546" spans="1:8" hidden="1" x14ac:dyDescent="0.35">
      <c r="A1546" s="33">
        <v>1545</v>
      </c>
      <c r="B1546" s="34" t="s">
        <v>1929</v>
      </c>
      <c r="C1546" s="33" t="s">
        <v>297</v>
      </c>
      <c r="D1546" s="33" t="s">
        <v>61</v>
      </c>
      <c r="E1546" s="33" t="s">
        <v>1863</v>
      </c>
      <c r="F1546" s="35">
        <v>1</v>
      </c>
      <c r="G1546" s="40"/>
      <c r="H1546" s="40"/>
    </row>
    <row r="1547" spans="1:8" hidden="1" x14ac:dyDescent="0.35">
      <c r="A1547" s="33">
        <v>1546</v>
      </c>
      <c r="B1547" s="34" t="s">
        <v>1930</v>
      </c>
      <c r="C1547" s="33" t="s">
        <v>297</v>
      </c>
      <c r="D1547" s="33" t="s">
        <v>61</v>
      </c>
      <c r="E1547" s="33" t="s">
        <v>1863</v>
      </c>
      <c r="F1547" s="35">
        <v>1</v>
      </c>
      <c r="G1547" s="40"/>
      <c r="H1547" s="40"/>
    </row>
    <row r="1548" spans="1:8" hidden="1" x14ac:dyDescent="0.35">
      <c r="A1548" s="33">
        <v>1547</v>
      </c>
      <c r="B1548" s="34" t="s">
        <v>1931</v>
      </c>
      <c r="C1548" s="33" t="s">
        <v>297</v>
      </c>
      <c r="D1548" s="33" t="s">
        <v>61</v>
      </c>
      <c r="E1548" s="33" t="s">
        <v>1863</v>
      </c>
      <c r="F1548" s="35">
        <v>1</v>
      </c>
      <c r="G1548" s="40"/>
      <c r="H1548" s="40"/>
    </row>
    <row r="1549" spans="1:8" hidden="1" x14ac:dyDescent="0.35">
      <c r="A1549" s="33">
        <v>1548</v>
      </c>
      <c r="B1549" s="34" t="s">
        <v>1932</v>
      </c>
      <c r="C1549" s="33" t="s">
        <v>297</v>
      </c>
      <c r="D1549" s="33" t="s">
        <v>61</v>
      </c>
      <c r="E1549" s="33" t="s">
        <v>1863</v>
      </c>
      <c r="F1549" s="35">
        <v>1</v>
      </c>
      <c r="G1549" s="40"/>
      <c r="H1549" s="40"/>
    </row>
    <row r="1550" spans="1:8" hidden="1" x14ac:dyDescent="0.35">
      <c r="A1550" s="33">
        <v>1549</v>
      </c>
      <c r="B1550" s="34" t="s">
        <v>1933</v>
      </c>
      <c r="C1550" s="33" t="s">
        <v>297</v>
      </c>
      <c r="D1550" s="33" t="s">
        <v>61</v>
      </c>
      <c r="E1550" s="33" t="s">
        <v>1863</v>
      </c>
      <c r="F1550" s="35">
        <v>1</v>
      </c>
      <c r="G1550" s="40"/>
      <c r="H1550" s="40"/>
    </row>
    <row r="1551" spans="1:8" hidden="1" x14ac:dyDescent="0.35">
      <c r="A1551" s="33">
        <v>1550</v>
      </c>
      <c r="B1551" s="34" t="s">
        <v>1934</v>
      </c>
      <c r="C1551" s="33" t="s">
        <v>297</v>
      </c>
      <c r="D1551" s="33" t="s">
        <v>61</v>
      </c>
      <c r="E1551" s="33" t="s">
        <v>1863</v>
      </c>
      <c r="F1551" s="35">
        <v>1</v>
      </c>
      <c r="G1551" s="40"/>
      <c r="H1551" s="40"/>
    </row>
    <row r="1552" spans="1:8" hidden="1" x14ac:dyDescent="0.35">
      <c r="A1552" s="33">
        <v>1551</v>
      </c>
      <c r="B1552" s="34" t="s">
        <v>1935</v>
      </c>
      <c r="C1552" s="33" t="s">
        <v>297</v>
      </c>
      <c r="D1552" s="33" t="s">
        <v>61</v>
      </c>
      <c r="E1552" s="33" t="s">
        <v>1863</v>
      </c>
      <c r="F1552" s="35">
        <v>1</v>
      </c>
      <c r="G1552" s="40"/>
      <c r="H1552" s="40"/>
    </row>
    <row r="1553" spans="1:8" hidden="1" x14ac:dyDescent="0.35">
      <c r="A1553" s="33">
        <v>1552</v>
      </c>
      <c r="B1553" s="34" t="s">
        <v>1936</v>
      </c>
      <c r="C1553" s="33" t="s">
        <v>297</v>
      </c>
      <c r="D1553" s="33" t="s">
        <v>61</v>
      </c>
      <c r="E1553" s="33" t="s">
        <v>1863</v>
      </c>
      <c r="F1553" s="35">
        <v>1</v>
      </c>
      <c r="G1553" s="40"/>
      <c r="H1553" s="40"/>
    </row>
    <row r="1554" spans="1:8" hidden="1" x14ac:dyDescent="0.35">
      <c r="A1554" s="33">
        <v>1553</v>
      </c>
      <c r="B1554" s="34" t="s">
        <v>1937</v>
      </c>
      <c r="C1554" s="33" t="s">
        <v>297</v>
      </c>
      <c r="D1554" s="33" t="s">
        <v>61</v>
      </c>
      <c r="E1554" s="33" t="s">
        <v>1863</v>
      </c>
      <c r="F1554" s="35">
        <v>1</v>
      </c>
      <c r="G1554" s="40"/>
      <c r="H1554" s="40"/>
    </row>
    <row r="1555" spans="1:8" hidden="1" x14ac:dyDescent="0.35">
      <c r="A1555" s="33">
        <v>1554</v>
      </c>
      <c r="B1555" s="34" t="s">
        <v>169</v>
      </c>
      <c r="C1555" s="33" t="s">
        <v>297</v>
      </c>
      <c r="D1555" s="33" t="s">
        <v>61</v>
      </c>
      <c r="E1555" s="33" t="s">
        <v>1863</v>
      </c>
      <c r="F1555" s="35">
        <v>1</v>
      </c>
      <c r="G1555" s="40"/>
      <c r="H1555" s="40"/>
    </row>
    <row r="1556" spans="1:8" hidden="1" x14ac:dyDescent="0.35">
      <c r="A1556" s="33">
        <v>1555</v>
      </c>
      <c r="B1556" s="34" t="s">
        <v>1938</v>
      </c>
      <c r="C1556" s="33" t="s">
        <v>297</v>
      </c>
      <c r="D1556" s="33" t="s">
        <v>61</v>
      </c>
      <c r="E1556" s="33" t="s">
        <v>1863</v>
      </c>
      <c r="F1556" s="35">
        <v>1</v>
      </c>
      <c r="G1556" s="40"/>
      <c r="H1556" s="40"/>
    </row>
    <row r="1557" spans="1:8" hidden="1" x14ac:dyDescent="0.35">
      <c r="A1557" s="33">
        <v>1556</v>
      </c>
      <c r="B1557" s="34" t="s">
        <v>1939</v>
      </c>
      <c r="C1557" s="33" t="s">
        <v>297</v>
      </c>
      <c r="D1557" s="33" t="s">
        <v>61</v>
      </c>
      <c r="E1557" s="33" t="s">
        <v>1863</v>
      </c>
      <c r="F1557" s="35">
        <v>1</v>
      </c>
      <c r="G1557" s="40"/>
      <c r="H1557" s="40"/>
    </row>
    <row r="1558" spans="1:8" hidden="1" x14ac:dyDescent="0.35">
      <c r="A1558" s="33">
        <v>1557</v>
      </c>
      <c r="B1558" s="34" t="s">
        <v>1940</v>
      </c>
      <c r="C1558" s="33" t="s">
        <v>297</v>
      </c>
      <c r="D1558" s="33" t="s">
        <v>61</v>
      </c>
      <c r="E1558" s="33" t="s">
        <v>1863</v>
      </c>
      <c r="F1558" s="35">
        <v>1</v>
      </c>
      <c r="G1558" s="40"/>
      <c r="H1558" s="40"/>
    </row>
    <row r="1559" spans="1:8" hidden="1" x14ac:dyDescent="0.35">
      <c r="A1559" s="33">
        <v>1558</v>
      </c>
      <c r="B1559" s="34" t="s">
        <v>188</v>
      </c>
      <c r="C1559" s="33" t="s">
        <v>297</v>
      </c>
      <c r="D1559" s="33" t="s">
        <v>61</v>
      </c>
      <c r="E1559" s="33" t="s">
        <v>1863</v>
      </c>
      <c r="F1559" s="35">
        <v>1</v>
      </c>
      <c r="G1559" s="40"/>
      <c r="H1559" s="40"/>
    </row>
    <row r="1560" spans="1:8" hidden="1" x14ac:dyDescent="0.35">
      <c r="A1560" s="33">
        <v>1559</v>
      </c>
      <c r="B1560" s="34" t="s">
        <v>1941</v>
      </c>
      <c r="C1560" s="33" t="s">
        <v>297</v>
      </c>
      <c r="D1560" s="33" t="s">
        <v>61</v>
      </c>
      <c r="E1560" s="33" t="s">
        <v>1863</v>
      </c>
      <c r="F1560" s="35">
        <v>1</v>
      </c>
      <c r="G1560" s="40"/>
      <c r="H1560" s="40"/>
    </row>
    <row r="1561" spans="1:8" hidden="1" x14ac:dyDescent="0.35">
      <c r="A1561" s="33">
        <v>1560</v>
      </c>
      <c r="B1561" s="34" t="s">
        <v>1942</v>
      </c>
      <c r="C1561" s="33" t="s">
        <v>297</v>
      </c>
      <c r="D1561" s="33" t="s">
        <v>61</v>
      </c>
      <c r="E1561" s="33" t="s">
        <v>1863</v>
      </c>
      <c r="F1561" s="35">
        <v>1</v>
      </c>
      <c r="G1561" s="40"/>
      <c r="H1561" s="40"/>
    </row>
    <row r="1562" spans="1:8" hidden="1" x14ac:dyDescent="0.35">
      <c r="A1562" s="33">
        <v>1561</v>
      </c>
      <c r="B1562" s="34" t="s">
        <v>1943</v>
      </c>
      <c r="C1562" s="33" t="s">
        <v>297</v>
      </c>
      <c r="D1562" s="33" t="s">
        <v>61</v>
      </c>
      <c r="E1562" s="33" t="s">
        <v>1863</v>
      </c>
      <c r="F1562" s="35">
        <v>1</v>
      </c>
      <c r="G1562" s="40"/>
      <c r="H1562" s="40"/>
    </row>
    <row r="1563" spans="1:8" hidden="1" x14ac:dyDescent="0.35">
      <c r="A1563" s="33">
        <v>1562</v>
      </c>
      <c r="B1563" s="34" t="s">
        <v>1944</v>
      </c>
      <c r="C1563" s="33" t="s">
        <v>297</v>
      </c>
      <c r="D1563" s="33" t="s">
        <v>61</v>
      </c>
      <c r="E1563" s="33" t="s">
        <v>1863</v>
      </c>
      <c r="F1563" s="35">
        <v>1</v>
      </c>
      <c r="G1563" s="40"/>
      <c r="H1563" s="40"/>
    </row>
    <row r="1564" spans="1:8" hidden="1" x14ac:dyDescent="0.35">
      <c r="A1564" s="33">
        <v>1563</v>
      </c>
      <c r="B1564" s="34" t="s">
        <v>1945</v>
      </c>
      <c r="C1564" s="33" t="s">
        <v>297</v>
      </c>
      <c r="D1564" s="33" t="s">
        <v>61</v>
      </c>
      <c r="E1564" s="33" t="s">
        <v>1863</v>
      </c>
      <c r="F1564" s="35">
        <v>1</v>
      </c>
      <c r="G1564" s="40"/>
      <c r="H1564" s="40"/>
    </row>
    <row r="1565" spans="1:8" hidden="1" x14ac:dyDescent="0.35">
      <c r="A1565" s="33">
        <v>1564</v>
      </c>
      <c r="B1565" s="34" t="s">
        <v>1946</v>
      </c>
      <c r="C1565" s="33" t="s">
        <v>297</v>
      </c>
      <c r="D1565" s="33" t="s">
        <v>61</v>
      </c>
      <c r="E1565" s="33" t="s">
        <v>1863</v>
      </c>
      <c r="F1565" s="35">
        <v>1</v>
      </c>
      <c r="G1565" s="40"/>
      <c r="H1565" s="40"/>
    </row>
    <row r="1566" spans="1:8" hidden="1" x14ac:dyDescent="0.35">
      <c r="A1566" s="33">
        <v>1565</v>
      </c>
      <c r="B1566" s="34" t="s">
        <v>1947</v>
      </c>
      <c r="C1566" s="33" t="s">
        <v>297</v>
      </c>
      <c r="D1566" s="33" t="s">
        <v>61</v>
      </c>
      <c r="E1566" s="33" t="s">
        <v>1863</v>
      </c>
      <c r="F1566" s="35">
        <v>1</v>
      </c>
      <c r="G1566" s="40"/>
      <c r="H1566" s="40"/>
    </row>
    <row r="1567" spans="1:8" hidden="1" x14ac:dyDescent="0.35">
      <c r="A1567" s="33">
        <v>1566</v>
      </c>
      <c r="B1567" s="34" t="s">
        <v>1948</v>
      </c>
      <c r="C1567" s="33" t="s">
        <v>297</v>
      </c>
      <c r="D1567" s="33" t="s">
        <v>61</v>
      </c>
      <c r="E1567" s="33" t="s">
        <v>1863</v>
      </c>
      <c r="F1567" s="35">
        <v>1</v>
      </c>
      <c r="G1567" s="40"/>
      <c r="H1567" s="40"/>
    </row>
    <row r="1568" spans="1:8" hidden="1" x14ac:dyDescent="0.35">
      <c r="A1568" s="33">
        <v>1567</v>
      </c>
      <c r="B1568" s="34" t="s">
        <v>1949</v>
      </c>
      <c r="C1568" s="33" t="s">
        <v>297</v>
      </c>
      <c r="D1568" s="33" t="s">
        <v>61</v>
      </c>
      <c r="E1568" s="33" t="s">
        <v>1863</v>
      </c>
      <c r="F1568" s="35">
        <v>1</v>
      </c>
      <c r="G1568" s="40"/>
      <c r="H1568" s="40"/>
    </row>
    <row r="1569" spans="1:9" x14ac:dyDescent="0.35">
      <c r="A1569" s="33">
        <v>1568</v>
      </c>
      <c r="B1569" s="34" t="s">
        <v>1950</v>
      </c>
      <c r="C1569" s="33" t="s">
        <v>297</v>
      </c>
      <c r="D1569" s="33" t="s">
        <v>13</v>
      </c>
      <c r="E1569" s="33" t="s">
        <v>1951</v>
      </c>
      <c r="F1569" s="35">
        <v>1</v>
      </c>
      <c r="G1569" s="40"/>
      <c r="H1569" s="40">
        <v>12.5</v>
      </c>
      <c r="I1569" s="40" t="s">
        <v>2303</v>
      </c>
    </row>
    <row r="1570" spans="1:9" hidden="1" x14ac:dyDescent="0.35">
      <c r="A1570" s="41">
        <v>1569</v>
      </c>
      <c r="B1570" s="42" t="s">
        <v>1952</v>
      </c>
      <c r="C1570" s="41" t="s">
        <v>297</v>
      </c>
      <c r="D1570" s="41" t="s">
        <v>13</v>
      </c>
      <c r="E1570" s="41" t="s">
        <v>1953</v>
      </c>
      <c r="F1570" s="43">
        <v>1</v>
      </c>
      <c r="G1570" s="44"/>
      <c r="H1570" s="44"/>
    </row>
    <row r="1571" spans="1:9" x14ac:dyDescent="0.35">
      <c r="A1571" s="33">
        <v>1570</v>
      </c>
      <c r="B1571" s="34" t="s">
        <v>1954</v>
      </c>
      <c r="C1571" s="33" t="s">
        <v>297</v>
      </c>
      <c r="D1571" s="33" t="s">
        <v>13</v>
      </c>
      <c r="E1571" s="33" t="s">
        <v>1955</v>
      </c>
      <c r="F1571" s="35">
        <v>1</v>
      </c>
      <c r="G1571" s="40"/>
      <c r="H1571" s="40">
        <v>2.4</v>
      </c>
      <c r="I1571" s="40" t="s">
        <v>2303</v>
      </c>
    </row>
    <row r="1572" spans="1:9" hidden="1" x14ac:dyDescent="0.35">
      <c r="A1572" s="41">
        <v>1571</v>
      </c>
      <c r="B1572" s="42" t="s">
        <v>1956</v>
      </c>
      <c r="C1572" s="41" t="s">
        <v>297</v>
      </c>
      <c r="D1572" s="41" t="s">
        <v>13</v>
      </c>
      <c r="E1572" s="41" t="s">
        <v>1957</v>
      </c>
      <c r="F1572" s="43">
        <v>1</v>
      </c>
      <c r="G1572" s="44"/>
      <c r="H1572" s="44"/>
    </row>
    <row r="1573" spans="1:9" hidden="1" x14ac:dyDescent="0.35">
      <c r="A1573" s="33">
        <v>1572</v>
      </c>
      <c r="B1573" s="34" t="s">
        <v>1958</v>
      </c>
      <c r="C1573" s="33" t="s">
        <v>297</v>
      </c>
      <c r="D1573" s="33" t="s">
        <v>13</v>
      </c>
      <c r="E1573" s="33" t="s">
        <v>1959</v>
      </c>
      <c r="F1573" s="35">
        <v>1</v>
      </c>
      <c r="G1573" s="40"/>
      <c r="H1573" s="40"/>
    </row>
    <row r="1574" spans="1:9" hidden="1" x14ac:dyDescent="0.35">
      <c r="A1574" s="33">
        <v>1573</v>
      </c>
      <c r="B1574" s="34" t="s">
        <v>1960</v>
      </c>
      <c r="C1574" s="33" t="s">
        <v>297</v>
      </c>
      <c r="D1574" s="33" t="s">
        <v>13</v>
      </c>
      <c r="E1574" s="33" t="s">
        <v>1961</v>
      </c>
      <c r="F1574" s="35">
        <v>1</v>
      </c>
      <c r="G1574" s="40"/>
      <c r="H1574" s="40"/>
    </row>
    <row r="1575" spans="1:9" hidden="1" x14ac:dyDescent="0.35">
      <c r="A1575" s="33">
        <v>1574</v>
      </c>
      <c r="B1575" s="34" t="s">
        <v>1962</v>
      </c>
      <c r="C1575" s="33" t="s">
        <v>297</v>
      </c>
      <c r="D1575" s="33" t="s">
        <v>13</v>
      </c>
      <c r="E1575" s="33" t="s">
        <v>1961</v>
      </c>
      <c r="F1575" s="35">
        <v>1</v>
      </c>
      <c r="G1575" s="40"/>
      <c r="H1575" s="40"/>
    </row>
    <row r="1576" spans="1:9" hidden="1" x14ac:dyDescent="0.35">
      <c r="A1576" s="33">
        <v>1575</v>
      </c>
      <c r="B1576" s="34" t="s">
        <v>1963</v>
      </c>
      <c r="C1576" s="33" t="s">
        <v>297</v>
      </c>
      <c r="D1576" s="33" t="s">
        <v>13</v>
      </c>
      <c r="E1576" s="33" t="s">
        <v>1964</v>
      </c>
      <c r="F1576" s="35">
        <v>1</v>
      </c>
      <c r="G1576" s="40"/>
      <c r="H1576" s="40"/>
    </row>
    <row r="1577" spans="1:9" hidden="1" x14ac:dyDescent="0.35">
      <c r="A1577" s="33">
        <v>1576</v>
      </c>
      <c r="B1577" s="34" t="s">
        <v>1965</v>
      </c>
      <c r="C1577" s="33" t="s">
        <v>297</v>
      </c>
      <c r="D1577" s="33" t="s">
        <v>13</v>
      </c>
      <c r="E1577" s="33" t="s">
        <v>344</v>
      </c>
      <c r="F1577" s="35">
        <v>1</v>
      </c>
      <c r="G1577" s="40"/>
      <c r="H1577" s="40"/>
    </row>
    <row r="1578" spans="1:9" hidden="1" x14ac:dyDescent="0.35">
      <c r="A1578" s="33">
        <v>1577</v>
      </c>
      <c r="B1578" s="34" t="s">
        <v>1966</v>
      </c>
      <c r="C1578" s="33" t="s">
        <v>297</v>
      </c>
      <c r="D1578" s="33" t="s">
        <v>13</v>
      </c>
      <c r="E1578" s="33" t="s">
        <v>1967</v>
      </c>
      <c r="F1578" s="35">
        <v>1</v>
      </c>
      <c r="G1578" s="40"/>
      <c r="H1578" s="40"/>
    </row>
    <row r="1579" spans="1:9" x14ac:dyDescent="0.35">
      <c r="A1579" s="33">
        <v>1578</v>
      </c>
      <c r="B1579" s="34" t="s">
        <v>1968</v>
      </c>
      <c r="C1579" s="33" t="s">
        <v>297</v>
      </c>
      <c r="D1579" s="33" t="s">
        <v>13</v>
      </c>
      <c r="E1579" s="33" t="s">
        <v>1969</v>
      </c>
      <c r="F1579" s="35">
        <v>1</v>
      </c>
      <c r="G1579" s="40"/>
      <c r="H1579" s="40">
        <f>1.7+8.2</f>
        <v>9.8999999999999986</v>
      </c>
      <c r="I1579" s="40" t="s">
        <v>2303</v>
      </c>
    </row>
    <row r="1580" spans="1:9" hidden="1" x14ac:dyDescent="0.35">
      <c r="A1580" s="41">
        <v>1579</v>
      </c>
      <c r="B1580" s="42" t="s">
        <v>1970</v>
      </c>
      <c r="C1580" s="41" t="s">
        <v>297</v>
      </c>
      <c r="D1580" s="41" t="s">
        <v>13</v>
      </c>
      <c r="E1580" s="41" t="s">
        <v>1969</v>
      </c>
      <c r="F1580" s="43">
        <v>1</v>
      </c>
      <c r="G1580" s="44"/>
      <c r="H1580" s="44"/>
    </row>
    <row r="1581" spans="1:9" hidden="1" x14ac:dyDescent="0.35">
      <c r="A1581" s="33">
        <v>1580</v>
      </c>
      <c r="B1581" s="34" t="s">
        <v>1971</v>
      </c>
      <c r="C1581" s="33" t="s">
        <v>297</v>
      </c>
      <c r="D1581" s="33" t="s">
        <v>13</v>
      </c>
      <c r="E1581" s="33" t="s">
        <v>1972</v>
      </c>
      <c r="F1581" s="35">
        <v>1</v>
      </c>
      <c r="G1581" s="40"/>
      <c r="H1581" s="40"/>
    </row>
    <row r="1582" spans="1:9" hidden="1" x14ac:dyDescent="0.35">
      <c r="A1582" s="33">
        <v>1581</v>
      </c>
      <c r="B1582" s="34" t="s">
        <v>1973</v>
      </c>
      <c r="C1582" s="33" t="s">
        <v>297</v>
      </c>
      <c r="D1582" s="33" t="s">
        <v>13</v>
      </c>
      <c r="E1582" s="33" t="s">
        <v>1974</v>
      </c>
      <c r="F1582" s="35">
        <v>1</v>
      </c>
      <c r="G1582" s="40"/>
      <c r="H1582" s="40"/>
    </row>
    <row r="1583" spans="1:9" hidden="1" x14ac:dyDescent="0.35">
      <c r="A1583" s="33">
        <v>1582</v>
      </c>
      <c r="B1583" s="34" t="s">
        <v>1975</v>
      </c>
      <c r="C1583" s="33" t="s">
        <v>297</v>
      </c>
      <c r="D1583" s="33" t="s">
        <v>13</v>
      </c>
      <c r="E1583" s="33" t="s">
        <v>1976</v>
      </c>
      <c r="F1583" s="35">
        <v>1</v>
      </c>
      <c r="G1583" s="40"/>
      <c r="H1583" s="40"/>
    </row>
    <row r="1584" spans="1:9" hidden="1" x14ac:dyDescent="0.35">
      <c r="A1584" s="33">
        <v>1583</v>
      </c>
      <c r="B1584" s="34" t="s">
        <v>1977</v>
      </c>
      <c r="C1584" s="33" t="s">
        <v>297</v>
      </c>
      <c r="D1584" s="33" t="s">
        <v>13</v>
      </c>
      <c r="E1584" s="33" t="s">
        <v>1976</v>
      </c>
      <c r="F1584" s="35">
        <v>1</v>
      </c>
      <c r="G1584" s="40"/>
      <c r="H1584" s="40"/>
    </row>
    <row r="1585" spans="1:8" hidden="1" x14ac:dyDescent="0.35">
      <c r="A1585" s="33">
        <v>1584</v>
      </c>
      <c r="B1585" s="34" t="s">
        <v>1978</v>
      </c>
      <c r="C1585" s="33" t="s">
        <v>297</v>
      </c>
      <c r="D1585" s="33" t="s">
        <v>13</v>
      </c>
      <c r="E1585" s="33" t="s">
        <v>1979</v>
      </c>
      <c r="F1585" s="35">
        <v>1</v>
      </c>
      <c r="G1585" s="40"/>
      <c r="H1585" s="40"/>
    </row>
    <row r="1586" spans="1:8" hidden="1" x14ac:dyDescent="0.35">
      <c r="A1586" s="33">
        <v>1585</v>
      </c>
      <c r="B1586" s="34" t="s">
        <v>1980</v>
      </c>
      <c r="C1586" s="33" t="s">
        <v>297</v>
      </c>
      <c r="D1586" s="33" t="s">
        <v>13</v>
      </c>
      <c r="E1586" s="33" t="s">
        <v>1979</v>
      </c>
      <c r="F1586" s="35">
        <v>1</v>
      </c>
      <c r="G1586" s="40"/>
      <c r="H1586" s="40"/>
    </row>
    <row r="1587" spans="1:8" hidden="1" x14ac:dyDescent="0.35">
      <c r="A1587" s="33">
        <v>1586</v>
      </c>
      <c r="B1587" s="34" t="s">
        <v>1981</v>
      </c>
      <c r="C1587" s="33" t="s">
        <v>346</v>
      </c>
      <c r="D1587" s="33" t="s">
        <v>13</v>
      </c>
      <c r="E1587" s="33" t="s">
        <v>1951</v>
      </c>
      <c r="F1587" s="35">
        <v>0.25</v>
      </c>
      <c r="G1587" s="40"/>
      <c r="H1587" s="40"/>
    </row>
    <row r="1588" spans="1:8" hidden="1" x14ac:dyDescent="0.35">
      <c r="A1588" s="33">
        <v>1587</v>
      </c>
      <c r="B1588" s="34" t="s">
        <v>1982</v>
      </c>
      <c r="C1588" s="33" t="s">
        <v>346</v>
      </c>
      <c r="D1588" s="33" t="s">
        <v>13</v>
      </c>
      <c r="E1588" s="33" t="s">
        <v>1951</v>
      </c>
      <c r="F1588" s="35">
        <v>1</v>
      </c>
      <c r="G1588" s="40"/>
      <c r="H1588" s="40"/>
    </row>
    <row r="1589" spans="1:8" hidden="1" x14ac:dyDescent="0.35">
      <c r="A1589" s="33">
        <v>1588</v>
      </c>
      <c r="B1589" s="34" t="s">
        <v>1983</v>
      </c>
      <c r="C1589" s="33" t="s">
        <v>346</v>
      </c>
      <c r="D1589" s="33" t="s">
        <v>13</v>
      </c>
      <c r="E1589" s="33" t="s">
        <v>1951</v>
      </c>
      <c r="F1589" s="35">
        <v>0.1</v>
      </c>
      <c r="G1589" s="40"/>
      <c r="H1589" s="40"/>
    </row>
    <row r="1590" spans="1:8" hidden="1" x14ac:dyDescent="0.35">
      <c r="A1590" s="33">
        <v>1589</v>
      </c>
      <c r="B1590" s="34" t="s">
        <v>1984</v>
      </c>
      <c r="C1590" s="33" t="s">
        <v>346</v>
      </c>
      <c r="D1590" s="33" t="s">
        <v>13</v>
      </c>
      <c r="E1590" s="33" t="s">
        <v>1951</v>
      </c>
      <c r="F1590" s="35">
        <v>0.1</v>
      </c>
      <c r="G1590" s="40"/>
      <c r="H1590" s="40"/>
    </row>
    <row r="1591" spans="1:8" hidden="1" x14ac:dyDescent="0.35">
      <c r="A1591" s="33">
        <v>1590</v>
      </c>
      <c r="B1591" s="34" t="s">
        <v>1985</v>
      </c>
      <c r="C1591" s="33" t="s">
        <v>346</v>
      </c>
      <c r="D1591" s="33" t="s">
        <v>13</v>
      </c>
      <c r="E1591" s="33" t="s">
        <v>1951</v>
      </c>
      <c r="F1591" s="35">
        <v>0.2</v>
      </c>
      <c r="G1591" s="40"/>
      <c r="H1591" s="40"/>
    </row>
    <row r="1592" spans="1:8" hidden="1" x14ac:dyDescent="0.35">
      <c r="A1592" s="33">
        <v>1591</v>
      </c>
      <c r="B1592" s="34" t="s">
        <v>1986</v>
      </c>
      <c r="C1592" s="33" t="s">
        <v>346</v>
      </c>
      <c r="D1592" s="33" t="s">
        <v>13</v>
      </c>
      <c r="E1592" s="33" t="s">
        <v>1951</v>
      </c>
      <c r="F1592" s="35">
        <v>0.5</v>
      </c>
      <c r="G1592" s="40"/>
      <c r="H1592" s="40"/>
    </row>
    <row r="1593" spans="1:8" hidden="1" x14ac:dyDescent="0.35">
      <c r="A1593" s="33">
        <v>1592</v>
      </c>
      <c r="B1593" s="34" t="s">
        <v>1987</v>
      </c>
      <c r="C1593" s="33" t="s">
        <v>346</v>
      </c>
      <c r="D1593" s="33" t="s">
        <v>13</v>
      </c>
      <c r="E1593" s="33" t="s">
        <v>1951</v>
      </c>
      <c r="F1593" s="35">
        <v>0.1</v>
      </c>
      <c r="G1593" s="40"/>
      <c r="H1593" s="40"/>
    </row>
    <row r="1594" spans="1:8" hidden="1" x14ac:dyDescent="0.35">
      <c r="A1594" s="33">
        <v>1593</v>
      </c>
      <c r="B1594" s="34" t="s">
        <v>1988</v>
      </c>
      <c r="C1594" s="33" t="s">
        <v>346</v>
      </c>
      <c r="D1594" s="33" t="s">
        <v>13</v>
      </c>
      <c r="E1594" s="33" t="s">
        <v>1951</v>
      </c>
      <c r="F1594" s="35">
        <v>0.1</v>
      </c>
      <c r="G1594" s="40"/>
      <c r="H1594" s="40"/>
    </row>
    <row r="1595" spans="1:8" hidden="1" x14ac:dyDescent="0.35">
      <c r="A1595" s="33">
        <v>1594</v>
      </c>
      <c r="B1595" s="34" t="s">
        <v>1989</v>
      </c>
      <c r="C1595" s="33" t="s">
        <v>346</v>
      </c>
      <c r="D1595" s="33" t="s">
        <v>13</v>
      </c>
      <c r="E1595" s="33" t="s">
        <v>1951</v>
      </c>
      <c r="F1595" s="35">
        <v>0.2</v>
      </c>
      <c r="G1595" s="40"/>
      <c r="H1595" s="40"/>
    </row>
    <row r="1596" spans="1:8" hidden="1" x14ac:dyDescent="0.35">
      <c r="A1596" s="33">
        <v>1595</v>
      </c>
      <c r="B1596" s="34" t="s">
        <v>1990</v>
      </c>
      <c r="C1596" s="33" t="s">
        <v>346</v>
      </c>
      <c r="D1596" s="33" t="s">
        <v>13</v>
      </c>
      <c r="E1596" s="33" t="s">
        <v>1951</v>
      </c>
      <c r="F1596" s="35">
        <v>1</v>
      </c>
      <c r="G1596" s="40"/>
      <c r="H1596" s="40"/>
    </row>
    <row r="1597" spans="1:8" hidden="1" x14ac:dyDescent="0.35">
      <c r="A1597" s="33">
        <v>1596</v>
      </c>
      <c r="B1597" s="34" t="s">
        <v>1991</v>
      </c>
      <c r="C1597" s="33" t="s">
        <v>346</v>
      </c>
      <c r="D1597" s="33" t="s">
        <v>13</v>
      </c>
      <c r="E1597" s="33" t="s">
        <v>1951</v>
      </c>
      <c r="F1597" s="35">
        <v>0.2</v>
      </c>
      <c r="G1597" s="40"/>
      <c r="H1597" s="40"/>
    </row>
    <row r="1598" spans="1:8" hidden="1" x14ac:dyDescent="0.35">
      <c r="A1598" s="33">
        <v>1597</v>
      </c>
      <c r="B1598" s="34" t="s">
        <v>1992</v>
      </c>
      <c r="C1598" s="33" t="s">
        <v>346</v>
      </c>
      <c r="D1598" s="33" t="s">
        <v>13</v>
      </c>
      <c r="E1598" s="33" t="s">
        <v>1951</v>
      </c>
      <c r="F1598" s="35">
        <v>1</v>
      </c>
      <c r="G1598" s="40"/>
      <c r="H1598" s="40"/>
    </row>
    <row r="1599" spans="1:8" hidden="1" x14ac:dyDescent="0.35">
      <c r="A1599" s="33">
        <v>1598</v>
      </c>
      <c r="B1599" s="34" t="s">
        <v>1993</v>
      </c>
      <c r="C1599" s="33" t="s">
        <v>346</v>
      </c>
      <c r="D1599" s="33" t="s">
        <v>13</v>
      </c>
      <c r="E1599" s="33" t="s">
        <v>1955</v>
      </c>
      <c r="F1599" s="35">
        <v>0.25</v>
      </c>
      <c r="G1599" s="40"/>
      <c r="H1599" s="40"/>
    </row>
    <row r="1600" spans="1:8" hidden="1" x14ac:dyDescent="0.35">
      <c r="A1600" s="33">
        <v>1599</v>
      </c>
      <c r="B1600" s="34" t="s">
        <v>1994</v>
      </c>
      <c r="C1600" s="33" t="s">
        <v>346</v>
      </c>
      <c r="D1600" s="33" t="s">
        <v>13</v>
      </c>
      <c r="E1600" s="33" t="s">
        <v>1955</v>
      </c>
      <c r="F1600" s="35">
        <v>0.1</v>
      </c>
      <c r="G1600" s="40"/>
      <c r="H1600" s="40"/>
    </row>
    <row r="1601" spans="1:8" hidden="1" x14ac:dyDescent="0.35">
      <c r="A1601" s="33">
        <v>1600</v>
      </c>
      <c r="B1601" s="34" t="s">
        <v>1995</v>
      </c>
      <c r="C1601" s="33" t="s">
        <v>346</v>
      </c>
      <c r="D1601" s="33" t="s">
        <v>13</v>
      </c>
      <c r="E1601" s="33" t="s">
        <v>1955</v>
      </c>
      <c r="F1601" s="35">
        <v>0.1</v>
      </c>
      <c r="G1601" s="40"/>
      <c r="H1601" s="40"/>
    </row>
    <row r="1602" spans="1:8" hidden="1" x14ac:dyDescent="0.35">
      <c r="A1602" s="33">
        <v>1601</v>
      </c>
      <c r="B1602" s="34" t="s">
        <v>1996</v>
      </c>
      <c r="C1602" s="33" t="s">
        <v>346</v>
      </c>
      <c r="D1602" s="33" t="s">
        <v>13</v>
      </c>
      <c r="E1602" s="33" t="s">
        <v>1955</v>
      </c>
      <c r="F1602" s="35">
        <v>0.2</v>
      </c>
      <c r="G1602" s="40"/>
      <c r="H1602" s="40"/>
    </row>
    <row r="1603" spans="1:8" hidden="1" x14ac:dyDescent="0.35">
      <c r="A1603" s="33">
        <v>1602</v>
      </c>
      <c r="B1603" s="34" t="s">
        <v>1997</v>
      </c>
      <c r="C1603" s="33" t="s">
        <v>346</v>
      </c>
      <c r="D1603" s="33" t="s">
        <v>13</v>
      </c>
      <c r="E1603" s="33" t="s">
        <v>1955</v>
      </c>
      <c r="F1603" s="35">
        <v>0.5</v>
      </c>
      <c r="G1603" s="40"/>
      <c r="H1603" s="40"/>
    </row>
    <row r="1604" spans="1:8" hidden="1" x14ac:dyDescent="0.35">
      <c r="A1604" s="33">
        <v>1603</v>
      </c>
      <c r="B1604" s="34" t="s">
        <v>1998</v>
      </c>
      <c r="C1604" s="33" t="s">
        <v>346</v>
      </c>
      <c r="D1604" s="33" t="s">
        <v>13</v>
      </c>
      <c r="E1604" s="33" t="s">
        <v>1955</v>
      </c>
      <c r="F1604" s="35">
        <v>0.1</v>
      </c>
      <c r="G1604" s="40"/>
      <c r="H1604" s="40"/>
    </row>
    <row r="1605" spans="1:8" hidden="1" x14ac:dyDescent="0.35">
      <c r="A1605" s="33">
        <v>1604</v>
      </c>
      <c r="B1605" s="34" t="s">
        <v>1999</v>
      </c>
      <c r="C1605" s="33" t="s">
        <v>346</v>
      </c>
      <c r="D1605" s="33" t="s">
        <v>13</v>
      </c>
      <c r="E1605" s="33" t="s">
        <v>1955</v>
      </c>
      <c r="F1605" s="35">
        <v>1</v>
      </c>
      <c r="G1605" s="40"/>
      <c r="H1605" s="40"/>
    </row>
    <row r="1606" spans="1:8" hidden="1" x14ac:dyDescent="0.35">
      <c r="A1606" s="33">
        <v>1605</v>
      </c>
      <c r="B1606" s="34" t="s">
        <v>2000</v>
      </c>
      <c r="C1606" s="33" t="s">
        <v>346</v>
      </c>
      <c r="D1606" s="33" t="s">
        <v>13</v>
      </c>
      <c r="E1606" s="33" t="s">
        <v>2001</v>
      </c>
      <c r="F1606" s="35">
        <v>1</v>
      </c>
      <c r="G1606" s="40"/>
      <c r="H1606" s="40"/>
    </row>
    <row r="1607" spans="1:8" hidden="1" x14ac:dyDescent="0.35">
      <c r="A1607" s="33">
        <v>1606</v>
      </c>
      <c r="B1607" s="34" t="s">
        <v>2002</v>
      </c>
      <c r="C1607" s="33" t="s">
        <v>346</v>
      </c>
      <c r="D1607" s="33" t="s">
        <v>13</v>
      </c>
      <c r="E1607" s="33" t="s">
        <v>1955</v>
      </c>
      <c r="F1607" s="35">
        <v>1</v>
      </c>
      <c r="G1607" s="40"/>
      <c r="H1607" s="40"/>
    </row>
    <row r="1608" spans="1:8" hidden="1" x14ac:dyDescent="0.35">
      <c r="A1608" s="33">
        <v>1607</v>
      </c>
      <c r="B1608" s="34" t="s">
        <v>2003</v>
      </c>
      <c r="C1608" s="33" t="s">
        <v>346</v>
      </c>
      <c r="D1608" s="33" t="s">
        <v>13</v>
      </c>
      <c r="E1608" s="33" t="s">
        <v>1955</v>
      </c>
      <c r="F1608" s="35">
        <v>1</v>
      </c>
      <c r="G1608" s="40"/>
      <c r="H1608" s="40"/>
    </row>
    <row r="1609" spans="1:8" hidden="1" x14ac:dyDescent="0.35">
      <c r="A1609" s="33">
        <v>1608</v>
      </c>
      <c r="B1609" s="34" t="s">
        <v>2004</v>
      </c>
      <c r="C1609" s="33" t="s">
        <v>346</v>
      </c>
      <c r="D1609" s="33" t="s">
        <v>13</v>
      </c>
      <c r="E1609" s="33" t="s">
        <v>2005</v>
      </c>
      <c r="F1609" s="35">
        <v>0.1</v>
      </c>
      <c r="G1609" s="40"/>
      <c r="H1609" s="40"/>
    </row>
    <row r="1610" spans="1:8" hidden="1" x14ac:dyDescent="0.35">
      <c r="A1610" s="33">
        <v>1609</v>
      </c>
      <c r="B1610" s="34" t="s">
        <v>2006</v>
      </c>
      <c r="C1610" s="33" t="s">
        <v>346</v>
      </c>
      <c r="D1610" s="33" t="s">
        <v>13</v>
      </c>
      <c r="E1610" s="33" t="s">
        <v>1967</v>
      </c>
      <c r="F1610" s="35">
        <v>1</v>
      </c>
      <c r="G1610" s="40"/>
      <c r="H1610" s="40"/>
    </row>
    <row r="1611" spans="1:8" hidden="1" x14ac:dyDescent="0.35">
      <c r="A1611" s="33">
        <v>1610</v>
      </c>
      <c r="B1611" s="34" t="s">
        <v>2007</v>
      </c>
      <c r="C1611" s="33" t="s">
        <v>346</v>
      </c>
      <c r="D1611" s="33" t="s">
        <v>13</v>
      </c>
      <c r="E1611" s="33" t="s">
        <v>1967</v>
      </c>
      <c r="F1611" s="35">
        <v>1</v>
      </c>
      <c r="G1611" s="40"/>
      <c r="H1611" s="40"/>
    </row>
    <row r="1612" spans="1:8" hidden="1" x14ac:dyDescent="0.35">
      <c r="A1612" s="33">
        <v>1611</v>
      </c>
      <c r="B1612" s="34" t="s">
        <v>2008</v>
      </c>
      <c r="C1612" s="33" t="s">
        <v>346</v>
      </c>
      <c r="D1612" s="33" t="s">
        <v>13</v>
      </c>
      <c r="E1612" s="33" t="s">
        <v>1967</v>
      </c>
      <c r="F1612" s="35">
        <v>1</v>
      </c>
      <c r="G1612" s="40"/>
      <c r="H1612" s="40"/>
    </row>
    <row r="1613" spans="1:8" hidden="1" x14ac:dyDescent="0.35">
      <c r="A1613" s="33">
        <v>1612</v>
      </c>
      <c r="B1613" s="34" t="s">
        <v>2009</v>
      </c>
      <c r="C1613" s="33" t="s">
        <v>346</v>
      </c>
      <c r="D1613" s="33" t="s">
        <v>13</v>
      </c>
      <c r="E1613" s="33" t="s">
        <v>1969</v>
      </c>
      <c r="F1613" s="35">
        <v>0.25</v>
      </c>
      <c r="G1613" s="40"/>
      <c r="H1613" s="40"/>
    </row>
    <row r="1614" spans="1:8" hidden="1" x14ac:dyDescent="0.35">
      <c r="A1614" s="33">
        <v>1613</v>
      </c>
      <c r="B1614" s="34" t="s">
        <v>2010</v>
      </c>
      <c r="C1614" s="33" t="s">
        <v>346</v>
      </c>
      <c r="D1614" s="33" t="s">
        <v>13</v>
      </c>
      <c r="E1614" s="33" t="s">
        <v>1969</v>
      </c>
      <c r="F1614" s="35">
        <v>0.25</v>
      </c>
      <c r="G1614" s="40"/>
      <c r="H1614" s="40"/>
    </row>
    <row r="1615" spans="1:8" hidden="1" x14ac:dyDescent="0.35">
      <c r="A1615" s="33">
        <v>1614</v>
      </c>
      <c r="B1615" s="34" t="s">
        <v>2011</v>
      </c>
      <c r="C1615" s="33" t="s">
        <v>346</v>
      </c>
      <c r="D1615" s="33" t="s">
        <v>13</v>
      </c>
      <c r="E1615" s="33" t="s">
        <v>1969</v>
      </c>
      <c r="F1615" s="35">
        <v>0.1</v>
      </c>
      <c r="G1615" s="40"/>
      <c r="H1615" s="40"/>
    </row>
    <row r="1616" spans="1:8" hidden="1" x14ac:dyDescent="0.35">
      <c r="A1616" s="33">
        <v>1615</v>
      </c>
      <c r="B1616" s="34" t="s">
        <v>2012</v>
      </c>
      <c r="C1616" s="33" t="s">
        <v>346</v>
      </c>
      <c r="D1616" s="33" t="s">
        <v>13</v>
      </c>
      <c r="E1616" s="33" t="s">
        <v>1969</v>
      </c>
      <c r="F1616" s="35">
        <v>0.1</v>
      </c>
      <c r="G1616" s="40"/>
      <c r="H1616" s="40"/>
    </row>
    <row r="1617" spans="1:8" hidden="1" x14ac:dyDescent="0.35">
      <c r="A1617" s="33">
        <v>1616</v>
      </c>
      <c r="B1617" s="34" t="s">
        <v>2013</v>
      </c>
      <c r="C1617" s="33" t="s">
        <v>346</v>
      </c>
      <c r="D1617" s="33" t="s">
        <v>13</v>
      </c>
      <c r="E1617" s="33" t="s">
        <v>1969</v>
      </c>
      <c r="F1617" s="35">
        <v>0.1</v>
      </c>
      <c r="G1617" s="40"/>
      <c r="H1617" s="40"/>
    </row>
    <row r="1618" spans="1:8" hidden="1" x14ac:dyDescent="0.35">
      <c r="A1618" s="33">
        <v>1617</v>
      </c>
      <c r="B1618" s="34" t="s">
        <v>2014</v>
      </c>
      <c r="C1618" s="33" t="s">
        <v>346</v>
      </c>
      <c r="D1618" s="33" t="s">
        <v>13</v>
      </c>
      <c r="E1618" s="33" t="s">
        <v>1969</v>
      </c>
      <c r="F1618" s="35">
        <v>0.1</v>
      </c>
      <c r="G1618" s="40"/>
      <c r="H1618" s="40"/>
    </row>
    <row r="1619" spans="1:8" hidden="1" x14ac:dyDescent="0.35">
      <c r="A1619" s="33">
        <v>1618</v>
      </c>
      <c r="B1619" s="34" t="s">
        <v>2015</v>
      </c>
      <c r="C1619" s="33" t="s">
        <v>346</v>
      </c>
      <c r="D1619" s="33" t="s">
        <v>13</v>
      </c>
      <c r="E1619" s="33" t="s">
        <v>1969</v>
      </c>
      <c r="F1619" s="35">
        <v>0.2</v>
      </c>
      <c r="G1619" s="40"/>
      <c r="H1619" s="40"/>
    </row>
    <row r="1620" spans="1:8" hidden="1" x14ac:dyDescent="0.35">
      <c r="A1620" s="33">
        <v>1619</v>
      </c>
      <c r="B1620" s="34" t="s">
        <v>2016</v>
      </c>
      <c r="C1620" s="33" t="s">
        <v>346</v>
      </c>
      <c r="D1620" s="33" t="s">
        <v>13</v>
      </c>
      <c r="E1620" s="33" t="s">
        <v>1969</v>
      </c>
      <c r="F1620" s="35">
        <v>1</v>
      </c>
      <c r="G1620" s="40"/>
      <c r="H1620" s="40"/>
    </row>
    <row r="1621" spans="1:8" hidden="1" x14ac:dyDescent="0.35">
      <c r="A1621" s="33">
        <v>1620</v>
      </c>
      <c r="B1621" s="34" t="s">
        <v>2017</v>
      </c>
      <c r="C1621" s="33" t="s">
        <v>346</v>
      </c>
      <c r="D1621" s="33" t="s">
        <v>13</v>
      </c>
      <c r="E1621" s="33" t="s">
        <v>1969</v>
      </c>
      <c r="F1621" s="35">
        <v>0.2</v>
      </c>
      <c r="G1621" s="40"/>
      <c r="H1621" s="40"/>
    </row>
    <row r="1622" spans="1:8" hidden="1" x14ac:dyDescent="0.35">
      <c r="A1622" s="33">
        <v>1621</v>
      </c>
      <c r="B1622" s="34" t="s">
        <v>2018</v>
      </c>
      <c r="C1622" s="33" t="s">
        <v>346</v>
      </c>
      <c r="D1622" s="33" t="s">
        <v>13</v>
      </c>
      <c r="E1622" s="33" t="s">
        <v>1969</v>
      </c>
      <c r="F1622" s="35">
        <v>0.1</v>
      </c>
      <c r="G1622" s="40"/>
      <c r="H1622" s="40"/>
    </row>
    <row r="1623" spans="1:8" hidden="1" x14ac:dyDescent="0.35">
      <c r="A1623" s="33">
        <v>1622</v>
      </c>
      <c r="B1623" s="34" t="s">
        <v>2019</v>
      </c>
      <c r="C1623" s="33" t="s">
        <v>346</v>
      </c>
      <c r="D1623" s="33" t="s">
        <v>13</v>
      </c>
      <c r="E1623" s="33" t="s">
        <v>1969</v>
      </c>
      <c r="F1623" s="35">
        <v>0.5</v>
      </c>
      <c r="G1623" s="40"/>
      <c r="H1623" s="40"/>
    </row>
    <row r="1624" spans="1:8" hidden="1" x14ac:dyDescent="0.35">
      <c r="A1624" s="33">
        <v>1623</v>
      </c>
      <c r="B1624" s="34" t="s">
        <v>2020</v>
      </c>
      <c r="C1624" s="33" t="s">
        <v>346</v>
      </c>
      <c r="D1624" s="33" t="s">
        <v>13</v>
      </c>
      <c r="E1624" s="33" t="s">
        <v>1969</v>
      </c>
      <c r="F1624" s="35">
        <v>1</v>
      </c>
      <c r="G1624" s="40"/>
      <c r="H1624" s="40"/>
    </row>
    <row r="1625" spans="1:8" hidden="1" x14ac:dyDescent="0.35">
      <c r="A1625" s="33">
        <v>1624</v>
      </c>
      <c r="B1625" s="34" t="s">
        <v>2021</v>
      </c>
      <c r="C1625" s="33" t="s">
        <v>346</v>
      </c>
      <c r="D1625" s="33" t="s">
        <v>13</v>
      </c>
      <c r="E1625" s="33" t="s">
        <v>1969</v>
      </c>
      <c r="F1625" s="35">
        <v>1</v>
      </c>
      <c r="G1625" s="40"/>
      <c r="H1625" s="40"/>
    </row>
    <row r="1626" spans="1:8" hidden="1" x14ac:dyDescent="0.35">
      <c r="A1626" s="33">
        <v>1625</v>
      </c>
      <c r="B1626" s="34" t="s">
        <v>2022</v>
      </c>
      <c r="C1626" s="33" t="s">
        <v>346</v>
      </c>
      <c r="D1626" s="33" t="s">
        <v>13</v>
      </c>
      <c r="E1626" s="33" t="s">
        <v>1969</v>
      </c>
      <c r="F1626" s="35">
        <v>0.2</v>
      </c>
      <c r="G1626" s="40"/>
      <c r="H1626" s="40"/>
    </row>
    <row r="1627" spans="1:8" hidden="1" x14ac:dyDescent="0.35">
      <c r="A1627" s="33">
        <v>1626</v>
      </c>
      <c r="B1627" s="34" t="s">
        <v>2023</v>
      </c>
      <c r="C1627" s="33" t="s">
        <v>346</v>
      </c>
      <c r="D1627" s="33" t="s">
        <v>13</v>
      </c>
      <c r="E1627" s="33" t="s">
        <v>1969</v>
      </c>
      <c r="F1627" s="35">
        <v>1</v>
      </c>
      <c r="G1627" s="40"/>
      <c r="H1627" s="40"/>
    </row>
    <row r="1628" spans="1:8" hidden="1" x14ac:dyDescent="0.35">
      <c r="A1628" s="33">
        <v>1627</v>
      </c>
      <c r="B1628" s="34" t="s">
        <v>2024</v>
      </c>
      <c r="C1628" s="33" t="s">
        <v>346</v>
      </c>
      <c r="D1628" s="33" t="s">
        <v>13</v>
      </c>
      <c r="E1628" s="33" t="s">
        <v>1976</v>
      </c>
      <c r="F1628" s="35">
        <v>1</v>
      </c>
      <c r="G1628" s="40"/>
      <c r="H1628" s="40"/>
    </row>
    <row r="1629" spans="1:8" hidden="1" x14ac:dyDescent="0.35">
      <c r="A1629" s="33">
        <v>1628</v>
      </c>
      <c r="B1629" s="34" t="s">
        <v>2025</v>
      </c>
      <c r="C1629" s="33" t="s">
        <v>346</v>
      </c>
      <c r="D1629" s="33" t="s">
        <v>13</v>
      </c>
      <c r="E1629" s="33" t="s">
        <v>1976</v>
      </c>
      <c r="F1629" s="35">
        <v>0.25</v>
      </c>
      <c r="G1629" s="40"/>
      <c r="H1629" s="40"/>
    </row>
    <row r="1630" spans="1:8" hidden="1" x14ac:dyDescent="0.35">
      <c r="A1630" s="33">
        <v>1629</v>
      </c>
      <c r="B1630" s="34" t="s">
        <v>2026</v>
      </c>
      <c r="C1630" s="33" t="s">
        <v>346</v>
      </c>
      <c r="D1630" s="33" t="s">
        <v>13</v>
      </c>
      <c r="E1630" s="33" t="s">
        <v>1976</v>
      </c>
      <c r="F1630" s="35">
        <v>0.1</v>
      </c>
      <c r="G1630" s="40"/>
      <c r="H1630" s="40"/>
    </row>
    <row r="1631" spans="1:8" hidden="1" x14ac:dyDescent="0.35">
      <c r="A1631" s="33">
        <v>1630</v>
      </c>
      <c r="B1631" s="34" t="s">
        <v>2027</v>
      </c>
      <c r="C1631" s="33" t="s">
        <v>346</v>
      </c>
      <c r="D1631" s="33" t="s">
        <v>13</v>
      </c>
      <c r="E1631" s="33" t="s">
        <v>1976</v>
      </c>
      <c r="F1631" s="35">
        <v>0.1</v>
      </c>
      <c r="G1631" s="40"/>
      <c r="H1631" s="40"/>
    </row>
    <row r="1632" spans="1:8" hidden="1" x14ac:dyDescent="0.35">
      <c r="A1632" s="33">
        <v>1631</v>
      </c>
      <c r="B1632" s="34" t="s">
        <v>2028</v>
      </c>
      <c r="C1632" s="33" t="s">
        <v>346</v>
      </c>
      <c r="D1632" s="33" t="s">
        <v>13</v>
      </c>
      <c r="E1632" s="33" t="s">
        <v>1976</v>
      </c>
      <c r="F1632" s="35">
        <v>0.1</v>
      </c>
      <c r="G1632" s="40"/>
      <c r="H1632" s="40"/>
    </row>
    <row r="1633" spans="1:9" hidden="1" x14ac:dyDescent="0.35">
      <c r="A1633" s="33">
        <v>1632</v>
      </c>
      <c r="B1633" s="34" t="s">
        <v>2029</v>
      </c>
      <c r="C1633" s="33" t="s">
        <v>346</v>
      </c>
      <c r="D1633" s="33" t="s">
        <v>13</v>
      </c>
      <c r="E1633" s="33" t="s">
        <v>1976</v>
      </c>
      <c r="F1633" s="35">
        <v>0.1</v>
      </c>
      <c r="G1633" s="40"/>
      <c r="H1633" s="40"/>
    </row>
    <row r="1634" spans="1:9" x14ac:dyDescent="0.35">
      <c r="A1634" s="33">
        <v>1633</v>
      </c>
      <c r="B1634" s="34" t="s">
        <v>2030</v>
      </c>
      <c r="C1634" s="33" t="s">
        <v>346</v>
      </c>
      <c r="D1634" s="33" t="s">
        <v>13</v>
      </c>
      <c r="E1634" s="33" t="s">
        <v>1976</v>
      </c>
      <c r="F1634" s="35">
        <v>0.2</v>
      </c>
      <c r="G1634" s="40">
        <v>300</v>
      </c>
      <c r="H1634" s="40">
        <f>+G1634*F1634</f>
        <v>60</v>
      </c>
      <c r="I1634" s="40" t="s">
        <v>2305</v>
      </c>
    </row>
    <row r="1635" spans="1:9" hidden="1" x14ac:dyDescent="0.35">
      <c r="A1635" s="41">
        <v>1634</v>
      </c>
      <c r="B1635" s="42" t="s">
        <v>2031</v>
      </c>
      <c r="C1635" s="41" t="s">
        <v>346</v>
      </c>
      <c r="D1635" s="41" t="s">
        <v>13</v>
      </c>
      <c r="E1635" s="41" t="s">
        <v>1976</v>
      </c>
      <c r="F1635" s="43">
        <v>1</v>
      </c>
      <c r="G1635" s="44"/>
      <c r="H1635" s="44"/>
    </row>
    <row r="1636" spans="1:9" hidden="1" x14ac:dyDescent="0.35">
      <c r="A1636" s="33">
        <v>1635</v>
      </c>
      <c r="B1636" s="34" t="s">
        <v>2032</v>
      </c>
      <c r="C1636" s="33" t="s">
        <v>346</v>
      </c>
      <c r="D1636" s="33" t="s">
        <v>13</v>
      </c>
      <c r="E1636" s="33" t="s">
        <v>1976</v>
      </c>
      <c r="F1636" s="35">
        <v>0.1</v>
      </c>
      <c r="G1636" s="40"/>
      <c r="H1636" s="40"/>
    </row>
    <row r="1637" spans="1:9" hidden="1" x14ac:dyDescent="0.35">
      <c r="A1637" s="33">
        <v>1636</v>
      </c>
      <c r="B1637" s="34" t="s">
        <v>2033</v>
      </c>
      <c r="C1637" s="33" t="s">
        <v>346</v>
      </c>
      <c r="D1637" s="33" t="s">
        <v>13</v>
      </c>
      <c r="E1637" s="33" t="s">
        <v>1976</v>
      </c>
      <c r="F1637" s="35">
        <v>0.2</v>
      </c>
      <c r="G1637" s="40"/>
      <c r="H1637" s="40"/>
    </row>
    <row r="1638" spans="1:9" hidden="1" x14ac:dyDescent="0.35">
      <c r="A1638" s="33">
        <v>1637</v>
      </c>
      <c r="B1638" s="34" t="s">
        <v>2034</v>
      </c>
      <c r="C1638" s="33" t="s">
        <v>346</v>
      </c>
      <c r="D1638" s="33" t="s">
        <v>13</v>
      </c>
      <c r="E1638" s="33" t="s">
        <v>1976</v>
      </c>
      <c r="F1638" s="35">
        <v>1</v>
      </c>
      <c r="G1638" s="40"/>
      <c r="H1638" s="40"/>
    </row>
    <row r="1639" spans="1:9" hidden="1" x14ac:dyDescent="0.35">
      <c r="A1639" s="33">
        <v>1638</v>
      </c>
      <c r="B1639" s="34" t="s">
        <v>2035</v>
      </c>
      <c r="C1639" s="33" t="s">
        <v>346</v>
      </c>
      <c r="D1639" s="33" t="s">
        <v>13</v>
      </c>
      <c r="E1639" s="33" t="s">
        <v>1976</v>
      </c>
      <c r="F1639" s="35">
        <v>0.5</v>
      </c>
      <c r="G1639" s="40"/>
      <c r="H1639" s="40"/>
    </row>
    <row r="1640" spans="1:9" hidden="1" x14ac:dyDescent="0.35">
      <c r="A1640" s="33">
        <v>1639</v>
      </c>
      <c r="B1640" s="34" t="s">
        <v>2036</v>
      </c>
      <c r="C1640" s="33" t="s">
        <v>346</v>
      </c>
      <c r="D1640" s="33" t="s">
        <v>13</v>
      </c>
      <c r="E1640" s="33" t="s">
        <v>1979</v>
      </c>
      <c r="F1640" s="35">
        <v>0.1</v>
      </c>
      <c r="G1640" s="40"/>
      <c r="H1640" s="40"/>
    </row>
    <row r="1641" spans="1:9" x14ac:dyDescent="0.35">
      <c r="A1641" s="33">
        <v>1640</v>
      </c>
      <c r="B1641" s="34" t="s">
        <v>2037</v>
      </c>
      <c r="C1641" s="33" t="s">
        <v>346</v>
      </c>
      <c r="D1641" s="33" t="s">
        <v>13</v>
      </c>
      <c r="E1641" s="33" t="s">
        <v>1979</v>
      </c>
      <c r="F1641" s="35">
        <v>0.2</v>
      </c>
      <c r="G1641" s="40">
        <v>50</v>
      </c>
      <c r="H1641" s="40">
        <f>+G1641*F1641</f>
        <v>10</v>
      </c>
      <c r="I1641" s="40" t="s">
        <v>2305</v>
      </c>
    </row>
    <row r="1642" spans="1:9" hidden="1" x14ac:dyDescent="0.35">
      <c r="A1642" s="41">
        <v>1641</v>
      </c>
      <c r="B1642" s="42" t="s">
        <v>2038</v>
      </c>
      <c r="C1642" s="41" t="s">
        <v>346</v>
      </c>
      <c r="D1642" s="41" t="s">
        <v>13</v>
      </c>
      <c r="E1642" s="41" t="s">
        <v>1979</v>
      </c>
      <c r="F1642" s="43">
        <v>1</v>
      </c>
      <c r="G1642" s="44"/>
      <c r="H1642" s="44"/>
    </row>
    <row r="1643" spans="1:9" hidden="1" x14ac:dyDescent="0.35">
      <c r="A1643" s="33">
        <v>1642</v>
      </c>
      <c r="B1643" s="34" t="s">
        <v>2039</v>
      </c>
      <c r="C1643" s="33" t="s">
        <v>297</v>
      </c>
      <c r="D1643" s="33" t="s">
        <v>2040</v>
      </c>
      <c r="E1643" s="33" t="s">
        <v>2041</v>
      </c>
      <c r="F1643" s="35">
        <v>1</v>
      </c>
      <c r="G1643" s="40"/>
      <c r="H1643" s="40"/>
    </row>
    <row r="1644" spans="1:9" hidden="1" x14ac:dyDescent="0.35">
      <c r="A1644" s="33">
        <v>1643</v>
      </c>
      <c r="B1644" s="34" t="s">
        <v>2042</v>
      </c>
      <c r="C1644" s="33" t="s">
        <v>297</v>
      </c>
      <c r="D1644" s="33" t="s">
        <v>2040</v>
      </c>
      <c r="E1644" s="33" t="s">
        <v>2041</v>
      </c>
      <c r="F1644" s="35">
        <v>1</v>
      </c>
      <c r="G1644" s="40"/>
      <c r="H1644" s="40"/>
    </row>
    <row r="1645" spans="1:9" hidden="1" x14ac:dyDescent="0.35">
      <c r="A1645" s="33">
        <v>1644</v>
      </c>
      <c r="B1645" s="34" t="s">
        <v>2043</v>
      </c>
      <c r="C1645" s="33" t="s">
        <v>297</v>
      </c>
      <c r="D1645" s="33" t="s">
        <v>2040</v>
      </c>
      <c r="E1645" s="33" t="s">
        <v>2041</v>
      </c>
      <c r="F1645" s="35">
        <v>1</v>
      </c>
      <c r="G1645" s="40"/>
      <c r="H1645" s="40"/>
    </row>
    <row r="1646" spans="1:9" hidden="1" x14ac:dyDescent="0.35">
      <c r="A1646" s="33">
        <v>1645</v>
      </c>
      <c r="B1646" s="34" t="s">
        <v>2044</v>
      </c>
      <c r="C1646" s="33" t="s">
        <v>297</v>
      </c>
      <c r="D1646" s="33" t="s">
        <v>2040</v>
      </c>
      <c r="E1646" s="33" t="s">
        <v>2045</v>
      </c>
      <c r="F1646" s="35">
        <v>1</v>
      </c>
      <c r="G1646" s="40"/>
      <c r="H1646" s="40"/>
    </row>
    <row r="1647" spans="1:9" hidden="1" x14ac:dyDescent="0.35">
      <c r="A1647" s="33">
        <v>1646</v>
      </c>
      <c r="B1647" s="34" t="s">
        <v>2046</v>
      </c>
      <c r="C1647" s="33" t="s">
        <v>297</v>
      </c>
      <c r="D1647" s="33" t="s">
        <v>2040</v>
      </c>
      <c r="E1647" s="33" t="s">
        <v>2045</v>
      </c>
      <c r="F1647" s="35">
        <v>1</v>
      </c>
      <c r="G1647" s="40"/>
      <c r="H1647" s="40"/>
    </row>
    <row r="1648" spans="1:9" hidden="1" x14ac:dyDescent="0.35">
      <c r="A1648" s="33">
        <v>1647</v>
      </c>
      <c r="B1648" s="34" t="s">
        <v>2047</v>
      </c>
      <c r="C1648" s="33" t="s">
        <v>297</v>
      </c>
      <c r="D1648" s="33" t="s">
        <v>2040</v>
      </c>
      <c r="E1648" s="33" t="s">
        <v>2045</v>
      </c>
      <c r="F1648" s="35">
        <v>1</v>
      </c>
      <c r="G1648" s="40"/>
      <c r="H1648" s="40"/>
    </row>
    <row r="1649" spans="1:8" hidden="1" x14ac:dyDescent="0.35">
      <c r="A1649" s="33">
        <v>1648</v>
      </c>
      <c r="B1649" s="34" t="s">
        <v>2048</v>
      </c>
      <c r="C1649" s="33" t="s">
        <v>297</v>
      </c>
      <c r="D1649" s="33" t="s">
        <v>2040</v>
      </c>
      <c r="E1649" s="33" t="s">
        <v>2045</v>
      </c>
      <c r="F1649" s="35">
        <v>1</v>
      </c>
      <c r="G1649" s="40"/>
      <c r="H1649" s="40"/>
    </row>
    <row r="1650" spans="1:8" hidden="1" x14ac:dyDescent="0.35">
      <c r="A1650" s="33">
        <v>1649</v>
      </c>
      <c r="B1650" s="34" t="s">
        <v>2049</v>
      </c>
      <c r="C1650" s="33" t="s">
        <v>297</v>
      </c>
      <c r="D1650" s="33" t="s">
        <v>2040</v>
      </c>
      <c r="E1650" s="33" t="s">
        <v>2045</v>
      </c>
      <c r="F1650" s="35">
        <v>1</v>
      </c>
      <c r="G1650" s="40"/>
      <c r="H1650" s="40"/>
    </row>
    <row r="1651" spans="1:8" hidden="1" x14ac:dyDescent="0.35">
      <c r="A1651" s="33">
        <v>1650</v>
      </c>
      <c r="B1651" s="34" t="s">
        <v>2050</v>
      </c>
      <c r="C1651" s="33" t="s">
        <v>297</v>
      </c>
      <c r="D1651" s="33" t="s">
        <v>2040</v>
      </c>
      <c r="E1651" s="33" t="s">
        <v>2045</v>
      </c>
      <c r="F1651" s="35">
        <v>1</v>
      </c>
      <c r="G1651" s="40"/>
      <c r="H1651" s="40"/>
    </row>
    <row r="1652" spans="1:8" hidden="1" x14ac:dyDescent="0.35">
      <c r="A1652" s="33">
        <v>1651</v>
      </c>
      <c r="B1652" s="34" t="s">
        <v>2051</v>
      </c>
      <c r="C1652" s="33" t="s">
        <v>297</v>
      </c>
      <c r="D1652" s="33" t="s">
        <v>2040</v>
      </c>
      <c r="E1652" s="33" t="s">
        <v>2045</v>
      </c>
      <c r="F1652" s="35">
        <v>1</v>
      </c>
      <c r="G1652" s="40"/>
      <c r="H1652" s="40"/>
    </row>
    <row r="1653" spans="1:8" hidden="1" x14ac:dyDescent="0.35">
      <c r="A1653" s="33">
        <v>1652</v>
      </c>
      <c r="B1653" s="34" t="s">
        <v>2052</v>
      </c>
      <c r="C1653" s="33" t="s">
        <v>297</v>
      </c>
      <c r="D1653" s="33" t="s">
        <v>2040</v>
      </c>
      <c r="E1653" s="33" t="s">
        <v>2045</v>
      </c>
      <c r="F1653" s="35">
        <v>1</v>
      </c>
      <c r="G1653" s="40"/>
      <c r="H1653" s="40"/>
    </row>
    <row r="1654" spans="1:8" hidden="1" x14ac:dyDescent="0.35">
      <c r="A1654" s="33">
        <v>1653</v>
      </c>
      <c r="B1654" s="34" t="s">
        <v>2053</v>
      </c>
      <c r="C1654" s="33" t="s">
        <v>346</v>
      </c>
      <c r="D1654" s="33" t="s">
        <v>2040</v>
      </c>
      <c r="E1654" s="33" t="s">
        <v>2045</v>
      </c>
      <c r="F1654" s="35">
        <v>5.0000000000000001E-4</v>
      </c>
      <c r="G1654" s="40"/>
      <c r="H1654" s="40"/>
    </row>
    <row r="1655" spans="1:8" hidden="1" x14ac:dyDescent="0.35">
      <c r="A1655" s="33">
        <v>1654</v>
      </c>
      <c r="B1655" s="34" t="s">
        <v>2054</v>
      </c>
      <c r="C1655" s="33" t="s">
        <v>297</v>
      </c>
      <c r="D1655" s="33" t="s">
        <v>33</v>
      </c>
      <c r="E1655" s="33" t="s">
        <v>2055</v>
      </c>
      <c r="F1655" s="35">
        <v>1</v>
      </c>
      <c r="G1655" s="40"/>
      <c r="H1655" s="40"/>
    </row>
    <row r="1656" spans="1:8" hidden="1" x14ac:dyDescent="0.35">
      <c r="A1656" s="33">
        <v>1655</v>
      </c>
      <c r="B1656" s="34" t="s">
        <v>2056</v>
      </c>
      <c r="C1656" s="33" t="s">
        <v>297</v>
      </c>
      <c r="D1656" s="33" t="s">
        <v>33</v>
      </c>
      <c r="E1656" s="33" t="s">
        <v>2055</v>
      </c>
      <c r="F1656" s="35">
        <v>1</v>
      </c>
      <c r="G1656" s="40"/>
      <c r="H1656" s="40"/>
    </row>
    <row r="1657" spans="1:8" hidden="1" x14ac:dyDescent="0.35">
      <c r="A1657" s="33">
        <v>1656</v>
      </c>
      <c r="B1657" s="34" t="s">
        <v>2057</v>
      </c>
      <c r="C1657" s="33" t="s">
        <v>297</v>
      </c>
      <c r="D1657" s="33" t="s">
        <v>33</v>
      </c>
      <c r="E1657" s="33" t="s">
        <v>2058</v>
      </c>
      <c r="F1657" s="35">
        <v>1</v>
      </c>
      <c r="G1657" s="40"/>
      <c r="H1657" s="40"/>
    </row>
    <row r="1658" spans="1:8" hidden="1" x14ac:dyDescent="0.35">
      <c r="A1658" s="33">
        <v>1657</v>
      </c>
      <c r="B1658" s="34" t="s">
        <v>2059</v>
      </c>
      <c r="C1658" s="33" t="s">
        <v>297</v>
      </c>
      <c r="D1658" s="33" t="s">
        <v>33</v>
      </c>
      <c r="E1658" s="33" t="s">
        <v>2058</v>
      </c>
      <c r="F1658" s="35">
        <v>1</v>
      </c>
      <c r="G1658" s="40"/>
      <c r="H1658" s="40"/>
    </row>
    <row r="1659" spans="1:8" hidden="1" x14ac:dyDescent="0.35">
      <c r="A1659" s="33">
        <v>1658</v>
      </c>
      <c r="B1659" s="34" t="s">
        <v>2060</v>
      </c>
      <c r="C1659" s="33" t="s">
        <v>297</v>
      </c>
      <c r="D1659" s="33" t="s">
        <v>33</v>
      </c>
      <c r="E1659" s="33" t="s">
        <v>2058</v>
      </c>
      <c r="F1659" s="35">
        <v>1</v>
      </c>
      <c r="G1659" s="40"/>
      <c r="H1659" s="40"/>
    </row>
    <row r="1660" spans="1:8" hidden="1" x14ac:dyDescent="0.35">
      <c r="A1660" s="33">
        <v>1659</v>
      </c>
      <c r="B1660" s="34" t="s">
        <v>2061</v>
      </c>
      <c r="C1660" s="33" t="s">
        <v>297</v>
      </c>
      <c r="D1660" s="33" t="s">
        <v>33</v>
      </c>
      <c r="E1660" s="33" t="s">
        <v>2058</v>
      </c>
      <c r="F1660" s="35">
        <v>1</v>
      </c>
      <c r="G1660" s="40"/>
      <c r="H1660" s="40"/>
    </row>
    <row r="1661" spans="1:8" hidden="1" x14ac:dyDescent="0.35">
      <c r="A1661" s="33">
        <v>1660</v>
      </c>
      <c r="B1661" s="34" t="s">
        <v>2062</v>
      </c>
      <c r="C1661" s="33" t="s">
        <v>297</v>
      </c>
      <c r="D1661" s="33" t="s">
        <v>33</v>
      </c>
      <c r="E1661" s="33" t="s">
        <v>2058</v>
      </c>
      <c r="F1661" s="35">
        <v>1</v>
      </c>
      <c r="G1661" s="40"/>
      <c r="H1661" s="40"/>
    </row>
    <row r="1662" spans="1:8" hidden="1" x14ac:dyDescent="0.35">
      <c r="A1662" s="33">
        <v>1661</v>
      </c>
      <c r="B1662" s="34" t="s">
        <v>2063</v>
      </c>
      <c r="C1662" s="33" t="s">
        <v>297</v>
      </c>
      <c r="D1662" s="33" t="s">
        <v>33</v>
      </c>
      <c r="E1662" s="33" t="s">
        <v>2058</v>
      </c>
      <c r="F1662" s="35">
        <v>1</v>
      </c>
      <c r="G1662" s="40"/>
      <c r="H1662" s="40"/>
    </row>
    <row r="1663" spans="1:8" hidden="1" x14ac:dyDescent="0.35">
      <c r="A1663" s="33">
        <v>1662</v>
      </c>
      <c r="B1663" s="34" t="s">
        <v>2064</v>
      </c>
      <c r="C1663" s="33" t="s">
        <v>297</v>
      </c>
      <c r="D1663" s="33" t="s">
        <v>33</v>
      </c>
      <c r="E1663" s="33" t="s">
        <v>2058</v>
      </c>
      <c r="F1663" s="35">
        <v>1</v>
      </c>
      <c r="G1663" s="40"/>
      <c r="H1663" s="40"/>
    </row>
    <row r="1664" spans="1:8" hidden="1" x14ac:dyDescent="0.35">
      <c r="A1664" s="33">
        <v>1663</v>
      </c>
      <c r="B1664" s="34" t="s">
        <v>2065</v>
      </c>
      <c r="C1664" s="33" t="s">
        <v>297</v>
      </c>
      <c r="D1664" s="33" t="s">
        <v>33</v>
      </c>
      <c r="E1664" s="33" t="s">
        <v>2058</v>
      </c>
      <c r="F1664" s="35">
        <v>1</v>
      </c>
      <c r="G1664" s="40"/>
      <c r="H1664" s="40"/>
    </row>
    <row r="1665" spans="1:8" hidden="1" x14ac:dyDescent="0.35">
      <c r="A1665" s="33">
        <v>1664</v>
      </c>
      <c r="B1665" s="34" t="s">
        <v>2066</v>
      </c>
      <c r="C1665" s="33" t="s">
        <v>297</v>
      </c>
      <c r="D1665" s="33" t="s">
        <v>33</v>
      </c>
      <c r="E1665" s="33" t="s">
        <v>2058</v>
      </c>
      <c r="F1665" s="35">
        <v>1</v>
      </c>
      <c r="G1665" s="40"/>
      <c r="H1665" s="40"/>
    </row>
    <row r="1666" spans="1:8" hidden="1" x14ac:dyDescent="0.35">
      <c r="A1666" s="33">
        <v>1665</v>
      </c>
      <c r="B1666" s="34" t="s">
        <v>2067</v>
      </c>
      <c r="C1666" s="33" t="s">
        <v>297</v>
      </c>
      <c r="D1666" s="33" t="s">
        <v>33</v>
      </c>
      <c r="E1666" s="33" t="s">
        <v>2058</v>
      </c>
      <c r="F1666" s="35">
        <v>1</v>
      </c>
      <c r="G1666" s="40"/>
      <c r="H1666" s="40"/>
    </row>
    <row r="1667" spans="1:8" hidden="1" x14ac:dyDescent="0.35">
      <c r="A1667" s="33">
        <v>1666</v>
      </c>
      <c r="B1667" s="34" t="s">
        <v>2068</v>
      </c>
      <c r="C1667" s="33" t="s">
        <v>297</v>
      </c>
      <c r="D1667" s="33" t="s">
        <v>33</v>
      </c>
      <c r="E1667" s="33" t="s">
        <v>2058</v>
      </c>
      <c r="F1667" s="35">
        <v>1</v>
      </c>
      <c r="G1667" s="40"/>
      <c r="H1667" s="40"/>
    </row>
    <row r="1668" spans="1:8" hidden="1" x14ac:dyDescent="0.35">
      <c r="A1668" s="33">
        <v>1667</v>
      </c>
      <c r="B1668" s="34" t="s">
        <v>2069</v>
      </c>
      <c r="C1668" s="33" t="s">
        <v>297</v>
      </c>
      <c r="D1668" s="33" t="s">
        <v>33</v>
      </c>
      <c r="E1668" s="33" t="s">
        <v>2058</v>
      </c>
      <c r="F1668" s="35">
        <v>1</v>
      </c>
      <c r="G1668" s="40"/>
      <c r="H1668" s="40"/>
    </row>
    <row r="1669" spans="1:8" hidden="1" x14ac:dyDescent="0.35">
      <c r="A1669" s="33">
        <v>1668</v>
      </c>
      <c r="B1669" s="34" t="s">
        <v>2070</v>
      </c>
      <c r="C1669" s="33" t="s">
        <v>297</v>
      </c>
      <c r="D1669" s="33" t="s">
        <v>33</v>
      </c>
      <c r="E1669" s="33" t="s">
        <v>2058</v>
      </c>
      <c r="F1669" s="35">
        <v>1</v>
      </c>
      <c r="G1669" s="40"/>
      <c r="H1669" s="40"/>
    </row>
    <row r="1670" spans="1:8" hidden="1" x14ac:dyDescent="0.35">
      <c r="A1670" s="33">
        <v>1669</v>
      </c>
      <c r="B1670" s="34" t="s">
        <v>2071</v>
      </c>
      <c r="C1670" s="33" t="s">
        <v>297</v>
      </c>
      <c r="D1670" s="33" t="s">
        <v>33</v>
      </c>
      <c r="E1670" s="33" t="s">
        <v>2058</v>
      </c>
      <c r="F1670" s="35">
        <v>1</v>
      </c>
      <c r="G1670" s="40"/>
      <c r="H1670" s="40"/>
    </row>
    <row r="1671" spans="1:8" hidden="1" x14ac:dyDescent="0.35">
      <c r="A1671" s="33">
        <v>1670</v>
      </c>
      <c r="B1671" s="34" t="s">
        <v>2072</v>
      </c>
      <c r="C1671" s="33" t="s">
        <v>346</v>
      </c>
      <c r="D1671" s="33" t="s">
        <v>33</v>
      </c>
      <c r="E1671" s="33" t="s">
        <v>2055</v>
      </c>
      <c r="F1671" s="35">
        <v>1</v>
      </c>
      <c r="G1671" s="40"/>
      <c r="H1671" s="40"/>
    </row>
    <row r="1672" spans="1:8" hidden="1" x14ac:dyDescent="0.35">
      <c r="A1672" s="33">
        <v>1671</v>
      </c>
      <c r="B1672" s="34" t="s">
        <v>2073</v>
      </c>
      <c r="C1672" s="33" t="s">
        <v>346</v>
      </c>
      <c r="D1672" s="33" t="s">
        <v>33</v>
      </c>
      <c r="E1672" s="33" t="s">
        <v>2055</v>
      </c>
      <c r="F1672" s="35">
        <v>1</v>
      </c>
      <c r="G1672" s="40"/>
      <c r="H1672" s="40"/>
    </row>
    <row r="1673" spans="1:8" hidden="1" x14ac:dyDescent="0.35">
      <c r="A1673" s="33">
        <v>1672</v>
      </c>
      <c r="B1673" s="34" t="s">
        <v>2074</v>
      </c>
      <c r="C1673" s="33" t="s">
        <v>346</v>
      </c>
      <c r="D1673" s="33" t="s">
        <v>33</v>
      </c>
      <c r="E1673" s="33" t="s">
        <v>2055</v>
      </c>
      <c r="F1673" s="35">
        <v>1</v>
      </c>
      <c r="G1673" s="40"/>
      <c r="H1673" s="40"/>
    </row>
    <row r="1674" spans="1:8" hidden="1" x14ac:dyDescent="0.35">
      <c r="A1674" s="33">
        <v>1673</v>
      </c>
      <c r="B1674" s="34" t="s">
        <v>2075</v>
      </c>
      <c r="C1674" s="33" t="s">
        <v>346</v>
      </c>
      <c r="D1674" s="33" t="s">
        <v>33</v>
      </c>
      <c r="E1674" s="33" t="s">
        <v>2058</v>
      </c>
      <c r="F1674" s="35">
        <v>1</v>
      </c>
      <c r="G1674" s="40"/>
      <c r="H1674" s="40"/>
    </row>
    <row r="1675" spans="1:8" hidden="1" x14ac:dyDescent="0.35">
      <c r="A1675" s="33">
        <v>1674</v>
      </c>
      <c r="B1675" s="34" t="s">
        <v>2076</v>
      </c>
      <c r="C1675" s="33" t="s">
        <v>346</v>
      </c>
      <c r="D1675" s="33" t="s">
        <v>33</v>
      </c>
      <c r="E1675" s="33" t="s">
        <v>2058</v>
      </c>
      <c r="F1675" s="35">
        <v>1</v>
      </c>
      <c r="G1675" s="40"/>
      <c r="H1675" s="40"/>
    </row>
    <row r="1676" spans="1:8" hidden="1" x14ac:dyDescent="0.35">
      <c r="A1676" s="33">
        <v>1675</v>
      </c>
      <c r="B1676" s="34" t="s">
        <v>2077</v>
      </c>
      <c r="C1676" s="33" t="s">
        <v>346</v>
      </c>
      <c r="D1676" s="33" t="s">
        <v>33</v>
      </c>
      <c r="E1676" s="33" t="s">
        <v>2058</v>
      </c>
      <c r="F1676" s="35">
        <v>1</v>
      </c>
      <c r="G1676" s="40"/>
      <c r="H1676" s="40"/>
    </row>
    <row r="1677" spans="1:8" hidden="1" x14ac:dyDescent="0.35">
      <c r="A1677" s="33">
        <v>1676</v>
      </c>
      <c r="B1677" s="34" t="s">
        <v>2078</v>
      </c>
      <c r="C1677" s="33" t="s">
        <v>346</v>
      </c>
      <c r="D1677" s="33" t="s">
        <v>33</v>
      </c>
      <c r="E1677" s="33" t="s">
        <v>2058</v>
      </c>
      <c r="F1677" s="35">
        <v>1</v>
      </c>
      <c r="G1677" s="40"/>
      <c r="H1677" s="40"/>
    </row>
    <row r="1678" spans="1:8" hidden="1" x14ac:dyDescent="0.35">
      <c r="A1678" s="33">
        <v>1677</v>
      </c>
      <c r="B1678" s="34" t="s">
        <v>2079</v>
      </c>
      <c r="C1678" s="33" t="s">
        <v>346</v>
      </c>
      <c r="D1678" s="33" t="s">
        <v>33</v>
      </c>
      <c r="E1678" s="33" t="s">
        <v>2058</v>
      </c>
      <c r="F1678" s="35">
        <v>1</v>
      </c>
      <c r="G1678" s="40"/>
      <c r="H1678" s="40"/>
    </row>
    <row r="1679" spans="1:8" hidden="1" x14ac:dyDescent="0.35">
      <c r="A1679" s="33">
        <v>1678</v>
      </c>
      <c r="B1679" s="34" t="s">
        <v>2080</v>
      </c>
      <c r="C1679" s="33" t="s">
        <v>346</v>
      </c>
      <c r="D1679" s="33" t="s">
        <v>33</v>
      </c>
      <c r="E1679" s="33" t="s">
        <v>2058</v>
      </c>
      <c r="F1679" s="35">
        <v>1</v>
      </c>
      <c r="G1679" s="40"/>
      <c r="H1679" s="40"/>
    </row>
    <row r="1680" spans="1:8" hidden="1" x14ac:dyDescent="0.35">
      <c r="A1680" s="33">
        <v>1679</v>
      </c>
      <c r="B1680" s="34" t="s">
        <v>2081</v>
      </c>
      <c r="C1680" s="33" t="s">
        <v>297</v>
      </c>
      <c r="D1680" s="33" t="s">
        <v>70</v>
      </c>
      <c r="E1680" s="33" t="s">
        <v>344</v>
      </c>
      <c r="F1680" s="35">
        <v>1</v>
      </c>
      <c r="G1680" s="40"/>
      <c r="H1680" s="40"/>
    </row>
    <row r="1681" spans="1:8" hidden="1" x14ac:dyDescent="0.35">
      <c r="A1681" s="33">
        <v>1680</v>
      </c>
      <c r="B1681" s="34" t="s">
        <v>2082</v>
      </c>
      <c r="C1681" s="33" t="s">
        <v>346</v>
      </c>
      <c r="D1681" s="33" t="s">
        <v>70</v>
      </c>
      <c r="E1681" s="33" t="s">
        <v>524</v>
      </c>
      <c r="F1681" s="35">
        <v>0.4</v>
      </c>
      <c r="G1681" s="40"/>
      <c r="H1681" s="40"/>
    </row>
    <row r="1682" spans="1:8" hidden="1" x14ac:dyDescent="0.35">
      <c r="A1682" s="33">
        <v>1681</v>
      </c>
      <c r="B1682" s="34" t="s">
        <v>2083</v>
      </c>
      <c r="C1682" s="33" t="s">
        <v>346</v>
      </c>
      <c r="D1682" s="33" t="s">
        <v>70</v>
      </c>
      <c r="E1682" s="33" t="s">
        <v>524</v>
      </c>
      <c r="F1682" s="35">
        <v>1</v>
      </c>
      <c r="G1682" s="40"/>
      <c r="H1682" s="40"/>
    </row>
    <row r="1683" spans="1:8" hidden="1" x14ac:dyDescent="0.35">
      <c r="A1683" s="33">
        <v>1682</v>
      </c>
      <c r="B1683" s="34" t="s">
        <v>2084</v>
      </c>
      <c r="C1683" s="33" t="s">
        <v>346</v>
      </c>
      <c r="D1683" s="33" t="s">
        <v>70</v>
      </c>
      <c r="E1683" s="33" t="s">
        <v>524</v>
      </c>
      <c r="F1683" s="35">
        <v>8.9999999999999993E-3</v>
      </c>
      <c r="G1683" s="40"/>
      <c r="H1683" s="40"/>
    </row>
    <row r="1684" spans="1:8" hidden="1" x14ac:dyDescent="0.35">
      <c r="A1684" s="33">
        <v>1683</v>
      </c>
      <c r="B1684" s="34" t="s">
        <v>2085</v>
      </c>
      <c r="C1684" s="33" t="s">
        <v>346</v>
      </c>
      <c r="D1684" s="33" t="s">
        <v>70</v>
      </c>
      <c r="E1684" s="33" t="s">
        <v>524</v>
      </c>
      <c r="F1684" s="35">
        <v>0.05</v>
      </c>
      <c r="G1684" s="40"/>
      <c r="H1684" s="40"/>
    </row>
    <row r="1685" spans="1:8" hidden="1" x14ac:dyDescent="0.35">
      <c r="A1685" s="33">
        <v>1684</v>
      </c>
      <c r="B1685" s="34" t="s">
        <v>2086</v>
      </c>
      <c r="C1685" s="33" t="s">
        <v>346</v>
      </c>
      <c r="D1685" s="33" t="s">
        <v>70</v>
      </c>
      <c r="E1685" s="33" t="s">
        <v>561</v>
      </c>
      <c r="F1685" s="35">
        <v>6.6000000000000003E-2</v>
      </c>
      <c r="G1685" s="40"/>
      <c r="H1685" s="40"/>
    </row>
    <row r="1686" spans="1:8" hidden="1" x14ac:dyDescent="0.35">
      <c r="A1686" s="33">
        <v>1685</v>
      </c>
      <c r="B1686" s="34" t="s">
        <v>2087</v>
      </c>
      <c r="C1686" s="33" t="s">
        <v>346</v>
      </c>
      <c r="D1686" s="33" t="s">
        <v>70</v>
      </c>
      <c r="E1686" s="33" t="s">
        <v>561</v>
      </c>
      <c r="F1686" s="35">
        <v>6.6000000000000003E-2</v>
      </c>
      <c r="G1686" s="40"/>
      <c r="H1686" s="40"/>
    </row>
    <row r="1687" spans="1:8" hidden="1" x14ac:dyDescent="0.35">
      <c r="A1687" s="33">
        <v>1686</v>
      </c>
      <c r="B1687" s="34" t="s">
        <v>2088</v>
      </c>
      <c r="C1687" s="33" t="s">
        <v>346</v>
      </c>
      <c r="D1687" s="33" t="s">
        <v>70</v>
      </c>
      <c r="E1687" s="33" t="s">
        <v>561</v>
      </c>
      <c r="F1687" s="35">
        <v>6.6000000000000003E-2</v>
      </c>
      <c r="G1687" s="40"/>
      <c r="H1687" s="40"/>
    </row>
    <row r="1688" spans="1:8" hidden="1" x14ac:dyDescent="0.35">
      <c r="A1688" s="33">
        <v>1687</v>
      </c>
      <c r="B1688" s="34" t="s">
        <v>2089</v>
      </c>
      <c r="C1688" s="33" t="s">
        <v>346</v>
      </c>
      <c r="D1688" s="33" t="s">
        <v>70</v>
      </c>
      <c r="E1688" s="33" t="s">
        <v>561</v>
      </c>
      <c r="F1688" s="35">
        <v>6.6000000000000003E-2</v>
      </c>
      <c r="G1688" s="40"/>
      <c r="H1688" s="40"/>
    </row>
    <row r="1689" spans="1:8" hidden="1" x14ac:dyDescent="0.35">
      <c r="A1689" s="33">
        <v>1688</v>
      </c>
      <c r="B1689" s="34" t="s">
        <v>2090</v>
      </c>
      <c r="C1689" s="33" t="s">
        <v>346</v>
      </c>
      <c r="D1689" s="33" t="s">
        <v>70</v>
      </c>
      <c r="E1689" s="33" t="s">
        <v>2091</v>
      </c>
      <c r="F1689" s="35">
        <v>0.125</v>
      </c>
      <c r="G1689" s="40"/>
      <c r="H1689" s="40"/>
    </row>
    <row r="1690" spans="1:8" hidden="1" x14ac:dyDescent="0.35">
      <c r="A1690" s="33">
        <v>1689</v>
      </c>
      <c r="B1690" s="34" t="s">
        <v>2092</v>
      </c>
      <c r="C1690" s="33" t="s">
        <v>346</v>
      </c>
      <c r="D1690" s="33" t="s">
        <v>70</v>
      </c>
      <c r="E1690" s="33" t="s">
        <v>2091</v>
      </c>
      <c r="F1690" s="35">
        <v>0.125</v>
      </c>
      <c r="G1690" s="40"/>
      <c r="H1690" s="40"/>
    </row>
    <row r="1691" spans="1:8" hidden="1" x14ac:dyDescent="0.35">
      <c r="A1691" s="33">
        <v>1690</v>
      </c>
      <c r="B1691" s="34" t="s">
        <v>2093</v>
      </c>
      <c r="C1691" s="33" t="s">
        <v>346</v>
      </c>
      <c r="D1691" s="33" t="s">
        <v>70</v>
      </c>
      <c r="E1691" s="33" t="s">
        <v>2091</v>
      </c>
      <c r="F1691" s="35">
        <v>0.125</v>
      </c>
      <c r="G1691" s="40"/>
      <c r="H1691" s="40"/>
    </row>
    <row r="1692" spans="1:8" hidden="1" x14ac:dyDescent="0.35">
      <c r="A1692" s="33">
        <v>1691</v>
      </c>
      <c r="B1692" s="34" t="s">
        <v>2094</v>
      </c>
      <c r="C1692" s="33" t="s">
        <v>346</v>
      </c>
      <c r="D1692" s="33" t="s">
        <v>70</v>
      </c>
      <c r="E1692" s="33" t="s">
        <v>2091</v>
      </c>
      <c r="F1692" s="35">
        <v>4.8000000000000001E-2</v>
      </c>
      <c r="G1692" s="40"/>
      <c r="H1692" s="40"/>
    </row>
    <row r="1693" spans="1:8" hidden="1" x14ac:dyDescent="0.35">
      <c r="A1693" s="33">
        <v>1692</v>
      </c>
      <c r="B1693" s="34" t="s">
        <v>2095</v>
      </c>
      <c r="C1693" s="33" t="s">
        <v>346</v>
      </c>
      <c r="D1693" s="33" t="s">
        <v>70</v>
      </c>
      <c r="E1693" s="33" t="s">
        <v>2091</v>
      </c>
      <c r="F1693" s="35">
        <v>4.8000000000000001E-2</v>
      </c>
      <c r="G1693" s="40"/>
      <c r="H1693" s="40"/>
    </row>
    <row r="1694" spans="1:8" hidden="1" x14ac:dyDescent="0.35">
      <c r="A1694" s="33">
        <v>1693</v>
      </c>
      <c r="B1694" s="34" t="s">
        <v>2096</v>
      </c>
      <c r="C1694" s="33" t="s">
        <v>346</v>
      </c>
      <c r="D1694" s="33" t="s">
        <v>70</v>
      </c>
      <c r="E1694" s="33" t="s">
        <v>2091</v>
      </c>
      <c r="F1694" s="35">
        <v>0.2</v>
      </c>
      <c r="G1694" s="40"/>
      <c r="H1694" s="40"/>
    </row>
    <row r="1695" spans="1:8" hidden="1" x14ac:dyDescent="0.35">
      <c r="A1695" s="33">
        <v>1694</v>
      </c>
      <c r="B1695" s="34" t="s">
        <v>2097</v>
      </c>
      <c r="C1695" s="33" t="s">
        <v>346</v>
      </c>
      <c r="D1695" s="33" t="s">
        <v>70</v>
      </c>
      <c r="E1695" s="33" t="s">
        <v>2091</v>
      </c>
      <c r="F1695" s="35">
        <v>0.2</v>
      </c>
      <c r="G1695" s="40"/>
      <c r="H1695" s="40"/>
    </row>
    <row r="1696" spans="1:8" hidden="1" x14ac:dyDescent="0.35">
      <c r="A1696" s="33">
        <v>1695</v>
      </c>
      <c r="B1696" s="34" t="s">
        <v>2098</v>
      </c>
      <c r="C1696" s="33" t="s">
        <v>346</v>
      </c>
      <c r="D1696" s="33" t="s">
        <v>70</v>
      </c>
      <c r="E1696" s="33" t="s">
        <v>2091</v>
      </c>
      <c r="F1696" s="35">
        <v>0.2</v>
      </c>
      <c r="G1696" s="40"/>
      <c r="H1696" s="40"/>
    </row>
    <row r="1697" spans="1:8" hidden="1" x14ac:dyDescent="0.35">
      <c r="A1697" s="33">
        <v>1696</v>
      </c>
      <c r="B1697" s="34" t="s">
        <v>2099</v>
      </c>
      <c r="C1697" s="33" t="s">
        <v>346</v>
      </c>
      <c r="D1697" s="33" t="s">
        <v>70</v>
      </c>
      <c r="E1697" s="33" t="s">
        <v>2091</v>
      </c>
      <c r="F1697" s="35">
        <v>3.3000000000000002E-2</v>
      </c>
      <c r="G1697" s="40"/>
      <c r="H1697" s="40"/>
    </row>
    <row r="1698" spans="1:8" hidden="1" x14ac:dyDescent="0.35">
      <c r="A1698" s="33">
        <v>1697</v>
      </c>
      <c r="B1698" s="34" t="s">
        <v>2100</v>
      </c>
      <c r="C1698" s="33" t="s">
        <v>346</v>
      </c>
      <c r="D1698" s="33" t="s">
        <v>70</v>
      </c>
      <c r="E1698" s="33" t="s">
        <v>2091</v>
      </c>
      <c r="F1698" s="35">
        <v>3.5000000000000003E-2</v>
      </c>
      <c r="G1698" s="40"/>
      <c r="H1698" s="40"/>
    </row>
    <row r="1699" spans="1:8" hidden="1" x14ac:dyDescent="0.35">
      <c r="A1699" s="33">
        <v>1698</v>
      </c>
      <c r="B1699" s="34" t="s">
        <v>2101</v>
      </c>
      <c r="C1699" s="33" t="s">
        <v>346</v>
      </c>
      <c r="D1699" s="33" t="s">
        <v>70</v>
      </c>
      <c r="E1699" s="33" t="s">
        <v>2091</v>
      </c>
      <c r="F1699" s="35">
        <v>1</v>
      </c>
      <c r="G1699" s="40"/>
      <c r="H1699" s="40"/>
    </row>
    <row r="1700" spans="1:8" hidden="1" x14ac:dyDescent="0.35">
      <c r="A1700" s="33">
        <v>1699</v>
      </c>
      <c r="B1700" s="34" t="s">
        <v>2102</v>
      </c>
      <c r="C1700" s="33" t="s">
        <v>346</v>
      </c>
      <c r="D1700" s="33" t="s">
        <v>70</v>
      </c>
      <c r="E1700" s="33" t="s">
        <v>2091</v>
      </c>
      <c r="F1700" s="35">
        <v>0.25</v>
      </c>
      <c r="G1700" s="40"/>
      <c r="H1700" s="40"/>
    </row>
    <row r="1701" spans="1:8" hidden="1" x14ac:dyDescent="0.35">
      <c r="A1701" s="33">
        <v>1700</v>
      </c>
      <c r="B1701" s="34" t="s">
        <v>2103</v>
      </c>
      <c r="C1701" s="33" t="s">
        <v>346</v>
      </c>
      <c r="D1701" s="33" t="s">
        <v>70</v>
      </c>
      <c r="E1701" s="33" t="s">
        <v>2091</v>
      </c>
      <c r="F1701" s="35">
        <v>4.8000000000000001E-2</v>
      </c>
      <c r="G1701" s="40"/>
      <c r="H1701" s="40"/>
    </row>
    <row r="1702" spans="1:8" hidden="1" x14ac:dyDescent="0.35">
      <c r="A1702" s="33">
        <v>1701</v>
      </c>
      <c r="B1702" s="34" t="s">
        <v>2104</v>
      </c>
      <c r="C1702" s="33" t="s">
        <v>346</v>
      </c>
      <c r="D1702" s="33" t="s">
        <v>70</v>
      </c>
      <c r="E1702" s="33" t="s">
        <v>2091</v>
      </c>
      <c r="F1702" s="35">
        <v>3.3000000000000002E-2</v>
      </c>
      <c r="G1702" s="40"/>
      <c r="H1702" s="40"/>
    </row>
    <row r="1703" spans="1:8" hidden="1" x14ac:dyDescent="0.35">
      <c r="A1703" s="33">
        <v>1702</v>
      </c>
      <c r="B1703" s="34" t="s">
        <v>2105</v>
      </c>
      <c r="C1703" s="33" t="s">
        <v>346</v>
      </c>
      <c r="D1703" s="33" t="s">
        <v>70</v>
      </c>
      <c r="E1703" s="33" t="s">
        <v>2091</v>
      </c>
      <c r="F1703" s="35">
        <v>3.5000000000000003E-2</v>
      </c>
      <c r="G1703" s="40"/>
      <c r="H1703" s="40"/>
    </row>
    <row r="1704" spans="1:8" hidden="1" x14ac:dyDescent="0.35">
      <c r="A1704" s="33">
        <v>1703</v>
      </c>
      <c r="B1704" s="34" t="s">
        <v>2106</v>
      </c>
      <c r="C1704" s="33" t="s">
        <v>346</v>
      </c>
      <c r="D1704" s="33" t="s">
        <v>70</v>
      </c>
      <c r="E1704" s="33" t="s">
        <v>2091</v>
      </c>
      <c r="F1704" s="35">
        <v>1</v>
      </c>
      <c r="G1704" s="40"/>
      <c r="H1704" s="40"/>
    </row>
    <row r="1705" spans="1:8" hidden="1" x14ac:dyDescent="0.35">
      <c r="A1705" s="33">
        <v>1704</v>
      </c>
      <c r="B1705" s="34" t="s">
        <v>2107</v>
      </c>
      <c r="C1705" s="33" t="s">
        <v>346</v>
      </c>
      <c r="D1705" s="33" t="s">
        <v>70</v>
      </c>
      <c r="E1705" s="33" t="s">
        <v>2091</v>
      </c>
      <c r="F1705" s="35">
        <v>0.25</v>
      </c>
      <c r="G1705" s="40"/>
      <c r="H1705" s="40"/>
    </row>
    <row r="1706" spans="1:8" hidden="1" x14ac:dyDescent="0.35">
      <c r="A1706" s="33">
        <v>1705</v>
      </c>
      <c r="B1706" s="34" t="s">
        <v>2108</v>
      </c>
      <c r="C1706" s="33" t="s">
        <v>346</v>
      </c>
      <c r="D1706" s="33" t="s">
        <v>70</v>
      </c>
      <c r="E1706" s="33" t="s">
        <v>2091</v>
      </c>
      <c r="F1706" s="35">
        <v>0.25</v>
      </c>
      <c r="G1706" s="40"/>
      <c r="H1706" s="40"/>
    </row>
    <row r="1707" spans="1:8" hidden="1" x14ac:dyDescent="0.35">
      <c r="A1707" s="33">
        <v>1706</v>
      </c>
      <c r="B1707" s="34" t="s">
        <v>2109</v>
      </c>
      <c r="C1707" s="33" t="s">
        <v>346</v>
      </c>
      <c r="D1707" s="33" t="s">
        <v>70</v>
      </c>
      <c r="E1707" s="33" t="s">
        <v>2091</v>
      </c>
      <c r="F1707" s="35">
        <v>0.25</v>
      </c>
      <c r="G1707" s="40"/>
      <c r="H1707" s="40"/>
    </row>
    <row r="1708" spans="1:8" hidden="1" x14ac:dyDescent="0.35">
      <c r="A1708" s="33">
        <v>1707</v>
      </c>
      <c r="B1708" s="34" t="s">
        <v>2110</v>
      </c>
      <c r="C1708" s="33" t="s">
        <v>346</v>
      </c>
      <c r="D1708" s="33" t="s">
        <v>70</v>
      </c>
      <c r="E1708" s="33" t="s">
        <v>2091</v>
      </c>
      <c r="F1708" s="35">
        <v>0.25</v>
      </c>
      <c r="G1708" s="40"/>
      <c r="H1708" s="40"/>
    </row>
    <row r="1709" spans="1:8" hidden="1" x14ac:dyDescent="0.35">
      <c r="A1709" s="33">
        <v>1708</v>
      </c>
      <c r="B1709" s="34" t="s">
        <v>2111</v>
      </c>
      <c r="C1709" s="33" t="s">
        <v>346</v>
      </c>
      <c r="D1709" s="33" t="s">
        <v>70</v>
      </c>
      <c r="E1709" s="33" t="s">
        <v>2091</v>
      </c>
      <c r="F1709" s="35">
        <v>0.2</v>
      </c>
      <c r="G1709" s="40"/>
      <c r="H1709" s="40"/>
    </row>
    <row r="1710" spans="1:8" hidden="1" x14ac:dyDescent="0.35">
      <c r="A1710" s="33">
        <v>1709</v>
      </c>
      <c r="B1710" s="34" t="s">
        <v>2112</v>
      </c>
      <c r="C1710" s="33" t="s">
        <v>346</v>
      </c>
      <c r="D1710" s="33" t="s">
        <v>70</v>
      </c>
      <c r="E1710" s="33" t="s">
        <v>2091</v>
      </c>
      <c r="F1710" s="35">
        <v>0.1</v>
      </c>
      <c r="G1710" s="40"/>
      <c r="H1710" s="40"/>
    </row>
    <row r="1711" spans="1:8" hidden="1" x14ac:dyDescent="0.35">
      <c r="A1711" s="33">
        <v>1710</v>
      </c>
      <c r="B1711" s="34" t="s">
        <v>2113</v>
      </c>
      <c r="C1711" s="33" t="s">
        <v>346</v>
      </c>
      <c r="D1711" s="33" t="s">
        <v>70</v>
      </c>
      <c r="E1711" s="33" t="s">
        <v>2091</v>
      </c>
      <c r="F1711" s="35">
        <v>0.02</v>
      </c>
      <c r="G1711" s="40"/>
      <c r="H1711" s="40"/>
    </row>
    <row r="1712" spans="1:8" hidden="1" x14ac:dyDescent="0.35">
      <c r="A1712" s="33">
        <v>1711</v>
      </c>
      <c r="B1712" s="34" t="s">
        <v>2114</v>
      </c>
      <c r="C1712" s="33" t="s">
        <v>346</v>
      </c>
      <c r="D1712" s="33" t="s">
        <v>70</v>
      </c>
      <c r="E1712" s="33" t="s">
        <v>2091</v>
      </c>
      <c r="F1712" s="35">
        <v>0.25</v>
      </c>
      <c r="G1712" s="40"/>
      <c r="H1712" s="40"/>
    </row>
    <row r="1713" spans="1:8" hidden="1" x14ac:dyDescent="0.35">
      <c r="A1713" s="33">
        <v>1712</v>
      </c>
      <c r="B1713" s="34" t="s">
        <v>2115</v>
      </c>
      <c r="C1713" s="33" t="s">
        <v>346</v>
      </c>
      <c r="D1713" s="33" t="s">
        <v>70</v>
      </c>
      <c r="E1713" s="33" t="s">
        <v>2091</v>
      </c>
      <c r="F1713" s="35">
        <v>0.1</v>
      </c>
      <c r="G1713" s="40"/>
      <c r="H1713" s="40"/>
    </row>
    <row r="1714" spans="1:8" hidden="1" x14ac:dyDescent="0.35">
      <c r="A1714" s="33">
        <v>1713</v>
      </c>
      <c r="B1714" s="34" t="s">
        <v>2116</v>
      </c>
      <c r="C1714" s="33" t="s">
        <v>346</v>
      </c>
      <c r="D1714" s="33" t="s">
        <v>70</v>
      </c>
      <c r="E1714" s="33" t="s">
        <v>2091</v>
      </c>
      <c r="F1714" s="35">
        <v>0.1</v>
      </c>
      <c r="G1714" s="40"/>
      <c r="H1714" s="40"/>
    </row>
    <row r="1715" spans="1:8" hidden="1" x14ac:dyDescent="0.35">
      <c r="A1715" s="33">
        <v>1714</v>
      </c>
      <c r="B1715" s="34" t="s">
        <v>2117</v>
      </c>
      <c r="C1715" s="33" t="s">
        <v>346</v>
      </c>
      <c r="D1715" s="33" t="s">
        <v>70</v>
      </c>
      <c r="E1715" s="33" t="s">
        <v>2091</v>
      </c>
      <c r="F1715" s="35">
        <v>0.2</v>
      </c>
      <c r="G1715" s="40"/>
      <c r="H1715" s="40"/>
    </row>
    <row r="1716" spans="1:8" hidden="1" x14ac:dyDescent="0.35">
      <c r="A1716" s="33">
        <v>1715</v>
      </c>
      <c r="B1716" s="34" t="s">
        <v>2118</v>
      </c>
      <c r="C1716" s="33" t="s">
        <v>346</v>
      </c>
      <c r="D1716" s="33" t="s">
        <v>70</v>
      </c>
      <c r="E1716" s="33" t="s">
        <v>2091</v>
      </c>
      <c r="F1716" s="35">
        <v>0.25</v>
      </c>
      <c r="G1716" s="40"/>
      <c r="H1716" s="40"/>
    </row>
    <row r="1717" spans="1:8" hidden="1" x14ac:dyDescent="0.35">
      <c r="A1717" s="33">
        <v>1716</v>
      </c>
      <c r="B1717" s="34" t="s">
        <v>2119</v>
      </c>
      <c r="C1717" s="33" t="s">
        <v>346</v>
      </c>
      <c r="D1717" s="33" t="s">
        <v>70</v>
      </c>
      <c r="E1717" s="33" t="s">
        <v>2091</v>
      </c>
      <c r="F1717" s="35">
        <v>0.25</v>
      </c>
      <c r="G1717" s="40"/>
      <c r="H1717" s="40"/>
    </row>
    <row r="1718" spans="1:8" hidden="1" x14ac:dyDescent="0.35">
      <c r="A1718" s="33">
        <v>1717</v>
      </c>
      <c r="B1718" s="34" t="s">
        <v>2120</v>
      </c>
      <c r="C1718" s="33" t="s">
        <v>346</v>
      </c>
      <c r="D1718" s="33" t="s">
        <v>70</v>
      </c>
      <c r="E1718" s="33" t="s">
        <v>2091</v>
      </c>
      <c r="F1718" s="35">
        <v>0.25</v>
      </c>
      <c r="G1718" s="40"/>
      <c r="H1718" s="40"/>
    </row>
    <row r="1719" spans="1:8" hidden="1" x14ac:dyDescent="0.35">
      <c r="A1719" s="33">
        <v>1718</v>
      </c>
      <c r="B1719" s="34" t="s">
        <v>2121</v>
      </c>
      <c r="C1719" s="33" t="s">
        <v>346</v>
      </c>
      <c r="D1719" s="33" t="s">
        <v>70</v>
      </c>
      <c r="E1719" s="33" t="s">
        <v>2091</v>
      </c>
      <c r="F1719" s="35">
        <v>0.12</v>
      </c>
      <c r="G1719" s="40"/>
      <c r="H1719" s="40"/>
    </row>
    <row r="1720" spans="1:8" hidden="1" x14ac:dyDescent="0.35">
      <c r="A1720" s="33">
        <v>1719</v>
      </c>
      <c r="B1720" s="34" t="s">
        <v>2122</v>
      </c>
      <c r="C1720" s="33" t="s">
        <v>346</v>
      </c>
      <c r="D1720" s="33" t="s">
        <v>70</v>
      </c>
      <c r="E1720" s="33" t="s">
        <v>2091</v>
      </c>
      <c r="F1720" s="35">
        <v>0.1</v>
      </c>
      <c r="G1720" s="40"/>
      <c r="H1720" s="40"/>
    </row>
    <row r="1721" spans="1:8" hidden="1" x14ac:dyDescent="0.35">
      <c r="A1721" s="33">
        <v>1720</v>
      </c>
      <c r="B1721" s="34" t="s">
        <v>2123</v>
      </c>
      <c r="C1721" s="33" t="s">
        <v>346</v>
      </c>
      <c r="D1721" s="33" t="s">
        <v>70</v>
      </c>
      <c r="E1721" s="33" t="s">
        <v>2091</v>
      </c>
      <c r="F1721" s="35">
        <v>0.1</v>
      </c>
      <c r="G1721" s="40"/>
      <c r="H1721" s="40"/>
    </row>
    <row r="1722" spans="1:8" hidden="1" x14ac:dyDescent="0.35">
      <c r="A1722" s="33">
        <v>1721</v>
      </c>
      <c r="B1722" s="34" t="s">
        <v>2124</v>
      </c>
      <c r="C1722" s="33" t="s">
        <v>346</v>
      </c>
      <c r="D1722" s="33" t="s">
        <v>70</v>
      </c>
      <c r="E1722" s="33" t="s">
        <v>2091</v>
      </c>
      <c r="F1722" s="35">
        <v>0.2</v>
      </c>
      <c r="G1722" s="40"/>
      <c r="H1722" s="40"/>
    </row>
    <row r="1723" spans="1:8" hidden="1" x14ac:dyDescent="0.35">
      <c r="A1723" s="33">
        <v>1722</v>
      </c>
      <c r="B1723" s="34" t="s">
        <v>2125</v>
      </c>
      <c r="C1723" s="33" t="s">
        <v>346</v>
      </c>
      <c r="D1723" s="33" t="s">
        <v>70</v>
      </c>
      <c r="E1723" s="33" t="s">
        <v>2091</v>
      </c>
      <c r="F1723" s="35">
        <v>0.25</v>
      </c>
      <c r="G1723" s="40"/>
      <c r="H1723" s="40"/>
    </row>
    <row r="1724" spans="1:8" hidden="1" x14ac:dyDescent="0.35">
      <c r="A1724" s="33">
        <v>1723</v>
      </c>
      <c r="B1724" s="34" t="s">
        <v>2126</v>
      </c>
      <c r="C1724" s="33" t="s">
        <v>346</v>
      </c>
      <c r="D1724" s="33" t="s">
        <v>70</v>
      </c>
      <c r="E1724" s="33" t="s">
        <v>2091</v>
      </c>
      <c r="F1724" s="35">
        <v>0.1</v>
      </c>
      <c r="G1724" s="40"/>
      <c r="H1724" s="40"/>
    </row>
    <row r="1725" spans="1:8" hidden="1" x14ac:dyDescent="0.35">
      <c r="A1725" s="33">
        <v>1724</v>
      </c>
      <c r="B1725" s="34" t="s">
        <v>2127</v>
      </c>
      <c r="C1725" s="33" t="s">
        <v>346</v>
      </c>
      <c r="D1725" s="33" t="s">
        <v>70</v>
      </c>
      <c r="E1725" s="33" t="s">
        <v>2091</v>
      </c>
      <c r="F1725" s="35">
        <v>0.1</v>
      </c>
      <c r="G1725" s="40"/>
      <c r="H1725" s="40"/>
    </row>
    <row r="1726" spans="1:8" hidden="1" x14ac:dyDescent="0.35">
      <c r="A1726" s="33">
        <v>1725</v>
      </c>
      <c r="B1726" s="34" t="s">
        <v>2128</v>
      </c>
      <c r="C1726" s="33" t="s">
        <v>346</v>
      </c>
      <c r="D1726" s="33" t="s">
        <v>70</v>
      </c>
      <c r="E1726" s="33" t="s">
        <v>2091</v>
      </c>
      <c r="F1726" s="35">
        <v>0.25</v>
      </c>
      <c r="G1726" s="40"/>
      <c r="H1726" s="40"/>
    </row>
    <row r="1727" spans="1:8" hidden="1" x14ac:dyDescent="0.35">
      <c r="A1727" s="33">
        <v>1726</v>
      </c>
      <c r="B1727" s="34" t="s">
        <v>2129</v>
      </c>
      <c r="C1727" s="33" t="s">
        <v>346</v>
      </c>
      <c r="D1727" s="33" t="s">
        <v>70</v>
      </c>
      <c r="E1727" s="33" t="s">
        <v>2091</v>
      </c>
      <c r="F1727" s="35">
        <v>0.1</v>
      </c>
      <c r="G1727" s="40"/>
      <c r="H1727" s="40"/>
    </row>
    <row r="1728" spans="1:8" hidden="1" x14ac:dyDescent="0.35">
      <c r="A1728" s="33">
        <v>1727</v>
      </c>
      <c r="B1728" s="34" t="s">
        <v>2130</v>
      </c>
      <c r="C1728" s="33" t="s">
        <v>346</v>
      </c>
      <c r="D1728" s="33" t="s">
        <v>70</v>
      </c>
      <c r="E1728" s="33" t="s">
        <v>2091</v>
      </c>
      <c r="F1728" s="35">
        <v>0.2</v>
      </c>
      <c r="G1728" s="40"/>
      <c r="H1728" s="40"/>
    </row>
    <row r="1729" spans="1:8" hidden="1" x14ac:dyDescent="0.35">
      <c r="A1729" s="33">
        <v>1728</v>
      </c>
      <c r="B1729" s="34" t="s">
        <v>268</v>
      </c>
      <c r="C1729" s="33" t="s">
        <v>346</v>
      </c>
      <c r="D1729" s="33" t="s">
        <v>70</v>
      </c>
      <c r="E1729" s="33" t="s">
        <v>2091</v>
      </c>
      <c r="F1729" s="35">
        <v>1</v>
      </c>
      <c r="G1729" s="40"/>
      <c r="H1729" s="40"/>
    </row>
    <row r="1730" spans="1:8" hidden="1" x14ac:dyDescent="0.35">
      <c r="A1730" s="33">
        <v>1729</v>
      </c>
      <c r="B1730" s="34" t="s">
        <v>2131</v>
      </c>
      <c r="C1730" s="33" t="s">
        <v>346</v>
      </c>
      <c r="D1730" s="33" t="s">
        <v>70</v>
      </c>
      <c r="E1730" s="33" t="s">
        <v>2091</v>
      </c>
      <c r="F1730" s="35">
        <v>0.25</v>
      </c>
      <c r="G1730" s="40"/>
      <c r="H1730" s="40"/>
    </row>
    <row r="1731" spans="1:8" hidden="1" x14ac:dyDescent="0.35">
      <c r="A1731" s="33">
        <v>1730</v>
      </c>
      <c r="B1731" s="34" t="s">
        <v>2132</v>
      </c>
      <c r="C1731" s="33" t="s">
        <v>346</v>
      </c>
      <c r="D1731" s="33" t="s">
        <v>70</v>
      </c>
      <c r="E1731" s="33" t="s">
        <v>2091</v>
      </c>
      <c r="F1731" s="35">
        <v>0.05</v>
      </c>
      <c r="G1731" s="40"/>
      <c r="H1731" s="40"/>
    </row>
    <row r="1732" spans="1:8" hidden="1" x14ac:dyDescent="0.35">
      <c r="A1732" s="33">
        <v>1731</v>
      </c>
      <c r="B1732" s="34" t="s">
        <v>2133</v>
      </c>
      <c r="C1732" s="33" t="s">
        <v>346</v>
      </c>
      <c r="D1732" s="33" t="s">
        <v>70</v>
      </c>
      <c r="E1732" s="33" t="s">
        <v>2091</v>
      </c>
      <c r="F1732" s="35">
        <v>0.05</v>
      </c>
      <c r="G1732" s="40"/>
      <c r="H1732" s="40"/>
    </row>
    <row r="1733" spans="1:8" hidden="1" x14ac:dyDescent="0.35">
      <c r="A1733" s="33">
        <v>1732</v>
      </c>
      <c r="B1733" s="34" t="s">
        <v>2134</v>
      </c>
      <c r="C1733" s="33" t="s">
        <v>346</v>
      </c>
      <c r="D1733" s="33" t="s">
        <v>70</v>
      </c>
      <c r="E1733" s="33" t="s">
        <v>2091</v>
      </c>
      <c r="F1733" s="35">
        <v>0.11</v>
      </c>
      <c r="G1733" s="40"/>
      <c r="H1733" s="40"/>
    </row>
    <row r="1734" spans="1:8" hidden="1" x14ac:dyDescent="0.35">
      <c r="A1734" s="33">
        <v>1733</v>
      </c>
      <c r="B1734" s="34" t="s">
        <v>277</v>
      </c>
      <c r="C1734" s="33" t="s">
        <v>346</v>
      </c>
      <c r="D1734" s="33" t="s">
        <v>70</v>
      </c>
      <c r="E1734" s="33" t="s">
        <v>2091</v>
      </c>
      <c r="F1734" s="35">
        <v>1</v>
      </c>
      <c r="G1734" s="40"/>
      <c r="H1734" s="40"/>
    </row>
    <row r="1735" spans="1:8" hidden="1" x14ac:dyDescent="0.35">
      <c r="A1735" s="33">
        <v>1734</v>
      </c>
      <c r="B1735" s="34" t="s">
        <v>2135</v>
      </c>
      <c r="C1735" s="33" t="s">
        <v>346</v>
      </c>
      <c r="D1735" s="33" t="s">
        <v>70</v>
      </c>
      <c r="E1735" s="33" t="s">
        <v>2091</v>
      </c>
      <c r="F1735" s="35">
        <v>0.23</v>
      </c>
      <c r="G1735" s="40"/>
      <c r="H1735" s="40"/>
    </row>
    <row r="1736" spans="1:8" hidden="1" x14ac:dyDescent="0.35">
      <c r="A1736" s="33">
        <v>1735</v>
      </c>
      <c r="B1736" s="34" t="s">
        <v>2136</v>
      </c>
      <c r="C1736" s="33" t="s">
        <v>346</v>
      </c>
      <c r="D1736" s="33" t="s">
        <v>70</v>
      </c>
      <c r="E1736" s="33" t="s">
        <v>2091</v>
      </c>
      <c r="F1736" s="35">
        <v>4.8000000000000001E-2</v>
      </c>
      <c r="G1736" s="40"/>
      <c r="H1736" s="40"/>
    </row>
    <row r="1737" spans="1:8" hidden="1" x14ac:dyDescent="0.35">
      <c r="A1737" s="33">
        <v>1736</v>
      </c>
      <c r="B1737" s="34" t="s">
        <v>2137</v>
      </c>
      <c r="C1737" s="33" t="s">
        <v>346</v>
      </c>
      <c r="D1737" s="33" t="s">
        <v>70</v>
      </c>
      <c r="E1737" s="33" t="s">
        <v>2091</v>
      </c>
      <c r="F1737" s="35">
        <v>0.06</v>
      </c>
      <c r="G1737" s="40"/>
      <c r="H1737" s="40"/>
    </row>
    <row r="1738" spans="1:8" hidden="1" x14ac:dyDescent="0.35">
      <c r="A1738" s="33">
        <v>1737</v>
      </c>
      <c r="B1738" s="34" t="s">
        <v>2138</v>
      </c>
      <c r="C1738" s="33" t="s">
        <v>346</v>
      </c>
      <c r="D1738" s="33" t="s">
        <v>70</v>
      </c>
      <c r="E1738" s="33" t="s">
        <v>2091</v>
      </c>
      <c r="F1738" s="35">
        <v>0.06</v>
      </c>
      <c r="G1738" s="40"/>
      <c r="H1738" s="40"/>
    </row>
    <row r="1739" spans="1:8" hidden="1" x14ac:dyDescent="0.35">
      <c r="A1739" s="33">
        <v>1738</v>
      </c>
      <c r="B1739" s="34" t="s">
        <v>2139</v>
      </c>
      <c r="C1739" s="33" t="s">
        <v>346</v>
      </c>
      <c r="D1739" s="33" t="s">
        <v>70</v>
      </c>
      <c r="E1739" s="33" t="s">
        <v>2091</v>
      </c>
      <c r="F1739" s="35">
        <v>7.4999999999999997E-2</v>
      </c>
      <c r="G1739" s="40"/>
      <c r="H1739" s="40"/>
    </row>
    <row r="1740" spans="1:8" hidden="1" x14ac:dyDescent="0.35">
      <c r="A1740" s="33">
        <v>1739</v>
      </c>
      <c r="B1740" s="34" t="s">
        <v>2140</v>
      </c>
      <c r="C1740" s="33" t="s">
        <v>346</v>
      </c>
      <c r="D1740" s="33" t="s">
        <v>70</v>
      </c>
      <c r="E1740" s="33" t="s">
        <v>2091</v>
      </c>
      <c r="F1740" s="35">
        <v>0.06</v>
      </c>
      <c r="G1740" s="40"/>
      <c r="H1740" s="40"/>
    </row>
    <row r="1741" spans="1:8" hidden="1" x14ac:dyDescent="0.35">
      <c r="A1741" s="33">
        <v>1740</v>
      </c>
      <c r="B1741" s="34" t="s">
        <v>2141</v>
      </c>
      <c r="C1741" s="33" t="s">
        <v>346</v>
      </c>
      <c r="D1741" s="33" t="s">
        <v>70</v>
      </c>
      <c r="E1741" s="33" t="s">
        <v>2091</v>
      </c>
      <c r="F1741" s="35">
        <v>4.8000000000000001E-2</v>
      </c>
      <c r="G1741" s="40"/>
      <c r="H1741" s="40"/>
    </row>
    <row r="1742" spans="1:8" hidden="1" x14ac:dyDescent="0.35">
      <c r="A1742" s="33">
        <v>1741</v>
      </c>
      <c r="B1742" s="34" t="s">
        <v>2142</v>
      </c>
      <c r="C1742" s="33" t="s">
        <v>346</v>
      </c>
      <c r="D1742" s="33" t="s">
        <v>70</v>
      </c>
      <c r="E1742" s="33" t="s">
        <v>2091</v>
      </c>
      <c r="F1742" s="35">
        <v>1</v>
      </c>
      <c r="G1742" s="40"/>
      <c r="H1742" s="40"/>
    </row>
    <row r="1743" spans="1:8" hidden="1" x14ac:dyDescent="0.35">
      <c r="A1743" s="33">
        <v>1742</v>
      </c>
      <c r="B1743" s="34" t="s">
        <v>2143</v>
      </c>
      <c r="C1743" s="33" t="s">
        <v>346</v>
      </c>
      <c r="D1743" s="33" t="s">
        <v>70</v>
      </c>
      <c r="E1743" s="33" t="s">
        <v>2091</v>
      </c>
      <c r="F1743" s="35">
        <v>0.23</v>
      </c>
      <c r="G1743" s="40"/>
      <c r="H1743" s="40"/>
    </row>
    <row r="1744" spans="1:8" hidden="1" x14ac:dyDescent="0.35">
      <c r="A1744" s="33">
        <v>1743</v>
      </c>
      <c r="B1744" s="34" t="s">
        <v>2144</v>
      </c>
      <c r="C1744" s="33" t="s">
        <v>346</v>
      </c>
      <c r="D1744" s="33" t="s">
        <v>70</v>
      </c>
      <c r="E1744" s="33" t="s">
        <v>2091</v>
      </c>
      <c r="F1744" s="35">
        <v>1</v>
      </c>
      <c r="G1744" s="40"/>
      <c r="H1744" s="40"/>
    </row>
    <row r="1745" spans="1:8" hidden="1" x14ac:dyDescent="0.35">
      <c r="A1745" s="33">
        <v>1744</v>
      </c>
      <c r="B1745" s="34" t="s">
        <v>2145</v>
      </c>
      <c r="C1745" s="33" t="s">
        <v>346</v>
      </c>
      <c r="D1745" s="33" t="s">
        <v>70</v>
      </c>
      <c r="E1745" s="33" t="s">
        <v>2091</v>
      </c>
      <c r="F1745" s="35">
        <v>1.15E-2</v>
      </c>
      <c r="G1745" s="40"/>
      <c r="H1745" s="40"/>
    </row>
    <row r="1746" spans="1:8" hidden="1" x14ac:dyDescent="0.35">
      <c r="A1746" s="33">
        <v>1745</v>
      </c>
      <c r="B1746" s="34" t="s">
        <v>2146</v>
      </c>
      <c r="C1746" s="33" t="s">
        <v>346</v>
      </c>
      <c r="D1746" s="33" t="s">
        <v>70</v>
      </c>
      <c r="E1746" s="33" t="s">
        <v>2091</v>
      </c>
      <c r="F1746" s="35">
        <v>1.15E-2</v>
      </c>
      <c r="G1746" s="40"/>
      <c r="H1746" s="40"/>
    </row>
    <row r="1747" spans="1:8" hidden="1" x14ac:dyDescent="0.35">
      <c r="A1747" s="33">
        <v>1746</v>
      </c>
      <c r="B1747" s="34" t="s">
        <v>2147</v>
      </c>
      <c r="C1747" s="33" t="s">
        <v>346</v>
      </c>
      <c r="D1747" s="33" t="s">
        <v>70</v>
      </c>
      <c r="E1747" s="33" t="s">
        <v>2091</v>
      </c>
      <c r="F1747" s="35">
        <v>1.4500000000000001E-2</v>
      </c>
      <c r="G1747" s="40"/>
      <c r="H1747" s="40"/>
    </row>
    <row r="1748" spans="1:8" hidden="1" x14ac:dyDescent="0.35">
      <c r="A1748" s="33">
        <v>1747</v>
      </c>
      <c r="B1748" s="34" t="s">
        <v>2148</v>
      </c>
      <c r="C1748" s="33" t="s">
        <v>346</v>
      </c>
      <c r="D1748" s="33" t="s">
        <v>70</v>
      </c>
      <c r="E1748" s="33" t="s">
        <v>2091</v>
      </c>
      <c r="F1748" s="35">
        <v>1.35E-2</v>
      </c>
      <c r="G1748" s="40"/>
      <c r="H1748" s="40"/>
    </row>
    <row r="1749" spans="1:8" hidden="1" x14ac:dyDescent="0.35">
      <c r="A1749" s="33">
        <v>1748</v>
      </c>
      <c r="B1749" s="34" t="s">
        <v>2149</v>
      </c>
      <c r="C1749" s="33" t="s">
        <v>346</v>
      </c>
      <c r="D1749" s="33" t="s">
        <v>70</v>
      </c>
      <c r="E1749" s="33" t="s">
        <v>2091</v>
      </c>
      <c r="F1749" s="35">
        <v>0.01</v>
      </c>
      <c r="G1749" s="40"/>
      <c r="H1749" s="40"/>
    </row>
    <row r="1750" spans="1:8" hidden="1" x14ac:dyDescent="0.35">
      <c r="A1750" s="33">
        <v>1749</v>
      </c>
      <c r="B1750" s="34" t="s">
        <v>2150</v>
      </c>
      <c r="C1750" s="33" t="s">
        <v>346</v>
      </c>
      <c r="D1750" s="33" t="s">
        <v>70</v>
      </c>
      <c r="E1750" s="33" t="s">
        <v>2091</v>
      </c>
      <c r="F1750" s="35">
        <v>5.3999999999999999E-2</v>
      </c>
      <c r="G1750" s="40"/>
      <c r="H1750" s="40"/>
    </row>
    <row r="1751" spans="1:8" hidden="1" x14ac:dyDescent="0.35">
      <c r="A1751" s="33">
        <v>1750</v>
      </c>
      <c r="B1751" s="34" t="s">
        <v>2151</v>
      </c>
      <c r="C1751" s="33" t="s">
        <v>346</v>
      </c>
      <c r="D1751" s="33" t="s">
        <v>70</v>
      </c>
      <c r="E1751" s="33" t="s">
        <v>2091</v>
      </c>
      <c r="F1751" s="35">
        <v>1.7999999999999999E-2</v>
      </c>
      <c r="G1751" s="40"/>
      <c r="H1751" s="40"/>
    </row>
    <row r="1752" spans="1:8" hidden="1" x14ac:dyDescent="0.35">
      <c r="A1752" s="33">
        <v>1751</v>
      </c>
      <c r="B1752" s="34" t="s">
        <v>2152</v>
      </c>
      <c r="C1752" s="33" t="s">
        <v>346</v>
      </c>
      <c r="D1752" s="33" t="s">
        <v>70</v>
      </c>
      <c r="E1752" s="33" t="s">
        <v>2091</v>
      </c>
      <c r="F1752" s="35">
        <v>0.375</v>
      </c>
      <c r="G1752" s="40"/>
      <c r="H1752" s="40"/>
    </row>
    <row r="1753" spans="1:8" hidden="1" x14ac:dyDescent="0.35">
      <c r="A1753" s="33">
        <v>1752</v>
      </c>
      <c r="B1753" s="34" t="s">
        <v>2153</v>
      </c>
      <c r="C1753" s="33" t="s">
        <v>346</v>
      </c>
      <c r="D1753" s="33" t="s">
        <v>70</v>
      </c>
      <c r="E1753" s="33" t="s">
        <v>2091</v>
      </c>
      <c r="F1753" s="35">
        <v>0.21</v>
      </c>
      <c r="G1753" s="40"/>
      <c r="H1753" s="40"/>
    </row>
    <row r="1754" spans="1:8" hidden="1" x14ac:dyDescent="0.35">
      <c r="A1754" s="33">
        <v>1753</v>
      </c>
      <c r="B1754" s="34" t="s">
        <v>2154</v>
      </c>
      <c r="C1754" s="33" t="s">
        <v>346</v>
      </c>
      <c r="D1754" s="33" t="s">
        <v>70</v>
      </c>
      <c r="E1754" s="33" t="s">
        <v>2091</v>
      </c>
      <c r="F1754" s="35">
        <v>0.21</v>
      </c>
      <c r="G1754" s="40"/>
      <c r="H1754" s="40"/>
    </row>
    <row r="1755" spans="1:8" hidden="1" x14ac:dyDescent="0.35">
      <c r="A1755" s="33">
        <v>1754</v>
      </c>
      <c r="B1755" s="34" t="s">
        <v>2155</v>
      </c>
      <c r="C1755" s="33" t="s">
        <v>346</v>
      </c>
      <c r="D1755" s="33" t="s">
        <v>70</v>
      </c>
      <c r="E1755" s="33" t="s">
        <v>2091</v>
      </c>
      <c r="F1755" s="35">
        <v>1</v>
      </c>
      <c r="G1755" s="40"/>
      <c r="H1755" s="40"/>
    </row>
    <row r="1756" spans="1:8" hidden="1" x14ac:dyDescent="0.35">
      <c r="A1756" s="33">
        <v>1755</v>
      </c>
      <c r="B1756" s="34" t="s">
        <v>2156</v>
      </c>
      <c r="C1756" s="33" t="s">
        <v>346</v>
      </c>
      <c r="D1756" s="33" t="s">
        <v>70</v>
      </c>
      <c r="E1756" s="33" t="s">
        <v>2091</v>
      </c>
      <c r="F1756" s="35">
        <v>1</v>
      </c>
      <c r="G1756" s="40"/>
      <c r="H1756" s="40"/>
    </row>
    <row r="1757" spans="1:8" hidden="1" x14ac:dyDescent="0.35">
      <c r="A1757" s="33">
        <v>1756</v>
      </c>
      <c r="B1757" s="34" t="s">
        <v>2157</v>
      </c>
      <c r="C1757" s="33" t="s">
        <v>346</v>
      </c>
      <c r="D1757" s="33" t="s">
        <v>70</v>
      </c>
      <c r="E1757" s="33" t="s">
        <v>2091</v>
      </c>
      <c r="F1757" s="35">
        <v>1</v>
      </c>
      <c r="G1757" s="40"/>
      <c r="H1757" s="40"/>
    </row>
    <row r="1758" spans="1:8" hidden="1" x14ac:dyDescent="0.35">
      <c r="A1758" s="33">
        <v>1757</v>
      </c>
      <c r="B1758" s="34" t="s">
        <v>2158</v>
      </c>
      <c r="C1758" s="33" t="s">
        <v>346</v>
      </c>
      <c r="D1758" s="33" t="s">
        <v>70</v>
      </c>
      <c r="E1758" s="33" t="s">
        <v>2091</v>
      </c>
      <c r="F1758" s="35">
        <v>1</v>
      </c>
      <c r="G1758" s="40"/>
      <c r="H1758" s="40"/>
    </row>
    <row r="1759" spans="1:8" hidden="1" x14ac:dyDescent="0.35">
      <c r="A1759" s="33">
        <v>1758</v>
      </c>
      <c r="B1759" s="34" t="s">
        <v>2159</v>
      </c>
      <c r="C1759" s="33" t="s">
        <v>346</v>
      </c>
      <c r="D1759" s="33" t="s">
        <v>70</v>
      </c>
      <c r="E1759" s="33" t="s">
        <v>2091</v>
      </c>
      <c r="F1759" s="35">
        <v>1</v>
      </c>
      <c r="G1759" s="40"/>
      <c r="H1759" s="40"/>
    </row>
    <row r="1760" spans="1:8" hidden="1" x14ac:dyDescent="0.35">
      <c r="A1760" s="33">
        <v>1759</v>
      </c>
      <c r="B1760" s="34" t="s">
        <v>2160</v>
      </c>
      <c r="C1760" s="33" t="s">
        <v>346</v>
      </c>
      <c r="D1760" s="33" t="s">
        <v>70</v>
      </c>
      <c r="E1760" s="33" t="s">
        <v>2091</v>
      </c>
      <c r="F1760" s="35">
        <v>1</v>
      </c>
      <c r="G1760" s="40"/>
      <c r="H1760" s="40"/>
    </row>
    <row r="1761" spans="1:8" hidden="1" x14ac:dyDescent="0.35">
      <c r="A1761" s="33">
        <v>1760</v>
      </c>
      <c r="B1761" s="34" t="s">
        <v>2161</v>
      </c>
      <c r="C1761" s="33" t="s">
        <v>346</v>
      </c>
      <c r="D1761" s="33" t="s">
        <v>70</v>
      </c>
      <c r="E1761" s="33" t="s">
        <v>2091</v>
      </c>
      <c r="F1761" s="35">
        <v>0.2</v>
      </c>
      <c r="G1761" s="40"/>
      <c r="H1761" s="40"/>
    </row>
    <row r="1762" spans="1:8" hidden="1" x14ac:dyDescent="0.35">
      <c r="A1762" s="33">
        <v>1761</v>
      </c>
      <c r="B1762" s="34" t="s">
        <v>2162</v>
      </c>
      <c r="C1762" s="33" t="s">
        <v>346</v>
      </c>
      <c r="D1762" s="33" t="s">
        <v>70</v>
      </c>
      <c r="E1762" s="33" t="s">
        <v>2091</v>
      </c>
      <c r="F1762" s="35">
        <v>1</v>
      </c>
      <c r="G1762" s="40"/>
      <c r="H1762" s="40"/>
    </row>
    <row r="1763" spans="1:8" hidden="1" x14ac:dyDescent="0.35">
      <c r="A1763" s="33">
        <v>1762</v>
      </c>
      <c r="B1763" s="34" t="s">
        <v>2163</v>
      </c>
      <c r="C1763" s="33" t="s">
        <v>346</v>
      </c>
      <c r="D1763" s="33" t="s">
        <v>70</v>
      </c>
      <c r="E1763" s="33" t="s">
        <v>2091</v>
      </c>
      <c r="F1763" s="35">
        <v>1</v>
      </c>
      <c r="G1763" s="40"/>
      <c r="H1763" s="40"/>
    </row>
    <row r="1764" spans="1:8" hidden="1" x14ac:dyDescent="0.35">
      <c r="A1764" s="33">
        <v>1763</v>
      </c>
      <c r="B1764" s="34" t="s">
        <v>2164</v>
      </c>
      <c r="C1764" s="33" t="s">
        <v>346</v>
      </c>
      <c r="D1764" s="33" t="s">
        <v>70</v>
      </c>
      <c r="E1764" s="33" t="s">
        <v>2091</v>
      </c>
      <c r="F1764" s="35">
        <v>0.2</v>
      </c>
      <c r="G1764" s="40"/>
      <c r="H1764" s="40"/>
    </row>
    <row r="1765" spans="1:8" hidden="1" x14ac:dyDescent="0.35">
      <c r="A1765" s="33">
        <v>1764</v>
      </c>
      <c r="B1765" s="34" t="s">
        <v>2165</v>
      </c>
      <c r="C1765" s="33" t="s">
        <v>346</v>
      </c>
      <c r="D1765" s="33" t="s">
        <v>70</v>
      </c>
      <c r="E1765" s="33" t="s">
        <v>2091</v>
      </c>
      <c r="F1765" s="35">
        <v>0.2</v>
      </c>
      <c r="G1765" s="40"/>
      <c r="H1765" s="40"/>
    </row>
    <row r="1766" spans="1:8" hidden="1" x14ac:dyDescent="0.35">
      <c r="A1766" s="33">
        <v>1765</v>
      </c>
      <c r="B1766" s="34" t="s">
        <v>2166</v>
      </c>
      <c r="C1766" s="33" t="s">
        <v>346</v>
      </c>
      <c r="D1766" s="33" t="s">
        <v>70</v>
      </c>
      <c r="E1766" s="33" t="s">
        <v>2091</v>
      </c>
      <c r="F1766" s="35">
        <v>0.2</v>
      </c>
      <c r="G1766" s="40"/>
      <c r="H1766" s="40"/>
    </row>
    <row r="1767" spans="1:8" hidden="1" x14ac:dyDescent="0.35">
      <c r="A1767" s="33">
        <v>1766</v>
      </c>
      <c r="B1767" s="34" t="s">
        <v>2167</v>
      </c>
      <c r="C1767" s="33" t="s">
        <v>346</v>
      </c>
      <c r="D1767" s="33" t="s">
        <v>70</v>
      </c>
      <c r="E1767" s="33" t="s">
        <v>2091</v>
      </c>
      <c r="F1767" s="35">
        <v>0.2</v>
      </c>
      <c r="G1767" s="40"/>
      <c r="H1767" s="40"/>
    </row>
    <row r="1768" spans="1:8" hidden="1" x14ac:dyDescent="0.35">
      <c r="A1768" s="33">
        <v>1767</v>
      </c>
      <c r="B1768" s="34" t="s">
        <v>2168</v>
      </c>
      <c r="C1768" s="33" t="s">
        <v>346</v>
      </c>
      <c r="D1768" s="33" t="s">
        <v>70</v>
      </c>
      <c r="E1768" s="33" t="s">
        <v>2091</v>
      </c>
      <c r="F1768" s="35">
        <v>0.2</v>
      </c>
      <c r="G1768" s="40"/>
      <c r="H1768" s="40"/>
    </row>
    <row r="1769" spans="1:8" hidden="1" x14ac:dyDescent="0.35">
      <c r="A1769" s="33">
        <v>1768</v>
      </c>
      <c r="B1769" s="34" t="s">
        <v>2169</v>
      </c>
      <c r="C1769" s="33" t="s">
        <v>346</v>
      </c>
      <c r="D1769" s="33" t="s">
        <v>70</v>
      </c>
      <c r="E1769" s="33" t="s">
        <v>2091</v>
      </c>
      <c r="F1769" s="35">
        <v>0.2</v>
      </c>
      <c r="G1769" s="40"/>
      <c r="H1769" s="40"/>
    </row>
    <row r="1770" spans="1:8" hidden="1" x14ac:dyDescent="0.35">
      <c r="A1770" s="33">
        <v>1769</v>
      </c>
      <c r="B1770" s="34" t="s">
        <v>2170</v>
      </c>
      <c r="C1770" s="33" t="s">
        <v>346</v>
      </c>
      <c r="D1770" s="33" t="s">
        <v>70</v>
      </c>
      <c r="E1770" s="33" t="s">
        <v>2091</v>
      </c>
      <c r="F1770" s="35">
        <v>0.2</v>
      </c>
      <c r="G1770" s="40"/>
      <c r="H1770" s="40"/>
    </row>
    <row r="1771" spans="1:8" hidden="1" x14ac:dyDescent="0.35">
      <c r="A1771" s="33">
        <v>1770</v>
      </c>
      <c r="B1771" s="34" t="s">
        <v>2171</v>
      </c>
      <c r="C1771" s="33" t="s">
        <v>346</v>
      </c>
      <c r="D1771" s="33" t="s">
        <v>70</v>
      </c>
      <c r="E1771" s="33" t="s">
        <v>2091</v>
      </c>
      <c r="F1771" s="35">
        <v>0.15</v>
      </c>
      <c r="G1771" s="40"/>
      <c r="H1771" s="40"/>
    </row>
    <row r="1772" spans="1:8" hidden="1" x14ac:dyDescent="0.35">
      <c r="A1772" s="33">
        <v>1771</v>
      </c>
      <c r="B1772" s="34" t="s">
        <v>2172</v>
      </c>
      <c r="C1772" s="33" t="s">
        <v>346</v>
      </c>
      <c r="D1772" s="33" t="s">
        <v>70</v>
      </c>
      <c r="E1772" s="33" t="s">
        <v>2091</v>
      </c>
      <c r="F1772" s="35">
        <v>1</v>
      </c>
      <c r="G1772" s="40"/>
      <c r="H1772" s="40"/>
    </row>
    <row r="1773" spans="1:8" hidden="1" x14ac:dyDescent="0.35">
      <c r="A1773" s="33">
        <v>1772</v>
      </c>
      <c r="B1773" s="34" t="s">
        <v>2173</v>
      </c>
      <c r="C1773" s="33" t="s">
        <v>346</v>
      </c>
      <c r="D1773" s="33" t="s">
        <v>70</v>
      </c>
      <c r="E1773" s="33" t="s">
        <v>2091</v>
      </c>
      <c r="F1773" s="35">
        <v>0.15</v>
      </c>
      <c r="G1773" s="40"/>
      <c r="H1773" s="40"/>
    </row>
    <row r="1774" spans="1:8" hidden="1" x14ac:dyDescent="0.35">
      <c r="A1774" s="33">
        <v>1773</v>
      </c>
      <c r="B1774" s="34" t="s">
        <v>2174</v>
      </c>
      <c r="C1774" s="33" t="s">
        <v>346</v>
      </c>
      <c r="D1774" s="33" t="s">
        <v>70</v>
      </c>
      <c r="E1774" s="33" t="s">
        <v>2091</v>
      </c>
      <c r="F1774" s="35">
        <v>0.15</v>
      </c>
      <c r="G1774" s="40"/>
      <c r="H1774" s="40"/>
    </row>
    <row r="1775" spans="1:8" hidden="1" x14ac:dyDescent="0.35">
      <c r="A1775" s="33">
        <v>1774</v>
      </c>
      <c r="B1775" s="34" t="s">
        <v>2175</v>
      </c>
      <c r="C1775" s="33" t="s">
        <v>346</v>
      </c>
      <c r="D1775" s="33" t="s">
        <v>70</v>
      </c>
      <c r="E1775" s="33" t="s">
        <v>2091</v>
      </c>
      <c r="F1775" s="35">
        <v>1</v>
      </c>
      <c r="G1775" s="40"/>
      <c r="H1775" s="40"/>
    </row>
    <row r="1776" spans="1:8" hidden="1" x14ac:dyDescent="0.35">
      <c r="A1776" s="33">
        <v>1775</v>
      </c>
      <c r="B1776" s="34" t="s">
        <v>2176</v>
      </c>
      <c r="C1776" s="33" t="s">
        <v>346</v>
      </c>
      <c r="D1776" s="33" t="s">
        <v>70</v>
      </c>
      <c r="E1776" s="33" t="s">
        <v>2091</v>
      </c>
      <c r="F1776" s="35">
        <v>1.15E-2</v>
      </c>
      <c r="G1776" s="40"/>
      <c r="H1776" s="40"/>
    </row>
    <row r="1777" spans="1:8" hidden="1" x14ac:dyDescent="0.35">
      <c r="A1777" s="33">
        <v>1776</v>
      </c>
      <c r="B1777" s="34" t="s">
        <v>2177</v>
      </c>
      <c r="C1777" s="33" t="s">
        <v>346</v>
      </c>
      <c r="D1777" s="33" t="s">
        <v>70</v>
      </c>
      <c r="E1777" s="33" t="s">
        <v>2091</v>
      </c>
      <c r="F1777" s="35">
        <v>1</v>
      </c>
      <c r="G1777" s="40"/>
      <c r="H1777" s="40"/>
    </row>
    <row r="1778" spans="1:8" hidden="1" x14ac:dyDescent="0.35">
      <c r="A1778" s="33">
        <v>1777</v>
      </c>
      <c r="B1778" s="34" t="s">
        <v>2178</v>
      </c>
      <c r="C1778" s="33" t="s">
        <v>346</v>
      </c>
      <c r="D1778" s="33" t="s">
        <v>70</v>
      </c>
      <c r="E1778" s="33" t="s">
        <v>2091</v>
      </c>
      <c r="F1778" s="35">
        <v>1</v>
      </c>
      <c r="G1778" s="40"/>
      <c r="H1778" s="40"/>
    </row>
    <row r="1779" spans="1:8" hidden="1" x14ac:dyDescent="0.35">
      <c r="A1779" s="33">
        <v>1778</v>
      </c>
      <c r="B1779" s="34" t="s">
        <v>2179</v>
      </c>
      <c r="C1779" s="33" t="s">
        <v>346</v>
      </c>
      <c r="D1779" s="33" t="s">
        <v>70</v>
      </c>
      <c r="E1779" s="33" t="s">
        <v>2091</v>
      </c>
      <c r="F1779" s="35">
        <v>0.12</v>
      </c>
      <c r="G1779" s="40"/>
      <c r="H1779" s="40"/>
    </row>
    <row r="1780" spans="1:8" hidden="1" x14ac:dyDescent="0.35">
      <c r="A1780" s="33">
        <v>1779</v>
      </c>
      <c r="B1780" s="34" t="s">
        <v>2180</v>
      </c>
      <c r="C1780" s="33" t="s">
        <v>346</v>
      </c>
      <c r="D1780" s="33" t="s">
        <v>70</v>
      </c>
      <c r="E1780" s="33" t="s">
        <v>2091</v>
      </c>
      <c r="F1780" s="35">
        <v>0.12</v>
      </c>
      <c r="G1780" s="40"/>
      <c r="H1780" s="40"/>
    </row>
    <row r="1781" spans="1:8" hidden="1" x14ac:dyDescent="0.35">
      <c r="A1781" s="33">
        <v>1780</v>
      </c>
      <c r="B1781" s="34" t="s">
        <v>2181</v>
      </c>
      <c r="C1781" s="33" t="s">
        <v>346</v>
      </c>
      <c r="D1781" s="33" t="s">
        <v>70</v>
      </c>
      <c r="E1781" s="33" t="s">
        <v>2091</v>
      </c>
      <c r="F1781" s="35">
        <v>0.12</v>
      </c>
      <c r="G1781" s="40"/>
      <c r="H1781" s="40"/>
    </row>
    <row r="1782" spans="1:8" hidden="1" x14ac:dyDescent="0.35">
      <c r="A1782" s="33">
        <v>1781</v>
      </c>
      <c r="B1782" s="34" t="s">
        <v>2182</v>
      </c>
      <c r="C1782" s="33" t="s">
        <v>346</v>
      </c>
      <c r="D1782" s="33" t="s">
        <v>70</v>
      </c>
      <c r="E1782" s="33" t="s">
        <v>2091</v>
      </c>
      <c r="F1782" s="35">
        <v>0.25</v>
      </c>
      <c r="G1782" s="40"/>
      <c r="H1782" s="40"/>
    </row>
    <row r="1783" spans="1:8" hidden="1" x14ac:dyDescent="0.35">
      <c r="A1783" s="33">
        <v>1782</v>
      </c>
      <c r="B1783" s="34" t="s">
        <v>2183</v>
      </c>
      <c r="C1783" s="33" t="s">
        <v>346</v>
      </c>
      <c r="D1783" s="33" t="s">
        <v>70</v>
      </c>
      <c r="E1783" s="33" t="s">
        <v>2091</v>
      </c>
      <c r="F1783" s="35">
        <v>1</v>
      </c>
      <c r="G1783" s="40"/>
      <c r="H1783" s="40"/>
    </row>
    <row r="1784" spans="1:8" hidden="1" x14ac:dyDescent="0.35">
      <c r="A1784" s="33">
        <v>1783</v>
      </c>
      <c r="B1784" s="34" t="s">
        <v>2184</v>
      </c>
      <c r="C1784" s="33" t="s">
        <v>346</v>
      </c>
      <c r="D1784" s="33" t="s">
        <v>70</v>
      </c>
      <c r="E1784" s="33" t="s">
        <v>2091</v>
      </c>
      <c r="F1784" s="35">
        <v>1</v>
      </c>
      <c r="G1784" s="40"/>
      <c r="H1784" s="40"/>
    </row>
    <row r="1785" spans="1:8" hidden="1" x14ac:dyDescent="0.35">
      <c r="A1785" s="33">
        <v>1784</v>
      </c>
      <c r="B1785" s="34" t="s">
        <v>2185</v>
      </c>
      <c r="C1785" s="33" t="s">
        <v>346</v>
      </c>
      <c r="D1785" s="33" t="s">
        <v>70</v>
      </c>
      <c r="E1785" s="33" t="s">
        <v>2091</v>
      </c>
      <c r="F1785" s="35">
        <v>1</v>
      </c>
      <c r="G1785" s="40"/>
      <c r="H1785" s="40"/>
    </row>
    <row r="1786" spans="1:8" hidden="1" x14ac:dyDescent="0.35">
      <c r="A1786" s="33">
        <v>1785</v>
      </c>
      <c r="B1786" s="34" t="s">
        <v>2186</v>
      </c>
      <c r="C1786" s="33" t="s">
        <v>346</v>
      </c>
      <c r="D1786" s="33" t="s">
        <v>70</v>
      </c>
      <c r="E1786" s="33" t="s">
        <v>2091</v>
      </c>
      <c r="F1786" s="35">
        <v>1</v>
      </c>
      <c r="G1786" s="40"/>
      <c r="H1786" s="40"/>
    </row>
    <row r="1787" spans="1:8" hidden="1" x14ac:dyDescent="0.35">
      <c r="A1787" s="33">
        <v>1786</v>
      </c>
      <c r="B1787" s="34" t="s">
        <v>2187</v>
      </c>
      <c r="C1787" s="33" t="s">
        <v>346</v>
      </c>
      <c r="D1787" s="33" t="s">
        <v>70</v>
      </c>
      <c r="E1787" s="33" t="s">
        <v>2091</v>
      </c>
      <c r="F1787" s="35">
        <v>1</v>
      </c>
      <c r="G1787" s="40"/>
      <c r="H1787" s="40"/>
    </row>
    <row r="1788" spans="1:8" hidden="1" x14ac:dyDescent="0.35">
      <c r="A1788" s="33">
        <v>1787</v>
      </c>
      <c r="B1788" s="34" t="s">
        <v>2188</v>
      </c>
      <c r="C1788" s="33" t="s">
        <v>346</v>
      </c>
      <c r="D1788" s="33" t="s">
        <v>70</v>
      </c>
      <c r="E1788" s="33" t="s">
        <v>2091</v>
      </c>
      <c r="F1788" s="35">
        <v>3.3000000000000002E-2</v>
      </c>
      <c r="G1788" s="40"/>
      <c r="H1788" s="40"/>
    </row>
    <row r="1789" spans="1:8" hidden="1" x14ac:dyDescent="0.35">
      <c r="A1789" s="33">
        <v>1788</v>
      </c>
      <c r="B1789" s="34" t="s">
        <v>2189</v>
      </c>
      <c r="C1789" s="33" t="s">
        <v>346</v>
      </c>
      <c r="D1789" s="33" t="s">
        <v>70</v>
      </c>
      <c r="E1789" s="33" t="s">
        <v>2091</v>
      </c>
      <c r="F1789" s="35">
        <v>3.5000000000000003E-2</v>
      </c>
      <c r="G1789" s="40"/>
      <c r="H1789" s="40"/>
    </row>
    <row r="1790" spans="1:8" hidden="1" x14ac:dyDescent="0.35">
      <c r="A1790" s="33">
        <v>1789</v>
      </c>
      <c r="B1790" s="34" t="s">
        <v>2190</v>
      </c>
      <c r="C1790" s="33" t="s">
        <v>346</v>
      </c>
      <c r="D1790" s="33" t="s">
        <v>70</v>
      </c>
      <c r="E1790" s="33" t="s">
        <v>2091</v>
      </c>
      <c r="F1790" s="35">
        <v>1</v>
      </c>
      <c r="G1790" s="40"/>
      <c r="H1790" s="40"/>
    </row>
    <row r="1791" spans="1:8" hidden="1" x14ac:dyDescent="0.35">
      <c r="A1791" s="33">
        <v>1790</v>
      </c>
      <c r="B1791" s="34" t="s">
        <v>2191</v>
      </c>
      <c r="C1791" s="33" t="s">
        <v>346</v>
      </c>
      <c r="D1791" s="33" t="s">
        <v>70</v>
      </c>
      <c r="E1791" s="33" t="s">
        <v>2091</v>
      </c>
      <c r="F1791" s="35">
        <v>4.8000000000000001E-2</v>
      </c>
      <c r="G1791" s="40"/>
      <c r="H1791" s="40"/>
    </row>
    <row r="1792" spans="1:8" hidden="1" x14ac:dyDescent="0.35">
      <c r="A1792" s="33">
        <v>1791</v>
      </c>
      <c r="B1792" s="34" t="s">
        <v>2192</v>
      </c>
      <c r="C1792" s="33" t="s">
        <v>346</v>
      </c>
      <c r="D1792" s="33" t="s">
        <v>70</v>
      </c>
      <c r="E1792" s="33" t="s">
        <v>2091</v>
      </c>
      <c r="F1792" s="35">
        <v>3.3000000000000002E-2</v>
      </c>
      <c r="G1792" s="40"/>
      <c r="H1792" s="40"/>
    </row>
    <row r="1793" spans="1:9" hidden="1" x14ac:dyDescent="0.35">
      <c r="A1793" s="33">
        <v>1792</v>
      </c>
      <c r="B1793" s="34" t="s">
        <v>2193</v>
      </c>
      <c r="C1793" s="33" t="s">
        <v>346</v>
      </c>
      <c r="D1793" s="33" t="s">
        <v>70</v>
      </c>
      <c r="E1793" s="33" t="s">
        <v>2091</v>
      </c>
      <c r="F1793" s="35">
        <v>3.5000000000000003E-2</v>
      </c>
      <c r="G1793" s="40"/>
      <c r="H1793" s="40"/>
    </row>
    <row r="1794" spans="1:9" hidden="1" x14ac:dyDescent="0.35">
      <c r="A1794" s="33">
        <v>1793</v>
      </c>
      <c r="B1794" s="34" t="s">
        <v>2194</v>
      </c>
      <c r="C1794" s="33" t="s">
        <v>346</v>
      </c>
      <c r="D1794" s="33" t="s">
        <v>70</v>
      </c>
      <c r="E1794" s="33" t="s">
        <v>2091</v>
      </c>
      <c r="F1794" s="35">
        <v>0.05</v>
      </c>
      <c r="G1794" s="40"/>
      <c r="H1794" s="40"/>
    </row>
    <row r="1795" spans="1:9" hidden="1" x14ac:dyDescent="0.35">
      <c r="A1795" s="33">
        <v>1794</v>
      </c>
      <c r="B1795" s="34" t="s">
        <v>2195</v>
      </c>
      <c r="C1795" s="33" t="s">
        <v>346</v>
      </c>
      <c r="D1795" s="33" t="s">
        <v>70</v>
      </c>
      <c r="E1795" s="33" t="s">
        <v>2091</v>
      </c>
      <c r="F1795" s="35">
        <v>1</v>
      </c>
      <c r="G1795" s="40"/>
      <c r="H1795" s="40"/>
    </row>
    <row r="1796" spans="1:9" x14ac:dyDescent="0.35">
      <c r="A1796" s="33">
        <v>1795</v>
      </c>
      <c r="B1796" s="34" t="s">
        <v>2196</v>
      </c>
      <c r="C1796" s="33" t="s">
        <v>346</v>
      </c>
      <c r="D1796" s="33" t="s">
        <v>70</v>
      </c>
      <c r="E1796" s="33" t="s">
        <v>2091</v>
      </c>
      <c r="F1796" s="35">
        <v>1</v>
      </c>
      <c r="G1796" s="40"/>
      <c r="H1796" s="40">
        <v>1.3</v>
      </c>
      <c r="I1796" s="40" t="s">
        <v>2303</v>
      </c>
    </row>
    <row r="1797" spans="1:9" hidden="1" x14ac:dyDescent="0.35">
      <c r="A1797" s="41">
        <v>1796</v>
      </c>
      <c r="B1797" s="42" t="s">
        <v>2197</v>
      </c>
      <c r="C1797" s="41" t="s">
        <v>346</v>
      </c>
      <c r="D1797" s="41" t="s">
        <v>70</v>
      </c>
      <c r="E1797" s="41" t="s">
        <v>2091</v>
      </c>
      <c r="F1797" s="43">
        <v>0.15</v>
      </c>
      <c r="G1797" s="44"/>
      <c r="H1797" s="44"/>
    </row>
    <row r="1798" spans="1:9" hidden="1" x14ac:dyDescent="0.35">
      <c r="A1798" s="33">
        <v>1797</v>
      </c>
      <c r="B1798" s="34" t="s">
        <v>2198</v>
      </c>
      <c r="C1798" s="33" t="s">
        <v>346</v>
      </c>
      <c r="D1798" s="33" t="s">
        <v>70</v>
      </c>
      <c r="E1798" s="33" t="s">
        <v>2091</v>
      </c>
      <c r="F1798" s="35">
        <v>0.03</v>
      </c>
      <c r="G1798" s="40"/>
      <c r="H1798" s="40"/>
    </row>
    <row r="1799" spans="1:9" hidden="1" x14ac:dyDescent="0.35">
      <c r="A1799" s="33">
        <v>1798</v>
      </c>
      <c r="B1799" s="34" t="s">
        <v>2199</v>
      </c>
      <c r="C1799" s="33" t="s">
        <v>346</v>
      </c>
      <c r="D1799" s="33" t="s">
        <v>70</v>
      </c>
      <c r="E1799" s="33" t="s">
        <v>2091</v>
      </c>
      <c r="F1799" s="35">
        <v>0.1</v>
      </c>
      <c r="G1799" s="40"/>
      <c r="H1799" s="40"/>
    </row>
    <row r="1800" spans="1:9" hidden="1" x14ac:dyDescent="0.35">
      <c r="A1800" s="33">
        <v>1799</v>
      </c>
      <c r="B1800" s="34" t="s">
        <v>2200</v>
      </c>
      <c r="C1800" s="33" t="s">
        <v>346</v>
      </c>
      <c r="D1800" s="33" t="s">
        <v>70</v>
      </c>
      <c r="E1800" s="33" t="s">
        <v>2091</v>
      </c>
      <c r="F1800" s="35">
        <v>0.1</v>
      </c>
      <c r="G1800" s="40"/>
      <c r="H1800" s="40"/>
    </row>
    <row r="1801" spans="1:9" hidden="1" x14ac:dyDescent="0.35">
      <c r="A1801" s="33">
        <v>1800</v>
      </c>
      <c r="B1801" s="34" t="s">
        <v>2201</v>
      </c>
      <c r="C1801" s="33" t="s">
        <v>346</v>
      </c>
      <c r="D1801" s="33" t="s">
        <v>70</v>
      </c>
      <c r="E1801" s="33" t="s">
        <v>2091</v>
      </c>
      <c r="F1801" s="35">
        <v>0.1</v>
      </c>
      <c r="G1801" s="40"/>
      <c r="H1801" s="40"/>
    </row>
    <row r="1802" spans="1:9" hidden="1" x14ac:dyDescent="0.35">
      <c r="A1802" s="33">
        <v>1801</v>
      </c>
      <c r="B1802" s="34" t="s">
        <v>2202</v>
      </c>
      <c r="C1802" s="33" t="s">
        <v>346</v>
      </c>
      <c r="D1802" s="33" t="s">
        <v>70</v>
      </c>
      <c r="E1802" s="33" t="s">
        <v>2091</v>
      </c>
      <c r="F1802" s="35">
        <v>0.1</v>
      </c>
      <c r="G1802" s="40"/>
      <c r="H1802" s="40"/>
    </row>
    <row r="1803" spans="1:9" hidden="1" x14ac:dyDescent="0.35">
      <c r="A1803" s="33">
        <v>1802</v>
      </c>
      <c r="B1803" s="34" t="s">
        <v>241</v>
      </c>
      <c r="C1803" s="33" t="s">
        <v>346</v>
      </c>
      <c r="D1803" s="33" t="s">
        <v>70</v>
      </c>
      <c r="E1803" s="33" t="s">
        <v>2091</v>
      </c>
      <c r="F1803" s="35">
        <v>2.5000000000000001E-2</v>
      </c>
      <c r="G1803" s="40"/>
      <c r="H1803" s="40"/>
    </row>
    <row r="1804" spans="1:9" hidden="1" x14ac:dyDescent="0.35">
      <c r="A1804" s="33">
        <v>1803</v>
      </c>
      <c r="B1804" s="34" t="s">
        <v>2203</v>
      </c>
      <c r="C1804" s="33" t="s">
        <v>346</v>
      </c>
      <c r="D1804" s="33" t="s">
        <v>70</v>
      </c>
      <c r="E1804" s="33" t="s">
        <v>2091</v>
      </c>
      <c r="F1804" s="35">
        <v>0.1</v>
      </c>
      <c r="G1804" s="40"/>
      <c r="H1804" s="40"/>
    </row>
    <row r="1805" spans="1:9" hidden="1" x14ac:dyDescent="0.35">
      <c r="A1805" s="33">
        <v>1804</v>
      </c>
      <c r="B1805" s="34" t="s">
        <v>2204</v>
      </c>
      <c r="C1805" s="33" t="s">
        <v>346</v>
      </c>
      <c r="D1805" s="33" t="s">
        <v>70</v>
      </c>
      <c r="E1805" s="33" t="s">
        <v>2091</v>
      </c>
      <c r="F1805" s="35">
        <v>0.1</v>
      </c>
      <c r="G1805" s="40"/>
      <c r="H1805" s="40"/>
    </row>
    <row r="1806" spans="1:9" hidden="1" x14ac:dyDescent="0.35">
      <c r="A1806" s="33">
        <v>1805</v>
      </c>
      <c r="B1806" s="34" t="s">
        <v>2205</v>
      </c>
      <c r="C1806" s="33" t="s">
        <v>346</v>
      </c>
      <c r="D1806" s="33" t="s">
        <v>70</v>
      </c>
      <c r="E1806" s="33" t="s">
        <v>2091</v>
      </c>
      <c r="F1806" s="35">
        <v>0.1</v>
      </c>
      <c r="G1806" s="40"/>
      <c r="H1806" s="40"/>
    </row>
    <row r="1807" spans="1:9" hidden="1" x14ac:dyDescent="0.35">
      <c r="A1807" s="33">
        <v>1806</v>
      </c>
      <c r="B1807" s="34" t="s">
        <v>2206</v>
      </c>
      <c r="C1807" s="33" t="s">
        <v>346</v>
      </c>
      <c r="D1807" s="33" t="s">
        <v>70</v>
      </c>
      <c r="E1807" s="33" t="s">
        <v>2091</v>
      </c>
      <c r="F1807" s="35">
        <v>0.1</v>
      </c>
      <c r="G1807" s="40"/>
      <c r="H1807" s="40"/>
    </row>
    <row r="1808" spans="1:9" hidden="1" x14ac:dyDescent="0.35">
      <c r="A1808" s="33">
        <v>1807</v>
      </c>
      <c r="B1808" s="34" t="s">
        <v>2207</v>
      </c>
      <c r="C1808" s="33" t="s">
        <v>346</v>
      </c>
      <c r="D1808" s="33" t="s">
        <v>70</v>
      </c>
      <c r="E1808" s="33" t="s">
        <v>2091</v>
      </c>
      <c r="F1808" s="35">
        <v>0.1</v>
      </c>
      <c r="G1808" s="40"/>
      <c r="H1808" s="40"/>
    </row>
    <row r="1809" spans="1:9" hidden="1" x14ac:dyDescent="0.35">
      <c r="A1809" s="33">
        <v>1808</v>
      </c>
      <c r="B1809" s="34" t="s">
        <v>243</v>
      </c>
      <c r="C1809" s="33" t="s">
        <v>346</v>
      </c>
      <c r="D1809" s="33" t="s">
        <v>70</v>
      </c>
      <c r="E1809" s="33" t="s">
        <v>2091</v>
      </c>
      <c r="F1809" s="35">
        <v>0.1</v>
      </c>
      <c r="G1809" s="40"/>
      <c r="H1809" s="40"/>
    </row>
    <row r="1810" spans="1:9" hidden="1" x14ac:dyDescent="0.35">
      <c r="A1810" s="33">
        <v>1809</v>
      </c>
      <c r="B1810" s="34" t="s">
        <v>2208</v>
      </c>
      <c r="C1810" s="33" t="s">
        <v>346</v>
      </c>
      <c r="D1810" s="33" t="s">
        <v>70</v>
      </c>
      <c r="E1810" s="33" t="s">
        <v>2091</v>
      </c>
      <c r="F1810" s="35">
        <v>0.1</v>
      </c>
      <c r="G1810" s="40"/>
      <c r="H1810" s="40"/>
    </row>
    <row r="1811" spans="1:9" hidden="1" x14ac:dyDescent="0.35">
      <c r="A1811" s="33">
        <v>1810</v>
      </c>
      <c r="B1811" s="34" t="s">
        <v>2209</v>
      </c>
      <c r="C1811" s="33" t="s">
        <v>346</v>
      </c>
      <c r="D1811" s="33" t="s">
        <v>70</v>
      </c>
      <c r="E1811" s="33" t="s">
        <v>2091</v>
      </c>
      <c r="F1811" s="35">
        <v>1.4E-2</v>
      </c>
      <c r="G1811" s="40"/>
      <c r="H1811" s="40"/>
    </row>
    <row r="1812" spans="1:9" hidden="1" x14ac:dyDescent="0.35">
      <c r="A1812" s="33">
        <v>1811</v>
      </c>
      <c r="B1812" s="34" t="s">
        <v>2210</v>
      </c>
      <c r="C1812" s="33" t="s">
        <v>346</v>
      </c>
      <c r="D1812" s="33" t="s">
        <v>70</v>
      </c>
      <c r="E1812" s="33" t="s">
        <v>2091</v>
      </c>
      <c r="F1812" s="35">
        <v>1.4E-2</v>
      </c>
      <c r="G1812" s="40"/>
      <c r="H1812" s="40"/>
    </row>
    <row r="1813" spans="1:9" hidden="1" x14ac:dyDescent="0.35">
      <c r="A1813" s="33">
        <v>1812</v>
      </c>
      <c r="B1813" s="34" t="s">
        <v>2211</v>
      </c>
      <c r="C1813" s="33" t="s">
        <v>346</v>
      </c>
      <c r="D1813" s="33" t="s">
        <v>70</v>
      </c>
      <c r="E1813" s="33" t="s">
        <v>2091</v>
      </c>
      <c r="F1813" s="35">
        <v>1</v>
      </c>
      <c r="G1813" s="40"/>
      <c r="H1813" s="40"/>
    </row>
    <row r="1814" spans="1:9" x14ac:dyDescent="0.35">
      <c r="A1814" s="33">
        <v>1813</v>
      </c>
      <c r="B1814" s="34" t="s">
        <v>2212</v>
      </c>
      <c r="C1814" s="33" t="s">
        <v>346</v>
      </c>
      <c r="D1814" s="33" t="s">
        <v>70</v>
      </c>
      <c r="E1814" s="33" t="s">
        <v>2091</v>
      </c>
      <c r="F1814" s="35">
        <v>1</v>
      </c>
      <c r="G1814" s="40"/>
      <c r="H1814" s="40">
        <f>10.12+1.05</f>
        <v>11.17</v>
      </c>
      <c r="I1814" s="40" t="s">
        <v>2303</v>
      </c>
    </row>
    <row r="1815" spans="1:9" hidden="1" x14ac:dyDescent="0.35">
      <c r="A1815" s="41">
        <v>1814</v>
      </c>
      <c r="B1815" s="42" t="s">
        <v>2213</v>
      </c>
      <c r="C1815" s="41" t="s">
        <v>346</v>
      </c>
      <c r="D1815" s="41" t="s">
        <v>70</v>
      </c>
      <c r="E1815" s="41" t="s">
        <v>2091</v>
      </c>
      <c r="F1815" s="43">
        <v>1</v>
      </c>
      <c r="G1815" s="44"/>
      <c r="H1815" s="44"/>
    </row>
    <row r="1816" spans="1:9" hidden="1" x14ac:dyDescent="0.35">
      <c r="A1816" s="33">
        <v>1815</v>
      </c>
      <c r="B1816" s="34" t="s">
        <v>2214</v>
      </c>
      <c r="C1816" s="33" t="s">
        <v>346</v>
      </c>
      <c r="D1816" s="33" t="s">
        <v>70</v>
      </c>
      <c r="E1816" s="33" t="s">
        <v>2091</v>
      </c>
      <c r="F1816" s="35">
        <v>3.3000000000000002E-2</v>
      </c>
      <c r="G1816" s="40"/>
      <c r="H1816" s="40"/>
    </row>
    <row r="1817" spans="1:9" hidden="1" x14ac:dyDescent="0.35">
      <c r="A1817" s="33">
        <v>1816</v>
      </c>
      <c r="B1817" s="34" t="s">
        <v>2215</v>
      </c>
      <c r="C1817" s="33" t="s">
        <v>346</v>
      </c>
      <c r="D1817" s="33" t="s">
        <v>70</v>
      </c>
      <c r="E1817" s="33" t="s">
        <v>2091</v>
      </c>
      <c r="F1817" s="35">
        <v>3.5000000000000003E-2</v>
      </c>
      <c r="G1817" s="40"/>
      <c r="H1817" s="40"/>
    </row>
    <row r="1818" spans="1:9" hidden="1" x14ac:dyDescent="0.35">
      <c r="A1818" s="33">
        <v>1817</v>
      </c>
      <c r="B1818" s="34" t="s">
        <v>2216</v>
      </c>
      <c r="C1818" s="33" t="s">
        <v>346</v>
      </c>
      <c r="D1818" s="33" t="s">
        <v>70</v>
      </c>
      <c r="E1818" s="33" t="s">
        <v>2091</v>
      </c>
      <c r="F1818" s="35">
        <v>1</v>
      </c>
      <c r="G1818" s="40"/>
      <c r="H1818" s="40"/>
    </row>
    <row r="1819" spans="1:9" hidden="1" x14ac:dyDescent="0.35">
      <c r="A1819" s="33">
        <v>1818</v>
      </c>
      <c r="B1819" s="34" t="s">
        <v>2217</v>
      </c>
      <c r="C1819" s="33" t="s">
        <v>346</v>
      </c>
      <c r="D1819" s="33" t="s">
        <v>70</v>
      </c>
      <c r="E1819" s="33" t="s">
        <v>2091</v>
      </c>
      <c r="F1819" s="35">
        <v>0.2</v>
      </c>
      <c r="G1819" s="40"/>
      <c r="H1819" s="40"/>
    </row>
    <row r="1820" spans="1:9" hidden="1" x14ac:dyDescent="0.35">
      <c r="A1820" s="33">
        <v>1819</v>
      </c>
      <c r="B1820" s="34" t="s">
        <v>2218</v>
      </c>
      <c r="C1820" s="33" t="s">
        <v>346</v>
      </c>
      <c r="D1820" s="33" t="s">
        <v>70</v>
      </c>
      <c r="E1820" s="33" t="s">
        <v>2091</v>
      </c>
      <c r="F1820" s="35">
        <v>0.17499999999999999</v>
      </c>
      <c r="G1820" s="40"/>
      <c r="H1820" s="40"/>
    </row>
    <row r="1821" spans="1:9" hidden="1" x14ac:dyDescent="0.35">
      <c r="A1821" s="33">
        <v>1820</v>
      </c>
      <c r="B1821" s="34" t="s">
        <v>2219</v>
      </c>
      <c r="C1821" s="33" t="s">
        <v>346</v>
      </c>
      <c r="D1821" s="33" t="s">
        <v>70</v>
      </c>
      <c r="E1821" s="33" t="s">
        <v>2091</v>
      </c>
      <c r="F1821" s="35">
        <v>0.17499999999999999</v>
      </c>
      <c r="G1821" s="40"/>
      <c r="H1821" s="40"/>
    </row>
    <row r="1822" spans="1:9" hidden="1" x14ac:dyDescent="0.35">
      <c r="A1822" s="33">
        <v>1821</v>
      </c>
      <c r="B1822" s="34" t="s">
        <v>2220</v>
      </c>
      <c r="C1822" s="33" t="s">
        <v>346</v>
      </c>
      <c r="D1822" s="33" t="s">
        <v>70</v>
      </c>
      <c r="E1822" s="33" t="s">
        <v>2091</v>
      </c>
      <c r="F1822" s="35">
        <v>0.17499999999999999</v>
      </c>
      <c r="G1822" s="40"/>
      <c r="H1822" s="40"/>
    </row>
    <row r="1823" spans="1:9" hidden="1" x14ac:dyDescent="0.35">
      <c r="A1823" s="33">
        <v>1822</v>
      </c>
      <c r="B1823" s="34" t="s">
        <v>2221</v>
      </c>
      <c r="C1823" s="33" t="s">
        <v>346</v>
      </c>
      <c r="D1823" s="33" t="s">
        <v>70</v>
      </c>
      <c r="E1823" s="33" t="s">
        <v>2091</v>
      </c>
      <c r="F1823" s="35">
        <v>0.48</v>
      </c>
      <c r="G1823" s="40"/>
      <c r="H1823" s="40"/>
    </row>
    <row r="1824" spans="1:9" hidden="1" x14ac:dyDescent="0.35">
      <c r="A1824" s="33">
        <v>1823</v>
      </c>
      <c r="B1824" s="34" t="s">
        <v>2222</v>
      </c>
      <c r="C1824" s="33" t="s">
        <v>346</v>
      </c>
      <c r="D1824" s="33" t="s">
        <v>70</v>
      </c>
      <c r="E1824" s="33" t="s">
        <v>2091</v>
      </c>
      <c r="F1824" s="35">
        <v>1</v>
      </c>
      <c r="G1824" s="40"/>
      <c r="H1824" s="40"/>
    </row>
    <row r="1825" spans="1:8" hidden="1" x14ac:dyDescent="0.35">
      <c r="A1825" s="33">
        <v>1824</v>
      </c>
      <c r="B1825" s="34" t="s">
        <v>2223</v>
      </c>
      <c r="C1825" s="33" t="s">
        <v>346</v>
      </c>
      <c r="D1825" s="33" t="s">
        <v>70</v>
      </c>
      <c r="E1825" s="33" t="s">
        <v>2091</v>
      </c>
      <c r="F1825" s="35">
        <v>1.4500000000000001E-2</v>
      </c>
      <c r="G1825" s="40"/>
      <c r="H1825" s="40"/>
    </row>
    <row r="1826" spans="1:8" hidden="1" x14ac:dyDescent="0.35">
      <c r="A1826" s="33">
        <v>1825</v>
      </c>
      <c r="B1826" s="34" t="s">
        <v>2224</v>
      </c>
      <c r="C1826" s="33" t="s">
        <v>346</v>
      </c>
      <c r="D1826" s="33" t="s">
        <v>70</v>
      </c>
      <c r="E1826" s="33" t="s">
        <v>2091</v>
      </c>
      <c r="F1826" s="35">
        <v>1.35E-2</v>
      </c>
      <c r="G1826" s="40"/>
      <c r="H1826" s="40"/>
    </row>
    <row r="1827" spans="1:8" hidden="1" x14ac:dyDescent="0.35">
      <c r="A1827" s="33">
        <v>1826</v>
      </c>
      <c r="B1827" s="34" t="s">
        <v>2225</v>
      </c>
      <c r="C1827" s="33" t="s">
        <v>346</v>
      </c>
      <c r="D1827" s="33" t="s">
        <v>70</v>
      </c>
      <c r="E1827" s="33" t="s">
        <v>2091</v>
      </c>
      <c r="F1827" s="35">
        <v>2.5999999999999999E-2</v>
      </c>
      <c r="G1827" s="40"/>
      <c r="H1827" s="40"/>
    </row>
    <row r="1828" spans="1:8" hidden="1" x14ac:dyDescent="0.35">
      <c r="A1828" s="33">
        <v>1827</v>
      </c>
      <c r="B1828" s="34" t="s">
        <v>2226</v>
      </c>
      <c r="C1828" s="33" t="s">
        <v>346</v>
      </c>
      <c r="D1828" s="33" t="s">
        <v>70</v>
      </c>
      <c r="E1828" s="33" t="s">
        <v>2091</v>
      </c>
      <c r="F1828" s="35">
        <v>7.4999999999999997E-2</v>
      </c>
      <c r="G1828" s="40"/>
      <c r="H1828" s="40"/>
    </row>
    <row r="1829" spans="1:8" hidden="1" x14ac:dyDescent="0.35">
      <c r="A1829" s="33">
        <v>1828</v>
      </c>
      <c r="B1829" s="34" t="s">
        <v>2227</v>
      </c>
      <c r="C1829" s="33" t="s">
        <v>346</v>
      </c>
      <c r="D1829" s="33" t="s">
        <v>70</v>
      </c>
      <c r="E1829" s="33" t="s">
        <v>2091</v>
      </c>
      <c r="F1829" s="35">
        <v>7.4999999999999997E-2</v>
      </c>
      <c r="G1829" s="40"/>
      <c r="H1829" s="40"/>
    </row>
    <row r="1830" spans="1:8" hidden="1" x14ac:dyDescent="0.35">
      <c r="A1830" s="33">
        <v>1829</v>
      </c>
      <c r="B1830" s="34" t="s">
        <v>2228</v>
      </c>
      <c r="C1830" s="33" t="s">
        <v>346</v>
      </c>
      <c r="D1830" s="33" t="s">
        <v>70</v>
      </c>
      <c r="E1830" s="33" t="s">
        <v>2091</v>
      </c>
      <c r="F1830" s="35">
        <v>7.4999999999999997E-2</v>
      </c>
      <c r="G1830" s="40"/>
      <c r="H1830" s="40"/>
    </row>
    <row r="1831" spans="1:8" hidden="1" x14ac:dyDescent="0.35">
      <c r="A1831" s="33">
        <v>1830</v>
      </c>
      <c r="B1831" s="34" t="s">
        <v>2091</v>
      </c>
      <c r="C1831" s="33" t="s">
        <v>346</v>
      </c>
      <c r="D1831" s="33" t="s">
        <v>70</v>
      </c>
      <c r="E1831" s="33" t="s">
        <v>2091</v>
      </c>
      <c r="F1831" s="35">
        <v>1</v>
      </c>
      <c r="G1831" s="40"/>
      <c r="H1831" s="40"/>
    </row>
    <row r="1832" spans="1:8" hidden="1" x14ac:dyDescent="0.35">
      <c r="A1832" s="33">
        <v>1831</v>
      </c>
      <c r="B1832" s="34" t="s">
        <v>2229</v>
      </c>
      <c r="C1832" s="33" t="s">
        <v>346</v>
      </c>
      <c r="D1832" s="33" t="s">
        <v>70</v>
      </c>
      <c r="E1832" s="33" t="s">
        <v>2091</v>
      </c>
      <c r="F1832" s="35">
        <v>1</v>
      </c>
      <c r="G1832" s="40"/>
      <c r="H1832" s="40"/>
    </row>
    <row r="1833" spans="1:8" hidden="1" x14ac:dyDescent="0.35">
      <c r="A1833" s="33">
        <v>1832</v>
      </c>
      <c r="B1833" s="34" t="s">
        <v>2230</v>
      </c>
      <c r="C1833" s="33" t="s">
        <v>346</v>
      </c>
      <c r="D1833" s="33" t="s">
        <v>70</v>
      </c>
      <c r="E1833" s="33" t="s">
        <v>2091</v>
      </c>
      <c r="F1833" s="35">
        <v>1</v>
      </c>
      <c r="G1833" s="40"/>
      <c r="H1833" s="40"/>
    </row>
    <row r="1834" spans="1:8" hidden="1" x14ac:dyDescent="0.35">
      <c r="A1834" s="33">
        <v>1833</v>
      </c>
      <c r="B1834" s="34" t="s">
        <v>2231</v>
      </c>
      <c r="C1834" s="33" t="s">
        <v>346</v>
      </c>
      <c r="D1834" s="33" t="s">
        <v>70</v>
      </c>
      <c r="E1834" s="33" t="s">
        <v>2091</v>
      </c>
      <c r="F1834" s="35">
        <v>1</v>
      </c>
      <c r="G1834" s="40"/>
      <c r="H1834" s="40"/>
    </row>
    <row r="1835" spans="1:8" hidden="1" x14ac:dyDescent="0.35">
      <c r="A1835" s="33">
        <v>1834</v>
      </c>
      <c r="B1835" s="34" t="s">
        <v>2232</v>
      </c>
      <c r="C1835" s="33" t="s">
        <v>346</v>
      </c>
      <c r="D1835" s="33" t="s">
        <v>70</v>
      </c>
      <c r="E1835" s="33" t="s">
        <v>2091</v>
      </c>
      <c r="F1835" s="35">
        <v>1</v>
      </c>
      <c r="G1835" s="40"/>
      <c r="H1835" s="40"/>
    </row>
    <row r="1836" spans="1:8" hidden="1" x14ac:dyDescent="0.35">
      <c r="A1836" s="33">
        <v>1835</v>
      </c>
      <c r="B1836" s="34" t="s">
        <v>2233</v>
      </c>
      <c r="C1836" s="33" t="s">
        <v>346</v>
      </c>
      <c r="D1836" s="33" t="s">
        <v>70</v>
      </c>
      <c r="E1836" s="33" t="s">
        <v>2091</v>
      </c>
      <c r="F1836" s="35">
        <v>1</v>
      </c>
      <c r="G1836" s="40"/>
      <c r="H1836" s="40"/>
    </row>
    <row r="1837" spans="1:8" hidden="1" x14ac:dyDescent="0.35">
      <c r="A1837" s="33">
        <v>1836</v>
      </c>
      <c r="B1837" s="34" t="s">
        <v>2234</v>
      </c>
      <c r="C1837" s="33" t="s">
        <v>346</v>
      </c>
      <c r="D1837" s="33" t="s">
        <v>70</v>
      </c>
      <c r="E1837" s="33" t="s">
        <v>2091</v>
      </c>
      <c r="F1837" s="35">
        <v>1</v>
      </c>
      <c r="G1837" s="40"/>
      <c r="H1837" s="40"/>
    </row>
    <row r="1838" spans="1:8" hidden="1" x14ac:dyDescent="0.35">
      <c r="A1838" s="33">
        <v>1837</v>
      </c>
      <c r="B1838" s="34" t="s">
        <v>2235</v>
      </c>
      <c r="C1838" s="33" t="s">
        <v>346</v>
      </c>
      <c r="D1838" s="33" t="s">
        <v>70</v>
      </c>
      <c r="E1838" s="33" t="s">
        <v>2091</v>
      </c>
      <c r="F1838" s="35">
        <v>1</v>
      </c>
      <c r="G1838" s="40"/>
      <c r="H1838" s="40"/>
    </row>
    <row r="1839" spans="1:8" hidden="1" x14ac:dyDescent="0.35">
      <c r="A1839" s="33">
        <v>1838</v>
      </c>
      <c r="B1839" s="34" t="s">
        <v>2236</v>
      </c>
      <c r="C1839" s="33" t="s">
        <v>346</v>
      </c>
      <c r="D1839" s="33" t="s">
        <v>70</v>
      </c>
      <c r="E1839" s="33" t="s">
        <v>2091</v>
      </c>
      <c r="F1839" s="35">
        <v>0.8</v>
      </c>
      <c r="G1839" s="40"/>
      <c r="H1839" s="40"/>
    </row>
    <row r="1840" spans="1:8" hidden="1" x14ac:dyDescent="0.35">
      <c r="A1840" s="33">
        <v>1839</v>
      </c>
      <c r="B1840" s="34" t="s">
        <v>2237</v>
      </c>
      <c r="C1840" s="33" t="s">
        <v>346</v>
      </c>
      <c r="D1840" s="33" t="s">
        <v>70</v>
      </c>
      <c r="E1840" s="33" t="s">
        <v>2091</v>
      </c>
      <c r="F1840" s="35">
        <v>0.4</v>
      </c>
      <c r="G1840" s="40"/>
      <c r="H1840" s="40"/>
    </row>
    <row r="1841" spans="1:8" hidden="1" x14ac:dyDescent="0.35">
      <c r="A1841" s="33">
        <v>1840</v>
      </c>
      <c r="B1841" s="34" t="s">
        <v>2238</v>
      </c>
      <c r="C1841" s="33" t="s">
        <v>346</v>
      </c>
      <c r="D1841" s="33" t="s">
        <v>70</v>
      </c>
      <c r="E1841" s="33" t="s">
        <v>2091</v>
      </c>
      <c r="F1841" s="35">
        <v>0.4</v>
      </c>
      <c r="G1841" s="40"/>
      <c r="H1841" s="40"/>
    </row>
    <row r="1842" spans="1:8" hidden="1" x14ac:dyDescent="0.35">
      <c r="A1842" s="33">
        <v>1841</v>
      </c>
      <c r="B1842" s="34" t="s">
        <v>2239</v>
      </c>
      <c r="C1842" s="33" t="s">
        <v>346</v>
      </c>
      <c r="D1842" s="33" t="s">
        <v>70</v>
      </c>
      <c r="E1842" s="33" t="s">
        <v>2091</v>
      </c>
      <c r="F1842" s="35">
        <v>0.4</v>
      </c>
      <c r="G1842" s="40"/>
      <c r="H1842" s="40"/>
    </row>
    <row r="1843" spans="1:8" hidden="1" x14ac:dyDescent="0.35">
      <c r="A1843" s="33">
        <v>1842</v>
      </c>
      <c r="B1843" s="34" t="s">
        <v>2240</v>
      </c>
      <c r="C1843" s="33" t="s">
        <v>346</v>
      </c>
      <c r="D1843" s="33" t="s">
        <v>70</v>
      </c>
      <c r="E1843" s="33" t="s">
        <v>2091</v>
      </c>
      <c r="F1843" s="35">
        <v>0.2</v>
      </c>
      <c r="G1843" s="40"/>
      <c r="H1843" s="40"/>
    </row>
    <row r="1844" spans="1:8" hidden="1" x14ac:dyDescent="0.35">
      <c r="A1844" s="33">
        <v>1843</v>
      </c>
      <c r="B1844" s="34" t="s">
        <v>2241</v>
      </c>
      <c r="C1844" s="33" t="s">
        <v>346</v>
      </c>
      <c r="D1844" s="33" t="s">
        <v>70</v>
      </c>
      <c r="E1844" s="33" t="s">
        <v>2091</v>
      </c>
      <c r="F1844" s="35">
        <v>0.34</v>
      </c>
      <c r="G1844" s="40"/>
      <c r="H1844" s="40"/>
    </row>
    <row r="1845" spans="1:8" hidden="1" x14ac:dyDescent="0.35">
      <c r="A1845" s="33">
        <v>1844</v>
      </c>
      <c r="B1845" s="34" t="s">
        <v>2242</v>
      </c>
      <c r="C1845" s="33" t="s">
        <v>297</v>
      </c>
      <c r="D1845" s="33" t="s">
        <v>142</v>
      </c>
      <c r="E1845" s="33" t="s">
        <v>344</v>
      </c>
      <c r="F1845" s="35">
        <v>1</v>
      </c>
      <c r="G1845" s="40"/>
      <c r="H1845" s="40"/>
    </row>
    <row r="1846" spans="1:8" hidden="1" x14ac:dyDescent="0.35">
      <c r="A1846" s="33">
        <v>1845</v>
      </c>
      <c r="B1846" s="34" t="s">
        <v>2243</v>
      </c>
      <c r="C1846" s="33" t="s">
        <v>297</v>
      </c>
      <c r="D1846" s="33" t="s">
        <v>142</v>
      </c>
      <c r="E1846" s="33" t="s">
        <v>2244</v>
      </c>
      <c r="F1846" s="35">
        <v>1</v>
      </c>
      <c r="G1846" s="40"/>
      <c r="H1846" s="40"/>
    </row>
    <row r="1847" spans="1:8" hidden="1" x14ac:dyDescent="0.35">
      <c r="A1847" s="33">
        <v>1846</v>
      </c>
      <c r="B1847" s="34" t="s">
        <v>2245</v>
      </c>
      <c r="C1847" s="33" t="s">
        <v>297</v>
      </c>
      <c r="D1847" s="33" t="s">
        <v>142</v>
      </c>
      <c r="E1847" s="33" t="s">
        <v>2244</v>
      </c>
      <c r="F1847" s="35">
        <v>1</v>
      </c>
      <c r="G1847" s="40"/>
      <c r="H1847" s="40"/>
    </row>
    <row r="1848" spans="1:8" hidden="1" x14ac:dyDescent="0.35">
      <c r="A1848" s="33">
        <v>1847</v>
      </c>
      <c r="B1848" s="34" t="s">
        <v>2246</v>
      </c>
      <c r="C1848" s="33" t="s">
        <v>297</v>
      </c>
      <c r="D1848" s="33" t="s">
        <v>142</v>
      </c>
      <c r="E1848" s="33" t="s">
        <v>2244</v>
      </c>
      <c r="F1848" s="35">
        <v>1</v>
      </c>
      <c r="G1848" s="40"/>
      <c r="H1848" s="40"/>
    </row>
    <row r="1849" spans="1:8" hidden="1" x14ac:dyDescent="0.35">
      <c r="A1849" s="33">
        <v>1848</v>
      </c>
      <c r="B1849" s="34" t="s">
        <v>2247</v>
      </c>
      <c r="C1849" s="33" t="s">
        <v>297</v>
      </c>
      <c r="D1849" s="33" t="s">
        <v>142</v>
      </c>
      <c r="E1849" s="33" t="s">
        <v>2244</v>
      </c>
      <c r="F1849" s="35">
        <v>1</v>
      </c>
      <c r="G1849" s="40"/>
      <c r="H1849" s="40"/>
    </row>
    <row r="1850" spans="1:8" hidden="1" x14ac:dyDescent="0.35">
      <c r="A1850" s="33">
        <v>1849</v>
      </c>
      <c r="B1850" s="34" t="s">
        <v>2248</v>
      </c>
      <c r="C1850" s="33" t="s">
        <v>297</v>
      </c>
      <c r="D1850" s="33" t="s">
        <v>142</v>
      </c>
      <c r="E1850" s="33" t="s">
        <v>2249</v>
      </c>
      <c r="F1850" s="35">
        <v>1</v>
      </c>
      <c r="G1850" s="40"/>
      <c r="H1850" s="40"/>
    </row>
    <row r="1851" spans="1:8" hidden="1" x14ac:dyDescent="0.35">
      <c r="A1851" s="33">
        <v>1850</v>
      </c>
      <c r="B1851" s="34" t="s">
        <v>2250</v>
      </c>
      <c r="C1851" s="33" t="s">
        <v>297</v>
      </c>
      <c r="D1851" s="33" t="s">
        <v>142</v>
      </c>
      <c r="E1851" s="33" t="s">
        <v>2249</v>
      </c>
      <c r="F1851" s="35">
        <v>1</v>
      </c>
      <c r="G1851" s="40"/>
      <c r="H1851" s="40"/>
    </row>
    <row r="1852" spans="1:8" hidden="1" x14ac:dyDescent="0.35">
      <c r="A1852" s="33">
        <v>1851</v>
      </c>
      <c r="B1852" s="34" t="s">
        <v>2251</v>
      </c>
      <c r="C1852" s="33" t="s">
        <v>297</v>
      </c>
      <c r="D1852" s="33" t="s">
        <v>142</v>
      </c>
      <c r="E1852" s="33" t="s">
        <v>2252</v>
      </c>
      <c r="F1852" s="35">
        <v>1</v>
      </c>
      <c r="G1852" s="40"/>
      <c r="H1852" s="40"/>
    </row>
    <row r="1853" spans="1:8" hidden="1" x14ac:dyDescent="0.35">
      <c r="A1853" s="33">
        <v>1852</v>
      </c>
      <c r="B1853" s="34" t="s">
        <v>2253</v>
      </c>
      <c r="C1853" s="33" t="s">
        <v>297</v>
      </c>
      <c r="D1853" s="33" t="s">
        <v>142</v>
      </c>
      <c r="E1853" s="33" t="s">
        <v>2252</v>
      </c>
      <c r="F1853" s="35">
        <v>1</v>
      </c>
      <c r="G1853" s="40"/>
      <c r="H1853" s="40"/>
    </row>
    <row r="1854" spans="1:8" hidden="1" x14ac:dyDescent="0.35">
      <c r="A1854" s="33">
        <v>1853</v>
      </c>
      <c r="B1854" s="34" t="s">
        <v>2254</v>
      </c>
      <c r="C1854" s="33" t="s">
        <v>297</v>
      </c>
      <c r="D1854" s="33" t="s">
        <v>142</v>
      </c>
      <c r="E1854" s="33" t="s">
        <v>2252</v>
      </c>
      <c r="F1854" s="35">
        <v>1</v>
      </c>
      <c r="G1854" s="40"/>
      <c r="H1854" s="40"/>
    </row>
    <row r="1855" spans="1:8" hidden="1" x14ac:dyDescent="0.35">
      <c r="A1855" s="33">
        <v>1854</v>
      </c>
      <c r="B1855" s="34" t="s">
        <v>2255</v>
      </c>
      <c r="C1855" s="33" t="s">
        <v>346</v>
      </c>
      <c r="D1855" s="33" t="s">
        <v>142</v>
      </c>
      <c r="E1855" s="33" t="s">
        <v>2244</v>
      </c>
      <c r="F1855" s="35">
        <v>0.25</v>
      </c>
      <c r="G1855" s="40"/>
      <c r="H1855" s="40"/>
    </row>
    <row r="1856" spans="1:8" hidden="1" x14ac:dyDescent="0.35">
      <c r="A1856" s="33">
        <v>1855</v>
      </c>
      <c r="B1856" s="34" t="s">
        <v>2256</v>
      </c>
      <c r="C1856" s="33" t="s">
        <v>346</v>
      </c>
      <c r="D1856" s="33" t="s">
        <v>142</v>
      </c>
      <c r="E1856" s="33" t="s">
        <v>2244</v>
      </c>
      <c r="F1856" s="35">
        <v>1</v>
      </c>
      <c r="G1856" s="40"/>
      <c r="H1856" s="40"/>
    </row>
    <row r="1857" spans="1:8" hidden="1" x14ac:dyDescent="0.35">
      <c r="A1857" s="33">
        <v>1856</v>
      </c>
      <c r="B1857" s="34" t="s">
        <v>2257</v>
      </c>
      <c r="C1857" s="33" t="s">
        <v>346</v>
      </c>
      <c r="D1857" s="33" t="s">
        <v>142</v>
      </c>
      <c r="E1857" s="33" t="s">
        <v>2244</v>
      </c>
      <c r="F1857" s="35">
        <v>1</v>
      </c>
      <c r="G1857" s="40"/>
      <c r="H1857" s="40"/>
    </row>
    <row r="1858" spans="1:8" hidden="1" x14ac:dyDescent="0.35">
      <c r="A1858" s="33">
        <v>1857</v>
      </c>
      <c r="B1858" s="34" t="s">
        <v>2258</v>
      </c>
      <c r="C1858" s="33" t="s">
        <v>346</v>
      </c>
      <c r="D1858" s="33" t="s">
        <v>142</v>
      </c>
      <c r="E1858" s="33" t="s">
        <v>2244</v>
      </c>
      <c r="F1858" s="35">
        <v>1</v>
      </c>
      <c r="G1858" s="40"/>
      <c r="H1858" s="40"/>
    </row>
    <row r="1859" spans="1:8" hidden="1" x14ac:dyDescent="0.35">
      <c r="A1859" s="33">
        <v>1858</v>
      </c>
      <c r="B1859" s="34" t="s">
        <v>2259</v>
      </c>
      <c r="C1859" s="33" t="s">
        <v>346</v>
      </c>
      <c r="D1859" s="33" t="s">
        <v>142</v>
      </c>
      <c r="E1859" s="33" t="s">
        <v>2244</v>
      </c>
      <c r="F1859" s="35">
        <v>1</v>
      </c>
      <c r="G1859" s="40"/>
      <c r="H1859" s="40"/>
    </row>
    <row r="1860" spans="1:8" hidden="1" x14ac:dyDescent="0.35">
      <c r="A1860" s="33">
        <v>1859</v>
      </c>
      <c r="B1860" s="34" t="s">
        <v>2260</v>
      </c>
      <c r="C1860" s="33" t="s">
        <v>346</v>
      </c>
      <c r="D1860" s="33" t="s">
        <v>142</v>
      </c>
      <c r="E1860" s="33" t="s">
        <v>2244</v>
      </c>
      <c r="F1860" s="35">
        <v>1</v>
      </c>
      <c r="G1860" s="40"/>
      <c r="H1860" s="40"/>
    </row>
    <row r="1861" spans="1:8" hidden="1" x14ac:dyDescent="0.35">
      <c r="A1861" s="33">
        <v>1860</v>
      </c>
      <c r="B1861" s="34" t="s">
        <v>2261</v>
      </c>
      <c r="C1861" s="33" t="s">
        <v>346</v>
      </c>
      <c r="D1861" s="33" t="s">
        <v>142</v>
      </c>
      <c r="E1861" s="33" t="s">
        <v>2244</v>
      </c>
      <c r="F1861" s="35">
        <v>1</v>
      </c>
      <c r="G1861" s="40"/>
      <c r="H1861" s="40"/>
    </row>
    <row r="1862" spans="1:8" hidden="1" x14ac:dyDescent="0.35">
      <c r="A1862" s="33">
        <v>1861</v>
      </c>
      <c r="B1862" s="34" t="s">
        <v>2262</v>
      </c>
      <c r="C1862" s="33" t="s">
        <v>346</v>
      </c>
      <c r="D1862" s="33" t="s">
        <v>142</v>
      </c>
      <c r="E1862" s="33" t="s">
        <v>2244</v>
      </c>
      <c r="F1862" s="35">
        <v>0.1</v>
      </c>
      <c r="G1862" s="40"/>
      <c r="H1862" s="40"/>
    </row>
    <row r="1863" spans="1:8" hidden="1" x14ac:dyDescent="0.35">
      <c r="A1863" s="33">
        <v>1862</v>
      </c>
      <c r="B1863" s="34" t="s">
        <v>2263</v>
      </c>
      <c r="C1863" s="33" t="s">
        <v>346</v>
      </c>
      <c r="D1863" s="33" t="s">
        <v>142</v>
      </c>
      <c r="E1863" s="33" t="s">
        <v>2244</v>
      </c>
      <c r="F1863" s="35">
        <v>0.25</v>
      </c>
      <c r="G1863" s="40"/>
      <c r="H1863" s="40"/>
    </row>
    <row r="1864" spans="1:8" hidden="1" x14ac:dyDescent="0.35">
      <c r="A1864" s="33">
        <v>1863</v>
      </c>
      <c r="B1864" s="34" t="s">
        <v>2264</v>
      </c>
      <c r="C1864" s="33" t="s">
        <v>346</v>
      </c>
      <c r="D1864" s="33" t="s">
        <v>142</v>
      </c>
      <c r="E1864" s="33" t="s">
        <v>2244</v>
      </c>
      <c r="F1864" s="35">
        <v>0.5</v>
      </c>
      <c r="G1864" s="40"/>
      <c r="H1864" s="40"/>
    </row>
    <row r="1865" spans="1:8" hidden="1" x14ac:dyDescent="0.35">
      <c r="A1865" s="33">
        <v>1864</v>
      </c>
      <c r="B1865" s="34" t="s">
        <v>2265</v>
      </c>
      <c r="C1865" s="33" t="s">
        <v>346</v>
      </c>
      <c r="D1865" s="33" t="s">
        <v>142</v>
      </c>
      <c r="E1865" s="33" t="s">
        <v>2244</v>
      </c>
      <c r="F1865" s="35">
        <v>0.5</v>
      </c>
      <c r="G1865" s="40"/>
      <c r="H1865" s="40"/>
    </row>
    <row r="1866" spans="1:8" hidden="1" x14ac:dyDescent="0.35">
      <c r="A1866" s="33">
        <v>1865</v>
      </c>
      <c r="B1866" s="34" t="s">
        <v>2266</v>
      </c>
      <c r="C1866" s="33" t="s">
        <v>346</v>
      </c>
      <c r="D1866" s="33" t="s">
        <v>142</v>
      </c>
      <c r="E1866" s="33" t="s">
        <v>2244</v>
      </c>
      <c r="F1866" s="35">
        <v>1</v>
      </c>
      <c r="G1866" s="40"/>
      <c r="H1866" s="40"/>
    </row>
    <row r="1867" spans="1:8" hidden="1" x14ac:dyDescent="0.35">
      <c r="A1867" s="33">
        <v>1866</v>
      </c>
      <c r="B1867" s="34" t="s">
        <v>2267</v>
      </c>
      <c r="C1867" s="33" t="s">
        <v>346</v>
      </c>
      <c r="D1867" s="33" t="s">
        <v>142</v>
      </c>
      <c r="E1867" s="33" t="s">
        <v>2244</v>
      </c>
      <c r="F1867" s="35">
        <v>1</v>
      </c>
      <c r="G1867" s="40"/>
      <c r="H1867" s="40"/>
    </row>
    <row r="1868" spans="1:8" hidden="1" x14ac:dyDescent="0.35">
      <c r="A1868" s="33">
        <v>1867</v>
      </c>
      <c r="B1868" s="34" t="s">
        <v>2268</v>
      </c>
      <c r="C1868" s="33" t="s">
        <v>346</v>
      </c>
      <c r="D1868" s="33" t="s">
        <v>142</v>
      </c>
      <c r="E1868" s="33" t="s">
        <v>2249</v>
      </c>
      <c r="F1868" s="35">
        <v>0.5</v>
      </c>
      <c r="G1868" s="40"/>
      <c r="H1868" s="40"/>
    </row>
    <row r="1869" spans="1:8" hidden="1" x14ac:dyDescent="0.35">
      <c r="A1869" s="33">
        <v>1868</v>
      </c>
      <c r="B1869" s="34" t="s">
        <v>2269</v>
      </c>
      <c r="C1869" s="33" t="s">
        <v>346</v>
      </c>
      <c r="D1869" s="33" t="s">
        <v>142</v>
      </c>
      <c r="E1869" s="33" t="s">
        <v>2249</v>
      </c>
      <c r="F1869" s="35">
        <v>1</v>
      </c>
      <c r="G1869" s="40"/>
      <c r="H1869" s="40"/>
    </row>
    <row r="1870" spans="1:8" hidden="1" x14ac:dyDescent="0.35">
      <c r="A1870" s="33">
        <v>1869</v>
      </c>
      <c r="B1870" s="34" t="s">
        <v>2270</v>
      </c>
      <c r="C1870" s="33" t="s">
        <v>346</v>
      </c>
      <c r="D1870" s="33" t="s">
        <v>142</v>
      </c>
      <c r="E1870" s="33" t="s">
        <v>2249</v>
      </c>
      <c r="F1870" s="35">
        <v>1</v>
      </c>
      <c r="G1870" s="40"/>
      <c r="H1870" s="40"/>
    </row>
    <row r="1871" spans="1:8" hidden="1" x14ac:dyDescent="0.35">
      <c r="A1871" s="33">
        <v>1870</v>
      </c>
      <c r="B1871" s="34" t="s">
        <v>2271</v>
      </c>
      <c r="C1871" s="33" t="s">
        <v>346</v>
      </c>
      <c r="D1871" s="33" t="s">
        <v>142</v>
      </c>
      <c r="E1871" s="33" t="s">
        <v>2249</v>
      </c>
      <c r="F1871" s="35">
        <v>0.5</v>
      </c>
      <c r="G1871" s="40"/>
      <c r="H1871" s="40"/>
    </row>
    <row r="1872" spans="1:8" hidden="1" x14ac:dyDescent="0.35">
      <c r="A1872" s="33">
        <v>1871</v>
      </c>
      <c r="B1872" s="34" t="s">
        <v>2272</v>
      </c>
      <c r="C1872" s="33" t="s">
        <v>346</v>
      </c>
      <c r="D1872" s="33" t="s">
        <v>142</v>
      </c>
      <c r="E1872" s="33" t="s">
        <v>2252</v>
      </c>
      <c r="F1872" s="35">
        <v>0.25</v>
      </c>
      <c r="G1872" s="40"/>
      <c r="H1872" s="40"/>
    </row>
    <row r="1873" spans="1:8" hidden="1" x14ac:dyDescent="0.35">
      <c r="A1873" s="33">
        <v>1872</v>
      </c>
      <c r="B1873" s="34" t="s">
        <v>2273</v>
      </c>
      <c r="C1873" s="33" t="s">
        <v>346</v>
      </c>
      <c r="D1873" s="33" t="s">
        <v>142</v>
      </c>
      <c r="E1873" s="33" t="s">
        <v>2252</v>
      </c>
      <c r="F1873" s="35">
        <v>0.25</v>
      </c>
      <c r="G1873" s="40"/>
      <c r="H1873" s="40"/>
    </row>
    <row r="1874" spans="1:8" hidden="1" x14ac:dyDescent="0.35">
      <c r="A1874" s="33">
        <v>1873</v>
      </c>
      <c r="B1874" s="34" t="s">
        <v>2274</v>
      </c>
      <c r="C1874" s="33" t="s">
        <v>346</v>
      </c>
      <c r="D1874" s="33" t="s">
        <v>142</v>
      </c>
      <c r="E1874" s="33" t="s">
        <v>2252</v>
      </c>
      <c r="F1874" s="35">
        <v>0.15</v>
      </c>
      <c r="G1874" s="40"/>
      <c r="H1874" s="40"/>
    </row>
    <row r="1875" spans="1:8" hidden="1" x14ac:dyDescent="0.35">
      <c r="A1875" s="33">
        <v>1874</v>
      </c>
      <c r="B1875" s="34" t="s">
        <v>2275</v>
      </c>
      <c r="C1875" s="33" t="s">
        <v>346</v>
      </c>
      <c r="D1875" s="33" t="s">
        <v>142</v>
      </c>
      <c r="E1875" s="33" t="s">
        <v>2252</v>
      </c>
      <c r="F1875" s="35">
        <v>7.0000000000000007E-2</v>
      </c>
      <c r="G1875" s="40"/>
      <c r="H1875" s="40"/>
    </row>
    <row r="1876" spans="1:8" hidden="1" x14ac:dyDescent="0.35">
      <c r="A1876" s="33">
        <v>1875</v>
      </c>
      <c r="B1876" s="34" t="s">
        <v>2276</v>
      </c>
      <c r="C1876" s="33" t="s">
        <v>346</v>
      </c>
      <c r="D1876" s="33" t="s">
        <v>142</v>
      </c>
      <c r="E1876" s="33" t="s">
        <v>2252</v>
      </c>
      <c r="F1876" s="35">
        <v>0.15</v>
      </c>
      <c r="G1876" s="40"/>
      <c r="H1876" s="40"/>
    </row>
    <row r="1877" spans="1:8" hidden="1" x14ac:dyDescent="0.35">
      <c r="A1877" s="33">
        <v>1876</v>
      </c>
      <c r="B1877" s="34" t="s">
        <v>2277</v>
      </c>
      <c r="C1877" s="33" t="s">
        <v>346</v>
      </c>
      <c r="D1877" s="33" t="s">
        <v>142</v>
      </c>
      <c r="E1877" s="33" t="s">
        <v>2252</v>
      </c>
      <c r="F1877" s="35">
        <v>0.15</v>
      </c>
      <c r="G1877" s="40"/>
      <c r="H1877" s="40"/>
    </row>
    <row r="1878" spans="1:8" hidden="1" x14ac:dyDescent="0.35">
      <c r="A1878" s="33">
        <v>1877</v>
      </c>
      <c r="B1878" s="34" t="s">
        <v>2278</v>
      </c>
      <c r="C1878" s="33" t="s">
        <v>346</v>
      </c>
      <c r="D1878" s="33" t="s">
        <v>142</v>
      </c>
      <c r="E1878" s="33" t="s">
        <v>2252</v>
      </c>
      <c r="F1878" s="35">
        <v>0.25</v>
      </c>
      <c r="G1878" s="40"/>
      <c r="H1878" s="40"/>
    </row>
    <row r="1879" spans="1:8" hidden="1" x14ac:dyDescent="0.35">
      <c r="A1879" s="33">
        <v>1878</v>
      </c>
      <c r="B1879" s="34" t="s">
        <v>2279</v>
      </c>
      <c r="C1879" s="33" t="s">
        <v>346</v>
      </c>
      <c r="D1879" s="33" t="s">
        <v>142</v>
      </c>
      <c r="E1879" s="33" t="s">
        <v>2252</v>
      </c>
      <c r="F1879" s="35">
        <v>0.15</v>
      </c>
      <c r="G1879" s="40"/>
      <c r="H1879" s="40"/>
    </row>
    <row r="1880" spans="1:8" hidden="1" x14ac:dyDescent="0.35">
      <c r="A1880" s="33">
        <v>1879</v>
      </c>
      <c r="B1880" s="34" t="s">
        <v>2280</v>
      </c>
      <c r="C1880" s="33" t="s">
        <v>346</v>
      </c>
      <c r="D1880" s="33" t="s">
        <v>142</v>
      </c>
      <c r="E1880" s="33" t="s">
        <v>2252</v>
      </c>
      <c r="F1880" s="35">
        <v>0.2</v>
      </c>
      <c r="G1880" s="40"/>
      <c r="H1880" s="40"/>
    </row>
    <row r="1881" spans="1:8" hidden="1" x14ac:dyDescent="0.35">
      <c r="A1881" s="33">
        <v>1880</v>
      </c>
      <c r="B1881" s="34" t="s">
        <v>2281</v>
      </c>
      <c r="C1881" s="33" t="s">
        <v>346</v>
      </c>
      <c r="D1881" s="33" t="s">
        <v>142</v>
      </c>
      <c r="E1881" s="33" t="s">
        <v>2252</v>
      </c>
      <c r="F1881" s="35">
        <v>0.23</v>
      </c>
      <c r="G1881" s="40"/>
      <c r="H1881" s="40"/>
    </row>
    <row r="1882" spans="1:8" hidden="1" x14ac:dyDescent="0.35">
      <c r="A1882" s="33">
        <v>1881</v>
      </c>
      <c r="B1882" s="34" t="s">
        <v>2282</v>
      </c>
      <c r="C1882" s="33" t="s">
        <v>346</v>
      </c>
      <c r="D1882" s="33" t="s">
        <v>142</v>
      </c>
      <c r="E1882" s="33" t="s">
        <v>2252</v>
      </c>
      <c r="F1882" s="35">
        <v>1</v>
      </c>
      <c r="G1882" s="40"/>
      <c r="H1882" s="40"/>
    </row>
    <row r="1883" spans="1:8" hidden="1" x14ac:dyDescent="0.35">
      <c r="A1883" s="33">
        <v>1882</v>
      </c>
      <c r="B1883" s="34" t="s">
        <v>2283</v>
      </c>
      <c r="C1883" s="33" t="s">
        <v>346</v>
      </c>
      <c r="D1883" s="33" t="s">
        <v>142</v>
      </c>
      <c r="E1883" s="33" t="s">
        <v>2252</v>
      </c>
      <c r="F1883" s="35">
        <v>1</v>
      </c>
      <c r="G1883" s="40"/>
      <c r="H1883" s="40"/>
    </row>
    <row r="1884" spans="1:8" hidden="1" x14ac:dyDescent="0.35">
      <c r="A1884" s="33">
        <v>1883</v>
      </c>
      <c r="B1884" s="34" t="s">
        <v>2284</v>
      </c>
      <c r="C1884" s="33" t="s">
        <v>346</v>
      </c>
      <c r="D1884" s="33" t="s">
        <v>142</v>
      </c>
      <c r="E1884" s="33" t="s">
        <v>2252</v>
      </c>
      <c r="F1884" s="35">
        <v>1</v>
      </c>
      <c r="G1884" s="40"/>
      <c r="H1884" s="40"/>
    </row>
    <row r="1885" spans="1:8" hidden="1" x14ac:dyDescent="0.35">
      <c r="A1885" s="33">
        <v>1884</v>
      </c>
      <c r="B1885" s="34" t="s">
        <v>2285</v>
      </c>
      <c r="C1885" s="33" t="s">
        <v>346</v>
      </c>
      <c r="D1885" s="33" t="s">
        <v>142</v>
      </c>
      <c r="E1885" s="33" t="s">
        <v>2252</v>
      </c>
      <c r="F1885" s="35">
        <v>0.25</v>
      </c>
      <c r="G1885" s="40"/>
      <c r="H1885" s="40"/>
    </row>
    <row r="1886" spans="1:8" hidden="1" x14ac:dyDescent="0.35">
      <c r="A1886" s="33">
        <v>1885</v>
      </c>
      <c r="B1886" s="34" t="s">
        <v>2286</v>
      </c>
      <c r="C1886" s="33" t="s">
        <v>346</v>
      </c>
      <c r="D1886" s="33" t="s">
        <v>142</v>
      </c>
      <c r="E1886" s="33" t="s">
        <v>2252</v>
      </c>
      <c r="F1886" s="35">
        <v>0.5</v>
      </c>
      <c r="G1886" s="40"/>
      <c r="H1886" s="40"/>
    </row>
    <row r="1887" spans="1:8" hidden="1" x14ac:dyDescent="0.35">
      <c r="A1887" s="33">
        <v>1886</v>
      </c>
      <c r="B1887" s="34" t="s">
        <v>2287</v>
      </c>
      <c r="C1887" s="33" t="s">
        <v>346</v>
      </c>
      <c r="D1887" s="33" t="s">
        <v>142</v>
      </c>
      <c r="E1887" s="33" t="s">
        <v>2252</v>
      </c>
      <c r="F1887" s="35">
        <v>1</v>
      </c>
      <c r="G1887" s="40"/>
      <c r="H1887" s="40"/>
    </row>
    <row r="1888" spans="1:8" hidden="1" x14ac:dyDescent="0.35">
      <c r="A1888" s="33">
        <v>1887</v>
      </c>
      <c r="B1888" s="34" t="s">
        <v>2288</v>
      </c>
      <c r="C1888" s="33" t="s">
        <v>346</v>
      </c>
      <c r="D1888" s="33" t="s">
        <v>142</v>
      </c>
      <c r="E1888" s="33" t="s">
        <v>2252</v>
      </c>
      <c r="F1888" s="35">
        <v>0.8</v>
      </c>
      <c r="G1888" s="40"/>
      <c r="H1888" s="40"/>
    </row>
    <row r="1889" spans="1:9" hidden="1" x14ac:dyDescent="0.35">
      <c r="A1889" s="33">
        <v>1888</v>
      </c>
      <c r="B1889" s="34" t="s">
        <v>2289</v>
      </c>
      <c r="C1889" s="33" t="s">
        <v>346</v>
      </c>
      <c r="D1889" s="33" t="s">
        <v>142</v>
      </c>
      <c r="E1889" s="33" t="s">
        <v>2252</v>
      </c>
      <c r="F1889" s="35">
        <v>0.23</v>
      </c>
      <c r="G1889" s="40"/>
      <c r="H1889" s="40"/>
    </row>
    <row r="1890" spans="1:9" hidden="1" x14ac:dyDescent="0.35">
      <c r="A1890" s="33">
        <v>1889</v>
      </c>
      <c r="B1890" s="34" t="s">
        <v>2290</v>
      </c>
      <c r="C1890" s="33" t="s">
        <v>346</v>
      </c>
      <c r="D1890" s="33" t="s">
        <v>142</v>
      </c>
      <c r="E1890" s="33" t="s">
        <v>2252</v>
      </c>
      <c r="F1890" s="35">
        <v>0.8</v>
      </c>
      <c r="G1890" s="40"/>
      <c r="H1890" s="40"/>
    </row>
    <row r="1891" spans="1:9" hidden="1" x14ac:dyDescent="0.35">
      <c r="A1891" s="33">
        <v>1890</v>
      </c>
      <c r="B1891" s="34" t="s">
        <v>2291</v>
      </c>
      <c r="C1891" s="33" t="s">
        <v>346</v>
      </c>
      <c r="D1891" s="33" t="s">
        <v>142</v>
      </c>
      <c r="E1891" s="33" t="s">
        <v>2252</v>
      </c>
      <c r="F1891" s="35">
        <v>0.25</v>
      </c>
      <c r="G1891" s="40"/>
      <c r="H1891" s="40"/>
    </row>
    <row r="1892" spans="1:9" hidden="1" x14ac:dyDescent="0.35">
      <c r="A1892" s="33">
        <v>1891</v>
      </c>
      <c r="B1892" s="34" t="s">
        <v>2292</v>
      </c>
      <c r="C1892" s="33" t="s">
        <v>346</v>
      </c>
      <c r="D1892" s="33" t="s">
        <v>142</v>
      </c>
      <c r="E1892" s="33" t="s">
        <v>2252</v>
      </c>
      <c r="F1892" s="35">
        <v>0.5</v>
      </c>
      <c r="G1892" s="40"/>
      <c r="H1892" s="40"/>
    </row>
    <row r="1893" spans="1:9" hidden="1" x14ac:dyDescent="0.35">
      <c r="A1893" s="33">
        <v>1892</v>
      </c>
      <c r="B1893" s="34" t="s">
        <v>2293</v>
      </c>
      <c r="C1893" s="33" t="s">
        <v>346</v>
      </c>
      <c r="D1893" s="33" t="s">
        <v>142</v>
      </c>
      <c r="E1893" s="33" t="s">
        <v>2252</v>
      </c>
      <c r="F1893" s="35">
        <v>1</v>
      </c>
      <c r="G1893" s="40"/>
      <c r="H1893" s="40"/>
    </row>
    <row r="1894" spans="1:9" hidden="1" x14ac:dyDescent="0.35">
      <c r="A1894" s="36"/>
      <c r="B1894" s="37" t="s">
        <v>2294</v>
      </c>
      <c r="C1894" s="38"/>
      <c r="D1894" s="39"/>
      <c r="E1894" s="36"/>
      <c r="F1894" s="36"/>
    </row>
    <row r="1895" spans="1:9" hidden="1" x14ac:dyDescent="0.35">
      <c r="A1895" s="36"/>
      <c r="B1895" s="37" t="s">
        <v>2295</v>
      </c>
      <c r="C1895" s="38"/>
      <c r="D1895" s="39"/>
      <c r="E1895" s="36"/>
      <c r="F1895" s="36"/>
    </row>
    <row r="1896" spans="1:9" hidden="1" x14ac:dyDescent="0.35">
      <c r="A1896" s="36"/>
      <c r="B1896" s="37" t="s">
        <v>2296</v>
      </c>
      <c r="C1896" s="38"/>
      <c r="D1896" s="39"/>
      <c r="E1896" s="36"/>
      <c r="F1896" s="36"/>
    </row>
    <row r="1897" spans="1:9" hidden="1" x14ac:dyDescent="0.35">
      <c r="A1897" s="36"/>
      <c r="B1897" s="37" t="s">
        <v>2297</v>
      </c>
      <c r="C1897" s="38"/>
      <c r="D1897" s="39"/>
      <c r="E1897" s="36"/>
      <c r="F1897" s="36"/>
    </row>
    <row r="1898" spans="1:9" hidden="1" x14ac:dyDescent="0.35">
      <c r="A1898" s="36"/>
      <c r="B1898" s="37" t="s">
        <v>2298</v>
      </c>
      <c r="C1898" s="38"/>
      <c r="D1898" s="39"/>
      <c r="E1898" s="36"/>
      <c r="F1898" s="36"/>
    </row>
    <row r="1899" spans="1:9" hidden="1" x14ac:dyDescent="0.35">
      <c r="A1899" s="36"/>
      <c r="B1899" s="37" t="s">
        <v>2299</v>
      </c>
      <c r="C1899" s="38"/>
      <c r="D1899" s="39"/>
      <c r="E1899" s="36"/>
      <c r="F1899" s="36"/>
    </row>
    <row r="1900" spans="1:9" x14ac:dyDescent="0.35">
      <c r="A1900" s="45"/>
      <c r="B1900" s="51" t="s">
        <v>2350</v>
      </c>
      <c r="C1900" s="47"/>
      <c r="D1900" s="48"/>
      <c r="E1900" s="45"/>
      <c r="F1900" s="45"/>
      <c r="G1900" s="40"/>
      <c r="H1900" s="40">
        <v>24.3</v>
      </c>
      <c r="I1900" s="40"/>
    </row>
    <row r="1901" spans="1:9" hidden="1" x14ac:dyDescent="0.35">
      <c r="A1901" s="36"/>
      <c r="B1901" s="37" t="s">
        <v>2300</v>
      </c>
      <c r="C1901" s="38"/>
      <c r="D1901" s="39"/>
      <c r="E1901" s="36"/>
      <c r="F1901" s="36"/>
    </row>
  </sheetData>
  <autoFilter ref="A1:I1901" xr:uid="{65253378-8634-47D4-8182-37B6E8A47F60}">
    <filterColumn colId="7">
      <customFilters>
        <customFilter operator="notEqual" val=" "/>
      </customFilters>
    </filterColumn>
  </autoFilter>
  <conditionalFormatting sqref="A1:A1893">
    <cfRule type="duplicateValues" dxfId="23" priority="12"/>
    <cfRule type="duplicateValues" dxfId="22" priority="13"/>
  </conditionalFormatting>
  <conditionalFormatting sqref="B1">
    <cfRule type="duplicateValues" dxfId="21" priority="8"/>
    <cfRule type="duplicateValues" dxfId="20" priority="9"/>
    <cfRule type="duplicateValues" dxfId="19" priority="10"/>
    <cfRule type="duplicateValues" dxfId="18" priority="11"/>
  </conditionalFormatting>
  <conditionalFormatting sqref="B2:B1893">
    <cfRule type="duplicateValues" dxfId="17" priority="5"/>
    <cfRule type="duplicateValues" dxfId="16" priority="6"/>
    <cfRule type="duplicateValues" dxfId="15" priority="7"/>
  </conditionalFormatting>
  <conditionalFormatting sqref="B1900">
    <cfRule type="duplicateValues" dxfId="14" priority="1"/>
    <cfRule type="duplicateValues" dxfId="13" priority="3"/>
    <cfRule type="duplicateValues" dxfId="12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7CF5-FEC6-4FB4-9A5A-F3F70B48E504}">
  <dimension ref="A1:L120"/>
  <sheetViews>
    <sheetView topLeftCell="I27" workbookViewId="0">
      <selection activeCell="K45" sqref="K45"/>
    </sheetView>
  </sheetViews>
  <sheetFormatPr defaultRowHeight="14.5" x14ac:dyDescent="0.35"/>
  <cols>
    <col min="1" max="1" width="6.54296875" bestFit="1" customWidth="1"/>
    <col min="2" max="2" width="20.26953125" bestFit="1" customWidth="1"/>
    <col min="3" max="3" width="18.453125" bestFit="1" customWidth="1"/>
    <col min="4" max="4" width="47.81640625" bestFit="1" customWidth="1"/>
    <col min="5" max="5" width="9.54296875" bestFit="1" customWidth="1"/>
    <col min="6" max="6" width="9" bestFit="1" customWidth="1"/>
    <col min="7" max="7" width="16.453125" bestFit="1" customWidth="1"/>
    <col min="8" max="8" width="18.81640625" bestFit="1" customWidth="1"/>
    <col min="9" max="9" width="45.90625" bestFit="1" customWidth="1"/>
    <col min="10" max="10" width="11.453125" bestFit="1" customWidth="1"/>
    <col min="11" max="11" width="21.7265625" bestFit="1" customWidth="1"/>
  </cols>
  <sheetData>
    <row r="1" spans="1:12" ht="21" x14ac:dyDescent="0.5">
      <c r="A1" s="65" t="s">
        <v>0</v>
      </c>
      <c r="B1" s="65"/>
      <c r="C1" s="65"/>
      <c r="D1" s="65"/>
      <c r="E1" s="65"/>
      <c r="F1" s="65"/>
      <c r="G1" s="65"/>
      <c r="H1" s="65"/>
    </row>
    <row r="2" spans="1:12" x14ac:dyDescent="0.35">
      <c r="A2" s="66" t="s">
        <v>1</v>
      </c>
      <c r="B2" s="66"/>
      <c r="C2" s="1" t="s">
        <v>2</v>
      </c>
      <c r="D2" s="66" t="s">
        <v>3</v>
      </c>
      <c r="E2" s="66"/>
      <c r="F2" s="1"/>
      <c r="G2" s="1"/>
      <c r="H2" s="1"/>
    </row>
    <row r="3" spans="1:12" x14ac:dyDescent="0.35">
      <c r="A3" s="66" t="s">
        <v>4</v>
      </c>
      <c r="B3" s="66"/>
      <c r="C3" s="1" t="s">
        <v>2</v>
      </c>
      <c r="D3" s="66" t="s">
        <v>5</v>
      </c>
      <c r="E3" s="66"/>
      <c r="F3" s="1"/>
      <c r="G3" s="1"/>
      <c r="H3" s="1"/>
    </row>
    <row r="5" spans="1:12" x14ac:dyDescent="0.3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2"/>
      <c r="I5" s="58" t="s">
        <v>2367</v>
      </c>
      <c r="J5" t="s">
        <v>2369</v>
      </c>
      <c r="K5" t="s">
        <v>2370</v>
      </c>
    </row>
    <row r="6" spans="1:12" x14ac:dyDescent="0.35">
      <c r="A6" s="5">
        <v>1</v>
      </c>
      <c r="B6" s="6" t="s">
        <v>13</v>
      </c>
      <c r="C6" s="6" t="s">
        <v>14</v>
      </c>
      <c r="D6" s="6" t="s">
        <v>15</v>
      </c>
      <c r="E6" s="5" t="s">
        <v>16</v>
      </c>
      <c r="F6" s="5">
        <v>540</v>
      </c>
      <c r="G6" s="13">
        <v>540</v>
      </c>
      <c r="H6" s="4"/>
      <c r="I6" s="59" t="s">
        <v>45</v>
      </c>
      <c r="J6">
        <v>289.8</v>
      </c>
      <c r="K6">
        <v>289.8</v>
      </c>
      <c r="L6" t="str">
        <f>VLOOKUP(I6,Consolidated!B:B,1,0)</f>
        <v>Afghan Black Raisins Seedless 1*2</v>
      </c>
    </row>
    <row r="7" spans="1:12" x14ac:dyDescent="0.35">
      <c r="A7" s="5">
        <v>2</v>
      </c>
      <c r="B7" s="6" t="s">
        <v>17</v>
      </c>
      <c r="C7" s="6" t="s">
        <v>18</v>
      </c>
      <c r="D7" s="6" t="s">
        <v>19</v>
      </c>
      <c r="E7" s="5" t="s">
        <v>16</v>
      </c>
      <c r="F7" s="5">
        <v>360</v>
      </c>
      <c r="G7" s="13">
        <v>360</v>
      </c>
      <c r="H7" s="4"/>
      <c r="I7" s="59" t="s">
        <v>57</v>
      </c>
      <c r="J7">
        <v>1488</v>
      </c>
      <c r="K7">
        <v>744</v>
      </c>
      <c r="L7" t="e">
        <f>VLOOKUP(I7,Consolidated!B:B,1,0)</f>
        <v>#N/A</v>
      </c>
    </row>
    <row r="8" spans="1:12" x14ac:dyDescent="0.35">
      <c r="A8" s="5">
        <v>3</v>
      </c>
      <c r="B8" s="6" t="s">
        <v>13</v>
      </c>
      <c r="C8" s="6" t="s">
        <v>20</v>
      </c>
      <c r="D8" s="6" t="s">
        <v>21</v>
      </c>
      <c r="E8" s="5" t="s">
        <v>16</v>
      </c>
      <c r="F8" s="5">
        <v>500</v>
      </c>
      <c r="G8" s="13">
        <v>500</v>
      </c>
      <c r="H8" s="4"/>
      <c r="I8" s="59" t="s">
        <v>52</v>
      </c>
      <c r="J8">
        <v>2656</v>
      </c>
      <c r="K8">
        <v>1328</v>
      </c>
      <c r="L8" t="str">
        <f>VLOOKUP(I8,Consolidated!B:B,1,0)</f>
        <v>AL BARAKAH PREMIUM SEEDLESS DATES 500G</v>
      </c>
    </row>
    <row r="9" spans="1:12" x14ac:dyDescent="0.35">
      <c r="A9" s="5">
        <v>4</v>
      </c>
      <c r="B9" s="6" t="s">
        <v>13</v>
      </c>
      <c r="C9" s="6" t="s">
        <v>20</v>
      </c>
      <c r="D9" s="6" t="s">
        <v>21</v>
      </c>
      <c r="E9" s="5" t="s">
        <v>16</v>
      </c>
      <c r="F9" s="5">
        <v>500</v>
      </c>
      <c r="G9" s="13">
        <v>500</v>
      </c>
      <c r="H9" s="4"/>
      <c r="I9" s="59" t="s">
        <v>38</v>
      </c>
      <c r="J9">
        <v>1834.5</v>
      </c>
      <c r="K9">
        <v>1834.5</v>
      </c>
      <c r="L9" t="str">
        <f>VLOOKUP(I9,Consolidated!B:B,1,0)</f>
        <v>American Almonds Running 25-27 count</v>
      </c>
    </row>
    <row r="10" spans="1:12" x14ac:dyDescent="0.35">
      <c r="A10" s="5">
        <v>5</v>
      </c>
      <c r="B10" s="6" t="s">
        <v>22</v>
      </c>
      <c r="C10" s="6" t="s">
        <v>23</v>
      </c>
      <c r="D10" s="6" t="s">
        <v>24</v>
      </c>
      <c r="E10" s="5" t="s">
        <v>16</v>
      </c>
      <c r="F10" s="5">
        <v>400</v>
      </c>
      <c r="G10" s="13">
        <v>400</v>
      </c>
      <c r="H10" s="4"/>
      <c r="I10" s="59" t="s">
        <v>62</v>
      </c>
      <c r="J10">
        <v>25</v>
      </c>
      <c r="K10">
        <v>25</v>
      </c>
      <c r="L10" t="str">
        <f>VLOOKUP(I10,Consolidated!B:B,1,0)</f>
        <v>Barbeque seasoning</v>
      </c>
    </row>
    <row r="11" spans="1:12" x14ac:dyDescent="0.35">
      <c r="A11" s="5">
        <v>6</v>
      </c>
      <c r="B11" s="6" t="s">
        <v>13</v>
      </c>
      <c r="C11" s="6" t="s">
        <v>14</v>
      </c>
      <c r="D11" s="6" t="s">
        <v>15</v>
      </c>
      <c r="E11" s="5" t="s">
        <v>16</v>
      </c>
      <c r="F11" s="5">
        <v>2000</v>
      </c>
      <c r="G11" s="13">
        <v>2000</v>
      </c>
      <c r="H11" s="4"/>
      <c r="I11" s="59" t="s">
        <v>15</v>
      </c>
      <c r="J11">
        <v>12015</v>
      </c>
      <c r="K11">
        <v>12015</v>
      </c>
      <c r="L11" t="str">
        <f>VLOOKUP(I11,Consolidated!B:B,1,0)</f>
        <v>Black Chia Seeds</v>
      </c>
    </row>
    <row r="12" spans="1:12" x14ac:dyDescent="0.35">
      <c r="A12" s="5">
        <v>7</v>
      </c>
      <c r="B12" s="6" t="s">
        <v>17</v>
      </c>
      <c r="C12" s="6" t="s">
        <v>18</v>
      </c>
      <c r="D12" s="6" t="s">
        <v>19</v>
      </c>
      <c r="E12" s="5" t="s">
        <v>16</v>
      </c>
      <c r="F12" s="5">
        <v>350</v>
      </c>
      <c r="G12" s="13">
        <v>350</v>
      </c>
      <c r="H12" s="4"/>
      <c r="I12" s="59" t="s">
        <v>42</v>
      </c>
      <c r="J12">
        <v>8464.64</v>
      </c>
      <c r="K12">
        <v>8464.64</v>
      </c>
      <c r="L12" t="str">
        <f>VLOOKUP(I12,Consolidated!B:B,1,0)</f>
        <v>California Pista Inshell</v>
      </c>
    </row>
    <row r="13" spans="1:12" x14ac:dyDescent="0.35">
      <c r="A13" s="5">
        <v>8</v>
      </c>
      <c r="B13" s="6" t="s">
        <v>13</v>
      </c>
      <c r="C13" s="6" t="s">
        <v>14</v>
      </c>
      <c r="D13" s="6" t="s">
        <v>15</v>
      </c>
      <c r="E13" s="5" t="s">
        <v>16</v>
      </c>
      <c r="F13" s="5">
        <v>500</v>
      </c>
      <c r="G13" s="13">
        <v>500</v>
      </c>
      <c r="H13" s="4"/>
      <c r="I13" s="59" t="s">
        <v>54</v>
      </c>
      <c r="J13">
        <v>15.4</v>
      </c>
      <c r="K13">
        <v>15.4</v>
      </c>
      <c r="L13" t="str">
        <f>VLOOKUP(I13,Consolidated!B:B,1,0)</f>
        <v>California Pista Inshell Roasted and Salted</v>
      </c>
    </row>
    <row r="14" spans="1:12" x14ac:dyDescent="0.35">
      <c r="A14" s="5">
        <v>9</v>
      </c>
      <c r="B14" s="6" t="s">
        <v>22</v>
      </c>
      <c r="C14" s="6" t="s">
        <v>25</v>
      </c>
      <c r="D14" s="6" t="s">
        <v>26</v>
      </c>
      <c r="E14" s="5" t="s">
        <v>16</v>
      </c>
      <c r="F14" s="5">
        <v>200</v>
      </c>
      <c r="G14" s="13">
        <v>200</v>
      </c>
      <c r="H14" s="4"/>
      <c r="I14" s="59" t="s">
        <v>78</v>
      </c>
      <c r="J14">
        <v>185</v>
      </c>
      <c r="K14">
        <v>185</v>
      </c>
      <c r="L14" t="str">
        <f>VLOOKUP(I14,Consolidated!B:B,1,0)</f>
        <v>Canola Oil</v>
      </c>
    </row>
    <row r="15" spans="1:12" x14ac:dyDescent="0.35">
      <c r="A15" s="5">
        <v>10</v>
      </c>
      <c r="B15" s="6" t="s">
        <v>13</v>
      </c>
      <c r="C15" s="6" t="s">
        <v>27</v>
      </c>
      <c r="D15" s="6" t="s">
        <v>28</v>
      </c>
      <c r="E15" s="5" t="s">
        <v>16</v>
      </c>
      <c r="F15" s="5">
        <v>1400</v>
      </c>
      <c r="G15" s="13">
        <v>1400</v>
      </c>
      <c r="H15" s="4"/>
      <c r="I15" s="59" t="s">
        <v>46</v>
      </c>
      <c r="J15">
        <v>6</v>
      </c>
      <c r="K15">
        <v>1.5</v>
      </c>
      <c r="L15" t="str">
        <f>VLOOKUP(I15,Consolidated!B:B,1,0)</f>
        <v>Carnival Almonds 250 Gm</v>
      </c>
    </row>
    <row r="16" spans="1:12" x14ac:dyDescent="0.35">
      <c r="A16" s="5">
        <v>11</v>
      </c>
      <c r="B16" s="6" t="s">
        <v>13</v>
      </c>
      <c r="C16" s="6" t="s">
        <v>29</v>
      </c>
      <c r="D16" s="6" t="s">
        <v>30</v>
      </c>
      <c r="E16" s="5" t="s">
        <v>16</v>
      </c>
      <c r="F16" s="5">
        <v>3600</v>
      </c>
      <c r="G16" s="13">
        <v>3600</v>
      </c>
      <c r="H16" s="4"/>
      <c r="I16" s="59" t="s">
        <v>77</v>
      </c>
      <c r="J16">
        <v>10</v>
      </c>
      <c r="K16">
        <v>10</v>
      </c>
      <c r="L16" t="str">
        <f>VLOOKUP(I16,Consolidated!B:B,1,0)</f>
        <v>Cashew 240</v>
      </c>
    </row>
    <row r="17" spans="1:12" x14ac:dyDescent="0.35">
      <c r="A17" s="5">
        <v>12</v>
      </c>
      <c r="B17" s="6" t="s">
        <v>13</v>
      </c>
      <c r="C17" s="6" t="s">
        <v>31</v>
      </c>
      <c r="D17" s="6" t="s">
        <v>32</v>
      </c>
      <c r="E17" s="5" t="s">
        <v>16</v>
      </c>
      <c r="F17" s="5">
        <v>900</v>
      </c>
      <c r="G17" s="13">
        <v>900</v>
      </c>
      <c r="I17" s="59" t="s">
        <v>19</v>
      </c>
      <c r="J17">
        <v>716.5</v>
      </c>
      <c r="K17">
        <v>716.5</v>
      </c>
      <c r="L17" t="str">
        <f>VLOOKUP(I17,Consolidated!B:B,1,0)</f>
        <v>Cashew 320</v>
      </c>
    </row>
    <row r="18" spans="1:12" x14ac:dyDescent="0.35">
      <c r="A18" s="5">
        <v>13</v>
      </c>
      <c r="B18" s="6" t="s">
        <v>13</v>
      </c>
      <c r="C18" s="6" t="s">
        <v>29</v>
      </c>
      <c r="D18" s="6" t="s">
        <v>30</v>
      </c>
      <c r="E18" s="5" t="s">
        <v>16</v>
      </c>
      <c r="F18" s="5">
        <v>975</v>
      </c>
      <c r="G18" s="13">
        <v>975</v>
      </c>
      <c r="I18" s="59" t="s">
        <v>76</v>
      </c>
      <c r="J18">
        <v>40</v>
      </c>
      <c r="K18">
        <v>40</v>
      </c>
      <c r="L18" t="str">
        <f>VLOOKUP(I18,Consolidated!B:B,1,0)</f>
        <v>Cashew 400</v>
      </c>
    </row>
    <row r="19" spans="1:12" x14ac:dyDescent="0.35">
      <c r="A19" s="5">
        <v>14</v>
      </c>
      <c r="B19" s="6" t="s">
        <v>13</v>
      </c>
      <c r="C19" s="6" t="s">
        <v>14</v>
      </c>
      <c r="D19" s="6" t="s">
        <v>15</v>
      </c>
      <c r="E19" s="5" t="s">
        <v>16</v>
      </c>
      <c r="F19" s="5">
        <v>500</v>
      </c>
      <c r="G19" s="13">
        <v>500</v>
      </c>
      <c r="I19" s="59" t="s">
        <v>75</v>
      </c>
      <c r="J19">
        <v>30</v>
      </c>
      <c r="K19">
        <v>30</v>
      </c>
      <c r="L19" t="str">
        <f>VLOOKUP(I19,Consolidated!B:B,1,0)</f>
        <v>Cashew Tukda</v>
      </c>
    </row>
    <row r="20" spans="1:12" x14ac:dyDescent="0.35">
      <c r="A20" s="5">
        <v>15</v>
      </c>
      <c r="B20" s="6" t="s">
        <v>13</v>
      </c>
      <c r="C20" s="6" t="s">
        <v>29</v>
      </c>
      <c r="D20" s="6" t="s">
        <v>30</v>
      </c>
      <c r="E20" s="5" t="s">
        <v>16</v>
      </c>
      <c r="F20" s="5">
        <v>400</v>
      </c>
      <c r="G20" s="13">
        <v>400</v>
      </c>
      <c r="I20" s="59" t="s">
        <v>68</v>
      </c>
      <c r="J20">
        <v>93.5</v>
      </c>
      <c r="K20">
        <v>93.5</v>
      </c>
      <c r="L20" t="str">
        <f>VLOOKUP(I20,Consolidated!B:B,1,0)</f>
        <v>Chatpata Seasoning</v>
      </c>
    </row>
    <row r="21" spans="1:12" x14ac:dyDescent="0.35">
      <c r="A21" s="5">
        <v>16</v>
      </c>
      <c r="B21" s="6" t="s">
        <v>13</v>
      </c>
      <c r="C21" s="6" t="s">
        <v>31</v>
      </c>
      <c r="D21" s="6" t="s">
        <v>32</v>
      </c>
      <c r="E21" s="5" t="s">
        <v>16</v>
      </c>
      <c r="F21" s="5">
        <v>900</v>
      </c>
      <c r="G21" s="13">
        <v>900</v>
      </c>
      <c r="I21" s="59" t="s">
        <v>59</v>
      </c>
      <c r="J21">
        <v>25</v>
      </c>
      <c r="K21">
        <v>25</v>
      </c>
      <c r="L21" t="str">
        <f>VLOOKUP(I21,Consolidated!B:B,1,0)</f>
        <v>Citric Acid</v>
      </c>
    </row>
    <row r="22" spans="1:12" x14ac:dyDescent="0.35">
      <c r="A22" s="5">
        <v>17</v>
      </c>
      <c r="B22" s="6" t="s">
        <v>33</v>
      </c>
      <c r="C22" s="6" t="s">
        <v>34</v>
      </c>
      <c r="D22" s="6" t="s">
        <v>35</v>
      </c>
      <c r="E22" s="5" t="s">
        <v>16</v>
      </c>
      <c r="F22" s="5">
        <v>500</v>
      </c>
      <c r="G22" s="13">
        <v>500</v>
      </c>
      <c r="I22" s="59" t="s">
        <v>277</v>
      </c>
      <c r="K22">
        <v>5.18</v>
      </c>
      <c r="L22" t="str">
        <f>VLOOKUP(I22,Consolidated!B:B,1,0)</f>
        <v>Cocktail Mix</v>
      </c>
    </row>
    <row r="23" spans="1:12" x14ac:dyDescent="0.35">
      <c r="A23" s="5">
        <v>18</v>
      </c>
      <c r="B23" s="6" t="s">
        <v>13</v>
      </c>
      <c r="C23" s="6" t="s">
        <v>31</v>
      </c>
      <c r="D23" s="6" t="s">
        <v>32</v>
      </c>
      <c r="E23" s="5" t="s">
        <v>16</v>
      </c>
      <c r="F23" s="5">
        <v>450</v>
      </c>
      <c r="G23" s="13">
        <v>450</v>
      </c>
      <c r="I23" s="59" t="s">
        <v>69</v>
      </c>
      <c r="J23">
        <v>50</v>
      </c>
      <c r="K23">
        <v>50</v>
      </c>
      <c r="L23" t="str">
        <f>VLOOKUP(I23,Consolidated!B:B,1,0)</f>
        <v>Corn Grits / Meal</v>
      </c>
    </row>
    <row r="24" spans="1:12" x14ac:dyDescent="0.35">
      <c r="A24" s="5">
        <v>19</v>
      </c>
      <c r="B24" s="6" t="s">
        <v>13</v>
      </c>
      <c r="C24" s="6" t="s">
        <v>20</v>
      </c>
      <c r="D24" s="6" t="s">
        <v>21</v>
      </c>
      <c r="E24" s="5" t="s">
        <v>16</v>
      </c>
      <c r="F24" s="5">
        <v>1250</v>
      </c>
      <c r="G24" s="13">
        <v>1250</v>
      </c>
      <c r="I24" s="59" t="s">
        <v>21</v>
      </c>
      <c r="J24">
        <v>2750</v>
      </c>
      <c r="K24">
        <v>2750</v>
      </c>
      <c r="L24" t="str">
        <f>VLOOKUP(I24,Consolidated!B:B,1,0)</f>
        <v>Flax Seeds (Alsi)</v>
      </c>
    </row>
    <row r="25" spans="1:12" x14ac:dyDescent="0.35">
      <c r="A25" s="5">
        <v>20</v>
      </c>
      <c r="B25" s="6" t="s">
        <v>13</v>
      </c>
      <c r="C25" s="6" t="s">
        <v>31</v>
      </c>
      <c r="D25" s="6" t="s">
        <v>32</v>
      </c>
      <c r="E25" s="5" t="s">
        <v>16</v>
      </c>
      <c r="F25" s="5">
        <v>450</v>
      </c>
      <c r="G25" s="13">
        <v>450</v>
      </c>
      <c r="I25" s="59" t="s">
        <v>65</v>
      </c>
      <c r="J25">
        <v>300</v>
      </c>
      <c r="K25">
        <v>300</v>
      </c>
      <c r="L25" t="str">
        <f>VLOOKUP(I25,Consolidated!B:B,1,0)</f>
        <v>Glucose Syrup / Liquid Glucose</v>
      </c>
    </row>
    <row r="26" spans="1:12" x14ac:dyDescent="0.35">
      <c r="A26" s="5">
        <v>21</v>
      </c>
      <c r="B26" s="6" t="s">
        <v>13</v>
      </c>
      <c r="C26" s="6" t="s">
        <v>14</v>
      </c>
      <c r="D26" s="6" t="s">
        <v>15</v>
      </c>
      <c r="E26" s="5" t="s">
        <v>16</v>
      </c>
      <c r="F26" s="5">
        <v>500</v>
      </c>
      <c r="G26" s="13">
        <v>500</v>
      </c>
      <c r="I26" s="59" t="s">
        <v>87</v>
      </c>
      <c r="J26">
        <v>30</v>
      </c>
      <c r="K26">
        <v>3</v>
      </c>
      <c r="L26" t="str">
        <f>VLOOKUP(I26,Consolidated!B:B,1,0)</f>
        <v>Healthy Choice Roasted Pumpkin Seeds 100 g</v>
      </c>
    </row>
    <row r="27" spans="1:12" x14ac:dyDescent="0.35">
      <c r="A27" s="5">
        <v>22</v>
      </c>
      <c r="B27" s="6" t="s">
        <v>13</v>
      </c>
      <c r="C27" s="6" t="s">
        <v>31</v>
      </c>
      <c r="D27" s="6" t="s">
        <v>32</v>
      </c>
      <c r="E27" s="5" t="s">
        <v>16</v>
      </c>
      <c r="F27" s="5">
        <v>900</v>
      </c>
      <c r="G27" s="13">
        <v>900</v>
      </c>
      <c r="I27" s="59" t="s">
        <v>86</v>
      </c>
      <c r="J27">
        <v>50</v>
      </c>
      <c r="K27">
        <v>10</v>
      </c>
      <c r="L27" t="str">
        <f>VLOOKUP(I27,Consolidated!B:B,1,0)</f>
        <v>Healthy Choice Roasted Pumpkin Seeds 200 g</v>
      </c>
    </row>
    <row r="28" spans="1:12" x14ac:dyDescent="0.35">
      <c r="A28" s="15">
        <v>23</v>
      </c>
      <c r="B28" s="16" t="s">
        <v>13</v>
      </c>
      <c r="C28" s="16" t="s">
        <v>27</v>
      </c>
      <c r="D28" s="16" t="s">
        <v>28</v>
      </c>
      <c r="E28" s="15" t="s">
        <v>16</v>
      </c>
      <c r="F28" s="15">
        <v>2400</v>
      </c>
      <c r="G28" s="13">
        <v>2400</v>
      </c>
      <c r="I28" s="59" t="s">
        <v>82</v>
      </c>
      <c r="J28">
        <v>100</v>
      </c>
      <c r="K28">
        <v>20</v>
      </c>
      <c r="L28" t="str">
        <f>VLOOKUP(I28,Consolidated!B:B,1,0)</f>
        <v>Healthy Choice Roasted Sunflower Seeds 200 g</v>
      </c>
    </row>
    <row r="29" spans="1:12" x14ac:dyDescent="0.35">
      <c r="A29" s="5">
        <v>24</v>
      </c>
      <c r="B29" s="6" t="s">
        <v>13</v>
      </c>
      <c r="C29" s="6" t="s">
        <v>31</v>
      </c>
      <c r="D29" s="6" t="s">
        <v>32</v>
      </c>
      <c r="E29" s="5" t="s">
        <v>16</v>
      </c>
      <c r="F29" s="5">
        <v>450</v>
      </c>
      <c r="G29" s="13">
        <v>450</v>
      </c>
      <c r="I29" s="59" t="s">
        <v>85</v>
      </c>
      <c r="J29">
        <v>10</v>
      </c>
      <c r="K29">
        <v>10</v>
      </c>
      <c r="L29" t="str">
        <f>VLOOKUP(I29,Consolidated!B:B,1,0)</f>
        <v>Indian Green Raisins</v>
      </c>
    </row>
    <row r="30" spans="1:12" x14ac:dyDescent="0.35">
      <c r="A30" s="5">
        <v>25</v>
      </c>
      <c r="B30" s="6" t="s">
        <v>13</v>
      </c>
      <c r="C30" s="6" t="s">
        <v>29</v>
      </c>
      <c r="D30" s="6" t="s">
        <v>30</v>
      </c>
      <c r="E30" s="5" t="s">
        <v>16</v>
      </c>
      <c r="F30" s="5">
        <v>900</v>
      </c>
      <c r="G30" s="13">
        <v>900</v>
      </c>
      <c r="I30" s="59" t="s">
        <v>35</v>
      </c>
      <c r="J30">
        <v>500</v>
      </c>
      <c r="K30">
        <v>500</v>
      </c>
      <c r="L30" t="str">
        <f>VLOOKUP(I30,Consolidated!B:B,1,0)</f>
        <v>Maize Starch</v>
      </c>
    </row>
    <row r="31" spans="1:12" x14ac:dyDescent="0.35">
      <c r="A31" s="5">
        <v>26</v>
      </c>
      <c r="B31" s="6" t="s">
        <v>13</v>
      </c>
      <c r="C31" s="6" t="s">
        <v>14</v>
      </c>
      <c r="D31" s="6" t="s">
        <v>15</v>
      </c>
      <c r="E31" s="5" t="s">
        <v>16</v>
      </c>
      <c r="F31" s="5">
        <v>1000</v>
      </c>
      <c r="G31" s="13">
        <v>1000</v>
      </c>
      <c r="I31" s="59" t="s">
        <v>58</v>
      </c>
      <c r="J31">
        <v>30</v>
      </c>
      <c r="K31">
        <v>30</v>
      </c>
      <c r="L31" t="str">
        <f>VLOOKUP(I31,Consolidated!B:B,1,0)</f>
        <v>Nachni Atta</v>
      </c>
    </row>
    <row r="32" spans="1:12" x14ac:dyDescent="0.35">
      <c r="A32" s="5">
        <v>27</v>
      </c>
      <c r="B32" s="6" t="s">
        <v>13</v>
      </c>
      <c r="C32" s="6" t="s">
        <v>31</v>
      </c>
      <c r="D32" s="6" t="s">
        <v>32</v>
      </c>
      <c r="E32" s="5" t="s">
        <v>16</v>
      </c>
      <c r="F32" s="5">
        <v>450</v>
      </c>
      <c r="G32" s="13">
        <v>450</v>
      </c>
      <c r="I32" s="59" t="s">
        <v>71</v>
      </c>
      <c r="J32">
        <v>5.18</v>
      </c>
      <c r="K32">
        <v>5.18</v>
      </c>
      <c r="L32" t="str">
        <f>VLOOKUP(I32,Consolidated!B:B,1,0)</f>
        <v>Nuts &amp; Seed Mix</v>
      </c>
    </row>
    <row r="33" spans="1:12" x14ac:dyDescent="0.35">
      <c r="A33" s="5">
        <v>28</v>
      </c>
      <c r="B33" s="6" t="s">
        <v>13</v>
      </c>
      <c r="C33" s="6" t="s">
        <v>29</v>
      </c>
      <c r="D33" s="6" t="s">
        <v>30</v>
      </c>
      <c r="E33" s="5" t="s">
        <v>16</v>
      </c>
      <c r="F33" s="5">
        <v>1050</v>
      </c>
      <c r="G33" s="13">
        <v>1050</v>
      </c>
      <c r="I33" s="59" t="s">
        <v>64</v>
      </c>
      <c r="J33">
        <v>13</v>
      </c>
      <c r="K33">
        <v>13</v>
      </c>
      <c r="L33" t="str">
        <f>VLOOKUP(I33,Consolidated!B:B,1,0)</f>
        <v>Palm Oil</v>
      </c>
    </row>
    <row r="34" spans="1:12" x14ac:dyDescent="0.35">
      <c r="A34" s="5">
        <v>29</v>
      </c>
      <c r="B34" s="6" t="s">
        <v>36</v>
      </c>
      <c r="C34" s="6" t="s">
        <v>37</v>
      </c>
      <c r="D34" s="6" t="s">
        <v>38</v>
      </c>
      <c r="E34" s="5" t="s">
        <v>16</v>
      </c>
      <c r="F34" s="5">
        <v>360</v>
      </c>
      <c r="G34" s="13">
        <v>360</v>
      </c>
      <c r="I34" s="59" t="s">
        <v>49</v>
      </c>
      <c r="J34">
        <v>110</v>
      </c>
      <c r="K34">
        <v>110</v>
      </c>
      <c r="L34" t="str">
        <f>VLOOKUP(I34,Consolidated!B:B,1,0)</f>
        <v>Pista Magaz Split California</v>
      </c>
    </row>
    <row r="35" spans="1:12" x14ac:dyDescent="0.35">
      <c r="A35" s="5">
        <v>30</v>
      </c>
      <c r="B35" s="6" t="s">
        <v>33</v>
      </c>
      <c r="C35" s="6" t="s">
        <v>34</v>
      </c>
      <c r="D35" s="6" t="s">
        <v>39</v>
      </c>
      <c r="E35" s="5" t="s">
        <v>16</v>
      </c>
      <c r="F35" s="5">
        <v>480</v>
      </c>
      <c r="G35" s="13">
        <v>480</v>
      </c>
      <c r="I35" s="59" t="s">
        <v>73</v>
      </c>
      <c r="J35">
        <v>3062</v>
      </c>
      <c r="K35">
        <v>1531</v>
      </c>
      <c r="L35" t="str">
        <f>VLOOKUP(I35,Consolidated!B:B,1,0)</f>
        <v>PL CLASSIC DATES 500G</v>
      </c>
    </row>
    <row r="36" spans="1:12" x14ac:dyDescent="0.35">
      <c r="A36" s="5">
        <v>31</v>
      </c>
      <c r="B36" s="6" t="s">
        <v>13</v>
      </c>
      <c r="C36" s="6" t="s">
        <v>14</v>
      </c>
      <c r="D36" s="6" t="s">
        <v>15</v>
      </c>
      <c r="E36" s="5" t="s">
        <v>16</v>
      </c>
      <c r="F36" s="5">
        <v>500</v>
      </c>
      <c r="G36" s="13">
        <v>500</v>
      </c>
      <c r="I36" s="59" t="s">
        <v>30</v>
      </c>
      <c r="J36">
        <v>14300</v>
      </c>
      <c r="K36">
        <v>14300</v>
      </c>
      <c r="L36" t="str">
        <f>VLOOKUP(I36,Consolidated!B:B,1,0)</f>
        <v>Pumpkin Seed ( 5% )</v>
      </c>
    </row>
    <row r="37" spans="1:12" x14ac:dyDescent="0.35">
      <c r="A37" s="5">
        <v>32</v>
      </c>
      <c r="B37" s="6" t="s">
        <v>13</v>
      </c>
      <c r="C37" s="6" t="s">
        <v>29</v>
      </c>
      <c r="D37" s="6" t="s">
        <v>30</v>
      </c>
      <c r="E37" s="5" t="s">
        <v>16</v>
      </c>
      <c r="F37" s="5">
        <v>150</v>
      </c>
      <c r="G37" s="13">
        <v>150</v>
      </c>
      <c r="I37" s="59" t="s">
        <v>67</v>
      </c>
      <c r="J37">
        <v>550</v>
      </c>
      <c r="K37">
        <v>550</v>
      </c>
      <c r="L37" t="str">
        <f>VLOOKUP(I37,Consolidated!B:B,1,0)</f>
        <v>Refined Fine Powder Iodized Salt Prime - TPL</v>
      </c>
    </row>
    <row r="38" spans="1:12" x14ac:dyDescent="0.35">
      <c r="A38" s="5">
        <v>33</v>
      </c>
      <c r="B38" s="6" t="s">
        <v>13</v>
      </c>
      <c r="C38" s="6" t="s">
        <v>14</v>
      </c>
      <c r="D38" s="6" t="s">
        <v>15</v>
      </c>
      <c r="E38" s="5" t="s">
        <v>16</v>
      </c>
      <c r="F38" s="5">
        <v>500</v>
      </c>
      <c r="G38" s="13">
        <v>500</v>
      </c>
      <c r="I38" s="59" t="s">
        <v>24</v>
      </c>
      <c r="J38">
        <v>400</v>
      </c>
      <c r="K38">
        <v>400</v>
      </c>
      <c r="L38" t="str">
        <f>VLOOKUP(I38,Consolidated!B:B,1,0)</f>
        <v>Rice Atta</v>
      </c>
    </row>
    <row r="39" spans="1:12" x14ac:dyDescent="0.35">
      <c r="A39" s="5">
        <v>34</v>
      </c>
      <c r="B39" s="6" t="s">
        <v>13</v>
      </c>
      <c r="C39" s="6" t="s">
        <v>14</v>
      </c>
      <c r="D39" s="6" t="s">
        <v>15</v>
      </c>
      <c r="E39" s="5" t="s">
        <v>16</v>
      </c>
      <c r="F39" s="5">
        <v>500</v>
      </c>
      <c r="G39" s="13">
        <v>500</v>
      </c>
      <c r="I39" s="59" t="s">
        <v>26</v>
      </c>
      <c r="J39">
        <v>350</v>
      </c>
      <c r="K39">
        <v>350</v>
      </c>
      <c r="L39" t="str">
        <f>VLOOKUP(I39,Consolidated!B:B,1,0)</f>
        <v>Sugar Powder</v>
      </c>
    </row>
    <row r="40" spans="1:12" x14ac:dyDescent="0.35">
      <c r="A40" s="5">
        <v>35</v>
      </c>
      <c r="B40" s="6" t="s">
        <v>13</v>
      </c>
      <c r="C40" s="6" t="s">
        <v>31</v>
      </c>
      <c r="D40" s="6" t="s">
        <v>32</v>
      </c>
      <c r="E40" s="5" t="s">
        <v>16</v>
      </c>
      <c r="F40" s="5">
        <v>450</v>
      </c>
      <c r="G40" s="13">
        <v>450</v>
      </c>
      <c r="I40" s="59" t="s">
        <v>63</v>
      </c>
      <c r="J40">
        <v>39</v>
      </c>
      <c r="K40">
        <v>39</v>
      </c>
      <c r="L40" t="str">
        <f>VLOOKUP(I40,Consolidated!B:B,1,0)</f>
        <v>SUNFLOWER OIL</v>
      </c>
    </row>
    <row r="41" spans="1:12" x14ac:dyDescent="0.35">
      <c r="A41" s="5">
        <v>36</v>
      </c>
      <c r="B41" s="6" t="s">
        <v>13</v>
      </c>
      <c r="C41" s="6" t="s">
        <v>31</v>
      </c>
      <c r="D41" s="6" t="s">
        <v>32</v>
      </c>
      <c r="E41" s="5" t="s">
        <v>16</v>
      </c>
      <c r="F41" s="5">
        <v>2700</v>
      </c>
      <c r="G41" s="13">
        <v>2700</v>
      </c>
      <c r="I41" s="59" t="s">
        <v>32</v>
      </c>
      <c r="J41">
        <v>11854.5</v>
      </c>
      <c r="K41">
        <v>11854.5</v>
      </c>
      <c r="L41" t="str">
        <f>VLOOKUP(I41,Consolidated!B:B,1,0)</f>
        <v>Sunflower Seeds</v>
      </c>
    </row>
    <row r="42" spans="1:12" x14ac:dyDescent="0.35">
      <c r="A42" s="5">
        <v>37</v>
      </c>
      <c r="B42" s="6" t="s">
        <v>40</v>
      </c>
      <c r="C42" s="6" t="s">
        <v>41</v>
      </c>
      <c r="D42" s="6" t="s">
        <v>42</v>
      </c>
      <c r="E42" s="5" t="s">
        <v>16</v>
      </c>
      <c r="F42" s="5">
        <v>3356.64</v>
      </c>
      <c r="G42" s="13">
        <v>3356.64</v>
      </c>
      <c r="I42" s="59" t="s">
        <v>81</v>
      </c>
      <c r="J42">
        <v>250</v>
      </c>
      <c r="K42">
        <v>250</v>
      </c>
      <c r="L42" t="str">
        <f>VLOOKUP(I42,Consolidated!B:B,1,0)</f>
        <v>Turkey Apricot No 3</v>
      </c>
    </row>
    <row r="43" spans="1:12" x14ac:dyDescent="0.35">
      <c r="A43" s="5">
        <v>38</v>
      </c>
      <c r="B43" s="6" t="s">
        <v>43</v>
      </c>
      <c r="C43" s="6" t="s">
        <v>44</v>
      </c>
      <c r="D43" s="6" t="s">
        <v>45</v>
      </c>
      <c r="E43" s="5" t="s">
        <v>16</v>
      </c>
      <c r="F43" s="5">
        <v>285</v>
      </c>
      <c r="G43" s="13">
        <v>285</v>
      </c>
      <c r="I43" s="59" t="s">
        <v>28</v>
      </c>
      <c r="J43">
        <v>5050</v>
      </c>
      <c r="K43">
        <v>5050</v>
      </c>
      <c r="L43" t="str">
        <f>VLOOKUP(I43,Consolidated!B:B,1,0)</f>
        <v>Water Melon Seed</v>
      </c>
    </row>
    <row r="44" spans="1:12" x14ac:dyDescent="0.35">
      <c r="A44" s="5">
        <v>39</v>
      </c>
      <c r="B44" s="6" t="s">
        <v>36</v>
      </c>
      <c r="C44" s="6" t="s">
        <v>37</v>
      </c>
      <c r="D44" s="6" t="s">
        <v>46</v>
      </c>
      <c r="E44" s="5" t="s">
        <v>47</v>
      </c>
      <c r="F44" s="5">
        <v>6</v>
      </c>
      <c r="G44" s="13">
        <v>1.5</v>
      </c>
      <c r="I44" s="59" t="s">
        <v>39</v>
      </c>
      <c r="J44">
        <v>1111</v>
      </c>
      <c r="K44">
        <v>1139.7</v>
      </c>
      <c r="L44" t="str">
        <f>VLOOKUP(I44,Consolidated!B:B,1,0)</f>
        <v>Wheat Atta</v>
      </c>
    </row>
    <row r="45" spans="1:12" x14ac:dyDescent="0.35">
      <c r="A45" s="5">
        <v>40</v>
      </c>
      <c r="B45" s="6" t="s">
        <v>40</v>
      </c>
      <c r="C45" s="6" t="s">
        <v>48</v>
      </c>
      <c r="D45" s="6" t="s">
        <v>49</v>
      </c>
      <c r="E45" s="5" t="s">
        <v>16</v>
      </c>
      <c r="F45" s="5">
        <v>45</v>
      </c>
      <c r="G45" s="13">
        <v>45</v>
      </c>
      <c r="I45" s="59" t="s">
        <v>2368</v>
      </c>
      <c r="J45">
        <v>68809.02</v>
      </c>
      <c r="K45">
        <v>65088.399999999994</v>
      </c>
    </row>
    <row r="46" spans="1:12" x14ac:dyDescent="0.35">
      <c r="A46" s="5">
        <v>41</v>
      </c>
      <c r="B46" s="6" t="s">
        <v>50</v>
      </c>
      <c r="C46" s="6" t="s">
        <v>51</v>
      </c>
      <c r="D46" s="6" t="s">
        <v>52</v>
      </c>
      <c r="E46" s="5" t="s">
        <v>53</v>
      </c>
      <c r="F46" s="5">
        <v>1456</v>
      </c>
      <c r="G46" s="13">
        <v>728</v>
      </c>
    </row>
    <row r="47" spans="1:12" x14ac:dyDescent="0.35">
      <c r="A47" s="5">
        <v>42</v>
      </c>
      <c r="B47" s="6" t="s">
        <v>13</v>
      </c>
      <c r="C47" s="6" t="s">
        <v>29</v>
      </c>
      <c r="D47" s="6" t="s">
        <v>30</v>
      </c>
      <c r="E47" s="5" t="s">
        <v>16</v>
      </c>
      <c r="F47" s="5">
        <v>2375</v>
      </c>
      <c r="G47" s="13">
        <v>2375</v>
      </c>
    </row>
    <row r="48" spans="1:12" x14ac:dyDescent="0.35">
      <c r="A48" s="5">
        <v>43</v>
      </c>
      <c r="B48" s="6" t="s">
        <v>50</v>
      </c>
      <c r="C48" s="6" t="s">
        <v>51</v>
      </c>
      <c r="D48" s="6" t="s">
        <v>52</v>
      </c>
      <c r="E48" s="5" t="s">
        <v>53</v>
      </c>
      <c r="F48" s="5">
        <v>768</v>
      </c>
      <c r="G48" s="13">
        <v>384</v>
      </c>
    </row>
    <row r="49" spans="1:8" x14ac:dyDescent="0.35">
      <c r="A49" s="5">
        <v>44</v>
      </c>
      <c r="B49" s="6" t="s">
        <v>36</v>
      </c>
      <c r="C49" s="6" t="s">
        <v>37</v>
      </c>
      <c r="D49" s="6" t="s">
        <v>38</v>
      </c>
      <c r="E49" s="5" t="s">
        <v>16</v>
      </c>
      <c r="F49" s="5">
        <v>64.5</v>
      </c>
      <c r="G49" s="13">
        <v>64.5</v>
      </c>
    </row>
    <row r="50" spans="1:8" x14ac:dyDescent="0.35">
      <c r="A50" s="5">
        <v>45</v>
      </c>
      <c r="B50" s="6" t="s">
        <v>40</v>
      </c>
      <c r="C50" s="6" t="s">
        <v>41</v>
      </c>
      <c r="D50" s="6" t="s">
        <v>54</v>
      </c>
      <c r="E50" s="5" t="s">
        <v>16</v>
      </c>
      <c r="F50" s="5">
        <v>7</v>
      </c>
      <c r="G50" s="13">
        <v>7</v>
      </c>
    </row>
    <row r="51" spans="1:8" x14ac:dyDescent="0.35">
      <c r="A51" s="5">
        <v>46</v>
      </c>
      <c r="B51" s="6" t="s">
        <v>50</v>
      </c>
      <c r="C51" s="6" t="s">
        <v>56</v>
      </c>
      <c r="D51" s="6" t="s">
        <v>57</v>
      </c>
      <c r="E51" s="5" t="s">
        <v>53</v>
      </c>
      <c r="F51" s="5">
        <v>1456</v>
      </c>
      <c r="G51" s="13">
        <v>728</v>
      </c>
    </row>
    <row r="52" spans="1:8" x14ac:dyDescent="0.35">
      <c r="A52" s="5">
        <v>47</v>
      </c>
      <c r="B52" s="6" t="s">
        <v>50</v>
      </c>
      <c r="C52" s="6" t="s">
        <v>51</v>
      </c>
      <c r="D52" s="6" t="s">
        <v>52</v>
      </c>
      <c r="E52" s="5" t="s">
        <v>53</v>
      </c>
      <c r="F52" s="5">
        <v>432</v>
      </c>
      <c r="G52" s="13">
        <v>216</v>
      </c>
    </row>
    <row r="53" spans="1:8" x14ac:dyDescent="0.35">
      <c r="A53" s="5">
        <v>48</v>
      </c>
      <c r="B53" s="6" t="s">
        <v>13</v>
      </c>
      <c r="C53" s="6" t="s">
        <v>14</v>
      </c>
      <c r="D53" s="6" t="s">
        <v>15</v>
      </c>
      <c r="E53" s="5" t="s">
        <v>16</v>
      </c>
      <c r="F53" s="5">
        <v>500</v>
      </c>
      <c r="G53" s="13">
        <v>500</v>
      </c>
    </row>
    <row r="54" spans="1:8" x14ac:dyDescent="0.35">
      <c r="A54" s="5">
        <v>49</v>
      </c>
      <c r="B54" s="6" t="s">
        <v>13</v>
      </c>
      <c r="C54" s="6" t="s">
        <v>31</v>
      </c>
      <c r="D54" s="6" t="s">
        <v>32</v>
      </c>
      <c r="E54" s="5" t="s">
        <v>16</v>
      </c>
      <c r="F54" s="5">
        <v>150</v>
      </c>
      <c r="G54" s="13">
        <v>150</v>
      </c>
    </row>
    <row r="55" spans="1:8" x14ac:dyDescent="0.35">
      <c r="A55" s="5">
        <v>50</v>
      </c>
      <c r="B55" s="6" t="s">
        <v>13</v>
      </c>
      <c r="C55" s="6" t="s">
        <v>14</v>
      </c>
      <c r="D55" s="6" t="s">
        <v>15</v>
      </c>
      <c r="E55" s="5" t="s">
        <v>16</v>
      </c>
      <c r="F55" s="5">
        <v>500</v>
      </c>
      <c r="G55" s="13">
        <v>500</v>
      </c>
    </row>
    <row r="56" spans="1:8" x14ac:dyDescent="0.35">
      <c r="A56" s="5">
        <v>51</v>
      </c>
      <c r="B56" s="6" t="s">
        <v>13</v>
      </c>
      <c r="C56" s="6" t="s">
        <v>29</v>
      </c>
      <c r="D56" s="6" t="s">
        <v>30</v>
      </c>
      <c r="E56" s="5" t="s">
        <v>16</v>
      </c>
      <c r="F56" s="5">
        <v>450</v>
      </c>
      <c r="G56" s="13">
        <v>450</v>
      </c>
    </row>
    <row r="57" spans="1:8" x14ac:dyDescent="0.35">
      <c r="A57" s="5">
        <v>52</v>
      </c>
      <c r="B57" s="6" t="s">
        <v>13</v>
      </c>
      <c r="C57" s="6" t="s">
        <v>31</v>
      </c>
      <c r="D57" s="6" t="s">
        <v>32</v>
      </c>
      <c r="E57" s="5" t="s">
        <v>16</v>
      </c>
      <c r="F57" s="5">
        <v>3150</v>
      </c>
      <c r="G57" s="13">
        <v>3150</v>
      </c>
    </row>
    <row r="58" spans="1:8" x14ac:dyDescent="0.35">
      <c r="A58" s="5">
        <v>53</v>
      </c>
      <c r="B58" s="6" t="s">
        <v>13</v>
      </c>
      <c r="C58" s="6" t="s">
        <v>14</v>
      </c>
      <c r="D58" s="6" t="s">
        <v>15</v>
      </c>
      <c r="E58" s="5" t="s">
        <v>16</v>
      </c>
      <c r="F58" s="5">
        <v>500</v>
      </c>
      <c r="G58" s="13">
        <v>500</v>
      </c>
    </row>
    <row r="59" spans="1:8" x14ac:dyDescent="0.35">
      <c r="A59" s="22"/>
      <c r="B59" s="23"/>
      <c r="C59" s="23"/>
      <c r="D59" s="23" t="s">
        <v>39</v>
      </c>
      <c r="E59" s="22" t="s">
        <v>16</v>
      </c>
      <c r="F59" s="22">
        <v>1</v>
      </c>
      <c r="G59" s="14">
        <v>29.7</v>
      </c>
      <c r="H59" s="24" t="s">
        <v>278</v>
      </c>
    </row>
    <row r="60" spans="1:8" x14ac:dyDescent="0.35">
      <c r="A60" s="22">
        <v>54</v>
      </c>
      <c r="B60" s="23" t="s">
        <v>22</v>
      </c>
      <c r="C60" s="23" t="s">
        <v>23</v>
      </c>
      <c r="D60" s="23" t="s">
        <v>58</v>
      </c>
      <c r="E60" s="22" t="s">
        <v>16</v>
      </c>
      <c r="F60" s="22">
        <v>30</v>
      </c>
      <c r="G60" s="14">
        <v>30</v>
      </c>
      <c r="H60" s="25" t="s">
        <v>276</v>
      </c>
    </row>
    <row r="61" spans="1:8" x14ac:dyDescent="0.35">
      <c r="A61" s="5">
        <v>55</v>
      </c>
      <c r="B61" s="6" t="s">
        <v>43</v>
      </c>
      <c r="C61" s="6" t="s">
        <v>44</v>
      </c>
      <c r="D61" s="6" t="s">
        <v>45</v>
      </c>
      <c r="E61" s="5" t="s">
        <v>16</v>
      </c>
      <c r="F61" s="5">
        <v>4.8</v>
      </c>
      <c r="G61" s="13">
        <v>4.8</v>
      </c>
    </row>
    <row r="62" spans="1:8" x14ac:dyDescent="0.35">
      <c r="A62" s="5"/>
      <c r="B62" s="6"/>
      <c r="C62" s="6"/>
      <c r="D62" s="23" t="s">
        <v>277</v>
      </c>
      <c r="E62" s="22" t="s">
        <v>16</v>
      </c>
      <c r="F62" s="22"/>
      <c r="G62" s="14">
        <v>5.18</v>
      </c>
      <c r="H62" s="24" t="s">
        <v>278</v>
      </c>
    </row>
    <row r="63" spans="1:8" x14ac:dyDescent="0.35">
      <c r="A63" s="5">
        <v>56</v>
      </c>
      <c r="B63" s="6" t="s">
        <v>22</v>
      </c>
      <c r="C63" s="6" t="s">
        <v>25</v>
      </c>
      <c r="D63" s="6" t="s">
        <v>59</v>
      </c>
      <c r="E63" s="5" t="s">
        <v>16</v>
      </c>
      <c r="F63" s="5">
        <v>25</v>
      </c>
      <c r="G63" s="13">
        <v>25</v>
      </c>
    </row>
    <row r="64" spans="1:8" x14ac:dyDescent="0.35">
      <c r="A64" s="5">
        <v>57</v>
      </c>
      <c r="B64" s="6" t="s">
        <v>61</v>
      </c>
      <c r="C64" s="6" t="s">
        <v>61</v>
      </c>
      <c r="D64" s="6" t="s">
        <v>62</v>
      </c>
      <c r="E64" s="5" t="s">
        <v>16</v>
      </c>
      <c r="F64" s="5">
        <v>25</v>
      </c>
      <c r="G64" s="13">
        <v>25</v>
      </c>
    </row>
    <row r="65" spans="1:8" x14ac:dyDescent="0.35">
      <c r="A65" s="5">
        <v>58</v>
      </c>
      <c r="B65" s="6" t="s">
        <v>22</v>
      </c>
      <c r="C65" s="6" t="s">
        <v>25</v>
      </c>
      <c r="D65" s="6" t="s">
        <v>63</v>
      </c>
      <c r="E65" s="5" t="s">
        <v>16</v>
      </c>
      <c r="F65" s="5">
        <v>39</v>
      </c>
      <c r="G65" s="13">
        <v>39</v>
      </c>
    </row>
    <row r="66" spans="1:8" x14ac:dyDescent="0.35">
      <c r="A66" s="5">
        <v>59</v>
      </c>
      <c r="B66" s="6" t="s">
        <v>22</v>
      </c>
      <c r="C66" s="6" t="s">
        <v>25</v>
      </c>
      <c r="D66" s="6" t="s">
        <v>64</v>
      </c>
      <c r="E66" s="5" t="s">
        <v>16</v>
      </c>
      <c r="F66" s="5">
        <v>13</v>
      </c>
      <c r="G66" s="13">
        <v>13</v>
      </c>
    </row>
    <row r="67" spans="1:8" x14ac:dyDescent="0.35">
      <c r="A67" s="5">
        <v>60</v>
      </c>
      <c r="B67" s="6" t="s">
        <v>22</v>
      </c>
      <c r="C67" s="6" t="s">
        <v>25</v>
      </c>
      <c r="D67" s="6" t="s">
        <v>65</v>
      </c>
      <c r="E67" s="5" t="s">
        <v>16</v>
      </c>
      <c r="F67" s="5">
        <v>300</v>
      </c>
      <c r="G67" s="13">
        <v>300</v>
      </c>
    </row>
    <row r="68" spans="1:8" x14ac:dyDescent="0.35">
      <c r="A68" s="5">
        <v>61</v>
      </c>
      <c r="B68" s="6" t="s">
        <v>66</v>
      </c>
      <c r="C68" s="6" t="s">
        <v>66</v>
      </c>
      <c r="D68" s="6" t="s">
        <v>67</v>
      </c>
      <c r="E68" s="5" t="s">
        <v>16</v>
      </c>
      <c r="F68" s="5">
        <v>550</v>
      </c>
      <c r="G68" s="13">
        <v>550</v>
      </c>
    </row>
    <row r="69" spans="1:8" x14ac:dyDescent="0.35">
      <c r="A69" s="5">
        <v>62</v>
      </c>
      <c r="B69" s="6" t="s">
        <v>61</v>
      </c>
      <c r="C69" s="6" t="s">
        <v>61</v>
      </c>
      <c r="D69" s="6" t="s">
        <v>68</v>
      </c>
      <c r="E69" s="5" t="s">
        <v>16</v>
      </c>
      <c r="F69" s="5">
        <v>93.5</v>
      </c>
      <c r="G69" s="13">
        <v>93.5</v>
      </c>
    </row>
    <row r="70" spans="1:8" x14ac:dyDescent="0.35">
      <c r="A70" s="5">
        <v>63</v>
      </c>
      <c r="B70" s="6" t="s">
        <v>22</v>
      </c>
      <c r="C70" s="6" t="s">
        <v>25</v>
      </c>
      <c r="D70" s="6" t="s">
        <v>26</v>
      </c>
      <c r="E70" s="5" t="s">
        <v>16</v>
      </c>
      <c r="F70" s="5">
        <v>150</v>
      </c>
      <c r="G70" s="13">
        <v>150</v>
      </c>
    </row>
    <row r="71" spans="1:8" x14ac:dyDescent="0.35">
      <c r="A71" s="5">
        <v>64</v>
      </c>
      <c r="B71" s="6" t="s">
        <v>22</v>
      </c>
      <c r="C71" s="6" t="s">
        <v>25</v>
      </c>
      <c r="D71" s="6" t="s">
        <v>69</v>
      </c>
      <c r="E71" s="5" t="s">
        <v>16</v>
      </c>
      <c r="F71" s="5">
        <v>50</v>
      </c>
      <c r="G71" s="13">
        <v>50</v>
      </c>
    </row>
    <row r="72" spans="1:8" x14ac:dyDescent="0.35">
      <c r="A72" s="5">
        <v>65</v>
      </c>
      <c r="B72" s="6" t="s">
        <v>13</v>
      </c>
      <c r="C72" s="6" t="s">
        <v>27</v>
      </c>
      <c r="D72" s="6" t="s">
        <v>28</v>
      </c>
      <c r="E72" s="5" t="s">
        <v>16</v>
      </c>
      <c r="F72" s="5">
        <v>250</v>
      </c>
      <c r="G72" s="13">
        <v>250</v>
      </c>
    </row>
    <row r="73" spans="1:8" x14ac:dyDescent="0.35">
      <c r="A73" s="5">
        <v>66</v>
      </c>
      <c r="B73" s="6" t="s">
        <v>70</v>
      </c>
      <c r="C73" s="6" t="s">
        <v>70</v>
      </c>
      <c r="D73" s="6" t="s">
        <v>71</v>
      </c>
      <c r="E73" s="5" t="s">
        <v>16</v>
      </c>
      <c r="F73" s="5">
        <v>5.18</v>
      </c>
      <c r="G73" s="13">
        <v>5.18</v>
      </c>
    </row>
    <row r="74" spans="1:8" x14ac:dyDescent="0.35">
      <c r="A74" s="5">
        <v>67</v>
      </c>
      <c r="B74" s="23" t="s">
        <v>50</v>
      </c>
      <c r="C74" s="23" t="s">
        <v>72</v>
      </c>
      <c r="D74" s="23" t="s">
        <v>73</v>
      </c>
      <c r="E74" s="22" t="s">
        <v>53</v>
      </c>
      <c r="F74" s="22">
        <v>1008</v>
      </c>
      <c r="G74" s="14">
        <f>+F74*E74</f>
        <v>504</v>
      </c>
      <c r="H74" s="25" t="s">
        <v>279</v>
      </c>
    </row>
    <row r="75" spans="1:8" x14ac:dyDescent="0.35">
      <c r="A75" s="5">
        <v>68</v>
      </c>
      <c r="B75" s="23" t="s">
        <v>50</v>
      </c>
      <c r="C75" s="23" t="s">
        <v>72</v>
      </c>
      <c r="D75" s="23" t="s">
        <v>73</v>
      </c>
      <c r="E75" s="22" t="s">
        <v>53</v>
      </c>
      <c r="F75" s="22">
        <v>1008</v>
      </c>
      <c r="G75" s="14">
        <f>+F75*E75</f>
        <v>504</v>
      </c>
      <c r="H75" s="25" t="s">
        <v>279</v>
      </c>
    </row>
    <row r="76" spans="1:8" x14ac:dyDescent="0.35">
      <c r="A76" s="5">
        <v>69</v>
      </c>
      <c r="B76" s="6" t="s">
        <v>13</v>
      </c>
      <c r="C76" s="6" t="s">
        <v>14</v>
      </c>
      <c r="D76" s="6" t="s">
        <v>15</v>
      </c>
      <c r="E76" s="5" t="s">
        <v>16</v>
      </c>
      <c r="F76" s="5">
        <v>500</v>
      </c>
      <c r="G76" s="13">
        <v>500</v>
      </c>
    </row>
    <row r="77" spans="1:8" x14ac:dyDescent="0.35">
      <c r="A77" s="5">
        <v>70</v>
      </c>
      <c r="B77" s="6" t="s">
        <v>50</v>
      </c>
      <c r="C77" s="6" t="s">
        <v>72</v>
      </c>
      <c r="D77" s="6" t="s">
        <v>73</v>
      </c>
      <c r="E77" s="5" t="s">
        <v>53</v>
      </c>
      <c r="F77" s="5">
        <v>880</v>
      </c>
      <c r="G77" s="13">
        <v>440</v>
      </c>
    </row>
    <row r="78" spans="1:8" x14ac:dyDescent="0.35">
      <c r="A78" s="5">
        <v>71</v>
      </c>
      <c r="B78" s="6" t="s">
        <v>13</v>
      </c>
      <c r="C78" s="6" t="s">
        <v>14</v>
      </c>
      <c r="D78" s="6" t="s">
        <v>15</v>
      </c>
      <c r="E78" s="5" t="s">
        <v>16</v>
      </c>
      <c r="F78" s="5">
        <v>450</v>
      </c>
      <c r="G78" s="13">
        <v>450</v>
      </c>
    </row>
    <row r="79" spans="1:8" x14ac:dyDescent="0.35">
      <c r="A79" s="5">
        <v>72</v>
      </c>
      <c r="B79" s="6" t="s">
        <v>17</v>
      </c>
      <c r="C79" s="6" t="s">
        <v>74</v>
      </c>
      <c r="D79" s="6" t="s">
        <v>75</v>
      </c>
      <c r="E79" s="5" t="s">
        <v>16</v>
      </c>
      <c r="F79" s="5">
        <v>30</v>
      </c>
      <c r="G79" s="13">
        <v>30</v>
      </c>
    </row>
    <row r="80" spans="1:8" x14ac:dyDescent="0.35">
      <c r="A80" s="5">
        <v>73</v>
      </c>
      <c r="B80" s="6" t="s">
        <v>17</v>
      </c>
      <c r="C80" s="6" t="s">
        <v>18</v>
      </c>
      <c r="D80" s="6" t="s">
        <v>76</v>
      </c>
      <c r="E80" s="5" t="s">
        <v>16</v>
      </c>
      <c r="F80" s="5">
        <v>40</v>
      </c>
      <c r="G80" s="13">
        <v>40</v>
      </c>
    </row>
    <row r="81" spans="1:7" x14ac:dyDescent="0.35">
      <c r="A81" s="5">
        <v>74</v>
      </c>
      <c r="B81" s="6" t="s">
        <v>17</v>
      </c>
      <c r="C81" s="6" t="s">
        <v>18</v>
      </c>
      <c r="D81" s="6" t="s">
        <v>77</v>
      </c>
      <c r="E81" s="5" t="s">
        <v>16</v>
      </c>
      <c r="F81" s="5">
        <v>10</v>
      </c>
      <c r="G81" s="13">
        <v>10</v>
      </c>
    </row>
    <row r="82" spans="1:7" x14ac:dyDescent="0.35">
      <c r="A82" s="5">
        <v>75</v>
      </c>
      <c r="B82" s="6" t="s">
        <v>13</v>
      </c>
      <c r="C82" s="6" t="s">
        <v>14</v>
      </c>
      <c r="D82" s="6" t="s">
        <v>15</v>
      </c>
      <c r="E82" s="5" t="s">
        <v>16</v>
      </c>
      <c r="F82" s="5">
        <v>500</v>
      </c>
      <c r="G82" s="13">
        <v>500</v>
      </c>
    </row>
    <row r="83" spans="1:7" x14ac:dyDescent="0.35">
      <c r="A83" s="5">
        <v>76</v>
      </c>
      <c r="B83" s="6" t="s">
        <v>36</v>
      </c>
      <c r="C83" s="6" t="s">
        <v>37</v>
      </c>
      <c r="D83" s="6" t="s">
        <v>38</v>
      </c>
      <c r="E83" s="5" t="s">
        <v>16</v>
      </c>
      <c r="F83" s="5">
        <v>360</v>
      </c>
      <c r="G83" s="13">
        <v>360</v>
      </c>
    </row>
    <row r="84" spans="1:7" x14ac:dyDescent="0.35">
      <c r="A84" s="5">
        <v>77</v>
      </c>
      <c r="B84" s="6" t="s">
        <v>36</v>
      </c>
      <c r="C84" s="6" t="s">
        <v>37</v>
      </c>
      <c r="D84" s="6" t="s">
        <v>38</v>
      </c>
      <c r="E84" s="5" t="s">
        <v>16</v>
      </c>
      <c r="F84" s="5">
        <v>360</v>
      </c>
      <c r="G84" s="13">
        <v>360</v>
      </c>
    </row>
    <row r="85" spans="1:7" x14ac:dyDescent="0.35">
      <c r="A85" s="5">
        <v>78</v>
      </c>
      <c r="B85" s="6" t="s">
        <v>13</v>
      </c>
      <c r="C85" s="6" t="s">
        <v>14</v>
      </c>
      <c r="D85" s="6" t="s">
        <v>15</v>
      </c>
      <c r="E85" s="5" t="s">
        <v>16</v>
      </c>
      <c r="F85" s="5">
        <v>500</v>
      </c>
      <c r="G85" s="13">
        <v>500</v>
      </c>
    </row>
    <row r="86" spans="1:7" x14ac:dyDescent="0.35">
      <c r="A86" s="5">
        <v>79</v>
      </c>
      <c r="B86" s="6" t="s">
        <v>13</v>
      </c>
      <c r="C86" s="6" t="s">
        <v>27</v>
      </c>
      <c r="D86" s="6" t="s">
        <v>28</v>
      </c>
      <c r="E86" s="5" t="s">
        <v>16</v>
      </c>
      <c r="F86" s="5">
        <v>500</v>
      </c>
      <c r="G86" s="13">
        <v>500</v>
      </c>
    </row>
    <row r="87" spans="1:7" x14ac:dyDescent="0.35">
      <c r="A87" s="5">
        <v>80</v>
      </c>
      <c r="B87" s="6" t="s">
        <v>13</v>
      </c>
      <c r="C87" s="6" t="s">
        <v>31</v>
      </c>
      <c r="D87" s="6" t="s">
        <v>32</v>
      </c>
      <c r="E87" s="5" t="s">
        <v>16</v>
      </c>
      <c r="F87" s="5">
        <v>450</v>
      </c>
      <c r="G87" s="13">
        <v>450</v>
      </c>
    </row>
    <row r="88" spans="1:7" x14ac:dyDescent="0.35">
      <c r="A88" s="5">
        <v>81</v>
      </c>
      <c r="B88" s="6" t="s">
        <v>13</v>
      </c>
      <c r="C88" s="6" t="s">
        <v>27</v>
      </c>
      <c r="D88" s="6" t="s">
        <v>28</v>
      </c>
      <c r="E88" s="5" t="s">
        <v>16</v>
      </c>
      <c r="F88" s="5">
        <v>500</v>
      </c>
      <c r="G88" s="13">
        <v>500</v>
      </c>
    </row>
    <row r="89" spans="1:7" x14ac:dyDescent="0.35">
      <c r="A89" s="5">
        <v>82</v>
      </c>
      <c r="B89" s="6" t="s">
        <v>36</v>
      </c>
      <c r="C89" s="6" t="s">
        <v>37</v>
      </c>
      <c r="D89" s="6" t="s">
        <v>38</v>
      </c>
      <c r="E89" s="5" t="s">
        <v>16</v>
      </c>
      <c r="F89" s="5">
        <v>360</v>
      </c>
      <c r="G89" s="13">
        <v>360</v>
      </c>
    </row>
    <row r="90" spans="1:7" x14ac:dyDescent="0.35">
      <c r="A90" s="5">
        <v>83</v>
      </c>
      <c r="B90" s="6" t="s">
        <v>13</v>
      </c>
      <c r="C90" s="6" t="s">
        <v>29</v>
      </c>
      <c r="D90" s="6" t="s">
        <v>30</v>
      </c>
      <c r="E90" s="5" t="s">
        <v>16</v>
      </c>
      <c r="F90" s="5">
        <v>2400</v>
      </c>
      <c r="G90" s="13">
        <v>2400</v>
      </c>
    </row>
    <row r="91" spans="1:7" x14ac:dyDescent="0.35">
      <c r="A91" s="5">
        <v>84</v>
      </c>
      <c r="B91" s="6" t="s">
        <v>13</v>
      </c>
      <c r="C91" s="6" t="s">
        <v>31</v>
      </c>
      <c r="D91" s="6" t="s">
        <v>32</v>
      </c>
      <c r="E91" s="5" t="s">
        <v>16</v>
      </c>
      <c r="F91" s="5">
        <v>450</v>
      </c>
      <c r="G91" s="13">
        <v>450</v>
      </c>
    </row>
    <row r="92" spans="1:7" x14ac:dyDescent="0.35">
      <c r="A92" s="5">
        <v>85</v>
      </c>
      <c r="B92" s="6" t="s">
        <v>13</v>
      </c>
      <c r="C92" s="6" t="s">
        <v>29</v>
      </c>
      <c r="D92" s="6" t="s">
        <v>30</v>
      </c>
      <c r="E92" s="5" t="s">
        <v>16</v>
      </c>
      <c r="F92" s="5">
        <v>400</v>
      </c>
      <c r="G92" s="13">
        <v>400</v>
      </c>
    </row>
    <row r="93" spans="1:7" x14ac:dyDescent="0.35">
      <c r="A93" s="5">
        <v>86</v>
      </c>
      <c r="B93" s="6" t="s">
        <v>13</v>
      </c>
      <c r="C93" s="6" t="s">
        <v>14</v>
      </c>
      <c r="D93" s="6" t="s">
        <v>15</v>
      </c>
      <c r="E93" s="5" t="s">
        <v>16</v>
      </c>
      <c r="F93" s="5">
        <v>500</v>
      </c>
      <c r="G93" s="13">
        <v>500</v>
      </c>
    </row>
    <row r="94" spans="1:7" x14ac:dyDescent="0.35">
      <c r="A94" s="5">
        <v>87</v>
      </c>
      <c r="B94" s="6" t="s">
        <v>13</v>
      </c>
      <c r="C94" s="6" t="s">
        <v>20</v>
      </c>
      <c r="D94" s="6" t="s">
        <v>21</v>
      </c>
      <c r="E94" s="5" t="s">
        <v>16</v>
      </c>
      <c r="F94" s="5">
        <v>500</v>
      </c>
      <c r="G94" s="13">
        <v>500</v>
      </c>
    </row>
    <row r="95" spans="1:7" x14ac:dyDescent="0.35">
      <c r="A95" s="5">
        <v>88</v>
      </c>
      <c r="B95" s="6" t="s">
        <v>13</v>
      </c>
      <c r="C95" s="6" t="s">
        <v>29</v>
      </c>
      <c r="D95" s="6" t="s">
        <v>30</v>
      </c>
      <c r="E95" s="5" t="s">
        <v>16</v>
      </c>
      <c r="F95" s="5">
        <v>1050</v>
      </c>
      <c r="G95" s="13">
        <v>1050</v>
      </c>
    </row>
    <row r="96" spans="1:7" x14ac:dyDescent="0.35">
      <c r="A96" s="5">
        <v>89</v>
      </c>
      <c r="B96" s="6" t="s">
        <v>22</v>
      </c>
      <c r="C96" s="6" t="s">
        <v>25</v>
      </c>
      <c r="D96" s="6" t="s">
        <v>78</v>
      </c>
      <c r="E96" s="5" t="s">
        <v>16</v>
      </c>
      <c r="F96" s="5">
        <v>60</v>
      </c>
      <c r="G96" s="13">
        <v>60</v>
      </c>
    </row>
    <row r="97" spans="1:7" x14ac:dyDescent="0.35">
      <c r="A97" s="5">
        <v>90</v>
      </c>
      <c r="B97" s="6" t="s">
        <v>22</v>
      </c>
      <c r="C97" s="6" t="s">
        <v>25</v>
      </c>
      <c r="D97" s="6" t="s">
        <v>78</v>
      </c>
      <c r="E97" s="5" t="s">
        <v>16</v>
      </c>
      <c r="F97" s="5">
        <v>125</v>
      </c>
      <c r="G97" s="13">
        <v>125</v>
      </c>
    </row>
    <row r="98" spans="1:7" x14ac:dyDescent="0.35">
      <c r="A98" s="5">
        <v>91</v>
      </c>
      <c r="B98" s="6" t="s">
        <v>13</v>
      </c>
      <c r="C98" s="6" t="s">
        <v>29</v>
      </c>
      <c r="D98" s="6" t="s">
        <v>30</v>
      </c>
      <c r="E98" s="5" t="s">
        <v>16</v>
      </c>
      <c r="F98" s="5">
        <v>450</v>
      </c>
      <c r="G98" s="13">
        <v>450</v>
      </c>
    </row>
    <row r="99" spans="1:7" x14ac:dyDescent="0.35">
      <c r="A99" s="5">
        <v>92</v>
      </c>
      <c r="B99" s="6" t="s">
        <v>33</v>
      </c>
      <c r="C99" s="6" t="s">
        <v>34</v>
      </c>
      <c r="D99" s="6" t="s">
        <v>39</v>
      </c>
      <c r="E99" s="5" t="s">
        <v>16</v>
      </c>
      <c r="F99" s="5">
        <v>510</v>
      </c>
      <c r="G99" s="13">
        <v>510</v>
      </c>
    </row>
    <row r="100" spans="1:7" x14ac:dyDescent="0.35">
      <c r="A100" s="5">
        <v>93</v>
      </c>
      <c r="B100" s="6" t="s">
        <v>33</v>
      </c>
      <c r="C100" s="6" t="s">
        <v>34</v>
      </c>
      <c r="D100" s="6" t="s">
        <v>39</v>
      </c>
      <c r="E100" s="5" t="s">
        <v>16</v>
      </c>
      <c r="F100" s="5">
        <v>120</v>
      </c>
      <c r="G100" s="13">
        <v>120</v>
      </c>
    </row>
    <row r="101" spans="1:7" x14ac:dyDescent="0.35">
      <c r="A101" s="5">
        <v>94</v>
      </c>
      <c r="B101" s="6" t="s">
        <v>13</v>
      </c>
      <c r="C101" s="6" t="s">
        <v>14</v>
      </c>
      <c r="D101" s="6" t="s">
        <v>15</v>
      </c>
      <c r="E101" s="5" t="s">
        <v>16</v>
      </c>
      <c r="F101" s="5">
        <v>1525</v>
      </c>
      <c r="G101" s="13">
        <v>1525</v>
      </c>
    </row>
    <row r="102" spans="1:7" x14ac:dyDescent="0.35">
      <c r="A102" s="5">
        <v>95</v>
      </c>
      <c r="B102" s="6" t="s">
        <v>40</v>
      </c>
      <c r="C102" s="6" t="s">
        <v>41</v>
      </c>
      <c r="D102" s="6" t="s">
        <v>42</v>
      </c>
      <c r="E102" s="5" t="s">
        <v>16</v>
      </c>
      <c r="F102" s="5">
        <v>5108</v>
      </c>
      <c r="G102" s="13">
        <v>5108</v>
      </c>
    </row>
    <row r="103" spans="1:7" x14ac:dyDescent="0.35">
      <c r="A103" s="5">
        <v>96</v>
      </c>
      <c r="B103" s="6" t="s">
        <v>13</v>
      </c>
      <c r="C103" s="6" t="s">
        <v>29</v>
      </c>
      <c r="D103" s="6" t="s">
        <v>30</v>
      </c>
      <c r="E103" s="5" t="s">
        <v>16</v>
      </c>
      <c r="F103" s="5">
        <v>100</v>
      </c>
      <c r="G103" s="13">
        <v>100</v>
      </c>
    </row>
    <row r="104" spans="1:7" x14ac:dyDescent="0.35">
      <c r="A104" s="5">
        <v>97</v>
      </c>
      <c r="B104" s="6" t="s">
        <v>79</v>
      </c>
      <c r="C104" s="6" t="s">
        <v>80</v>
      </c>
      <c r="D104" s="6" t="s">
        <v>81</v>
      </c>
      <c r="E104" s="5" t="s">
        <v>16</v>
      </c>
      <c r="F104" s="5">
        <v>250</v>
      </c>
      <c r="G104" s="13">
        <v>250</v>
      </c>
    </row>
    <row r="105" spans="1:7" x14ac:dyDescent="0.35">
      <c r="A105" s="5">
        <v>98</v>
      </c>
      <c r="B105" s="6" t="s">
        <v>50</v>
      </c>
      <c r="C105" s="6" t="s">
        <v>72</v>
      </c>
      <c r="D105" s="6" t="s">
        <v>73</v>
      </c>
      <c r="E105" s="5" t="s">
        <v>53</v>
      </c>
      <c r="F105" s="5">
        <v>166</v>
      </c>
      <c r="G105" s="13">
        <v>83</v>
      </c>
    </row>
    <row r="106" spans="1:7" x14ac:dyDescent="0.35">
      <c r="A106" s="5">
        <v>99</v>
      </c>
      <c r="B106" s="6" t="s">
        <v>40</v>
      </c>
      <c r="C106" s="6" t="s">
        <v>48</v>
      </c>
      <c r="D106" s="6" t="s">
        <v>49</v>
      </c>
      <c r="E106" s="5" t="s">
        <v>16</v>
      </c>
      <c r="F106" s="5">
        <v>65</v>
      </c>
      <c r="G106" s="13">
        <v>65</v>
      </c>
    </row>
    <row r="107" spans="1:7" x14ac:dyDescent="0.35">
      <c r="A107" s="5">
        <v>100</v>
      </c>
      <c r="B107" s="6" t="s">
        <v>36</v>
      </c>
      <c r="C107" s="6" t="s">
        <v>37</v>
      </c>
      <c r="D107" s="6" t="s">
        <v>38</v>
      </c>
      <c r="E107" s="5" t="s">
        <v>16</v>
      </c>
      <c r="F107" s="5">
        <v>330</v>
      </c>
      <c r="G107" s="13">
        <v>330</v>
      </c>
    </row>
    <row r="108" spans="1:7" x14ac:dyDescent="0.35">
      <c r="A108" s="5">
        <v>101</v>
      </c>
      <c r="B108" s="6" t="s">
        <v>13</v>
      </c>
      <c r="C108" s="6" t="s">
        <v>31</v>
      </c>
      <c r="D108" s="6" t="s">
        <v>82</v>
      </c>
      <c r="E108" s="5" t="s">
        <v>83</v>
      </c>
      <c r="F108" s="5">
        <v>50</v>
      </c>
      <c r="G108" s="13">
        <v>10</v>
      </c>
    </row>
    <row r="109" spans="1:7" x14ac:dyDescent="0.35">
      <c r="A109" s="5">
        <v>102</v>
      </c>
      <c r="B109" s="6" t="s">
        <v>43</v>
      </c>
      <c r="C109" s="6" t="s">
        <v>84</v>
      </c>
      <c r="D109" s="6" t="s">
        <v>85</v>
      </c>
      <c r="E109" s="5" t="s">
        <v>16</v>
      </c>
      <c r="F109" s="5">
        <v>10</v>
      </c>
      <c r="G109" s="13">
        <v>10</v>
      </c>
    </row>
    <row r="110" spans="1:7" x14ac:dyDescent="0.35">
      <c r="A110" s="5">
        <v>103</v>
      </c>
      <c r="B110" s="6" t="s">
        <v>40</v>
      </c>
      <c r="C110" s="6" t="s">
        <v>41</v>
      </c>
      <c r="D110" s="6" t="s">
        <v>54</v>
      </c>
      <c r="E110" s="5" t="s">
        <v>16</v>
      </c>
      <c r="F110" s="5">
        <v>8.4</v>
      </c>
      <c r="G110" s="13">
        <v>8.4</v>
      </c>
    </row>
    <row r="111" spans="1:7" x14ac:dyDescent="0.35">
      <c r="A111" s="5">
        <v>104</v>
      </c>
      <c r="B111" s="6" t="s">
        <v>13</v>
      </c>
      <c r="C111" s="6" t="s">
        <v>31</v>
      </c>
      <c r="D111" s="6" t="s">
        <v>82</v>
      </c>
      <c r="E111" s="5" t="s">
        <v>83</v>
      </c>
      <c r="F111" s="5">
        <v>50</v>
      </c>
      <c r="G111" s="13">
        <v>10</v>
      </c>
    </row>
    <row r="112" spans="1:7" x14ac:dyDescent="0.35">
      <c r="A112" s="5">
        <v>105</v>
      </c>
      <c r="B112" s="6" t="s">
        <v>13</v>
      </c>
      <c r="C112" s="6" t="s">
        <v>29</v>
      </c>
      <c r="D112" s="6" t="s">
        <v>86</v>
      </c>
      <c r="E112" s="5" t="s">
        <v>83</v>
      </c>
      <c r="F112" s="5">
        <v>50</v>
      </c>
      <c r="G112" s="13">
        <v>10</v>
      </c>
    </row>
    <row r="113" spans="1:7" x14ac:dyDescent="0.35">
      <c r="A113" s="5">
        <v>106</v>
      </c>
      <c r="B113" s="6" t="s">
        <v>13</v>
      </c>
      <c r="C113" s="6" t="s">
        <v>29</v>
      </c>
      <c r="D113" s="6" t="s">
        <v>87</v>
      </c>
      <c r="E113" s="5" t="s">
        <v>88</v>
      </c>
      <c r="F113" s="5">
        <v>30</v>
      </c>
      <c r="G113" s="13">
        <v>3</v>
      </c>
    </row>
    <row r="114" spans="1:7" x14ac:dyDescent="0.35">
      <c r="A114" s="5">
        <v>107</v>
      </c>
      <c r="B114" s="6" t="s">
        <v>50</v>
      </c>
      <c r="C114" s="6" t="s">
        <v>56</v>
      </c>
      <c r="D114" s="6" t="s">
        <v>57</v>
      </c>
      <c r="E114" s="5" t="s">
        <v>53</v>
      </c>
      <c r="F114" s="5">
        <v>32</v>
      </c>
      <c r="G114" s="13">
        <v>16</v>
      </c>
    </row>
    <row r="115" spans="1:7" x14ac:dyDescent="0.35">
      <c r="A115" s="5">
        <v>108</v>
      </c>
      <c r="B115" s="6" t="s">
        <v>13</v>
      </c>
      <c r="C115" s="6" t="s">
        <v>31</v>
      </c>
      <c r="D115" s="6" t="s">
        <v>32</v>
      </c>
      <c r="E115" s="5" t="s">
        <v>16</v>
      </c>
      <c r="F115" s="5">
        <v>4.5</v>
      </c>
      <c r="G115" s="13">
        <v>4.5</v>
      </c>
    </row>
    <row r="116" spans="1:7" x14ac:dyDescent="0.35">
      <c r="A116" s="5">
        <v>109</v>
      </c>
      <c r="B116" s="6" t="s">
        <v>17</v>
      </c>
      <c r="C116" s="6" t="s">
        <v>18</v>
      </c>
      <c r="D116" s="6" t="s">
        <v>19</v>
      </c>
      <c r="E116" s="5" t="s">
        <v>16</v>
      </c>
      <c r="F116" s="5">
        <v>6.5</v>
      </c>
      <c r="G116" s="13">
        <v>6.5</v>
      </c>
    </row>
    <row r="117" spans="1:7" x14ac:dyDescent="0.35">
      <c r="A117" s="7" t="s">
        <v>89</v>
      </c>
      <c r="B117" s="7" t="s">
        <v>2</v>
      </c>
      <c r="C117" s="7" t="s">
        <v>2</v>
      </c>
      <c r="D117" s="7" t="s">
        <v>2</v>
      </c>
      <c r="E117" s="7" t="s">
        <v>2</v>
      </c>
      <c r="F117" s="8">
        <v>66992.009999999995</v>
      </c>
      <c r="G117" s="8">
        <v>64145.51</v>
      </c>
    </row>
    <row r="120" spans="1:7" x14ac:dyDescent="0.35">
      <c r="D120" t="s">
        <v>280</v>
      </c>
    </row>
  </sheetData>
  <mergeCells count="5">
    <mergeCell ref="A1:H1"/>
    <mergeCell ref="A2:B2"/>
    <mergeCell ref="D2:E2"/>
    <mergeCell ref="A3:B3"/>
    <mergeCell ref="D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91D6-01B7-4367-AE27-B9E4AE28D5DD}">
  <dimension ref="A1:M49"/>
  <sheetViews>
    <sheetView topLeftCell="I32" workbookViewId="0">
      <selection activeCell="L9" sqref="L9"/>
    </sheetView>
  </sheetViews>
  <sheetFormatPr defaultRowHeight="14.5" x14ac:dyDescent="0.35"/>
  <cols>
    <col min="1" max="1" width="6.54296875" bestFit="1" customWidth="1"/>
    <col min="2" max="2" width="20.26953125" bestFit="1" customWidth="1"/>
    <col min="3" max="3" width="19.7265625" bestFit="1" customWidth="1"/>
    <col min="4" max="4" width="45" bestFit="1" customWidth="1"/>
    <col min="5" max="5" width="9.54296875" bestFit="1" customWidth="1"/>
    <col min="8" max="8" width="96.1796875" bestFit="1" customWidth="1"/>
    <col min="10" max="10" width="42.7265625" bestFit="1" customWidth="1"/>
    <col min="11" max="11" width="11.453125" bestFit="1" customWidth="1"/>
    <col min="12" max="12" width="21.7265625" bestFit="1" customWidth="1"/>
  </cols>
  <sheetData>
    <row r="1" spans="1:13" ht="21" x14ac:dyDescent="0.5">
      <c r="A1" s="65" t="s">
        <v>0</v>
      </c>
      <c r="B1" s="65"/>
      <c r="C1" s="65"/>
      <c r="D1" s="65"/>
      <c r="E1" s="65"/>
      <c r="F1" s="65"/>
      <c r="G1" s="65"/>
      <c r="H1" s="65"/>
    </row>
    <row r="2" spans="1:13" x14ac:dyDescent="0.35">
      <c r="A2" s="66" t="s">
        <v>1</v>
      </c>
      <c r="B2" s="66"/>
      <c r="C2" s="1" t="s">
        <v>2</v>
      </c>
      <c r="D2" s="66" t="s">
        <v>3</v>
      </c>
      <c r="E2" s="66"/>
      <c r="F2" s="1"/>
      <c r="G2" s="1"/>
      <c r="H2" s="1"/>
    </row>
    <row r="3" spans="1:13" x14ac:dyDescent="0.35">
      <c r="A3" s="66" t="s">
        <v>4</v>
      </c>
      <c r="B3" s="66"/>
      <c r="C3" s="1" t="s">
        <v>2</v>
      </c>
      <c r="D3" s="66" t="s">
        <v>5</v>
      </c>
      <c r="E3" s="66"/>
      <c r="F3" s="1"/>
      <c r="G3" s="1"/>
      <c r="H3" s="1"/>
    </row>
    <row r="5" spans="1:13" x14ac:dyDescent="0.3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2"/>
      <c r="J5" s="58" t="s">
        <v>2367</v>
      </c>
      <c r="K5" t="s">
        <v>2369</v>
      </c>
      <c r="L5" t="s">
        <v>2370</v>
      </c>
    </row>
    <row r="6" spans="1:13" x14ac:dyDescent="0.35">
      <c r="A6" s="5">
        <v>1</v>
      </c>
      <c r="B6" s="6" t="s">
        <v>208</v>
      </c>
      <c r="C6" s="6" t="s">
        <v>211</v>
      </c>
      <c r="D6" s="6" t="s">
        <v>212</v>
      </c>
      <c r="E6" s="5" t="s">
        <v>16</v>
      </c>
      <c r="F6" s="5">
        <v>617</v>
      </c>
      <c r="G6" s="13">
        <v>617</v>
      </c>
      <c r="H6" s="4"/>
      <c r="J6" s="59" t="s">
        <v>38</v>
      </c>
      <c r="K6">
        <v>270</v>
      </c>
      <c r="L6">
        <v>270</v>
      </c>
      <c r="M6" t="str">
        <f>VLOOKUP(J6,Consolidated!B:B,1,0)</f>
        <v>American Almonds Running 25-27 count</v>
      </c>
    </row>
    <row r="7" spans="1:13" x14ac:dyDescent="0.35">
      <c r="A7" s="5">
        <v>2</v>
      </c>
      <c r="B7" s="6" t="s">
        <v>13</v>
      </c>
      <c r="C7" s="6" t="s">
        <v>31</v>
      </c>
      <c r="D7" s="6" t="s">
        <v>213</v>
      </c>
      <c r="E7" s="5" t="s">
        <v>16</v>
      </c>
      <c r="F7" s="5">
        <v>229</v>
      </c>
      <c r="G7" s="13">
        <v>229</v>
      </c>
      <c r="H7" s="4"/>
      <c r="J7" s="59" t="s">
        <v>62</v>
      </c>
      <c r="K7">
        <v>19</v>
      </c>
      <c r="L7">
        <v>19</v>
      </c>
      <c r="M7" t="str">
        <f>VLOOKUP(J7,Consolidated!B:B,1,0)</f>
        <v>Barbeque seasoning</v>
      </c>
    </row>
    <row r="8" spans="1:13" x14ac:dyDescent="0.35">
      <c r="A8" s="5">
        <v>3</v>
      </c>
      <c r="B8" s="6" t="s">
        <v>13</v>
      </c>
      <c r="C8" s="6" t="s">
        <v>29</v>
      </c>
      <c r="D8" s="6" t="s">
        <v>214</v>
      </c>
      <c r="E8" s="5" t="s">
        <v>16</v>
      </c>
      <c r="F8" s="5">
        <v>179</v>
      </c>
      <c r="G8" s="13">
        <v>179</v>
      </c>
      <c r="H8" s="4"/>
      <c r="J8" s="59" t="s">
        <v>15</v>
      </c>
      <c r="K8">
        <v>60</v>
      </c>
      <c r="L8">
        <v>60</v>
      </c>
      <c r="M8" t="str">
        <f>VLOOKUP(J8,Consolidated!B:B,1,0)</f>
        <v>Black Chia Seeds</v>
      </c>
    </row>
    <row r="9" spans="1:13" x14ac:dyDescent="0.35">
      <c r="A9" s="5">
        <v>4</v>
      </c>
      <c r="B9" s="6" t="s">
        <v>36</v>
      </c>
      <c r="C9" s="6" t="s">
        <v>37</v>
      </c>
      <c r="D9" s="6" t="s">
        <v>38</v>
      </c>
      <c r="E9" s="5" t="s">
        <v>16</v>
      </c>
      <c r="F9" s="5">
        <v>270</v>
      </c>
      <c r="G9" s="13">
        <v>270</v>
      </c>
      <c r="H9" s="4"/>
      <c r="J9" s="59" t="s">
        <v>77</v>
      </c>
      <c r="K9">
        <v>20</v>
      </c>
      <c r="L9">
        <v>20</v>
      </c>
      <c r="M9" t="str">
        <f>VLOOKUP(J9,Consolidated!B:B,1,0)</f>
        <v>Cashew 240</v>
      </c>
    </row>
    <row r="10" spans="1:13" x14ac:dyDescent="0.35">
      <c r="A10" s="5">
        <v>5</v>
      </c>
      <c r="B10" s="6" t="s">
        <v>111</v>
      </c>
      <c r="C10" s="6" t="s">
        <v>155</v>
      </c>
      <c r="D10" s="6" t="s">
        <v>156</v>
      </c>
      <c r="E10" s="5" t="s">
        <v>16</v>
      </c>
      <c r="F10" s="5">
        <v>12</v>
      </c>
      <c r="G10" s="13">
        <v>12</v>
      </c>
      <c r="H10" s="4"/>
      <c r="J10" s="59" t="s">
        <v>19</v>
      </c>
      <c r="K10">
        <v>240</v>
      </c>
      <c r="L10">
        <v>240</v>
      </c>
      <c r="M10" t="str">
        <f>VLOOKUP(J10,Consolidated!B:B,1,0)</f>
        <v>Cashew 320</v>
      </c>
    </row>
    <row r="11" spans="1:13" x14ac:dyDescent="0.35">
      <c r="A11" s="5">
        <v>6</v>
      </c>
      <c r="B11" s="6" t="s">
        <v>36</v>
      </c>
      <c r="C11" s="6" t="s">
        <v>37</v>
      </c>
      <c r="D11" s="6" t="s">
        <v>215</v>
      </c>
      <c r="E11" s="5" t="s">
        <v>16</v>
      </c>
      <c r="F11" s="22">
        <v>8</v>
      </c>
      <c r="G11" s="14">
        <f>8+60+48</f>
        <v>116</v>
      </c>
      <c r="H11" s="4" t="s">
        <v>286</v>
      </c>
      <c r="J11" s="59" t="s">
        <v>75</v>
      </c>
      <c r="K11">
        <v>2.4</v>
      </c>
      <c r="L11">
        <v>2.4</v>
      </c>
      <c r="M11" t="str">
        <f>VLOOKUP(J11,Consolidated!B:B,1,0)</f>
        <v>Cashew Tukda</v>
      </c>
    </row>
    <row r="12" spans="1:13" x14ac:dyDescent="0.35">
      <c r="A12" s="22">
        <v>7</v>
      </c>
      <c r="B12" s="23" t="s">
        <v>79</v>
      </c>
      <c r="C12" s="23" t="s">
        <v>80</v>
      </c>
      <c r="D12" s="23" t="s">
        <v>81</v>
      </c>
      <c r="E12" s="22" t="s">
        <v>16</v>
      </c>
      <c r="F12" s="22">
        <v>13</v>
      </c>
      <c r="G12" s="14">
        <v>13</v>
      </c>
      <c r="H12" s="4" t="s">
        <v>284</v>
      </c>
      <c r="J12" s="59" t="s">
        <v>68</v>
      </c>
      <c r="K12">
        <v>74.400000000000006</v>
      </c>
      <c r="L12">
        <v>74.400000000000006</v>
      </c>
      <c r="M12" t="str">
        <f>VLOOKUP(J12,Consolidated!B:B,1,0)</f>
        <v>Chatpata Seasoning</v>
      </c>
    </row>
    <row r="13" spans="1:13" x14ac:dyDescent="0.35">
      <c r="A13" s="5">
        <v>8</v>
      </c>
      <c r="B13" s="6" t="s">
        <v>43</v>
      </c>
      <c r="C13" s="6" t="s">
        <v>84</v>
      </c>
      <c r="D13" s="6" t="s">
        <v>85</v>
      </c>
      <c r="E13" s="5" t="s">
        <v>16</v>
      </c>
      <c r="F13" s="5">
        <v>6</v>
      </c>
      <c r="G13" s="13">
        <v>6</v>
      </c>
      <c r="H13" s="4"/>
      <c r="J13" s="59" t="s">
        <v>277</v>
      </c>
      <c r="K13">
        <v>170</v>
      </c>
      <c r="L13">
        <v>170</v>
      </c>
      <c r="M13" t="str">
        <f>VLOOKUP(J13,Consolidated!B:B,1,0)</f>
        <v>Cocktail Mix</v>
      </c>
    </row>
    <row r="14" spans="1:13" x14ac:dyDescent="0.35">
      <c r="A14" s="5">
        <v>9</v>
      </c>
      <c r="B14" s="6" t="s">
        <v>139</v>
      </c>
      <c r="C14" s="6" t="s">
        <v>140</v>
      </c>
      <c r="D14" s="6" t="s">
        <v>141</v>
      </c>
      <c r="E14" s="5" t="s">
        <v>16</v>
      </c>
      <c r="F14" s="5">
        <v>334.08</v>
      </c>
      <c r="G14" s="13">
        <v>334.08</v>
      </c>
      <c r="H14" s="4"/>
      <c r="J14" s="59" t="s">
        <v>21</v>
      </c>
      <c r="K14">
        <v>310</v>
      </c>
      <c r="L14">
        <v>310</v>
      </c>
      <c r="M14" t="str">
        <f>VLOOKUP(J14,Consolidated!B:B,1,0)</f>
        <v>Flax Seeds (Alsi)</v>
      </c>
    </row>
    <row r="15" spans="1:13" x14ac:dyDescent="0.35">
      <c r="A15" s="5">
        <v>10</v>
      </c>
      <c r="B15" s="6" t="s">
        <v>17</v>
      </c>
      <c r="C15" s="6" t="s">
        <v>18</v>
      </c>
      <c r="D15" s="6" t="s">
        <v>216</v>
      </c>
      <c r="E15" s="5" t="s">
        <v>16</v>
      </c>
      <c r="F15" s="5">
        <v>249</v>
      </c>
      <c r="G15" s="13">
        <v>249</v>
      </c>
      <c r="H15" s="4"/>
      <c r="J15" s="59" t="s">
        <v>65</v>
      </c>
      <c r="K15">
        <v>100</v>
      </c>
      <c r="L15">
        <v>100</v>
      </c>
      <c r="M15" t="str">
        <f>VLOOKUP(J15,Consolidated!B:B,1,0)</f>
        <v>Glucose Syrup / Liquid Glucose</v>
      </c>
    </row>
    <row r="16" spans="1:13" x14ac:dyDescent="0.35">
      <c r="A16" s="5">
        <v>11</v>
      </c>
      <c r="B16" s="6" t="s">
        <v>70</v>
      </c>
      <c r="C16" s="6" t="s">
        <v>70</v>
      </c>
      <c r="D16" s="6" t="s">
        <v>217</v>
      </c>
      <c r="E16" s="5" t="s">
        <v>16</v>
      </c>
      <c r="F16" s="5">
        <v>200</v>
      </c>
      <c r="G16" s="13">
        <v>200</v>
      </c>
      <c r="H16" s="4"/>
      <c r="J16" s="59" t="s">
        <v>85</v>
      </c>
      <c r="K16">
        <v>6</v>
      </c>
      <c r="L16">
        <v>6</v>
      </c>
      <c r="M16" t="str">
        <f>VLOOKUP(J16,Consolidated!B:B,1,0)</f>
        <v>Indian Green Raisins</v>
      </c>
    </row>
    <row r="17" spans="1:13" x14ac:dyDescent="0.35">
      <c r="A17" s="5">
        <v>12</v>
      </c>
      <c r="B17" s="6" t="s">
        <v>36</v>
      </c>
      <c r="C17" s="6" t="s">
        <v>37</v>
      </c>
      <c r="D17" s="6" t="s">
        <v>99</v>
      </c>
      <c r="E17" s="5" t="s">
        <v>16</v>
      </c>
      <c r="F17" s="5">
        <v>128.19999999999999</v>
      </c>
      <c r="G17" s="13">
        <v>128.19999999999999</v>
      </c>
      <c r="J17" s="59" t="s">
        <v>67</v>
      </c>
      <c r="K17">
        <v>45</v>
      </c>
      <c r="L17">
        <v>45</v>
      </c>
      <c r="M17" t="str">
        <f>VLOOKUP(J17,Consolidated!B:B,1,0)</f>
        <v>Refined Fine Powder Iodized Salt Prime - TPL</v>
      </c>
    </row>
    <row r="18" spans="1:13" x14ac:dyDescent="0.35">
      <c r="A18" s="5">
        <v>13</v>
      </c>
      <c r="B18" s="6" t="s">
        <v>22</v>
      </c>
      <c r="C18" s="6" t="s">
        <v>25</v>
      </c>
      <c r="D18" s="6" t="s">
        <v>65</v>
      </c>
      <c r="E18" s="5" t="s">
        <v>16</v>
      </c>
      <c r="F18" s="5">
        <v>100</v>
      </c>
      <c r="G18" s="13">
        <v>100</v>
      </c>
      <c r="J18" s="59" t="s">
        <v>24</v>
      </c>
      <c r="K18">
        <v>50</v>
      </c>
      <c r="L18">
        <v>50</v>
      </c>
      <c r="M18" t="str">
        <f>VLOOKUP(J18,Consolidated!B:B,1,0)</f>
        <v>Rice Atta</v>
      </c>
    </row>
    <row r="19" spans="1:13" x14ac:dyDescent="0.35">
      <c r="A19" s="5">
        <v>14</v>
      </c>
      <c r="B19" s="6" t="s">
        <v>17</v>
      </c>
      <c r="C19" s="6" t="s">
        <v>18</v>
      </c>
      <c r="D19" s="6" t="s">
        <v>218</v>
      </c>
      <c r="E19" s="5" t="s">
        <v>16</v>
      </c>
      <c r="F19" s="5">
        <v>200</v>
      </c>
      <c r="G19" s="13">
        <v>200</v>
      </c>
      <c r="J19" s="59" t="s">
        <v>81</v>
      </c>
      <c r="K19">
        <v>13</v>
      </c>
      <c r="L19">
        <v>13</v>
      </c>
      <c r="M19" t="str">
        <f>VLOOKUP(J19,Consolidated!B:B,1,0)</f>
        <v>Turkey Apricot No 3</v>
      </c>
    </row>
    <row r="20" spans="1:13" x14ac:dyDescent="0.35">
      <c r="A20" s="5">
        <v>15</v>
      </c>
      <c r="B20" s="6" t="s">
        <v>17</v>
      </c>
      <c r="C20" s="6" t="s">
        <v>18</v>
      </c>
      <c r="D20" s="6" t="s">
        <v>216</v>
      </c>
      <c r="E20" s="5" t="s">
        <v>16</v>
      </c>
      <c r="F20" s="5">
        <v>332</v>
      </c>
      <c r="G20" s="13">
        <v>332</v>
      </c>
      <c r="J20" s="59" t="s">
        <v>212</v>
      </c>
      <c r="K20">
        <v>617</v>
      </c>
      <c r="L20">
        <v>617</v>
      </c>
      <c r="M20" t="str">
        <f>VLOOKUP(J20,Consolidated!B:B,1,0)</f>
        <v>Coated Peanut Base</v>
      </c>
    </row>
    <row r="21" spans="1:13" x14ac:dyDescent="0.35">
      <c r="A21" s="5">
        <v>16</v>
      </c>
      <c r="B21" s="6" t="s">
        <v>61</v>
      </c>
      <c r="C21" s="6" t="s">
        <v>61</v>
      </c>
      <c r="D21" s="6" t="s">
        <v>219</v>
      </c>
      <c r="E21" s="5" t="s">
        <v>16</v>
      </c>
      <c r="F21" s="5">
        <v>3</v>
      </c>
      <c r="G21" s="13">
        <v>3</v>
      </c>
      <c r="J21" s="59" t="s">
        <v>213</v>
      </c>
      <c r="K21">
        <v>229</v>
      </c>
      <c r="L21">
        <v>229</v>
      </c>
      <c r="M21" t="str">
        <f>VLOOKUP(J21,Consolidated!B:B,1,0)</f>
        <v>Sunflower Seeds Roasted</v>
      </c>
    </row>
    <row r="22" spans="1:13" x14ac:dyDescent="0.35">
      <c r="A22" s="5">
        <v>17</v>
      </c>
      <c r="B22" s="6" t="s">
        <v>61</v>
      </c>
      <c r="C22" s="6" t="s">
        <v>61</v>
      </c>
      <c r="D22" s="6" t="s">
        <v>170</v>
      </c>
      <c r="E22" s="5" t="s">
        <v>16</v>
      </c>
      <c r="F22" s="5">
        <v>3.1</v>
      </c>
      <c r="G22" s="13">
        <v>3.1</v>
      </c>
      <c r="J22" s="59" t="s">
        <v>214</v>
      </c>
      <c r="K22">
        <v>179</v>
      </c>
      <c r="L22">
        <v>179</v>
      </c>
      <c r="M22" t="str">
        <f>VLOOKUP(J22,Consolidated!B:B,1,0)</f>
        <v>Pumpkin Seeds Roasted</v>
      </c>
    </row>
    <row r="23" spans="1:13" x14ac:dyDescent="0.35">
      <c r="A23" s="5">
        <v>18</v>
      </c>
      <c r="B23" s="6" t="s">
        <v>66</v>
      </c>
      <c r="C23" s="6" t="s">
        <v>66</v>
      </c>
      <c r="D23" s="6" t="s">
        <v>186</v>
      </c>
      <c r="E23" s="5" t="s">
        <v>16</v>
      </c>
      <c r="F23" s="5">
        <v>1.4</v>
      </c>
      <c r="G23" s="13">
        <v>1.4</v>
      </c>
      <c r="J23" s="59" t="s">
        <v>156</v>
      </c>
      <c r="K23">
        <v>12</v>
      </c>
      <c r="L23">
        <v>12</v>
      </c>
      <c r="M23" t="str">
        <f>VLOOKUP(J23,Consolidated!B:B,1,0)</f>
        <v>Dried Goji Berry</v>
      </c>
    </row>
    <row r="24" spans="1:13" x14ac:dyDescent="0.35">
      <c r="A24" s="5">
        <v>19</v>
      </c>
      <c r="B24" s="6" t="s">
        <v>61</v>
      </c>
      <c r="C24" s="6" t="s">
        <v>61</v>
      </c>
      <c r="D24" s="6" t="s">
        <v>188</v>
      </c>
      <c r="E24" s="5" t="s">
        <v>16</v>
      </c>
      <c r="F24" s="5">
        <v>2.1</v>
      </c>
      <c r="G24" s="13">
        <v>2.1</v>
      </c>
      <c r="J24" s="59" t="s">
        <v>215</v>
      </c>
      <c r="K24">
        <v>8</v>
      </c>
      <c r="L24">
        <v>116</v>
      </c>
      <c r="M24" t="str">
        <f>VLOOKUP(J24,Consolidated!B:B,1,0)</f>
        <v>Roasted &amp; Salted Almonds</v>
      </c>
    </row>
    <row r="25" spans="1:13" x14ac:dyDescent="0.35">
      <c r="A25" s="5">
        <v>20</v>
      </c>
      <c r="B25" s="6" t="s">
        <v>36</v>
      </c>
      <c r="C25" s="6" t="s">
        <v>131</v>
      </c>
      <c r="D25" s="6" t="s">
        <v>132</v>
      </c>
      <c r="E25" s="5" t="s">
        <v>16</v>
      </c>
      <c r="F25" s="5">
        <v>4.5999999999999996</v>
      </c>
      <c r="G25" s="13">
        <v>4.5999999999999996</v>
      </c>
      <c r="J25" s="59" t="s">
        <v>141</v>
      </c>
      <c r="K25">
        <v>556.79999999999995</v>
      </c>
      <c r="L25">
        <v>556.79999999999995</v>
      </c>
      <c r="M25" t="str">
        <f>VLOOKUP(J25,Consolidated!B:B,1,0)</f>
        <v>Chatpata Cranberry</v>
      </c>
    </row>
    <row r="26" spans="1:13" x14ac:dyDescent="0.35">
      <c r="A26" s="5">
        <v>21</v>
      </c>
      <c r="B26" s="6" t="s">
        <v>17</v>
      </c>
      <c r="C26" s="6" t="s">
        <v>74</v>
      </c>
      <c r="D26" s="6" t="s">
        <v>75</v>
      </c>
      <c r="E26" s="5" t="s">
        <v>16</v>
      </c>
      <c r="F26" s="5">
        <v>2.4</v>
      </c>
      <c r="G26" s="13">
        <v>2.4</v>
      </c>
      <c r="J26" s="59" t="s">
        <v>216</v>
      </c>
      <c r="K26">
        <v>581</v>
      </c>
      <c r="L26">
        <v>581</v>
      </c>
      <c r="M26" t="str">
        <f>VLOOKUP(J26,Consolidated!B:B,1,0)</f>
        <v>BLACK PEPPER CASHEW</v>
      </c>
    </row>
    <row r="27" spans="1:13" x14ac:dyDescent="0.35">
      <c r="A27" s="5">
        <v>22</v>
      </c>
      <c r="B27" s="6" t="s">
        <v>40</v>
      </c>
      <c r="C27" s="6" t="s">
        <v>48</v>
      </c>
      <c r="D27" s="6" t="s">
        <v>220</v>
      </c>
      <c r="E27" s="5" t="s">
        <v>16</v>
      </c>
      <c r="F27" s="5">
        <v>7.5</v>
      </c>
      <c r="G27" s="13">
        <v>7.5</v>
      </c>
      <c r="J27" s="59" t="s">
        <v>217</v>
      </c>
      <c r="K27">
        <v>200</v>
      </c>
      <c r="L27">
        <v>200</v>
      </c>
      <c r="M27" t="str">
        <f>VLOOKUP(J27,Consolidated!B:B,1,0)</f>
        <v>Breakfast Mix Bulk</v>
      </c>
    </row>
    <row r="28" spans="1:13" x14ac:dyDescent="0.35">
      <c r="A28" s="5">
        <v>23</v>
      </c>
      <c r="B28" s="6" t="s">
        <v>61</v>
      </c>
      <c r="C28" s="6" t="s">
        <v>61</v>
      </c>
      <c r="D28" s="6" t="s">
        <v>122</v>
      </c>
      <c r="E28" s="5" t="s">
        <v>16</v>
      </c>
      <c r="F28" s="5">
        <v>7.9</v>
      </c>
      <c r="G28" s="13">
        <v>7.9</v>
      </c>
      <c r="J28" s="59" t="s">
        <v>99</v>
      </c>
      <c r="K28">
        <v>128.19999999999999</v>
      </c>
      <c r="L28">
        <v>128.19999999999999</v>
      </c>
      <c r="M28" t="str">
        <f>VLOOKUP(J28,Consolidated!B:B,1,0)</f>
        <v>Smoked Almonds</v>
      </c>
    </row>
    <row r="29" spans="1:13" x14ac:dyDescent="0.35">
      <c r="A29" s="5">
        <v>24</v>
      </c>
      <c r="B29" s="6" t="s">
        <v>61</v>
      </c>
      <c r="C29" s="6" t="s">
        <v>61</v>
      </c>
      <c r="D29" s="6" t="s">
        <v>127</v>
      </c>
      <c r="E29" s="5" t="s">
        <v>16</v>
      </c>
      <c r="F29" s="5">
        <v>21.5</v>
      </c>
      <c r="G29" s="13">
        <v>21.5</v>
      </c>
      <c r="J29" s="59" t="s">
        <v>218</v>
      </c>
      <c r="K29">
        <v>200</v>
      </c>
      <c r="L29">
        <v>200</v>
      </c>
      <c r="M29" t="str">
        <f>VLOOKUP(J29,Consolidated!B:B,1,0)</f>
        <v>Roasted &amp; Salted Cashew</v>
      </c>
    </row>
    <row r="30" spans="1:13" x14ac:dyDescent="0.35">
      <c r="A30" s="5">
        <v>25</v>
      </c>
      <c r="B30" s="6" t="s">
        <v>61</v>
      </c>
      <c r="C30" s="6" t="s">
        <v>61</v>
      </c>
      <c r="D30" s="6" t="s">
        <v>62</v>
      </c>
      <c r="E30" s="5" t="s">
        <v>16</v>
      </c>
      <c r="F30" s="5">
        <v>10</v>
      </c>
      <c r="G30" s="13">
        <v>10</v>
      </c>
      <c r="J30" s="59" t="s">
        <v>219</v>
      </c>
      <c r="K30">
        <v>3</v>
      </c>
      <c r="L30">
        <v>3</v>
      </c>
      <c r="M30" t="str">
        <f>VLOOKUP(J30,Consolidated!B:B,1,0)</f>
        <v>Black Pepper Seasoning</v>
      </c>
    </row>
    <row r="31" spans="1:13" x14ac:dyDescent="0.35">
      <c r="A31" s="5">
        <v>26</v>
      </c>
      <c r="B31" s="6" t="s">
        <v>61</v>
      </c>
      <c r="C31" s="6" t="s">
        <v>61</v>
      </c>
      <c r="D31" s="6" t="s">
        <v>62</v>
      </c>
      <c r="E31" s="5" t="s">
        <v>16</v>
      </c>
      <c r="F31" s="5">
        <v>9</v>
      </c>
      <c r="G31" s="13">
        <v>9</v>
      </c>
      <c r="J31" s="59" t="s">
        <v>170</v>
      </c>
      <c r="K31">
        <v>3.1</v>
      </c>
      <c r="L31">
        <v>3.1</v>
      </c>
      <c r="M31" t="str">
        <f>VLOOKUP(J31,Consolidated!B:B,1,0)</f>
        <v>Pudina seasoning</v>
      </c>
    </row>
    <row r="32" spans="1:13" x14ac:dyDescent="0.35">
      <c r="A32" s="5">
        <v>27</v>
      </c>
      <c r="B32" s="6" t="s">
        <v>61</v>
      </c>
      <c r="C32" s="6" t="s">
        <v>61</v>
      </c>
      <c r="D32" s="6" t="s">
        <v>117</v>
      </c>
      <c r="E32" s="5" t="s">
        <v>16</v>
      </c>
      <c r="F32" s="5">
        <v>1</v>
      </c>
      <c r="G32" s="13">
        <v>1</v>
      </c>
      <c r="J32" s="59" t="s">
        <v>186</v>
      </c>
      <c r="K32">
        <v>1.4</v>
      </c>
      <c r="L32">
        <v>1.4</v>
      </c>
      <c r="M32" t="str">
        <f>VLOOKUP(J32,Consolidated!B:B,1,0)</f>
        <v>Pink Salt.</v>
      </c>
    </row>
    <row r="33" spans="1:13" x14ac:dyDescent="0.35">
      <c r="A33" s="5">
        <v>28</v>
      </c>
      <c r="B33" s="6" t="s">
        <v>61</v>
      </c>
      <c r="C33" s="6" t="s">
        <v>61</v>
      </c>
      <c r="D33" s="6" t="s">
        <v>169</v>
      </c>
      <c r="E33" s="5" t="s">
        <v>16</v>
      </c>
      <c r="F33" s="5">
        <v>9.31</v>
      </c>
      <c r="G33" s="13">
        <v>9.31</v>
      </c>
      <c r="J33" s="59" t="s">
        <v>188</v>
      </c>
      <c r="K33">
        <v>2.1</v>
      </c>
      <c r="L33">
        <v>2.1</v>
      </c>
      <c r="M33" t="str">
        <f>VLOOKUP(J33,Consolidated!B:B,1,0)</f>
        <v>URBAN PLATTER ARABIC GUM POWDER</v>
      </c>
    </row>
    <row r="34" spans="1:13" x14ac:dyDescent="0.35">
      <c r="A34" s="5">
        <v>29</v>
      </c>
      <c r="B34" s="6" t="s">
        <v>61</v>
      </c>
      <c r="C34" s="6" t="s">
        <v>61</v>
      </c>
      <c r="D34" s="6" t="s">
        <v>68</v>
      </c>
      <c r="E34" s="5" t="s">
        <v>16</v>
      </c>
      <c r="F34" s="5">
        <v>74.400000000000006</v>
      </c>
      <c r="G34" s="13">
        <v>74.400000000000006</v>
      </c>
      <c r="J34" s="59" t="s">
        <v>132</v>
      </c>
      <c r="K34">
        <v>4.5999999999999996</v>
      </c>
      <c r="L34">
        <v>4.5999999999999996</v>
      </c>
      <c r="M34" t="str">
        <f>VLOOKUP(J34,Consolidated!B:B,1,0)</f>
        <v>Almonds Kernel Cube Cut</v>
      </c>
    </row>
    <row r="35" spans="1:13" x14ac:dyDescent="0.35">
      <c r="A35" s="5">
        <v>30</v>
      </c>
      <c r="B35" s="6" t="s">
        <v>40</v>
      </c>
      <c r="C35" s="6" t="s">
        <v>48</v>
      </c>
      <c r="D35" s="6" t="s">
        <v>121</v>
      </c>
      <c r="E35" s="5" t="s">
        <v>16</v>
      </c>
      <c r="F35" s="5">
        <v>135</v>
      </c>
      <c r="G35" s="13">
        <v>135</v>
      </c>
      <c r="J35" s="59" t="s">
        <v>220</v>
      </c>
      <c r="K35">
        <v>7.5</v>
      </c>
      <c r="L35">
        <v>7.5</v>
      </c>
      <c r="M35" t="str">
        <f>VLOOKUP(J35,Consolidated!B:B,1,0)</f>
        <v>Pista Kernal Roasted and Salted</v>
      </c>
    </row>
    <row r="36" spans="1:13" x14ac:dyDescent="0.35">
      <c r="A36" s="5">
        <v>31</v>
      </c>
      <c r="B36" s="6" t="s">
        <v>107</v>
      </c>
      <c r="C36" s="6" t="s">
        <v>108</v>
      </c>
      <c r="D36" s="6" t="s">
        <v>109</v>
      </c>
      <c r="E36" s="5" t="s">
        <v>16</v>
      </c>
      <c r="F36" s="5">
        <v>12.08</v>
      </c>
      <c r="G36" s="13">
        <v>12.08</v>
      </c>
      <c r="J36" s="59" t="s">
        <v>122</v>
      </c>
      <c r="K36">
        <v>7.9</v>
      </c>
      <c r="L36">
        <v>7.9</v>
      </c>
      <c r="M36" t="str">
        <f>VLOOKUP(J36,Consolidated!B:B,1,0)</f>
        <v>Chipotle Honey Seasoning</v>
      </c>
    </row>
    <row r="37" spans="1:13" x14ac:dyDescent="0.35">
      <c r="A37" s="5">
        <v>32</v>
      </c>
      <c r="B37" s="6" t="s">
        <v>17</v>
      </c>
      <c r="C37" s="6" t="s">
        <v>18</v>
      </c>
      <c r="D37" s="6" t="s">
        <v>77</v>
      </c>
      <c r="E37" s="5" t="s">
        <v>16</v>
      </c>
      <c r="F37" s="5">
        <v>20</v>
      </c>
      <c r="G37" s="13">
        <v>20</v>
      </c>
      <c r="J37" s="59" t="s">
        <v>127</v>
      </c>
      <c r="K37">
        <v>21.5</v>
      </c>
      <c r="L37">
        <v>21.5</v>
      </c>
      <c r="M37" t="str">
        <f>VLOOKUP(J37,Consolidated!B:B,1,0)</f>
        <v>Smokey BBQ seasoning</v>
      </c>
    </row>
    <row r="38" spans="1:13" x14ac:dyDescent="0.35">
      <c r="A38" s="5">
        <v>33</v>
      </c>
      <c r="B38" s="6" t="s">
        <v>139</v>
      </c>
      <c r="C38" s="6" t="s">
        <v>140</v>
      </c>
      <c r="D38" s="6" t="s">
        <v>141</v>
      </c>
      <c r="E38" s="5" t="s">
        <v>16</v>
      </c>
      <c r="F38" s="5">
        <v>222.72</v>
      </c>
      <c r="G38" s="13">
        <v>222.72</v>
      </c>
      <c r="J38" s="59" t="s">
        <v>117</v>
      </c>
      <c r="K38">
        <v>1</v>
      </c>
      <c r="L38">
        <v>1</v>
      </c>
      <c r="M38" t="str">
        <f>VLOOKUP(J38,Consolidated!B:B,1,0)</f>
        <v>Chilli Powder</v>
      </c>
    </row>
    <row r="39" spans="1:13" x14ac:dyDescent="0.35">
      <c r="A39" s="5">
        <v>34</v>
      </c>
      <c r="B39" s="6" t="s">
        <v>17</v>
      </c>
      <c r="C39" s="6" t="s">
        <v>18</v>
      </c>
      <c r="D39" s="6" t="s">
        <v>19</v>
      </c>
      <c r="E39" s="5" t="s">
        <v>16</v>
      </c>
      <c r="F39" s="5">
        <v>240</v>
      </c>
      <c r="G39" s="13">
        <v>240</v>
      </c>
      <c r="J39" s="59" t="s">
        <v>169</v>
      </c>
      <c r="K39">
        <v>9.31</v>
      </c>
      <c r="L39">
        <v>9.31</v>
      </c>
      <c r="M39" t="str">
        <f>VLOOKUP(J39,Consolidated!B:B,1,0)</f>
        <v>SWEET THAI CHILLI SEASONING</v>
      </c>
    </row>
    <row r="40" spans="1:13" x14ac:dyDescent="0.35">
      <c r="A40" s="5">
        <v>35</v>
      </c>
      <c r="B40" s="6" t="s">
        <v>13</v>
      </c>
      <c r="C40" s="6" t="s">
        <v>14</v>
      </c>
      <c r="D40" s="6" t="s">
        <v>15</v>
      </c>
      <c r="E40" s="5" t="s">
        <v>16</v>
      </c>
      <c r="F40" s="5">
        <v>60</v>
      </c>
      <c r="G40" s="13">
        <v>60</v>
      </c>
      <c r="J40" s="59" t="s">
        <v>121</v>
      </c>
      <c r="K40">
        <v>135</v>
      </c>
      <c r="L40">
        <v>135</v>
      </c>
      <c r="M40" t="str">
        <f>VLOOKUP(J40,Consolidated!B:B,1,0)</f>
        <v>Pista Kernel</v>
      </c>
    </row>
    <row r="41" spans="1:13" x14ac:dyDescent="0.35">
      <c r="A41" s="5">
        <v>36</v>
      </c>
      <c r="B41" s="6" t="s">
        <v>13</v>
      </c>
      <c r="C41" s="6" t="s">
        <v>20</v>
      </c>
      <c r="D41" s="6" t="s">
        <v>21</v>
      </c>
      <c r="E41" s="5" t="s">
        <v>16</v>
      </c>
      <c r="F41" s="5">
        <v>310</v>
      </c>
      <c r="G41" s="13">
        <v>310</v>
      </c>
      <c r="J41" s="59" t="s">
        <v>109</v>
      </c>
      <c r="K41">
        <v>12.08</v>
      </c>
      <c r="L41">
        <v>12.08</v>
      </c>
      <c r="M41" t="str">
        <f>VLOOKUP(J41,Consolidated!B:B,1,0)</f>
        <v>Dried Blueberry</v>
      </c>
    </row>
    <row r="42" spans="1:13" x14ac:dyDescent="0.35">
      <c r="A42" s="5">
        <v>37</v>
      </c>
      <c r="B42" s="6" t="s">
        <v>22</v>
      </c>
      <c r="C42" s="6" t="s">
        <v>25</v>
      </c>
      <c r="D42" s="6" t="s">
        <v>194</v>
      </c>
      <c r="E42" s="5" t="s">
        <v>16</v>
      </c>
      <c r="F42" s="5">
        <v>25</v>
      </c>
      <c r="G42" s="13">
        <v>25</v>
      </c>
      <c r="J42" s="59" t="s">
        <v>194</v>
      </c>
      <c r="K42">
        <v>25</v>
      </c>
      <c r="L42">
        <v>25</v>
      </c>
      <c r="M42" t="str">
        <f>VLOOKUP(J42,Consolidated!B:B,1,0)</f>
        <v>SIDCOT STARCH</v>
      </c>
    </row>
    <row r="43" spans="1:13" x14ac:dyDescent="0.35">
      <c r="A43" s="5">
        <v>38</v>
      </c>
      <c r="B43" s="6" t="s">
        <v>22</v>
      </c>
      <c r="C43" s="6" t="s">
        <v>25</v>
      </c>
      <c r="D43" s="6" t="s">
        <v>193</v>
      </c>
      <c r="E43" s="5" t="s">
        <v>16</v>
      </c>
      <c r="F43" s="5">
        <v>20</v>
      </c>
      <c r="G43" s="13">
        <v>20</v>
      </c>
      <c r="J43" s="59" t="s">
        <v>193</v>
      </c>
      <c r="K43">
        <v>20</v>
      </c>
      <c r="L43">
        <v>20</v>
      </c>
      <c r="M43" t="str">
        <f>VLOOKUP(J43,Consolidated!B:B,1,0)</f>
        <v>PREGEFLO C100</v>
      </c>
    </row>
    <row r="44" spans="1:13" x14ac:dyDescent="0.35">
      <c r="A44" s="5">
        <v>39</v>
      </c>
      <c r="B44" s="6" t="s">
        <v>66</v>
      </c>
      <c r="C44" s="6" t="s">
        <v>66</v>
      </c>
      <c r="D44" s="6" t="s">
        <v>67</v>
      </c>
      <c r="E44" s="5" t="s">
        <v>16</v>
      </c>
      <c r="F44" s="5">
        <v>45</v>
      </c>
      <c r="G44" s="13">
        <v>45</v>
      </c>
      <c r="J44" s="59" t="s">
        <v>208</v>
      </c>
      <c r="K44">
        <v>550</v>
      </c>
      <c r="L44">
        <v>550</v>
      </c>
      <c r="M44" t="str">
        <f>VLOOKUP(J44,Consolidated!B:B,1,0)</f>
        <v>Peanuts</v>
      </c>
    </row>
    <row r="45" spans="1:13" x14ac:dyDescent="0.35">
      <c r="A45" s="5">
        <v>40</v>
      </c>
      <c r="B45" s="6" t="s">
        <v>208</v>
      </c>
      <c r="C45" s="6" t="s">
        <v>209</v>
      </c>
      <c r="D45" s="6" t="s">
        <v>208</v>
      </c>
      <c r="E45" s="5" t="s">
        <v>16</v>
      </c>
      <c r="F45" s="5">
        <v>550</v>
      </c>
      <c r="G45" s="13">
        <v>550</v>
      </c>
      <c r="J45" s="59" t="s">
        <v>285</v>
      </c>
      <c r="K45">
        <v>0.25</v>
      </c>
      <c r="L45">
        <v>0.25</v>
      </c>
      <c r="M45" t="e">
        <f>VLOOKUP(J45,Consolidated!B:B,1,0)</f>
        <v>#N/A</v>
      </c>
    </row>
    <row r="46" spans="1:13" x14ac:dyDescent="0.35">
      <c r="A46" s="5">
        <v>41</v>
      </c>
      <c r="B46" s="6" t="s">
        <v>22</v>
      </c>
      <c r="C46" s="6" t="s">
        <v>23</v>
      </c>
      <c r="D46" s="6" t="s">
        <v>24</v>
      </c>
      <c r="E46" s="5" t="s">
        <v>16</v>
      </c>
      <c r="F46" s="5">
        <v>50</v>
      </c>
      <c r="G46" s="13">
        <v>50</v>
      </c>
      <c r="J46" s="59" t="s">
        <v>2368</v>
      </c>
      <c r="K46">
        <v>4894.5400000000009</v>
      </c>
      <c r="L46">
        <v>5002.5400000000009</v>
      </c>
    </row>
    <row r="47" spans="1:13" x14ac:dyDescent="0.35">
      <c r="A47" s="5"/>
      <c r="B47" s="6"/>
      <c r="C47" s="6"/>
      <c r="D47" s="23" t="s">
        <v>285</v>
      </c>
      <c r="E47" s="22"/>
      <c r="F47" s="22">
        <v>0.25</v>
      </c>
      <c r="G47" s="14">
        <v>0.25</v>
      </c>
      <c r="H47" s="24" t="s">
        <v>287</v>
      </c>
    </row>
    <row r="48" spans="1:13" x14ac:dyDescent="0.35">
      <c r="A48" s="5"/>
      <c r="B48" s="6"/>
      <c r="C48" s="6"/>
      <c r="D48" s="23" t="s">
        <v>277</v>
      </c>
      <c r="E48" s="22"/>
      <c r="F48" s="22">
        <v>170</v>
      </c>
      <c r="G48" s="14">
        <v>170</v>
      </c>
      <c r="H48" s="24" t="s">
        <v>287</v>
      </c>
    </row>
    <row r="49" spans="1:7" ht="14.25" customHeight="1" x14ac:dyDescent="0.35">
      <c r="A49" s="7" t="s">
        <v>89</v>
      </c>
      <c r="B49" s="7" t="s">
        <v>2</v>
      </c>
      <c r="C49" s="7" t="s">
        <v>2</v>
      </c>
      <c r="D49" s="7" t="s">
        <v>2</v>
      </c>
      <c r="E49" s="7" t="s">
        <v>2</v>
      </c>
      <c r="F49" s="8">
        <v>4724.2899999999991</v>
      </c>
      <c r="G49" s="8">
        <v>4724.29</v>
      </c>
    </row>
  </sheetData>
  <autoFilter ref="A5:H49" xr:uid="{2DB191D6-01B7-4367-AE27-B9E4AE28D5DD}"/>
  <mergeCells count="5">
    <mergeCell ref="A1:H1"/>
    <mergeCell ref="A2:B2"/>
    <mergeCell ref="D2:E2"/>
    <mergeCell ref="A3:B3"/>
    <mergeCell ref="D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FD06-1928-44A8-A93F-2200DA1F4B7D}">
  <dimension ref="A1:M98"/>
  <sheetViews>
    <sheetView topLeftCell="I5" workbookViewId="0">
      <selection activeCell="M6" sqref="M6"/>
    </sheetView>
  </sheetViews>
  <sheetFormatPr defaultRowHeight="14.5" x14ac:dyDescent="0.35"/>
  <cols>
    <col min="1" max="1" width="6.54296875" bestFit="1" customWidth="1"/>
    <col min="2" max="2" width="16.453125" bestFit="1" customWidth="1"/>
    <col min="3" max="3" width="19.7265625" bestFit="1" customWidth="1"/>
    <col min="4" max="4" width="50.7265625" bestFit="1" customWidth="1"/>
    <col min="5" max="5" width="9.54296875" bestFit="1" customWidth="1"/>
    <col min="6" max="6" width="9" bestFit="1" customWidth="1"/>
    <col min="7" max="7" width="16.453125" bestFit="1" customWidth="1"/>
    <col min="8" max="8" width="17.453125" bestFit="1" customWidth="1"/>
    <col min="10" max="10" width="48.54296875" bestFit="1" customWidth="1"/>
    <col min="11" max="11" width="11.453125" bestFit="1" customWidth="1"/>
    <col min="12" max="12" width="21.7265625" bestFit="1" customWidth="1"/>
  </cols>
  <sheetData>
    <row r="1" spans="1:13" ht="21" x14ac:dyDescent="0.5">
      <c r="A1" s="65" t="s">
        <v>0</v>
      </c>
      <c r="B1" s="65"/>
      <c r="C1" s="65"/>
      <c r="D1" s="65"/>
      <c r="E1" s="65"/>
      <c r="F1" s="65"/>
      <c r="G1" s="65"/>
      <c r="H1" s="65"/>
    </row>
    <row r="2" spans="1:13" x14ac:dyDescent="0.35">
      <c r="A2" s="66" t="s">
        <v>1</v>
      </c>
      <c r="B2" s="66"/>
      <c r="C2" s="1" t="s">
        <v>2</v>
      </c>
      <c r="D2" s="66" t="s">
        <v>3</v>
      </c>
      <c r="E2" s="66"/>
      <c r="F2" s="1"/>
      <c r="G2" s="1"/>
      <c r="H2" s="1"/>
    </row>
    <row r="3" spans="1:13" x14ac:dyDescent="0.35">
      <c r="A3" s="66" t="s">
        <v>4</v>
      </c>
      <c r="B3" s="66"/>
      <c r="C3" s="1" t="s">
        <v>2</v>
      </c>
      <c r="D3" s="66" t="s">
        <v>5</v>
      </c>
      <c r="E3" s="66"/>
      <c r="F3" s="1"/>
      <c r="G3" s="1"/>
      <c r="H3" s="1"/>
    </row>
    <row r="5" spans="1:13" x14ac:dyDescent="0.3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2"/>
      <c r="J5" s="58" t="s">
        <v>2367</v>
      </c>
      <c r="K5" t="s">
        <v>2369</v>
      </c>
      <c r="L5" t="s">
        <v>2370</v>
      </c>
    </row>
    <row r="6" spans="1:13" x14ac:dyDescent="0.35">
      <c r="A6" s="5">
        <v>1</v>
      </c>
      <c r="B6" s="6" t="s">
        <v>13</v>
      </c>
      <c r="C6" s="6" t="s">
        <v>27</v>
      </c>
      <c r="D6" s="6" t="s">
        <v>227</v>
      </c>
      <c r="E6" s="5" t="s">
        <v>16</v>
      </c>
      <c r="F6" s="5">
        <v>291.27999999999997</v>
      </c>
      <c r="G6" s="13">
        <v>291.27999999999997</v>
      </c>
      <c r="H6" s="4"/>
      <c r="J6" s="59" t="s">
        <v>15</v>
      </c>
      <c r="K6">
        <v>157.03</v>
      </c>
      <c r="L6">
        <v>157.03</v>
      </c>
      <c r="M6" t="str">
        <f>VLOOKUP(J6,Consolidated!B:B,1,0)</f>
        <v>Black Chia Seeds</v>
      </c>
    </row>
    <row r="7" spans="1:13" x14ac:dyDescent="0.35">
      <c r="A7" s="5">
        <v>2</v>
      </c>
      <c r="B7" s="6" t="s">
        <v>13</v>
      </c>
      <c r="C7" s="6" t="s">
        <v>27</v>
      </c>
      <c r="D7" s="6" t="s">
        <v>227</v>
      </c>
      <c r="E7" s="5" t="s">
        <v>16</v>
      </c>
      <c r="F7" s="5">
        <v>297.39999999999998</v>
      </c>
      <c r="G7" s="13">
        <v>297.39999999999998</v>
      </c>
      <c r="H7" s="4"/>
      <c r="J7" s="59" t="s">
        <v>213</v>
      </c>
      <c r="K7">
        <v>2325.6499999999996</v>
      </c>
      <c r="L7">
        <v>2325.6499999999996</v>
      </c>
      <c r="M7" t="str">
        <f>VLOOKUP(J7,Consolidated!B:B,1,0)</f>
        <v>Sunflower Seeds Roasted</v>
      </c>
    </row>
    <row r="8" spans="1:13" x14ac:dyDescent="0.35">
      <c r="A8" s="5">
        <v>3</v>
      </c>
      <c r="B8" s="6" t="s">
        <v>13</v>
      </c>
      <c r="C8" s="6" t="s">
        <v>27</v>
      </c>
      <c r="D8" s="6" t="s">
        <v>227</v>
      </c>
      <c r="E8" s="5" t="s">
        <v>16</v>
      </c>
      <c r="F8" s="5">
        <v>269.2</v>
      </c>
      <c r="G8" s="13">
        <v>269.2</v>
      </c>
      <c r="H8" s="4"/>
      <c r="J8" s="59" t="s">
        <v>215</v>
      </c>
      <c r="K8">
        <v>36.64</v>
      </c>
      <c r="L8">
        <v>36.64</v>
      </c>
      <c r="M8" t="str">
        <f>VLOOKUP(J8,Consolidated!B:B,1,0)</f>
        <v>Roasted &amp; Salted Almonds</v>
      </c>
    </row>
    <row r="9" spans="1:13" x14ac:dyDescent="0.35">
      <c r="A9" s="5">
        <v>4</v>
      </c>
      <c r="B9" s="6" t="s">
        <v>13</v>
      </c>
      <c r="C9" s="6" t="s">
        <v>27</v>
      </c>
      <c r="D9" s="6" t="s">
        <v>227</v>
      </c>
      <c r="E9" s="5" t="s">
        <v>16</v>
      </c>
      <c r="F9" s="5">
        <v>291.06</v>
      </c>
      <c r="G9" s="13">
        <v>291.06</v>
      </c>
      <c r="H9" s="4"/>
      <c r="J9" s="59" t="s">
        <v>141</v>
      </c>
      <c r="K9">
        <v>126.88</v>
      </c>
      <c r="L9">
        <v>126.88</v>
      </c>
      <c r="M9" t="str">
        <f>VLOOKUP(J9,Consolidated!B:B,1,0)</f>
        <v>Chatpata Cranberry</v>
      </c>
    </row>
    <row r="10" spans="1:13" x14ac:dyDescent="0.35">
      <c r="A10" s="5">
        <v>5</v>
      </c>
      <c r="B10" s="6" t="s">
        <v>13</v>
      </c>
      <c r="C10" s="6" t="s">
        <v>27</v>
      </c>
      <c r="D10" s="6" t="s">
        <v>227</v>
      </c>
      <c r="E10" s="5" t="s">
        <v>16</v>
      </c>
      <c r="F10" s="5">
        <v>233.46</v>
      </c>
      <c r="G10" s="13">
        <v>233.46</v>
      </c>
      <c r="H10" s="4"/>
      <c r="J10" s="59" t="s">
        <v>216</v>
      </c>
      <c r="K10">
        <v>12.29</v>
      </c>
      <c r="L10">
        <v>12.29</v>
      </c>
      <c r="M10" t="str">
        <f>VLOOKUP(J10,Consolidated!B:B,1,0)</f>
        <v>BLACK PEPPER CASHEW</v>
      </c>
    </row>
    <row r="11" spans="1:13" x14ac:dyDescent="0.35">
      <c r="A11" s="5">
        <v>6</v>
      </c>
      <c r="B11" s="6" t="s">
        <v>13</v>
      </c>
      <c r="C11" s="6" t="s">
        <v>27</v>
      </c>
      <c r="D11" s="6" t="s">
        <v>227</v>
      </c>
      <c r="E11" s="5" t="s">
        <v>16</v>
      </c>
      <c r="F11" s="5">
        <v>340.48</v>
      </c>
      <c r="G11" s="13">
        <v>340.48</v>
      </c>
      <c r="H11" s="4"/>
      <c r="J11" s="59" t="s">
        <v>217</v>
      </c>
      <c r="K11">
        <v>30.66</v>
      </c>
      <c r="L11">
        <v>30.66</v>
      </c>
      <c r="M11" t="str">
        <f>VLOOKUP(J11,Consolidated!B:B,1,0)</f>
        <v>Breakfast Mix Bulk</v>
      </c>
    </row>
    <row r="12" spans="1:13" x14ac:dyDescent="0.35">
      <c r="A12" s="5">
        <v>7</v>
      </c>
      <c r="B12" s="6" t="s">
        <v>13</v>
      </c>
      <c r="C12" s="6" t="s">
        <v>29</v>
      </c>
      <c r="D12" s="6" t="s">
        <v>30</v>
      </c>
      <c r="E12" s="5" t="s">
        <v>16</v>
      </c>
      <c r="F12" s="5">
        <v>254.29</v>
      </c>
      <c r="G12" s="13">
        <v>254.29</v>
      </c>
      <c r="H12" s="4"/>
      <c r="J12" s="59" t="s">
        <v>218</v>
      </c>
      <c r="K12">
        <v>94.669999999999987</v>
      </c>
      <c r="L12">
        <v>94.669999999999987</v>
      </c>
      <c r="M12" t="str">
        <f>VLOOKUP(J12,Consolidated!B:B,1,0)</f>
        <v>Roasted &amp; Salted Cashew</v>
      </c>
    </row>
    <row r="13" spans="1:13" x14ac:dyDescent="0.35">
      <c r="A13" s="5">
        <v>8</v>
      </c>
      <c r="B13" s="6" t="s">
        <v>13</v>
      </c>
      <c r="C13" s="6" t="s">
        <v>29</v>
      </c>
      <c r="D13" s="6" t="s">
        <v>30</v>
      </c>
      <c r="E13" s="5" t="s">
        <v>16</v>
      </c>
      <c r="F13" s="5">
        <v>201.6</v>
      </c>
      <c r="G13" s="13">
        <v>201.6</v>
      </c>
      <c r="H13" s="4"/>
      <c r="J13" s="59" t="s">
        <v>109</v>
      </c>
      <c r="K13">
        <v>28.9</v>
      </c>
      <c r="L13">
        <v>28.9</v>
      </c>
      <c r="M13" t="str">
        <f>VLOOKUP(J13,Consolidated!B:B,1,0)</f>
        <v>Dried Blueberry</v>
      </c>
    </row>
    <row r="14" spans="1:13" x14ac:dyDescent="0.35">
      <c r="A14" s="5">
        <v>9</v>
      </c>
      <c r="B14" s="6" t="s">
        <v>13</v>
      </c>
      <c r="C14" s="6" t="s">
        <v>29</v>
      </c>
      <c r="D14" s="6" t="s">
        <v>30</v>
      </c>
      <c r="E14" s="5" t="s">
        <v>16</v>
      </c>
      <c r="F14" s="5">
        <v>156.1</v>
      </c>
      <c r="G14" s="13">
        <v>156.1</v>
      </c>
      <c r="H14" s="4"/>
      <c r="J14" s="59" t="s">
        <v>227</v>
      </c>
      <c r="K14">
        <v>2585.8399999999997</v>
      </c>
      <c r="L14">
        <v>2585.8399999999997</v>
      </c>
      <c r="M14" t="str">
        <f>VLOOKUP(J14,Consolidated!B:B,1,0)</f>
        <v>Watermelon Seeds Roasted</v>
      </c>
    </row>
    <row r="15" spans="1:13" x14ac:dyDescent="0.35">
      <c r="A15" s="5">
        <v>10</v>
      </c>
      <c r="B15" s="6" t="s">
        <v>40</v>
      </c>
      <c r="C15" s="6" t="s">
        <v>41</v>
      </c>
      <c r="D15" s="6" t="s">
        <v>54</v>
      </c>
      <c r="E15" s="5" t="s">
        <v>16</v>
      </c>
      <c r="F15" s="5">
        <v>36.4</v>
      </c>
      <c r="G15" s="13">
        <v>36.4</v>
      </c>
      <c r="H15" s="4"/>
      <c r="J15" s="59" t="s">
        <v>30</v>
      </c>
      <c r="K15">
        <v>851.9</v>
      </c>
      <c r="L15">
        <v>851.9</v>
      </c>
      <c r="M15" t="str">
        <f>VLOOKUP(J15,Consolidated!B:B,1,0)</f>
        <v>Pumpkin Seed ( 5% )</v>
      </c>
    </row>
    <row r="16" spans="1:13" x14ac:dyDescent="0.35">
      <c r="A16" s="5">
        <v>11</v>
      </c>
      <c r="B16" s="6" t="s">
        <v>13</v>
      </c>
      <c r="C16" s="6" t="s">
        <v>31</v>
      </c>
      <c r="D16" s="6" t="s">
        <v>213</v>
      </c>
      <c r="E16" s="5" t="s">
        <v>16</v>
      </c>
      <c r="F16" s="5">
        <v>234.62</v>
      </c>
      <c r="G16" s="13">
        <v>234.62</v>
      </c>
      <c r="H16" s="4"/>
      <c r="J16" s="59" t="s">
        <v>54</v>
      </c>
      <c r="K16">
        <v>44.08</v>
      </c>
      <c r="L16">
        <v>44.08</v>
      </c>
      <c r="M16" t="str">
        <f>VLOOKUP(J16,Consolidated!B:B,1,0)</f>
        <v>California Pista Inshell Roasted and Salted</v>
      </c>
    </row>
    <row r="17" spans="1:13" x14ac:dyDescent="0.35">
      <c r="A17" s="5">
        <v>12</v>
      </c>
      <c r="B17" s="6" t="s">
        <v>13</v>
      </c>
      <c r="C17" s="6" t="s">
        <v>31</v>
      </c>
      <c r="D17" s="6" t="s">
        <v>213</v>
      </c>
      <c r="E17" s="5" t="s">
        <v>16</v>
      </c>
      <c r="F17" s="5">
        <v>102.9</v>
      </c>
      <c r="G17" s="13">
        <v>102.9</v>
      </c>
      <c r="J17" s="59" t="s">
        <v>228</v>
      </c>
      <c r="K17">
        <v>68</v>
      </c>
      <c r="L17">
        <v>34</v>
      </c>
      <c r="M17" t="str">
        <f>VLOOKUP(J17,Consolidated!B:B,1,0)</f>
        <v>Al Barakah Premium Emirate Date Seedless 500gm</v>
      </c>
    </row>
    <row r="18" spans="1:13" x14ac:dyDescent="0.35">
      <c r="A18" s="5">
        <v>13</v>
      </c>
      <c r="B18" s="6" t="s">
        <v>13</v>
      </c>
      <c r="C18" s="6" t="s">
        <v>31</v>
      </c>
      <c r="D18" s="6" t="s">
        <v>213</v>
      </c>
      <c r="E18" s="5" t="s">
        <v>16</v>
      </c>
      <c r="F18" s="5">
        <v>264.39999999999998</v>
      </c>
      <c r="G18" s="13">
        <v>264.39999999999998</v>
      </c>
      <c r="J18" s="59" t="s">
        <v>230</v>
      </c>
      <c r="K18">
        <v>2023</v>
      </c>
      <c r="L18">
        <v>404.6</v>
      </c>
      <c r="M18" t="str">
        <f>VLOOKUP(J18,Consolidated!B:B,1,0)</f>
        <v>Healthy Choice Chia Seeds 200 g</v>
      </c>
    </row>
    <row r="19" spans="1:13" x14ac:dyDescent="0.35">
      <c r="A19" s="5">
        <v>14</v>
      </c>
      <c r="B19" s="6" t="s">
        <v>13</v>
      </c>
      <c r="C19" s="6" t="s">
        <v>31</v>
      </c>
      <c r="D19" s="6" t="s">
        <v>213</v>
      </c>
      <c r="E19" s="5" t="s">
        <v>16</v>
      </c>
      <c r="F19" s="5">
        <v>259.62</v>
      </c>
      <c r="G19" s="13">
        <v>259.62</v>
      </c>
      <c r="J19" s="59" t="s">
        <v>86</v>
      </c>
      <c r="K19">
        <v>8200</v>
      </c>
      <c r="L19">
        <v>1640</v>
      </c>
      <c r="M19" t="str">
        <f>VLOOKUP(J19,Consolidated!B:B,1,0)</f>
        <v>Healthy Choice Roasted Pumpkin Seeds 200 g</v>
      </c>
    </row>
    <row r="20" spans="1:13" x14ac:dyDescent="0.35">
      <c r="A20" s="5">
        <v>15</v>
      </c>
      <c r="B20" s="6" t="s">
        <v>13</v>
      </c>
      <c r="C20" s="6" t="s">
        <v>31</v>
      </c>
      <c r="D20" s="6" t="s">
        <v>213</v>
      </c>
      <c r="E20" s="5" t="s">
        <v>16</v>
      </c>
      <c r="F20" s="5">
        <v>148.71</v>
      </c>
      <c r="G20" s="13">
        <v>148.71</v>
      </c>
      <c r="J20" s="59" t="s">
        <v>82</v>
      </c>
      <c r="K20">
        <v>6600</v>
      </c>
      <c r="L20">
        <v>1320</v>
      </c>
      <c r="M20" t="str">
        <f>VLOOKUP(J20,Consolidated!B:B,1,0)</f>
        <v>Healthy Choice Roasted Sunflower Seeds 200 g</v>
      </c>
    </row>
    <row r="21" spans="1:13" x14ac:dyDescent="0.35">
      <c r="A21" s="5">
        <v>16</v>
      </c>
      <c r="B21" s="6" t="s">
        <v>13</v>
      </c>
      <c r="C21" s="6" t="s">
        <v>31</v>
      </c>
      <c r="D21" s="6" t="s">
        <v>213</v>
      </c>
      <c r="E21" s="5" t="s">
        <v>16</v>
      </c>
      <c r="F21" s="5">
        <v>251.84</v>
      </c>
      <c r="G21" s="13">
        <v>251.84</v>
      </c>
      <c r="J21" s="59" t="s">
        <v>231</v>
      </c>
      <c r="K21">
        <v>2050</v>
      </c>
      <c r="L21">
        <v>410</v>
      </c>
      <c r="M21" t="str">
        <f>VLOOKUP(J21,Consolidated!B:B,1,0)</f>
        <v>Healthy Choice Roasted Watermelon Seeds 200 g</v>
      </c>
    </row>
    <row r="22" spans="1:13" x14ac:dyDescent="0.35">
      <c r="A22" s="5">
        <v>17</v>
      </c>
      <c r="B22" s="6" t="s">
        <v>13</v>
      </c>
      <c r="C22" s="6" t="s">
        <v>31</v>
      </c>
      <c r="D22" s="6" t="s">
        <v>213</v>
      </c>
      <c r="E22" s="5" t="s">
        <v>16</v>
      </c>
      <c r="F22" s="5">
        <v>247.25</v>
      </c>
      <c r="G22" s="13">
        <v>247.25</v>
      </c>
      <c r="J22" s="59" t="s">
        <v>232</v>
      </c>
      <c r="K22">
        <v>2900</v>
      </c>
      <c r="L22">
        <v>290</v>
      </c>
      <c r="M22" t="str">
        <f>VLOOKUP(J22,Consolidated!B:B,1,0)</f>
        <v>Healthy Choice Roasted Watermelon Seeds 100 g</v>
      </c>
    </row>
    <row r="23" spans="1:13" x14ac:dyDescent="0.35">
      <c r="A23" s="5">
        <v>18</v>
      </c>
      <c r="B23" s="6" t="s">
        <v>13</v>
      </c>
      <c r="C23" s="6" t="s">
        <v>31</v>
      </c>
      <c r="D23" s="6" t="s">
        <v>213</v>
      </c>
      <c r="E23" s="5" t="s">
        <v>16</v>
      </c>
      <c r="F23" s="5">
        <v>308.48</v>
      </c>
      <c r="G23" s="13">
        <v>308.48</v>
      </c>
      <c r="J23" s="59" t="s">
        <v>233</v>
      </c>
      <c r="K23">
        <v>2150</v>
      </c>
      <c r="L23">
        <v>215</v>
      </c>
      <c r="M23" t="str">
        <f>VLOOKUP(J23,Consolidated!B:B,1,0)</f>
        <v>Premia Breakfast Mix 100g (100005226)</v>
      </c>
    </row>
    <row r="24" spans="1:13" x14ac:dyDescent="0.35">
      <c r="A24" s="5">
        <v>19</v>
      </c>
      <c r="B24" s="6" t="s">
        <v>13</v>
      </c>
      <c r="C24" s="6" t="s">
        <v>31</v>
      </c>
      <c r="D24" s="6" t="s">
        <v>213</v>
      </c>
      <c r="E24" s="5" t="s">
        <v>16</v>
      </c>
      <c r="F24" s="5">
        <v>271.08999999999997</v>
      </c>
      <c r="G24" s="13">
        <v>271.08999999999997</v>
      </c>
      <c r="J24" s="59" t="s">
        <v>234</v>
      </c>
      <c r="K24">
        <v>450</v>
      </c>
      <c r="L24">
        <v>45</v>
      </c>
      <c r="M24" t="str">
        <f>VLOOKUP(J24,Consolidated!B:B,1,0)</f>
        <v>Premia Nuts &amp; Seeds Mix 100g (100005422)</v>
      </c>
    </row>
    <row r="25" spans="1:13" x14ac:dyDescent="0.35">
      <c r="A25" s="5">
        <v>20</v>
      </c>
      <c r="B25" s="6" t="s">
        <v>13</v>
      </c>
      <c r="C25" s="6" t="s">
        <v>31</v>
      </c>
      <c r="D25" s="6" t="s">
        <v>213</v>
      </c>
      <c r="E25" s="5" t="s">
        <v>16</v>
      </c>
      <c r="F25" s="5">
        <v>236.74</v>
      </c>
      <c r="G25" s="13">
        <v>236.74</v>
      </c>
      <c r="J25" s="59" t="s">
        <v>235</v>
      </c>
      <c r="K25">
        <v>50</v>
      </c>
      <c r="L25">
        <v>5</v>
      </c>
      <c r="M25" t="str">
        <f>VLOOKUP(J25,Consolidated!B:B,1,0)</f>
        <v>Premia Trail Mix 100g (100005227)</v>
      </c>
    </row>
    <row r="26" spans="1:13" x14ac:dyDescent="0.35">
      <c r="A26" s="5">
        <v>21</v>
      </c>
      <c r="B26" s="6" t="s">
        <v>13</v>
      </c>
      <c r="C26" s="6" t="s">
        <v>27</v>
      </c>
      <c r="D26" s="6" t="s">
        <v>227</v>
      </c>
      <c r="E26" s="5" t="s">
        <v>16</v>
      </c>
      <c r="F26" s="5">
        <v>295.43</v>
      </c>
      <c r="G26" s="13">
        <v>295.43</v>
      </c>
      <c r="J26" s="59" t="s">
        <v>236</v>
      </c>
      <c r="K26">
        <v>195</v>
      </c>
      <c r="L26">
        <v>19.5</v>
      </c>
      <c r="M26" t="str">
        <f>VLOOKUP(J26,Consolidated!B:B,1,0)</f>
        <v>Premia Prunes 100gm</v>
      </c>
    </row>
    <row r="27" spans="1:13" x14ac:dyDescent="0.35">
      <c r="A27" s="5">
        <v>22</v>
      </c>
      <c r="B27" s="6" t="s">
        <v>13</v>
      </c>
      <c r="C27" s="6" t="s">
        <v>27</v>
      </c>
      <c r="D27" s="6" t="s">
        <v>227</v>
      </c>
      <c r="E27" s="5" t="s">
        <v>16</v>
      </c>
      <c r="F27" s="5">
        <v>267.89</v>
      </c>
      <c r="G27" s="13">
        <v>267.89</v>
      </c>
      <c r="J27" s="59" t="s">
        <v>237</v>
      </c>
      <c r="K27">
        <v>96</v>
      </c>
      <c r="L27">
        <v>9.6</v>
      </c>
      <c r="M27" t="str">
        <f>VLOOKUP(J27,Consolidated!B:B,1,0)</f>
        <v>Dried Cranberry 100gm</v>
      </c>
    </row>
    <row r="28" spans="1:13" x14ac:dyDescent="0.35">
      <c r="A28" s="5">
        <v>23</v>
      </c>
      <c r="B28" s="6" t="s">
        <v>13</v>
      </c>
      <c r="C28" s="6" t="s">
        <v>27</v>
      </c>
      <c r="D28" s="6" t="s">
        <v>227</v>
      </c>
      <c r="E28" s="5" t="s">
        <v>16</v>
      </c>
      <c r="F28" s="5">
        <v>299.64</v>
      </c>
      <c r="G28" s="13">
        <v>299.64</v>
      </c>
      <c r="J28" s="59" t="s">
        <v>238</v>
      </c>
      <c r="K28">
        <v>192</v>
      </c>
      <c r="L28">
        <v>19.2</v>
      </c>
      <c r="M28" t="str">
        <f>VLOOKUP(J28,Consolidated!B:B,1,0)</f>
        <v>Dried Blueberry 100gm</v>
      </c>
    </row>
    <row r="29" spans="1:13" x14ac:dyDescent="0.35">
      <c r="A29" s="5">
        <v>24</v>
      </c>
      <c r="B29" s="6" t="s">
        <v>13</v>
      </c>
      <c r="C29" s="6" t="s">
        <v>29</v>
      </c>
      <c r="D29" s="6" t="s">
        <v>30</v>
      </c>
      <c r="E29" s="5" t="s">
        <v>16</v>
      </c>
      <c r="F29" s="5">
        <v>239.91</v>
      </c>
      <c r="G29" s="13">
        <v>239.91</v>
      </c>
      <c r="J29" s="59" t="s">
        <v>239</v>
      </c>
      <c r="K29">
        <v>850</v>
      </c>
      <c r="L29">
        <v>25.5</v>
      </c>
      <c r="M29" t="str">
        <f>VLOOKUP(J29,Consolidated!B:B,1,0)</f>
        <v>QWIKSNAX CRANBERRIES CHTPTA MIX-30G</v>
      </c>
    </row>
    <row r="30" spans="1:13" x14ac:dyDescent="0.35">
      <c r="A30" s="5">
        <v>25</v>
      </c>
      <c r="B30" s="6" t="s">
        <v>13</v>
      </c>
      <c r="C30" s="6" t="s">
        <v>14</v>
      </c>
      <c r="D30" s="6" t="s">
        <v>15</v>
      </c>
      <c r="E30" s="5" t="s">
        <v>16</v>
      </c>
      <c r="F30" s="5">
        <v>157.03</v>
      </c>
      <c r="G30" s="13">
        <v>157.03</v>
      </c>
      <c r="J30" s="59" t="s">
        <v>241</v>
      </c>
      <c r="K30">
        <v>800</v>
      </c>
      <c r="L30">
        <v>20</v>
      </c>
      <c r="M30" t="str">
        <f>VLOOKUP(J30,Consolidated!B:B,1,0)</f>
        <v>QWIKSNAX ALMONDS &amp; CASHEWS MIX-25G</v>
      </c>
    </row>
    <row r="31" spans="1:13" x14ac:dyDescent="0.35">
      <c r="A31" s="5">
        <v>26</v>
      </c>
      <c r="B31" s="6" t="s">
        <v>50</v>
      </c>
      <c r="C31" s="6" t="s">
        <v>56</v>
      </c>
      <c r="D31" s="6" t="s">
        <v>228</v>
      </c>
      <c r="E31" s="5" t="s">
        <v>53</v>
      </c>
      <c r="F31" s="5">
        <v>68</v>
      </c>
      <c r="G31" s="13">
        <v>34</v>
      </c>
      <c r="J31" s="59" t="s">
        <v>243</v>
      </c>
      <c r="K31">
        <v>24</v>
      </c>
      <c r="L31">
        <v>2.4</v>
      </c>
      <c r="M31" t="str">
        <f>VLOOKUP(J31,Consolidated!B:B,1,0)</f>
        <v>ROYAL TRADITON SNACK MASALA MIX 100G</v>
      </c>
    </row>
    <row r="32" spans="1:13" x14ac:dyDescent="0.35">
      <c r="A32" s="5">
        <v>27</v>
      </c>
      <c r="B32" s="6" t="s">
        <v>50</v>
      </c>
      <c r="C32" s="6" t="s">
        <v>229</v>
      </c>
      <c r="D32" s="6" t="s">
        <v>1007</v>
      </c>
      <c r="E32" s="5" t="s">
        <v>53</v>
      </c>
      <c r="F32" s="5">
        <v>3818</v>
      </c>
      <c r="G32" s="13">
        <v>1909</v>
      </c>
      <c r="J32" s="59" t="s">
        <v>244</v>
      </c>
      <c r="K32">
        <v>3321</v>
      </c>
      <c r="L32">
        <v>332.1</v>
      </c>
      <c r="M32" t="str">
        <f>VLOOKUP(J32,Consolidated!B:B,1,0)</f>
        <v>Premia Cashew Salted 100 Gm</v>
      </c>
    </row>
    <row r="33" spans="1:13" x14ac:dyDescent="0.35">
      <c r="A33" s="5">
        <v>28</v>
      </c>
      <c r="B33" s="6" t="s">
        <v>50</v>
      </c>
      <c r="C33" s="6" t="s">
        <v>56</v>
      </c>
      <c r="D33" s="34" t="s">
        <v>73</v>
      </c>
      <c r="E33" s="5" t="s">
        <v>53</v>
      </c>
      <c r="F33" s="5">
        <v>1760</v>
      </c>
      <c r="G33" s="13">
        <v>880</v>
      </c>
      <c r="H33" t="s">
        <v>288</v>
      </c>
      <c r="J33" s="59" t="s">
        <v>245</v>
      </c>
      <c r="K33">
        <v>4067</v>
      </c>
      <c r="L33">
        <v>406.7</v>
      </c>
      <c r="M33" t="str">
        <f>VLOOKUP(J33,Consolidated!B:B,1,0)</f>
        <v>Premia Cashew Black Pepper 100 Gm</v>
      </c>
    </row>
    <row r="34" spans="1:13" x14ac:dyDescent="0.35">
      <c r="A34" s="5"/>
      <c r="B34" s="6" t="s">
        <v>50</v>
      </c>
      <c r="C34" s="6"/>
      <c r="D34" s="34" t="s">
        <v>73</v>
      </c>
      <c r="E34" s="22" t="s">
        <v>53</v>
      </c>
      <c r="F34" s="22">
        <v>51</v>
      </c>
      <c r="G34" s="14">
        <f>+F34*E34</f>
        <v>25.5</v>
      </c>
      <c r="H34" s="24" t="s">
        <v>289</v>
      </c>
      <c r="J34" s="59" t="s">
        <v>246</v>
      </c>
      <c r="K34">
        <v>144</v>
      </c>
      <c r="L34">
        <v>14.4</v>
      </c>
      <c r="M34" t="str">
        <f>VLOOKUP(J34,Consolidated!B:B,1,0)</f>
        <v>Premia Almond Salted 100 Gm</v>
      </c>
    </row>
    <row r="35" spans="1:13" x14ac:dyDescent="0.35">
      <c r="A35" s="5">
        <v>29</v>
      </c>
      <c r="B35" s="6" t="s">
        <v>13</v>
      </c>
      <c r="C35" s="6" t="s">
        <v>14</v>
      </c>
      <c r="D35" s="6" t="s">
        <v>230</v>
      </c>
      <c r="E35" s="5" t="s">
        <v>83</v>
      </c>
      <c r="F35" s="5">
        <v>2000</v>
      </c>
      <c r="G35" s="13">
        <v>400</v>
      </c>
      <c r="J35" s="59" t="s">
        <v>247</v>
      </c>
      <c r="K35">
        <v>1956</v>
      </c>
      <c r="L35">
        <v>195.6</v>
      </c>
      <c r="M35" t="str">
        <f>VLOOKUP(J35,Consolidated!B:B,1,0)</f>
        <v>PREMIA ALMONDS SMOKD-100G</v>
      </c>
    </row>
    <row r="36" spans="1:13" x14ac:dyDescent="0.35">
      <c r="A36" s="5">
        <v>30</v>
      </c>
      <c r="B36" s="6" t="s">
        <v>13</v>
      </c>
      <c r="C36" s="6" t="s">
        <v>29</v>
      </c>
      <c r="D36" s="6" t="s">
        <v>86</v>
      </c>
      <c r="E36" s="5" t="s">
        <v>83</v>
      </c>
      <c r="F36" s="5">
        <v>8200</v>
      </c>
      <c r="G36" s="13">
        <v>1640</v>
      </c>
      <c r="J36" s="59" t="s">
        <v>248</v>
      </c>
      <c r="K36">
        <v>11880</v>
      </c>
      <c r="L36">
        <v>1188</v>
      </c>
      <c r="M36" t="str">
        <f>VLOOKUP(J36,Consolidated!B:B,1,0)</f>
        <v>Premia Chatpata Cranberry 100gm</v>
      </c>
    </row>
    <row r="37" spans="1:13" x14ac:dyDescent="0.35">
      <c r="A37" s="5">
        <v>31</v>
      </c>
      <c r="B37" s="6" t="s">
        <v>13</v>
      </c>
      <c r="C37" s="6" t="s">
        <v>31</v>
      </c>
      <c r="D37" s="6" t="s">
        <v>82</v>
      </c>
      <c r="E37" s="5" t="s">
        <v>83</v>
      </c>
      <c r="F37" s="5">
        <v>6600</v>
      </c>
      <c r="G37" s="13">
        <v>1320</v>
      </c>
      <c r="J37" s="59" t="s">
        <v>87</v>
      </c>
      <c r="K37">
        <v>16150</v>
      </c>
      <c r="L37">
        <v>1615</v>
      </c>
      <c r="M37" t="str">
        <f>VLOOKUP(J37,Consolidated!B:B,1,0)</f>
        <v>Healthy Choice Roasted Pumpkin Seeds 100 g</v>
      </c>
    </row>
    <row r="38" spans="1:13" x14ac:dyDescent="0.35">
      <c r="A38" s="5">
        <v>32</v>
      </c>
      <c r="B38" s="6" t="s">
        <v>13</v>
      </c>
      <c r="C38" s="6" t="s">
        <v>27</v>
      </c>
      <c r="D38" s="6" t="s">
        <v>231</v>
      </c>
      <c r="E38" s="5" t="s">
        <v>83</v>
      </c>
      <c r="F38" s="5">
        <v>2050</v>
      </c>
      <c r="G38" s="13">
        <v>410</v>
      </c>
      <c r="J38" s="59" t="s">
        <v>249</v>
      </c>
      <c r="K38">
        <v>6395</v>
      </c>
      <c r="L38">
        <v>639.5</v>
      </c>
      <c r="M38" t="str">
        <f>VLOOKUP(J38,Consolidated!B:B,1,0)</f>
        <v>Healthy Choice Roasted Sunflower Seeds 100 g</v>
      </c>
    </row>
    <row r="39" spans="1:13" x14ac:dyDescent="0.35">
      <c r="A39" s="5">
        <v>33</v>
      </c>
      <c r="B39" s="6" t="s">
        <v>13</v>
      </c>
      <c r="C39" s="6" t="s">
        <v>27</v>
      </c>
      <c r="D39" s="6" t="s">
        <v>232</v>
      </c>
      <c r="E39" s="5" t="s">
        <v>88</v>
      </c>
      <c r="F39" s="5">
        <v>2900</v>
      </c>
      <c r="G39" s="13">
        <v>290</v>
      </c>
      <c r="J39" s="59" t="s">
        <v>250</v>
      </c>
      <c r="K39">
        <v>100</v>
      </c>
      <c r="L39">
        <v>50</v>
      </c>
      <c r="M39" t="str">
        <f>VLOOKUP(J39,Consolidated!B:B,1,0)</f>
        <v>GOOD LIFE ALMOND 500 g PP</v>
      </c>
    </row>
    <row r="40" spans="1:13" x14ac:dyDescent="0.35">
      <c r="A40" s="5">
        <v>34</v>
      </c>
      <c r="B40" s="6" t="s">
        <v>70</v>
      </c>
      <c r="C40" s="6" t="s">
        <v>70</v>
      </c>
      <c r="D40" s="6" t="s">
        <v>233</v>
      </c>
      <c r="E40" s="5" t="s">
        <v>88</v>
      </c>
      <c r="F40" s="5">
        <v>2150</v>
      </c>
      <c r="G40" s="13">
        <v>215</v>
      </c>
      <c r="J40" s="59" t="s">
        <v>251</v>
      </c>
      <c r="K40">
        <v>30</v>
      </c>
      <c r="L40">
        <v>3</v>
      </c>
      <c r="M40" t="str">
        <f>VLOOKUP(J40,Consolidated!B:B,1,0)</f>
        <v>Healthy Choice Chia Seeds 100 g</v>
      </c>
    </row>
    <row r="41" spans="1:13" x14ac:dyDescent="0.35">
      <c r="A41" s="5">
        <v>35</v>
      </c>
      <c r="B41" s="6" t="s">
        <v>70</v>
      </c>
      <c r="C41" s="6" t="s">
        <v>70</v>
      </c>
      <c r="D41" s="6" t="s">
        <v>234</v>
      </c>
      <c r="E41" s="5" t="s">
        <v>88</v>
      </c>
      <c r="F41" s="5">
        <v>450</v>
      </c>
      <c r="G41" s="13">
        <v>45</v>
      </c>
      <c r="J41" s="59" t="s">
        <v>252</v>
      </c>
      <c r="K41">
        <v>634.87</v>
      </c>
      <c r="L41">
        <v>634.87</v>
      </c>
      <c r="M41" t="str">
        <f>VLOOKUP(J41,Consolidated!B:B,1,0)</f>
        <v>Healthy Choice 5 in 1 Seeds Mix Bulk</v>
      </c>
    </row>
    <row r="42" spans="1:13" x14ac:dyDescent="0.35">
      <c r="A42" s="5">
        <v>36</v>
      </c>
      <c r="B42" s="6" t="s">
        <v>70</v>
      </c>
      <c r="C42" s="6" t="s">
        <v>70</v>
      </c>
      <c r="D42" s="6" t="s">
        <v>235</v>
      </c>
      <c r="E42" s="5" t="s">
        <v>88</v>
      </c>
      <c r="F42" s="5">
        <v>50</v>
      </c>
      <c r="G42" s="13">
        <v>5</v>
      </c>
      <c r="J42" s="59" t="s">
        <v>71</v>
      </c>
      <c r="K42">
        <v>177.13</v>
      </c>
      <c r="L42">
        <v>177.13</v>
      </c>
      <c r="M42" t="str">
        <f>VLOOKUP(J42,Consolidated!B:B,1,0)</f>
        <v>Nuts &amp; Seed Mix</v>
      </c>
    </row>
    <row r="43" spans="1:13" x14ac:dyDescent="0.35">
      <c r="A43" s="5">
        <v>37</v>
      </c>
      <c r="B43" s="6" t="s">
        <v>124</v>
      </c>
      <c r="C43" s="6" t="s">
        <v>125</v>
      </c>
      <c r="D43" s="6" t="s">
        <v>236</v>
      </c>
      <c r="E43" s="5" t="s">
        <v>88</v>
      </c>
      <c r="F43" s="5">
        <v>195</v>
      </c>
      <c r="G43" s="13">
        <v>19.5</v>
      </c>
      <c r="J43" s="59" t="s">
        <v>42</v>
      </c>
      <c r="K43">
        <v>342.95</v>
      </c>
      <c r="L43">
        <v>342.95</v>
      </c>
      <c r="M43" t="str">
        <f>VLOOKUP(J43,Consolidated!B:B,1,0)</f>
        <v>California Pista Inshell</v>
      </c>
    </row>
    <row r="44" spans="1:13" x14ac:dyDescent="0.35">
      <c r="A44" s="5">
        <v>38</v>
      </c>
      <c r="B44" s="6" t="s">
        <v>139</v>
      </c>
      <c r="C44" s="6" t="s">
        <v>140</v>
      </c>
      <c r="D44" s="6" t="s">
        <v>237</v>
      </c>
      <c r="E44" s="5" t="s">
        <v>88</v>
      </c>
      <c r="F44" s="5">
        <v>96</v>
      </c>
      <c r="G44" s="13">
        <v>9.6</v>
      </c>
      <c r="J44" s="59" t="s">
        <v>146</v>
      </c>
      <c r="K44">
        <v>94.3</v>
      </c>
      <c r="L44">
        <v>94.3</v>
      </c>
      <c r="M44" t="str">
        <f>VLOOKUP(J44,Consolidated!B:B,1,0)</f>
        <v>Afghan Munakka / Abjosh 1X2</v>
      </c>
    </row>
    <row r="45" spans="1:13" x14ac:dyDescent="0.35">
      <c r="A45" s="5">
        <v>39</v>
      </c>
      <c r="B45" s="6" t="s">
        <v>107</v>
      </c>
      <c r="C45" s="6" t="s">
        <v>108</v>
      </c>
      <c r="D45" s="6" t="s">
        <v>238</v>
      </c>
      <c r="E45" s="5" t="s">
        <v>88</v>
      </c>
      <c r="F45" s="5">
        <v>192</v>
      </c>
      <c r="G45" s="13">
        <v>19.2</v>
      </c>
      <c r="J45" s="59" t="s">
        <v>189</v>
      </c>
      <c r="K45">
        <v>117.39</v>
      </c>
      <c r="L45">
        <v>117.39</v>
      </c>
      <c r="M45" t="str">
        <f>VLOOKUP(J45,Consolidated!B:B,1,0)</f>
        <v>Dried Cranberry Whole</v>
      </c>
    </row>
    <row r="46" spans="1:13" x14ac:dyDescent="0.35">
      <c r="A46" s="5">
        <v>40</v>
      </c>
      <c r="B46" s="6" t="s">
        <v>139</v>
      </c>
      <c r="C46" s="6" t="s">
        <v>157</v>
      </c>
      <c r="D46" s="6" t="s">
        <v>239</v>
      </c>
      <c r="E46" s="5" t="s">
        <v>240</v>
      </c>
      <c r="F46" s="5">
        <v>850</v>
      </c>
      <c r="G46" s="13">
        <v>25.5</v>
      </c>
      <c r="J46" s="59" t="s">
        <v>195</v>
      </c>
      <c r="K46">
        <v>14.2</v>
      </c>
      <c r="L46">
        <v>14.2</v>
      </c>
      <c r="M46" t="str">
        <f>VLOOKUP(J46,Consolidated!B:B,1,0)</f>
        <v>Dried Cranberry Sliced</v>
      </c>
    </row>
    <row r="47" spans="1:13" x14ac:dyDescent="0.35">
      <c r="A47" s="5">
        <v>41</v>
      </c>
      <c r="B47" s="6" t="s">
        <v>70</v>
      </c>
      <c r="C47" s="6" t="s">
        <v>70</v>
      </c>
      <c r="D47" s="6" t="s">
        <v>241</v>
      </c>
      <c r="E47" s="5" t="s">
        <v>242</v>
      </c>
      <c r="F47" s="5">
        <v>800</v>
      </c>
      <c r="G47" s="13">
        <v>20</v>
      </c>
      <c r="J47" s="59" t="s">
        <v>253</v>
      </c>
      <c r="K47">
        <v>57.900000000000006</v>
      </c>
      <c r="L47">
        <v>57.900000000000006</v>
      </c>
      <c r="M47" t="str">
        <f>VLOOKUP(J47,Consolidated!B:B,1,0)</f>
        <v>Trail Mix Bulk</v>
      </c>
    </row>
    <row r="48" spans="1:13" x14ac:dyDescent="0.35">
      <c r="A48" s="5">
        <v>42</v>
      </c>
      <c r="B48" s="6" t="s">
        <v>70</v>
      </c>
      <c r="C48" s="6" t="s">
        <v>70</v>
      </c>
      <c r="D48" s="6" t="s">
        <v>243</v>
      </c>
      <c r="E48" s="5" t="s">
        <v>88</v>
      </c>
      <c r="F48" s="13">
        <v>24</v>
      </c>
      <c r="G48" s="13">
        <v>2.4</v>
      </c>
      <c r="J48" s="59" t="s">
        <v>254</v>
      </c>
      <c r="K48">
        <v>145</v>
      </c>
      <c r="L48">
        <v>4.79</v>
      </c>
      <c r="M48" t="str">
        <f>VLOOKUP(J48,Consolidated!B:B,1,0)</f>
        <v>Antioxidant Mix 33gm</v>
      </c>
    </row>
    <row r="49" spans="1:13" x14ac:dyDescent="0.35">
      <c r="A49" s="5">
        <v>43</v>
      </c>
      <c r="B49" s="6" t="s">
        <v>17</v>
      </c>
      <c r="C49" s="6" t="s">
        <v>18</v>
      </c>
      <c r="D49" s="6" t="s">
        <v>244</v>
      </c>
      <c r="E49" s="5" t="s">
        <v>88</v>
      </c>
      <c r="F49" s="5">
        <v>3321</v>
      </c>
      <c r="G49" s="13">
        <v>332.1</v>
      </c>
      <c r="J49" s="59" t="s">
        <v>256</v>
      </c>
      <c r="K49">
        <v>68</v>
      </c>
      <c r="L49">
        <v>2.2400000000000002</v>
      </c>
      <c r="M49" t="str">
        <f>VLOOKUP(J49,Consolidated!B:B,1,0)</f>
        <v>Seedy Sheid- Lime Chilly 33gm</v>
      </c>
    </row>
    <row r="50" spans="1:13" x14ac:dyDescent="0.35">
      <c r="A50" s="5">
        <v>44</v>
      </c>
      <c r="B50" s="6" t="s">
        <v>17</v>
      </c>
      <c r="C50" s="6" t="s">
        <v>18</v>
      </c>
      <c r="D50" s="6" t="s">
        <v>245</v>
      </c>
      <c r="E50" s="5" t="s">
        <v>88</v>
      </c>
      <c r="F50" s="5">
        <v>4067</v>
      </c>
      <c r="G50" s="13">
        <v>406.7</v>
      </c>
      <c r="J50" s="59" t="s">
        <v>257</v>
      </c>
      <c r="K50">
        <v>59</v>
      </c>
      <c r="L50">
        <v>1.95</v>
      </c>
      <c r="M50" t="str">
        <f>VLOOKUP(J50,Consolidated!B:B,1,0)</f>
        <v>Booster Berries 33gm</v>
      </c>
    </row>
    <row r="51" spans="1:13" x14ac:dyDescent="0.35">
      <c r="A51" s="5">
        <v>45</v>
      </c>
      <c r="B51" s="6" t="s">
        <v>36</v>
      </c>
      <c r="C51" s="6" t="s">
        <v>37</v>
      </c>
      <c r="D51" s="6" t="s">
        <v>246</v>
      </c>
      <c r="E51" s="5" t="s">
        <v>88</v>
      </c>
      <c r="F51" s="5">
        <v>144</v>
      </c>
      <c r="G51" s="13">
        <v>14.4</v>
      </c>
      <c r="J51" s="59" t="s">
        <v>258</v>
      </c>
      <c r="K51">
        <v>6</v>
      </c>
      <c r="L51">
        <v>6</v>
      </c>
      <c r="M51" t="str">
        <f>VLOOKUP(J51,Consolidated!B:B,1,0)</f>
        <v>Greendot Coated Peanuts</v>
      </c>
    </row>
    <row r="52" spans="1:13" x14ac:dyDescent="0.35">
      <c r="A52" s="5">
        <v>46</v>
      </c>
      <c r="B52" s="6" t="s">
        <v>36</v>
      </c>
      <c r="C52" s="6" t="s">
        <v>37</v>
      </c>
      <c r="D52" s="6" t="s">
        <v>247</v>
      </c>
      <c r="E52" s="5" t="s">
        <v>88</v>
      </c>
      <c r="F52" s="5">
        <v>1956</v>
      </c>
      <c r="G52" s="13">
        <v>195.6</v>
      </c>
      <c r="J52" s="59" t="s">
        <v>259</v>
      </c>
      <c r="K52">
        <v>4.3</v>
      </c>
      <c r="L52">
        <v>4.3</v>
      </c>
      <c r="M52" t="str">
        <f>VLOOKUP(J52,Consolidated!B:B,1,0)</f>
        <v xml:space="preserve">SMOKEY BBQ COATED PEANUT </v>
      </c>
    </row>
    <row r="53" spans="1:13" x14ac:dyDescent="0.35">
      <c r="A53" s="5">
        <v>47</v>
      </c>
      <c r="B53" s="6" t="s">
        <v>139</v>
      </c>
      <c r="C53" s="6" t="s">
        <v>157</v>
      </c>
      <c r="D53" s="6" t="s">
        <v>248</v>
      </c>
      <c r="E53" s="5" t="s">
        <v>88</v>
      </c>
      <c r="F53" s="5">
        <v>11880</v>
      </c>
      <c r="G53" s="13">
        <v>1188</v>
      </c>
      <c r="J53" s="59" t="s">
        <v>260</v>
      </c>
      <c r="K53">
        <v>2.83</v>
      </c>
      <c r="L53">
        <v>2.83</v>
      </c>
      <c r="M53" t="str">
        <f>VLOOKUP(J53,Consolidated!B:B,1,0)</f>
        <v xml:space="preserve">TANGY THAI COATED PEANUT </v>
      </c>
    </row>
    <row r="54" spans="1:13" x14ac:dyDescent="0.35">
      <c r="A54" s="5">
        <v>48</v>
      </c>
      <c r="B54" s="6" t="s">
        <v>13</v>
      </c>
      <c r="C54" s="6" t="s">
        <v>29</v>
      </c>
      <c r="D54" s="6" t="s">
        <v>87</v>
      </c>
      <c r="E54" s="5" t="s">
        <v>88</v>
      </c>
      <c r="F54" s="5">
        <v>16150</v>
      </c>
      <c r="G54" s="13">
        <v>1615</v>
      </c>
      <c r="J54" s="59" t="s">
        <v>261</v>
      </c>
      <c r="K54">
        <v>1.8</v>
      </c>
      <c r="L54">
        <v>1.8</v>
      </c>
      <c r="M54" t="e">
        <f>VLOOKUP(J54,Consolidated!B:B,1,0)</f>
        <v>#N/A</v>
      </c>
    </row>
    <row r="55" spans="1:13" x14ac:dyDescent="0.35">
      <c r="A55" s="5">
        <v>49</v>
      </c>
      <c r="B55" s="6" t="s">
        <v>13</v>
      </c>
      <c r="C55" s="6" t="s">
        <v>31</v>
      </c>
      <c r="D55" s="6" t="s">
        <v>249</v>
      </c>
      <c r="E55" s="5" t="s">
        <v>88</v>
      </c>
      <c r="F55" s="5">
        <v>6395</v>
      </c>
      <c r="G55" s="13">
        <v>639.5</v>
      </c>
      <c r="J55" s="59" t="s">
        <v>262</v>
      </c>
      <c r="K55">
        <v>0.8</v>
      </c>
      <c r="L55">
        <v>0.8</v>
      </c>
      <c r="M55" t="e">
        <f>VLOOKUP(J55,Consolidated!B:B,1,0)</f>
        <v>#N/A</v>
      </c>
    </row>
    <row r="56" spans="1:13" x14ac:dyDescent="0.35">
      <c r="A56" s="5">
        <v>50</v>
      </c>
      <c r="B56" s="6" t="s">
        <v>36</v>
      </c>
      <c r="C56" s="6" t="s">
        <v>37</v>
      </c>
      <c r="D56" s="6" t="s">
        <v>250</v>
      </c>
      <c r="E56" s="5" t="s">
        <v>53</v>
      </c>
      <c r="F56" s="5">
        <v>100</v>
      </c>
      <c r="G56" s="13">
        <v>50</v>
      </c>
      <c r="J56" s="59" t="s">
        <v>263</v>
      </c>
      <c r="K56">
        <v>0.9</v>
      </c>
      <c r="L56">
        <v>0.9</v>
      </c>
      <c r="M56" t="e">
        <f>VLOOKUP(J56,Consolidated!B:B,1,0)</f>
        <v>#N/A</v>
      </c>
    </row>
    <row r="57" spans="1:13" x14ac:dyDescent="0.35">
      <c r="A57" s="5">
        <v>51</v>
      </c>
      <c r="B57" s="6" t="s">
        <v>13</v>
      </c>
      <c r="C57" s="6" t="s">
        <v>14</v>
      </c>
      <c r="D57" s="6" t="s">
        <v>230</v>
      </c>
      <c r="E57" s="5" t="s">
        <v>83</v>
      </c>
      <c r="F57" s="5">
        <v>23</v>
      </c>
      <c r="G57" s="13">
        <v>4.5999999999999996</v>
      </c>
      <c r="J57" s="59" t="s">
        <v>264</v>
      </c>
      <c r="K57">
        <v>2.8</v>
      </c>
      <c r="L57">
        <v>2.8</v>
      </c>
      <c r="M57" t="e">
        <f>VLOOKUP(J57,Consolidated!B:B,1,0)</f>
        <v>#N/A</v>
      </c>
    </row>
    <row r="58" spans="1:13" x14ac:dyDescent="0.35">
      <c r="A58" s="5">
        <v>52</v>
      </c>
      <c r="B58" s="6" t="s">
        <v>13</v>
      </c>
      <c r="C58" s="6" t="s">
        <v>14</v>
      </c>
      <c r="D58" s="6" t="s">
        <v>251</v>
      </c>
      <c r="E58" s="5" t="s">
        <v>88</v>
      </c>
      <c r="F58" s="5">
        <v>30</v>
      </c>
      <c r="G58" s="13">
        <v>3</v>
      </c>
      <c r="J58" s="59" t="s">
        <v>267</v>
      </c>
      <c r="K58">
        <v>1.4</v>
      </c>
      <c r="L58">
        <v>1.4</v>
      </c>
      <c r="M58" t="str">
        <f>VLOOKUP(J58,Consolidated!B:B,1,0)</f>
        <v>Cheese Makhana</v>
      </c>
    </row>
    <row r="59" spans="1:13" x14ac:dyDescent="0.35">
      <c r="A59" s="5">
        <v>53</v>
      </c>
      <c r="B59" s="6" t="s">
        <v>2</v>
      </c>
      <c r="C59" s="6" t="s">
        <v>2</v>
      </c>
      <c r="D59" s="6" t="s">
        <v>252</v>
      </c>
      <c r="E59" s="5" t="s">
        <v>16</v>
      </c>
      <c r="F59" s="5">
        <v>225.49</v>
      </c>
      <c r="G59" s="13">
        <v>225.49</v>
      </c>
      <c r="J59" s="59" t="s">
        <v>268</v>
      </c>
      <c r="K59">
        <v>1.4</v>
      </c>
      <c r="L59">
        <v>1.4</v>
      </c>
      <c r="M59" t="str">
        <f>VLOOKUP(J59,Consolidated!B:B,1,0)</f>
        <v>CHATPATA SNACK MIX</v>
      </c>
    </row>
    <row r="60" spans="1:13" x14ac:dyDescent="0.35">
      <c r="A60" s="5">
        <v>54</v>
      </c>
      <c r="B60" s="6" t="s">
        <v>2</v>
      </c>
      <c r="C60" s="6" t="s">
        <v>2</v>
      </c>
      <c r="D60" s="6" t="s">
        <v>252</v>
      </c>
      <c r="E60" s="5" t="s">
        <v>16</v>
      </c>
      <c r="F60" s="5">
        <v>167.39</v>
      </c>
      <c r="G60" s="13">
        <v>167.39</v>
      </c>
      <c r="J60" s="59" t="s">
        <v>269</v>
      </c>
      <c r="K60">
        <v>2.1</v>
      </c>
      <c r="L60">
        <v>2.1</v>
      </c>
      <c r="M60" t="str">
        <f>VLOOKUP(J60,Consolidated!B:B,1,0)</f>
        <v>Pizza Flavoured Coated Peanuts</v>
      </c>
    </row>
    <row r="61" spans="1:13" x14ac:dyDescent="0.35">
      <c r="A61" s="5">
        <v>55</v>
      </c>
      <c r="B61" s="6" t="s">
        <v>2</v>
      </c>
      <c r="C61" s="6" t="s">
        <v>2</v>
      </c>
      <c r="D61" s="6" t="s">
        <v>252</v>
      </c>
      <c r="E61" s="5" t="s">
        <v>16</v>
      </c>
      <c r="F61" s="5">
        <v>241.99</v>
      </c>
      <c r="G61" s="13">
        <v>241.99</v>
      </c>
      <c r="J61" s="59" t="s">
        <v>270</v>
      </c>
      <c r="K61">
        <v>1.25</v>
      </c>
      <c r="L61">
        <v>1.25</v>
      </c>
      <c r="M61" t="str">
        <f>VLOOKUP(J61,Consolidated!B:B,1,0)</f>
        <v>Mexican Flavoured Coated Peanuts</v>
      </c>
    </row>
    <row r="62" spans="1:13" x14ac:dyDescent="0.35">
      <c r="A62" s="5">
        <v>56</v>
      </c>
      <c r="B62" s="6" t="s">
        <v>70</v>
      </c>
      <c r="C62" s="6" t="s">
        <v>70</v>
      </c>
      <c r="D62" s="6" t="s">
        <v>71</v>
      </c>
      <c r="E62" s="5" t="s">
        <v>16</v>
      </c>
      <c r="F62" s="5">
        <v>177.13</v>
      </c>
      <c r="G62" s="13">
        <v>177.13</v>
      </c>
      <c r="J62" s="59" t="s">
        <v>271</v>
      </c>
      <c r="K62">
        <v>30.15</v>
      </c>
      <c r="L62">
        <v>30.15</v>
      </c>
      <c r="M62" t="str">
        <f>VLOOKUP(J62,Consolidated!B:B,1,0)</f>
        <v>Cheese Tomato Flavoured Coated Peanuts</v>
      </c>
    </row>
    <row r="63" spans="1:13" x14ac:dyDescent="0.35">
      <c r="A63" s="5">
        <v>57</v>
      </c>
      <c r="B63" s="6" t="s">
        <v>139</v>
      </c>
      <c r="C63" s="6" t="s">
        <v>157</v>
      </c>
      <c r="D63" s="6" t="s">
        <v>141</v>
      </c>
      <c r="E63" s="5" t="s">
        <v>16</v>
      </c>
      <c r="F63" s="5">
        <v>126.88</v>
      </c>
      <c r="G63" s="13">
        <v>126.88</v>
      </c>
      <c r="J63" s="59" t="s">
        <v>272</v>
      </c>
      <c r="K63">
        <v>10</v>
      </c>
      <c r="L63">
        <v>10</v>
      </c>
      <c r="M63" t="str">
        <f>VLOOKUP(J63,Consolidated!B:B,1,0)</f>
        <v>Krack Nut Coated Peanuts Thai Firangi 1 Kg</v>
      </c>
    </row>
    <row r="64" spans="1:13" x14ac:dyDescent="0.35">
      <c r="A64" s="5">
        <v>58</v>
      </c>
      <c r="B64" s="6" t="s">
        <v>17</v>
      </c>
      <c r="C64" s="6" t="s">
        <v>18</v>
      </c>
      <c r="D64" s="6" t="s">
        <v>218</v>
      </c>
      <c r="E64" s="5" t="s">
        <v>16</v>
      </c>
      <c r="F64" s="5">
        <v>61.87</v>
      </c>
      <c r="G64" s="13">
        <v>61.87</v>
      </c>
      <c r="J64" s="59" t="s">
        <v>273</v>
      </c>
      <c r="K64">
        <v>4.4800000000000004</v>
      </c>
      <c r="L64">
        <v>4.4800000000000004</v>
      </c>
      <c r="M64" t="str">
        <f>VLOOKUP(J64,Consolidated!B:B,1,0)</f>
        <v>PUDINA COATED KRACKNUT</v>
      </c>
    </row>
    <row r="65" spans="1:13" x14ac:dyDescent="0.35">
      <c r="A65" s="5">
        <v>59</v>
      </c>
      <c r="B65" s="6" t="s">
        <v>40</v>
      </c>
      <c r="C65" s="6" t="s">
        <v>41</v>
      </c>
      <c r="D65" s="6" t="s">
        <v>42</v>
      </c>
      <c r="E65" s="5" t="s">
        <v>16</v>
      </c>
      <c r="F65" s="5">
        <v>332.95</v>
      </c>
      <c r="G65" s="13">
        <v>332.95</v>
      </c>
      <c r="J65" s="59" t="s">
        <v>73</v>
      </c>
      <c r="K65">
        <v>1811</v>
      </c>
      <c r="L65">
        <v>905.5</v>
      </c>
      <c r="M65" t="str">
        <f>VLOOKUP(J65,Consolidated!B:B,1,0)</f>
        <v>PL CLASSIC DATES 500G</v>
      </c>
    </row>
    <row r="66" spans="1:13" x14ac:dyDescent="0.35">
      <c r="A66" s="5">
        <v>60</v>
      </c>
      <c r="B66" s="6" t="s">
        <v>43</v>
      </c>
      <c r="C66" s="6" t="s">
        <v>145</v>
      </c>
      <c r="D66" s="6" t="s">
        <v>146</v>
      </c>
      <c r="E66" s="5" t="s">
        <v>16</v>
      </c>
      <c r="F66" s="5">
        <v>82.3</v>
      </c>
      <c r="G66" s="13">
        <v>82.3</v>
      </c>
      <c r="J66" s="59" t="s">
        <v>1007</v>
      </c>
      <c r="K66">
        <v>3818</v>
      </c>
      <c r="L66">
        <v>1909</v>
      </c>
      <c r="M66" t="str">
        <f>VLOOKUP(J66,Consolidated!B:B,1,0)</f>
        <v>Al Barakah Emirates Dates 500 Gm</v>
      </c>
    </row>
    <row r="67" spans="1:13" x14ac:dyDescent="0.35">
      <c r="A67" s="5">
        <v>61</v>
      </c>
      <c r="B67" s="6" t="s">
        <v>107</v>
      </c>
      <c r="C67" s="6" t="s">
        <v>108</v>
      </c>
      <c r="D67" s="6" t="s">
        <v>109</v>
      </c>
      <c r="E67" s="5" t="s">
        <v>16</v>
      </c>
      <c r="F67" s="5">
        <v>28.9</v>
      </c>
      <c r="G67" s="13">
        <v>28.9</v>
      </c>
      <c r="J67" s="59" t="s">
        <v>2170</v>
      </c>
      <c r="K67">
        <v>3066</v>
      </c>
      <c r="L67">
        <v>613.20000000000005</v>
      </c>
      <c r="M67" t="str">
        <f>VLOOKUP(J67,Consolidated!B:B,1,0)</f>
        <v>Healthy Choice 5 in 1 Seeds Mix 200gm</v>
      </c>
    </row>
    <row r="68" spans="1:13" x14ac:dyDescent="0.35">
      <c r="A68" s="5">
        <v>62</v>
      </c>
      <c r="B68" s="6" t="s">
        <v>139</v>
      </c>
      <c r="C68" s="6" t="s">
        <v>140</v>
      </c>
      <c r="D68" s="6" t="s">
        <v>189</v>
      </c>
      <c r="E68" s="5" t="s">
        <v>16</v>
      </c>
      <c r="F68" s="5">
        <v>117.39</v>
      </c>
      <c r="G68" s="13">
        <v>117.39</v>
      </c>
      <c r="J68" s="59" t="s">
        <v>2300</v>
      </c>
      <c r="K68">
        <v>1.7</v>
      </c>
      <c r="L68">
        <v>1.7</v>
      </c>
      <c r="M68" t="str">
        <f>VLOOKUP(J68,Consolidated!B:B,1,0)</f>
        <v xml:space="preserve">SNACK MASALA MIX </v>
      </c>
    </row>
    <row r="69" spans="1:13" x14ac:dyDescent="0.35">
      <c r="A69" s="5">
        <v>63</v>
      </c>
      <c r="B69" s="6" t="s">
        <v>139</v>
      </c>
      <c r="C69" s="6" t="s">
        <v>157</v>
      </c>
      <c r="D69" s="6" t="s">
        <v>195</v>
      </c>
      <c r="E69" s="5" t="s">
        <v>16</v>
      </c>
      <c r="F69" s="5">
        <v>14.2</v>
      </c>
      <c r="G69" s="13">
        <v>14.2</v>
      </c>
      <c r="J69" s="59" t="s">
        <v>2368</v>
      </c>
      <c r="K69">
        <v>87463.189999999988</v>
      </c>
      <c r="L69">
        <v>20145.970000000012</v>
      </c>
    </row>
    <row r="70" spans="1:13" x14ac:dyDescent="0.35">
      <c r="A70" s="5">
        <v>64</v>
      </c>
      <c r="B70" s="6" t="s">
        <v>70</v>
      </c>
      <c r="C70" s="6" t="s">
        <v>70</v>
      </c>
      <c r="D70" s="6" t="s">
        <v>217</v>
      </c>
      <c r="E70" s="5" t="s">
        <v>16</v>
      </c>
      <c r="F70" s="5">
        <v>30.66</v>
      </c>
      <c r="G70" s="13">
        <v>30.66</v>
      </c>
    </row>
    <row r="71" spans="1:13" x14ac:dyDescent="0.35">
      <c r="A71" s="5">
        <v>65</v>
      </c>
      <c r="B71" s="6" t="s">
        <v>70</v>
      </c>
      <c r="C71" s="6" t="s">
        <v>70</v>
      </c>
      <c r="D71" s="6" t="s">
        <v>253</v>
      </c>
      <c r="E71" s="5" t="s">
        <v>16</v>
      </c>
      <c r="F71" s="5">
        <v>29.1</v>
      </c>
      <c r="G71" s="13">
        <v>29.1</v>
      </c>
    </row>
    <row r="72" spans="1:13" x14ac:dyDescent="0.35">
      <c r="A72" s="5">
        <v>66</v>
      </c>
      <c r="B72" s="6" t="s">
        <v>70</v>
      </c>
      <c r="C72" s="6" t="s">
        <v>70</v>
      </c>
      <c r="D72" s="6" t="s">
        <v>253</v>
      </c>
      <c r="E72" s="5" t="s">
        <v>16</v>
      </c>
      <c r="F72" s="5">
        <v>28.8</v>
      </c>
      <c r="G72" s="13">
        <v>28.8</v>
      </c>
    </row>
    <row r="73" spans="1:13" x14ac:dyDescent="0.35">
      <c r="A73" s="5">
        <v>67</v>
      </c>
      <c r="B73" s="6" t="s">
        <v>36</v>
      </c>
      <c r="C73" s="6" t="s">
        <v>37</v>
      </c>
      <c r="D73" s="6" t="s">
        <v>215</v>
      </c>
      <c r="E73" s="5" t="s">
        <v>16</v>
      </c>
      <c r="F73" s="5">
        <v>36.64</v>
      </c>
      <c r="G73" s="13">
        <v>36.64</v>
      </c>
    </row>
    <row r="74" spans="1:13" x14ac:dyDescent="0.35">
      <c r="A74" s="5">
        <v>68</v>
      </c>
      <c r="B74" s="6" t="s">
        <v>70</v>
      </c>
      <c r="C74" s="6" t="s">
        <v>70</v>
      </c>
      <c r="D74" s="6" t="s">
        <v>254</v>
      </c>
      <c r="E74" s="5" t="s">
        <v>255</v>
      </c>
      <c r="F74" s="5">
        <v>145</v>
      </c>
      <c r="G74" s="13">
        <v>4.79</v>
      </c>
    </row>
    <row r="75" spans="1:13" x14ac:dyDescent="0.35">
      <c r="A75" s="5">
        <v>69</v>
      </c>
      <c r="B75" s="6" t="s">
        <v>70</v>
      </c>
      <c r="C75" s="6" t="s">
        <v>70</v>
      </c>
      <c r="D75" s="6" t="s">
        <v>256</v>
      </c>
      <c r="E75" s="5" t="s">
        <v>255</v>
      </c>
      <c r="F75" s="5">
        <v>68</v>
      </c>
      <c r="G75" s="13">
        <v>2.2400000000000002</v>
      </c>
    </row>
    <row r="76" spans="1:13" x14ac:dyDescent="0.35">
      <c r="A76" s="5">
        <v>70</v>
      </c>
      <c r="B76" s="6" t="s">
        <v>70</v>
      </c>
      <c r="C76" s="6" t="s">
        <v>70</v>
      </c>
      <c r="D76" s="6" t="s">
        <v>257</v>
      </c>
      <c r="E76" s="5" t="s">
        <v>255</v>
      </c>
      <c r="F76" s="5">
        <v>59</v>
      </c>
      <c r="G76" s="13">
        <v>1.95</v>
      </c>
    </row>
    <row r="77" spans="1:13" x14ac:dyDescent="0.35">
      <c r="A77" s="5">
        <v>71</v>
      </c>
      <c r="B77" s="6" t="s">
        <v>208</v>
      </c>
      <c r="C77" s="6" t="s">
        <v>211</v>
      </c>
      <c r="D77" s="6" t="s">
        <v>258</v>
      </c>
      <c r="E77" s="5" t="s">
        <v>16</v>
      </c>
      <c r="F77" s="5">
        <v>6</v>
      </c>
      <c r="G77" s="13">
        <v>6</v>
      </c>
    </row>
    <row r="78" spans="1:13" x14ac:dyDescent="0.35">
      <c r="A78" s="5">
        <v>72</v>
      </c>
      <c r="B78" s="6" t="s">
        <v>17</v>
      </c>
      <c r="C78" s="6" t="s">
        <v>18</v>
      </c>
      <c r="D78" s="6" t="s">
        <v>218</v>
      </c>
      <c r="E78" s="5" t="s">
        <v>16</v>
      </c>
      <c r="F78" s="5">
        <v>32.799999999999997</v>
      </c>
      <c r="G78" s="13">
        <v>32.799999999999997</v>
      </c>
    </row>
    <row r="79" spans="1:13" x14ac:dyDescent="0.35">
      <c r="A79" s="5">
        <v>73</v>
      </c>
      <c r="B79" s="6" t="s">
        <v>2</v>
      </c>
      <c r="C79" s="6" t="s">
        <v>2</v>
      </c>
      <c r="D79" s="6" t="s">
        <v>259</v>
      </c>
      <c r="E79" s="5" t="s">
        <v>16</v>
      </c>
      <c r="F79" s="5">
        <v>4.3</v>
      </c>
      <c r="G79" s="13">
        <v>4.3</v>
      </c>
    </row>
    <row r="80" spans="1:13" x14ac:dyDescent="0.35">
      <c r="A80" s="5">
        <v>74</v>
      </c>
      <c r="B80" s="6" t="s">
        <v>2</v>
      </c>
      <c r="C80" s="6" t="s">
        <v>2</v>
      </c>
      <c r="D80" s="6" t="s">
        <v>260</v>
      </c>
      <c r="E80" s="5" t="s">
        <v>16</v>
      </c>
      <c r="F80" s="5">
        <v>2.83</v>
      </c>
      <c r="G80" s="13">
        <v>2.83</v>
      </c>
    </row>
    <row r="81" spans="1:7" x14ac:dyDescent="0.35">
      <c r="A81" s="5">
        <v>75</v>
      </c>
      <c r="B81" s="6" t="s">
        <v>17</v>
      </c>
      <c r="C81" s="6" t="s">
        <v>18</v>
      </c>
      <c r="D81" s="6" t="s">
        <v>216</v>
      </c>
      <c r="E81" s="5" t="s">
        <v>16</v>
      </c>
      <c r="F81" s="5">
        <v>12.29</v>
      </c>
      <c r="G81" s="13">
        <v>12.29</v>
      </c>
    </row>
    <row r="82" spans="1:7" x14ac:dyDescent="0.35">
      <c r="A82" s="5">
        <v>76</v>
      </c>
      <c r="B82" s="6" t="s">
        <v>40</v>
      </c>
      <c r="C82" s="6" t="s">
        <v>41</v>
      </c>
      <c r="D82" s="6" t="s">
        <v>54</v>
      </c>
      <c r="E82" s="5" t="s">
        <v>16</v>
      </c>
      <c r="F82" s="5">
        <v>7.68</v>
      </c>
      <c r="G82" s="13">
        <v>7.68</v>
      </c>
    </row>
    <row r="83" spans="1:7" x14ac:dyDescent="0.35">
      <c r="A83" s="5">
        <v>77</v>
      </c>
      <c r="B83" s="6" t="s">
        <v>40</v>
      </c>
      <c r="C83" s="6" t="s">
        <v>41</v>
      </c>
      <c r="D83" s="6" t="s">
        <v>42</v>
      </c>
      <c r="E83" s="5" t="s">
        <v>16</v>
      </c>
      <c r="F83" s="5">
        <v>10</v>
      </c>
      <c r="G83" s="13">
        <v>10</v>
      </c>
    </row>
    <row r="84" spans="1:7" x14ac:dyDescent="0.35">
      <c r="A84" s="5">
        <v>78</v>
      </c>
      <c r="B84" s="6" t="s">
        <v>43</v>
      </c>
      <c r="C84" s="6" t="s">
        <v>145</v>
      </c>
      <c r="D84" s="6" t="s">
        <v>146</v>
      </c>
      <c r="E84" s="5" t="s">
        <v>16</v>
      </c>
      <c r="F84" s="5">
        <v>12</v>
      </c>
      <c r="G84" s="13">
        <v>12</v>
      </c>
    </row>
    <row r="85" spans="1:7" x14ac:dyDescent="0.35">
      <c r="A85" s="5">
        <v>79</v>
      </c>
      <c r="B85" s="6" t="s">
        <v>2</v>
      </c>
      <c r="C85" s="6" t="s">
        <v>2</v>
      </c>
      <c r="D85" s="6" t="s">
        <v>261</v>
      </c>
      <c r="E85" s="5" t="s">
        <v>16</v>
      </c>
      <c r="F85" s="5">
        <v>1.8</v>
      </c>
      <c r="G85" s="13">
        <v>1.8</v>
      </c>
    </row>
    <row r="86" spans="1:7" x14ac:dyDescent="0.35">
      <c r="A86" s="5">
        <v>80</v>
      </c>
      <c r="B86" s="6" t="s">
        <v>2</v>
      </c>
      <c r="C86" s="6" t="s">
        <v>2</v>
      </c>
      <c r="D86" s="6" t="s">
        <v>262</v>
      </c>
      <c r="E86" s="5" t="s">
        <v>16</v>
      </c>
      <c r="F86" s="5">
        <v>0.8</v>
      </c>
      <c r="G86" s="13">
        <v>0.8</v>
      </c>
    </row>
    <row r="87" spans="1:7" x14ac:dyDescent="0.35">
      <c r="A87" s="5">
        <v>81</v>
      </c>
      <c r="B87" s="6" t="s">
        <v>2</v>
      </c>
      <c r="C87" s="6" t="s">
        <v>2</v>
      </c>
      <c r="D87" s="6" t="s">
        <v>263</v>
      </c>
      <c r="E87" s="5" t="s">
        <v>16</v>
      </c>
      <c r="F87" s="5">
        <v>0.9</v>
      </c>
      <c r="G87" s="13">
        <v>0.9</v>
      </c>
    </row>
    <row r="88" spans="1:7" x14ac:dyDescent="0.35">
      <c r="A88" s="5">
        <v>82</v>
      </c>
      <c r="B88" s="6" t="s">
        <v>2</v>
      </c>
      <c r="C88" s="6" t="s">
        <v>2</v>
      </c>
      <c r="D88" s="6" t="s">
        <v>264</v>
      </c>
      <c r="E88" s="5" t="s">
        <v>16</v>
      </c>
      <c r="F88" s="5">
        <v>2.8</v>
      </c>
      <c r="G88" s="13">
        <v>2.8</v>
      </c>
    </row>
    <row r="89" spans="1:7" x14ac:dyDescent="0.35">
      <c r="A89" s="5">
        <v>83</v>
      </c>
      <c r="B89" s="6" t="s">
        <v>265</v>
      </c>
      <c r="C89" s="6" t="s">
        <v>266</v>
      </c>
      <c r="D89" s="6" t="s">
        <v>267</v>
      </c>
      <c r="E89" s="5" t="s">
        <v>16</v>
      </c>
      <c r="F89" s="5">
        <v>1.4</v>
      </c>
      <c r="G89" s="13">
        <v>1.4</v>
      </c>
    </row>
    <row r="90" spans="1:7" x14ac:dyDescent="0.35">
      <c r="A90" s="5">
        <v>84</v>
      </c>
      <c r="B90" s="6" t="s">
        <v>70</v>
      </c>
      <c r="C90" s="6" t="s">
        <v>70</v>
      </c>
      <c r="D90" s="6" t="s">
        <v>268</v>
      </c>
      <c r="E90" s="5" t="s">
        <v>16</v>
      </c>
      <c r="F90" s="5">
        <v>1.4</v>
      </c>
      <c r="G90" s="13">
        <v>1.4</v>
      </c>
    </row>
    <row r="91" spans="1:7" x14ac:dyDescent="0.35">
      <c r="A91" s="5">
        <v>85</v>
      </c>
      <c r="B91" s="6" t="s">
        <v>2</v>
      </c>
      <c r="C91" s="6" t="s">
        <v>2</v>
      </c>
      <c r="D91" s="51" t="s">
        <v>2300</v>
      </c>
      <c r="E91" s="5" t="s">
        <v>16</v>
      </c>
      <c r="F91" s="5">
        <v>1.7</v>
      </c>
      <c r="G91" s="13">
        <v>1.7</v>
      </c>
    </row>
    <row r="92" spans="1:7" x14ac:dyDescent="0.35">
      <c r="A92" s="5">
        <v>86</v>
      </c>
      <c r="B92" s="6" t="s">
        <v>208</v>
      </c>
      <c r="C92" s="6" t="s">
        <v>211</v>
      </c>
      <c r="D92" s="6" t="s">
        <v>269</v>
      </c>
      <c r="E92" s="5" t="s">
        <v>16</v>
      </c>
      <c r="F92" s="5">
        <v>2.1</v>
      </c>
      <c r="G92" s="13">
        <v>2.1</v>
      </c>
    </row>
    <row r="93" spans="1:7" x14ac:dyDescent="0.35">
      <c r="A93" s="5">
        <v>87</v>
      </c>
      <c r="B93" s="6" t="s">
        <v>208</v>
      </c>
      <c r="C93" s="6" t="s">
        <v>211</v>
      </c>
      <c r="D93" s="6" t="s">
        <v>270</v>
      </c>
      <c r="E93" s="5" t="s">
        <v>16</v>
      </c>
      <c r="F93" s="5">
        <v>1.25</v>
      </c>
      <c r="G93" s="13">
        <v>1.25</v>
      </c>
    </row>
    <row r="94" spans="1:7" x14ac:dyDescent="0.35">
      <c r="A94" s="5">
        <v>88</v>
      </c>
      <c r="B94" s="6" t="s">
        <v>208</v>
      </c>
      <c r="C94" s="6" t="s">
        <v>211</v>
      </c>
      <c r="D94" s="6" t="s">
        <v>271</v>
      </c>
      <c r="E94" s="5" t="s">
        <v>16</v>
      </c>
      <c r="F94" s="5">
        <v>30.15</v>
      </c>
      <c r="G94" s="13">
        <v>30.15</v>
      </c>
    </row>
    <row r="95" spans="1:7" x14ac:dyDescent="0.35">
      <c r="A95" s="5">
        <v>89</v>
      </c>
      <c r="B95" s="6" t="s">
        <v>208</v>
      </c>
      <c r="C95" s="6" t="s">
        <v>211</v>
      </c>
      <c r="D95" s="6" t="s">
        <v>272</v>
      </c>
      <c r="E95" s="5" t="s">
        <v>16</v>
      </c>
      <c r="F95" s="5">
        <v>10</v>
      </c>
      <c r="G95" s="13">
        <v>10</v>
      </c>
    </row>
    <row r="96" spans="1:7" x14ac:dyDescent="0.35">
      <c r="A96" s="5">
        <v>90</v>
      </c>
      <c r="B96" s="6" t="s">
        <v>2</v>
      </c>
      <c r="C96" s="6" t="s">
        <v>2</v>
      </c>
      <c r="D96" s="6" t="s">
        <v>273</v>
      </c>
      <c r="E96" s="5" t="s">
        <v>16</v>
      </c>
      <c r="F96" s="5">
        <v>4.4800000000000004</v>
      </c>
      <c r="G96" s="13">
        <v>4.4800000000000004</v>
      </c>
    </row>
    <row r="97" spans="1:8" x14ac:dyDescent="0.35">
      <c r="A97" s="5"/>
      <c r="B97" s="6"/>
      <c r="C97" s="6"/>
      <c r="D97" s="34" t="s">
        <v>2170</v>
      </c>
      <c r="E97" s="22"/>
      <c r="F97" s="22">
        <f>3050+16</f>
        <v>3066</v>
      </c>
      <c r="G97" s="14">
        <f>0.2*F97</f>
        <v>613.20000000000005</v>
      </c>
      <c r="H97" s="24" t="s">
        <v>289</v>
      </c>
    </row>
    <row r="98" spans="1:8" x14ac:dyDescent="0.35">
      <c r="A98" s="7" t="s">
        <v>89</v>
      </c>
      <c r="B98" s="7" t="s">
        <v>2</v>
      </c>
      <c r="C98" s="7" t="s">
        <v>2</v>
      </c>
      <c r="D98" s="7" t="s">
        <v>2</v>
      </c>
      <c r="E98" s="7" t="s">
        <v>2</v>
      </c>
      <c r="F98" s="8">
        <v>84346.19</v>
      </c>
      <c r="G98" s="8">
        <v>19507.27</v>
      </c>
    </row>
  </sheetData>
  <autoFilter ref="A5:G98" xr:uid="{3568FD06-1928-44A8-A93F-2200DA1F4B7D}"/>
  <mergeCells count="5">
    <mergeCell ref="A1:H1"/>
    <mergeCell ref="A2:B2"/>
    <mergeCell ref="D2:E2"/>
    <mergeCell ref="A3:B3"/>
    <mergeCell ref="D3:E3"/>
  </mergeCells>
  <conditionalFormatting sqref="D33:D34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D91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D97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12AE-794C-4850-B805-43882FA33118}">
  <dimension ref="A1:H6"/>
  <sheetViews>
    <sheetView workbookViewId="0">
      <selection activeCell="I23" sqref="I23"/>
    </sheetView>
  </sheetViews>
  <sheetFormatPr defaultRowHeight="14.5" x14ac:dyDescent="0.35"/>
  <cols>
    <col min="1" max="1" width="9" bestFit="1" customWidth="1"/>
    <col min="2" max="2" width="18.453125" bestFit="1" customWidth="1"/>
    <col min="3" max="3" width="41.81640625" bestFit="1" customWidth="1"/>
    <col min="4" max="4" width="16.1796875" bestFit="1" customWidth="1"/>
    <col min="5" max="5" width="5.7265625" bestFit="1" customWidth="1"/>
    <col min="6" max="6" width="16.453125" bestFit="1" customWidth="1"/>
    <col min="7" max="7" width="20.453125" bestFit="1" customWidth="1"/>
    <col min="8" max="8" width="13.54296875" bestFit="1" customWidth="1"/>
  </cols>
  <sheetData>
    <row r="1" spans="1:8" ht="21" x14ac:dyDescent="0.5">
      <c r="A1" s="67" t="s">
        <v>224</v>
      </c>
      <c r="B1" s="67"/>
      <c r="C1" s="67"/>
      <c r="D1" s="67"/>
      <c r="E1" s="67"/>
      <c r="F1" s="67"/>
      <c r="G1" s="67"/>
      <c r="H1" s="67"/>
    </row>
    <row r="3" spans="1:8" x14ac:dyDescent="0.35">
      <c r="A3" s="9" t="s">
        <v>90</v>
      </c>
      <c r="B3" s="9" t="s">
        <v>8</v>
      </c>
      <c r="C3" s="9" t="s">
        <v>91</v>
      </c>
      <c r="D3" s="9" t="s">
        <v>92</v>
      </c>
      <c r="E3" s="9" t="s">
        <v>11</v>
      </c>
      <c r="F3" s="9" t="s">
        <v>12</v>
      </c>
      <c r="G3" s="9" t="s">
        <v>93</v>
      </c>
      <c r="H3" s="9" t="s">
        <v>94</v>
      </c>
    </row>
    <row r="4" spans="1:8" x14ac:dyDescent="0.35">
      <c r="A4" s="10" t="s">
        <v>36</v>
      </c>
      <c r="B4" s="10" t="s">
        <v>37</v>
      </c>
      <c r="C4" s="10" t="s">
        <v>38</v>
      </c>
      <c r="D4" s="10" t="s">
        <v>16</v>
      </c>
      <c r="E4" s="10">
        <v>20</v>
      </c>
      <c r="F4" s="26" t="s">
        <v>225</v>
      </c>
      <c r="G4" s="10" t="s">
        <v>96</v>
      </c>
      <c r="H4" s="10" t="s">
        <v>97</v>
      </c>
    </row>
    <row r="6" spans="1:8" x14ac:dyDescent="0.35">
      <c r="A6" s="12" t="s">
        <v>2</v>
      </c>
      <c r="B6" s="12" t="s">
        <v>2</v>
      </c>
      <c r="C6" s="12" t="s">
        <v>226</v>
      </c>
      <c r="D6" s="12" t="s">
        <v>2</v>
      </c>
      <c r="E6" s="12">
        <v>20</v>
      </c>
      <c r="F6" s="12" t="s">
        <v>225</v>
      </c>
      <c r="G6" s="12" t="s">
        <v>2</v>
      </c>
      <c r="H6" s="12" t="s">
        <v>2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EAD3-B5F4-4181-8767-26318A3EBCE7}">
  <dimension ref="A1:L143"/>
  <sheetViews>
    <sheetView tabSelected="1" topLeftCell="I67" workbookViewId="0">
      <selection activeCell="L85" sqref="L85"/>
    </sheetView>
  </sheetViews>
  <sheetFormatPr defaultRowHeight="14.5" x14ac:dyDescent="0.35"/>
  <cols>
    <col min="1" max="1" width="20.26953125" bestFit="1" customWidth="1"/>
    <col min="2" max="2" width="26.26953125" bestFit="1" customWidth="1"/>
    <col min="3" max="3" width="45.26953125" bestFit="1" customWidth="1"/>
    <col min="4" max="4" width="16.1796875" bestFit="1" customWidth="1"/>
    <col min="5" max="5" width="6" bestFit="1" customWidth="1"/>
    <col min="6" max="6" width="16.453125" bestFit="1" customWidth="1"/>
    <col min="7" max="7" width="20.453125" bestFit="1" customWidth="1"/>
    <col min="8" max="8" width="13.54296875" bestFit="1" customWidth="1"/>
    <col min="9" max="9" width="40.26953125" bestFit="1" customWidth="1"/>
    <col min="10" max="10" width="42.453125" bestFit="1" customWidth="1"/>
    <col min="11" max="11" width="21.7265625" bestFit="1" customWidth="1"/>
  </cols>
  <sheetData>
    <row r="1" spans="1:12" x14ac:dyDescent="0.35">
      <c r="A1" s="9" t="s">
        <v>90</v>
      </c>
      <c r="B1" s="9" t="s">
        <v>8</v>
      </c>
      <c r="C1" s="9" t="s">
        <v>91</v>
      </c>
      <c r="D1" s="9" t="s">
        <v>92</v>
      </c>
      <c r="E1" s="9" t="s">
        <v>11</v>
      </c>
      <c r="F1" s="9" t="s">
        <v>12</v>
      </c>
      <c r="G1" s="9" t="s">
        <v>93</v>
      </c>
      <c r="H1" s="9" t="s">
        <v>94</v>
      </c>
      <c r="J1" s="58" t="s">
        <v>2367</v>
      </c>
      <c r="K1" t="s">
        <v>2370</v>
      </c>
    </row>
    <row r="2" spans="1:12" x14ac:dyDescent="0.35">
      <c r="A2" s="10" t="s">
        <v>61</v>
      </c>
      <c r="B2" s="10" t="s">
        <v>61</v>
      </c>
      <c r="C2" s="10" t="s">
        <v>95</v>
      </c>
      <c r="D2" s="10" t="s">
        <v>16</v>
      </c>
      <c r="E2" s="10">
        <v>5</v>
      </c>
      <c r="F2" s="26">
        <v>5</v>
      </c>
      <c r="G2" s="10" t="s">
        <v>96</v>
      </c>
      <c r="H2" s="10" t="s">
        <v>97</v>
      </c>
      <c r="J2" s="59" t="s">
        <v>203</v>
      </c>
      <c r="K2">
        <v>70</v>
      </c>
      <c r="L2" t="e">
        <f>VLOOKUP(J2,[1]CFPL!$B:$E,1,0)</f>
        <v>#N/A</v>
      </c>
    </row>
    <row r="3" spans="1:12" x14ac:dyDescent="0.35">
      <c r="A3" t="s">
        <v>61</v>
      </c>
      <c r="B3" t="s">
        <v>61</v>
      </c>
      <c r="C3" t="s">
        <v>98</v>
      </c>
      <c r="D3" t="s">
        <v>16</v>
      </c>
      <c r="E3">
        <v>4</v>
      </c>
      <c r="F3" s="26">
        <v>4</v>
      </c>
      <c r="G3" t="s">
        <v>96</v>
      </c>
      <c r="H3" t="s">
        <v>97</v>
      </c>
      <c r="J3" s="59" t="s">
        <v>45</v>
      </c>
      <c r="K3">
        <v>3000</v>
      </c>
      <c r="L3" t="str">
        <f>VLOOKUP(J3,[1]CFPL!$B:$E,1,0)</f>
        <v>Afghan Black Raisins Seedless 1*2</v>
      </c>
    </row>
    <row r="4" spans="1:12" x14ac:dyDescent="0.35">
      <c r="A4" s="10" t="s">
        <v>36</v>
      </c>
      <c r="B4" s="10" t="s">
        <v>37</v>
      </c>
      <c r="C4" s="10" t="s">
        <v>99</v>
      </c>
      <c r="D4" s="10" t="s">
        <v>16</v>
      </c>
      <c r="E4" s="10">
        <v>201</v>
      </c>
      <c r="F4" s="26">
        <v>201</v>
      </c>
      <c r="G4" s="10" t="s">
        <v>96</v>
      </c>
      <c r="H4" s="10" t="s">
        <v>97</v>
      </c>
      <c r="J4" s="59" t="s">
        <v>146</v>
      </c>
      <c r="K4">
        <v>146.80000000000001</v>
      </c>
      <c r="L4" t="str">
        <f>VLOOKUP(J4,[1]CFPL!$B:$E,1,0)</f>
        <v>Afghan Munakka / Abjosh 1X2</v>
      </c>
    </row>
    <row r="5" spans="1:12" x14ac:dyDescent="0.35">
      <c r="A5" t="s">
        <v>100</v>
      </c>
      <c r="B5" t="s">
        <v>101</v>
      </c>
      <c r="C5" t="s">
        <v>102</v>
      </c>
      <c r="D5" t="s">
        <v>16</v>
      </c>
      <c r="E5">
        <v>75</v>
      </c>
      <c r="F5" s="26">
        <v>75</v>
      </c>
      <c r="G5" t="s">
        <v>96</v>
      </c>
      <c r="H5" t="s">
        <v>97</v>
      </c>
      <c r="J5" s="59" t="s">
        <v>138</v>
      </c>
      <c r="K5">
        <v>0.95</v>
      </c>
      <c r="L5" t="str">
        <f>VLOOKUP(J5,[1]CFPL!$B:$E,1,0)</f>
        <v>Afghan Shandukhani Green Raisins</v>
      </c>
    </row>
    <row r="6" spans="1:12" x14ac:dyDescent="0.35">
      <c r="A6" s="10" t="s">
        <v>103</v>
      </c>
      <c r="B6" s="10" t="s">
        <v>104</v>
      </c>
      <c r="C6" s="10" t="s">
        <v>105</v>
      </c>
      <c r="D6" s="10" t="s">
        <v>16</v>
      </c>
      <c r="E6" s="10">
        <v>12</v>
      </c>
      <c r="F6" s="26">
        <v>12</v>
      </c>
      <c r="G6" s="10" t="s">
        <v>96</v>
      </c>
      <c r="H6" s="10" t="s">
        <v>97</v>
      </c>
      <c r="J6" s="59" t="s">
        <v>204</v>
      </c>
      <c r="K6">
        <v>2939.4</v>
      </c>
      <c r="L6" t="str">
        <f>VLOOKUP(J6,[1]CFPL!$B:$E,1,0)</f>
        <v>AL BARAKAH DATE SYRUP(1.15KG X 12)</v>
      </c>
    </row>
    <row r="7" spans="1:12" x14ac:dyDescent="0.35">
      <c r="A7" t="s">
        <v>70</v>
      </c>
      <c r="B7" t="s">
        <v>70</v>
      </c>
      <c r="C7" t="s">
        <v>106</v>
      </c>
      <c r="D7" t="s">
        <v>16</v>
      </c>
      <c r="E7">
        <v>144</v>
      </c>
      <c r="F7" s="26">
        <v>143.69999999999999</v>
      </c>
      <c r="G7" t="s">
        <v>96</v>
      </c>
      <c r="H7" t="s">
        <v>97</v>
      </c>
      <c r="J7" s="59" t="s">
        <v>191</v>
      </c>
      <c r="K7">
        <v>104</v>
      </c>
      <c r="L7" t="str">
        <f>VLOOKUP(J7,[1]CFPL!$B:$E,1,0)</f>
        <v>AL BARAKAH DATES SYRUP (400G Packing)</v>
      </c>
    </row>
    <row r="8" spans="1:12" x14ac:dyDescent="0.35">
      <c r="A8" s="10" t="s">
        <v>107</v>
      </c>
      <c r="B8" s="10" t="s">
        <v>108</v>
      </c>
      <c r="C8" s="10" t="s">
        <v>109</v>
      </c>
      <c r="D8" s="10" t="s">
        <v>16</v>
      </c>
      <c r="E8" s="10">
        <v>2</v>
      </c>
      <c r="F8" s="26">
        <v>1.5</v>
      </c>
      <c r="G8" s="10" t="s">
        <v>96</v>
      </c>
      <c r="H8" s="10" t="s">
        <v>97</v>
      </c>
      <c r="J8" s="59" t="s">
        <v>134</v>
      </c>
      <c r="K8">
        <v>10</v>
      </c>
      <c r="L8" t="str">
        <f>VLOOKUP(J8,[1]CFPL!$B:$E,1,0)</f>
        <v>Almond Blanched, whole</v>
      </c>
    </row>
    <row r="9" spans="1:12" x14ac:dyDescent="0.35">
      <c r="A9" t="s">
        <v>22</v>
      </c>
      <c r="B9" t="s">
        <v>25</v>
      </c>
      <c r="C9" t="s">
        <v>110</v>
      </c>
      <c r="D9" t="s">
        <v>16</v>
      </c>
      <c r="E9">
        <v>8</v>
      </c>
      <c r="F9" s="26">
        <v>8</v>
      </c>
      <c r="G9" t="s">
        <v>96</v>
      </c>
      <c r="H9" t="s">
        <v>97</v>
      </c>
      <c r="J9" s="59" t="s">
        <v>132</v>
      </c>
      <c r="K9">
        <v>3.97</v>
      </c>
      <c r="L9" t="str">
        <f>VLOOKUP(J9,[1]CFPL!$B:$E,1,0)</f>
        <v>Almonds Kernel Cube Cut</v>
      </c>
    </row>
    <row r="10" spans="1:12" x14ac:dyDescent="0.35">
      <c r="A10" s="10" t="s">
        <v>111</v>
      </c>
      <c r="B10" s="10" t="s">
        <v>112</v>
      </c>
      <c r="C10" s="10" t="s">
        <v>113</v>
      </c>
      <c r="D10" s="10" t="s">
        <v>16</v>
      </c>
      <c r="E10" s="10">
        <v>10</v>
      </c>
      <c r="F10" s="26">
        <v>9.6999999999999993</v>
      </c>
      <c r="G10" s="10" t="s">
        <v>96</v>
      </c>
      <c r="H10" s="10" t="s">
        <v>97</v>
      </c>
      <c r="J10" s="59" t="s">
        <v>147</v>
      </c>
      <c r="K10">
        <v>60.12</v>
      </c>
      <c r="L10" t="str">
        <f>VLOOKUP(J10,[1]CFPL!$B:$E,1,0)</f>
        <v>American Almond Double Tonch</v>
      </c>
    </row>
    <row r="11" spans="1:12" x14ac:dyDescent="0.35">
      <c r="A11" t="s">
        <v>111</v>
      </c>
      <c r="B11" t="s">
        <v>114</v>
      </c>
      <c r="C11" t="s">
        <v>115</v>
      </c>
      <c r="D11" t="s">
        <v>16</v>
      </c>
      <c r="E11">
        <v>82</v>
      </c>
      <c r="F11" s="26">
        <v>82.2</v>
      </c>
      <c r="G11" t="s">
        <v>96</v>
      </c>
      <c r="H11" t="s">
        <v>97</v>
      </c>
      <c r="J11" s="59" t="s">
        <v>178</v>
      </c>
      <c r="K11">
        <v>50</v>
      </c>
      <c r="L11" t="str">
        <f>VLOOKUP(J11,[1]CFPL!$B:$E,1,0)</f>
        <v>American Almonds Kernal Sanora</v>
      </c>
    </row>
    <row r="12" spans="1:12" x14ac:dyDescent="0.35">
      <c r="A12" s="10" t="s">
        <v>22</v>
      </c>
      <c r="B12" s="10" t="s">
        <v>25</v>
      </c>
      <c r="C12" s="10" t="s">
        <v>116</v>
      </c>
      <c r="D12" s="10" t="s">
        <v>16</v>
      </c>
      <c r="E12" s="10">
        <v>4</v>
      </c>
      <c r="F12" s="26">
        <v>4</v>
      </c>
      <c r="G12" s="10" t="s">
        <v>96</v>
      </c>
      <c r="H12" s="10" t="s">
        <v>97</v>
      </c>
      <c r="J12" s="59" t="s">
        <v>38</v>
      </c>
      <c r="K12">
        <v>336.2</v>
      </c>
      <c r="L12" t="str">
        <f>VLOOKUP(J12,[1]CFPL!$B:$E,1,0)</f>
        <v>American Almonds Running 25-27 count</v>
      </c>
    </row>
    <row r="13" spans="1:12" x14ac:dyDescent="0.35">
      <c r="A13" t="s">
        <v>61</v>
      </c>
      <c r="B13" t="s">
        <v>61</v>
      </c>
      <c r="C13" t="s">
        <v>117</v>
      </c>
      <c r="D13" t="s">
        <v>16</v>
      </c>
      <c r="E13">
        <v>1</v>
      </c>
      <c r="F13" s="26">
        <v>1</v>
      </c>
      <c r="G13" t="s">
        <v>96</v>
      </c>
      <c r="H13" t="s">
        <v>97</v>
      </c>
      <c r="J13" s="59" t="s">
        <v>201</v>
      </c>
      <c r="K13">
        <v>50</v>
      </c>
      <c r="L13" t="str">
        <f>VLOOKUP(J13,[1]CFPL!$B:$E,1,0)</f>
        <v>Anardana Churan</v>
      </c>
    </row>
    <row r="14" spans="1:12" x14ac:dyDescent="0.35">
      <c r="A14" s="10" t="s">
        <v>111</v>
      </c>
      <c r="B14" s="10" t="s">
        <v>118</v>
      </c>
      <c r="C14" s="10" t="s">
        <v>119</v>
      </c>
      <c r="D14" s="10" t="s">
        <v>16</v>
      </c>
      <c r="E14" s="10">
        <v>3</v>
      </c>
      <c r="F14" s="26">
        <v>3</v>
      </c>
      <c r="G14" s="10" t="s">
        <v>96</v>
      </c>
      <c r="H14" s="10" t="s">
        <v>97</v>
      </c>
      <c r="J14" s="59" t="s">
        <v>198</v>
      </c>
      <c r="K14">
        <v>250</v>
      </c>
      <c r="L14" t="str">
        <f>VLOOKUP(J14,[1]CFPL!$B:$E,1,0)</f>
        <v>Anardana Powder</v>
      </c>
    </row>
    <row r="15" spans="1:12" x14ac:dyDescent="0.35">
      <c r="A15" t="s">
        <v>70</v>
      </c>
      <c r="B15" t="s">
        <v>70</v>
      </c>
      <c r="C15" t="s">
        <v>120</v>
      </c>
      <c r="D15" t="s">
        <v>16</v>
      </c>
      <c r="E15">
        <v>2</v>
      </c>
      <c r="F15" s="26">
        <v>1.9</v>
      </c>
      <c r="G15" t="s">
        <v>96</v>
      </c>
      <c r="H15" t="s">
        <v>97</v>
      </c>
      <c r="J15" s="59" t="s">
        <v>62</v>
      </c>
      <c r="K15">
        <v>81.3</v>
      </c>
      <c r="L15" t="str">
        <f>VLOOKUP(J15,[1]CFPL!$B:$E,1,0)</f>
        <v>Barbeque seasoning</v>
      </c>
    </row>
    <row r="16" spans="1:12" x14ac:dyDescent="0.35">
      <c r="A16" s="10" t="s">
        <v>40</v>
      </c>
      <c r="B16" s="10" t="s">
        <v>48</v>
      </c>
      <c r="C16" s="10" t="s">
        <v>121</v>
      </c>
      <c r="D16" s="10" t="s">
        <v>16</v>
      </c>
      <c r="E16" s="10">
        <v>2</v>
      </c>
      <c r="F16" s="26">
        <v>1.9</v>
      </c>
      <c r="G16" s="10" t="s">
        <v>96</v>
      </c>
      <c r="H16" s="10" t="s">
        <v>97</v>
      </c>
      <c r="J16" s="59" t="s">
        <v>168</v>
      </c>
      <c r="K16">
        <v>3</v>
      </c>
      <c r="L16" t="str">
        <f>VLOOKUP(J16,[1]CFPL!$B:$E,1,0)</f>
        <v>Black Pepper Powder</v>
      </c>
    </row>
    <row r="17" spans="1:12" x14ac:dyDescent="0.35">
      <c r="A17" t="s">
        <v>61</v>
      </c>
      <c r="B17" t="s">
        <v>61</v>
      </c>
      <c r="C17" t="s">
        <v>122</v>
      </c>
      <c r="D17" t="s">
        <v>16</v>
      </c>
      <c r="E17">
        <v>15</v>
      </c>
      <c r="F17" s="26">
        <v>15</v>
      </c>
      <c r="G17" t="s">
        <v>96</v>
      </c>
      <c r="H17" t="s">
        <v>97</v>
      </c>
      <c r="J17" s="59" t="s">
        <v>174</v>
      </c>
      <c r="K17">
        <v>32</v>
      </c>
      <c r="L17" t="str">
        <f>VLOOKUP(J17,[1]CFPL!$B:$E,1,0)</f>
        <v>Black Salt, Kala Namak - Crystal</v>
      </c>
    </row>
    <row r="18" spans="1:12" x14ac:dyDescent="0.35">
      <c r="A18" s="10" t="s">
        <v>61</v>
      </c>
      <c r="B18" s="10" t="s">
        <v>61</v>
      </c>
      <c r="C18" s="10" t="s">
        <v>123</v>
      </c>
      <c r="D18" s="10" t="s">
        <v>16</v>
      </c>
      <c r="E18" s="10">
        <v>50</v>
      </c>
      <c r="F18" s="26">
        <v>50</v>
      </c>
      <c r="G18" s="10" t="s">
        <v>96</v>
      </c>
      <c r="H18" s="10" t="s">
        <v>97</v>
      </c>
      <c r="J18" s="59" t="s">
        <v>153</v>
      </c>
      <c r="K18">
        <v>215.46</v>
      </c>
      <c r="L18" t="str">
        <f>VLOOKUP(J18,[1]CFPL!$B:$E,1,0)</f>
        <v>California Pista Inshell Jumbo</v>
      </c>
    </row>
    <row r="19" spans="1:12" x14ac:dyDescent="0.35">
      <c r="A19" t="s">
        <v>124</v>
      </c>
      <c r="B19" t="s">
        <v>125</v>
      </c>
      <c r="C19" t="s">
        <v>126</v>
      </c>
      <c r="D19" t="s">
        <v>16</v>
      </c>
      <c r="E19">
        <v>23</v>
      </c>
      <c r="F19" s="26">
        <v>22.68</v>
      </c>
      <c r="G19" t="s">
        <v>96</v>
      </c>
      <c r="H19" t="s">
        <v>97</v>
      </c>
      <c r="J19" s="59" t="s">
        <v>133</v>
      </c>
      <c r="K19">
        <v>20</v>
      </c>
      <c r="L19" t="str">
        <f>VLOOKUP(J19,[1]CFPL!$B:$E,1,0)</f>
        <v>Cashew Kernel</v>
      </c>
    </row>
    <row r="20" spans="1:12" x14ac:dyDescent="0.35">
      <c r="A20" s="27" t="s">
        <v>61</v>
      </c>
      <c r="B20" s="27" t="s">
        <v>61</v>
      </c>
      <c r="C20" s="27" t="s">
        <v>127</v>
      </c>
      <c r="D20" s="27" t="s">
        <v>16</v>
      </c>
      <c r="E20" s="27">
        <v>25</v>
      </c>
      <c r="F20" s="27">
        <v>25</v>
      </c>
      <c r="G20" s="27" t="s">
        <v>96</v>
      </c>
      <c r="H20" s="27" t="s">
        <v>97</v>
      </c>
      <c r="I20" s="27" t="s">
        <v>283</v>
      </c>
      <c r="J20" s="59" t="s">
        <v>175</v>
      </c>
      <c r="K20">
        <v>1.5</v>
      </c>
      <c r="L20" t="str">
        <f>VLOOKUP(J20,[1]CFPL!$B:$E,1,0)</f>
        <v>CHAT MASALA MDH</v>
      </c>
    </row>
    <row r="21" spans="1:12" x14ac:dyDescent="0.35">
      <c r="A21" t="s">
        <v>61</v>
      </c>
      <c r="B21" t="s">
        <v>61</v>
      </c>
      <c r="C21" t="s">
        <v>128</v>
      </c>
      <c r="D21" t="s">
        <v>16</v>
      </c>
      <c r="E21">
        <v>1</v>
      </c>
      <c r="F21" s="26">
        <v>1</v>
      </c>
      <c r="G21" t="s">
        <v>96</v>
      </c>
      <c r="H21" t="s">
        <v>97</v>
      </c>
      <c r="J21" s="59" t="s">
        <v>141</v>
      </c>
      <c r="K21">
        <v>1.1000000000000001</v>
      </c>
      <c r="L21" t="str">
        <f>VLOOKUP(J21,[1]CFPL!$B:$E,1,0)</f>
        <v>Chatpata Cranberry</v>
      </c>
    </row>
    <row r="22" spans="1:12" x14ac:dyDescent="0.35">
      <c r="A22" s="10" t="s">
        <v>61</v>
      </c>
      <c r="B22" s="10" t="s">
        <v>61</v>
      </c>
      <c r="C22" s="10" t="s">
        <v>129</v>
      </c>
      <c r="D22" s="10" t="s">
        <v>16</v>
      </c>
      <c r="E22" s="10">
        <v>25</v>
      </c>
      <c r="F22" s="26">
        <v>25</v>
      </c>
      <c r="G22" s="10" t="s">
        <v>96</v>
      </c>
      <c r="H22" s="10" t="s">
        <v>97</v>
      </c>
      <c r="J22" s="59" t="s">
        <v>68</v>
      </c>
      <c r="K22">
        <v>37.4</v>
      </c>
      <c r="L22" t="str">
        <f>VLOOKUP(J22,[1]CFPL!$B:$E,1,0)</f>
        <v>Chatpata Seasoning</v>
      </c>
    </row>
    <row r="23" spans="1:12" x14ac:dyDescent="0.35">
      <c r="A23" t="s">
        <v>40</v>
      </c>
      <c r="B23" t="s">
        <v>48</v>
      </c>
      <c r="C23" t="s">
        <v>121</v>
      </c>
      <c r="D23" t="s">
        <v>16</v>
      </c>
      <c r="E23">
        <v>275</v>
      </c>
      <c r="F23" s="26">
        <v>274.62</v>
      </c>
      <c r="G23" t="s">
        <v>96</v>
      </c>
      <c r="H23" t="s">
        <v>97</v>
      </c>
      <c r="J23" s="59" t="s">
        <v>187</v>
      </c>
      <c r="K23">
        <v>10</v>
      </c>
      <c r="L23" t="str">
        <f>VLOOKUP(J23,[1]CFPL!$B:$E,1,0)</f>
        <v>Cheesy Tomato Seasoning 2 (PR01895/001)</v>
      </c>
    </row>
    <row r="24" spans="1:12" x14ac:dyDescent="0.35">
      <c r="A24" s="10" t="s">
        <v>111</v>
      </c>
      <c r="B24" s="10" t="s">
        <v>112</v>
      </c>
      <c r="C24" s="10" t="s">
        <v>130</v>
      </c>
      <c r="D24" s="10" t="s">
        <v>16</v>
      </c>
      <c r="E24" s="10">
        <v>195</v>
      </c>
      <c r="F24" s="26">
        <v>195</v>
      </c>
      <c r="G24" s="10" t="s">
        <v>96</v>
      </c>
      <c r="H24" s="10" t="s">
        <v>97</v>
      </c>
      <c r="J24" s="59" t="s">
        <v>129</v>
      </c>
      <c r="K24">
        <v>25</v>
      </c>
      <c r="L24" t="str">
        <f>VLOOKUP(J24,[1]CFPL!$B:$E,1,0)</f>
        <v>Chilli Garlic Masala Seasoning</v>
      </c>
    </row>
    <row r="25" spans="1:12" x14ac:dyDescent="0.35">
      <c r="A25" t="s">
        <v>36</v>
      </c>
      <c r="B25" t="s">
        <v>131</v>
      </c>
      <c r="C25" t="s">
        <v>132</v>
      </c>
      <c r="D25" t="s">
        <v>16</v>
      </c>
      <c r="E25">
        <v>4</v>
      </c>
      <c r="F25" s="26">
        <v>3.97</v>
      </c>
      <c r="G25" t="s">
        <v>96</v>
      </c>
      <c r="H25" t="s">
        <v>97</v>
      </c>
      <c r="J25" s="59" t="s">
        <v>117</v>
      </c>
      <c r="K25">
        <v>1</v>
      </c>
      <c r="L25" t="str">
        <f>VLOOKUP(J25,[1]CFPL!$B:$E,1,0)</f>
        <v>Chilli Powder</v>
      </c>
    </row>
    <row r="26" spans="1:12" x14ac:dyDescent="0.35">
      <c r="A26" s="10" t="s">
        <v>17</v>
      </c>
      <c r="B26" s="10" t="s">
        <v>18</v>
      </c>
      <c r="C26" s="10" t="s">
        <v>133</v>
      </c>
      <c r="D26" s="10" t="s">
        <v>16</v>
      </c>
      <c r="E26" s="10">
        <v>10</v>
      </c>
      <c r="F26" s="26">
        <v>10</v>
      </c>
      <c r="G26" s="10" t="s">
        <v>96</v>
      </c>
      <c r="H26" s="10" t="s">
        <v>97</v>
      </c>
      <c r="J26" s="59" t="s">
        <v>122</v>
      </c>
      <c r="K26">
        <v>135</v>
      </c>
      <c r="L26" t="str">
        <f>VLOOKUP(J26,[1]CFPL!$B:$E,1,0)</f>
        <v>Chipotle Honey Seasoning</v>
      </c>
    </row>
    <row r="27" spans="1:12" x14ac:dyDescent="0.35">
      <c r="A27" t="s">
        <v>36</v>
      </c>
      <c r="B27" t="s">
        <v>37</v>
      </c>
      <c r="C27" t="s">
        <v>134</v>
      </c>
      <c r="D27" t="s">
        <v>16</v>
      </c>
      <c r="E27">
        <v>10</v>
      </c>
      <c r="F27" s="26">
        <v>10</v>
      </c>
      <c r="G27" t="s">
        <v>96</v>
      </c>
      <c r="H27" t="s">
        <v>97</v>
      </c>
      <c r="J27" s="59" t="s">
        <v>159</v>
      </c>
      <c r="K27">
        <v>25</v>
      </c>
      <c r="L27" t="str">
        <f>VLOOKUP(J27,[1]CFPL!$B:$E,1,0)</f>
        <v>Coating Mix</v>
      </c>
    </row>
    <row r="28" spans="1:12" x14ac:dyDescent="0.35">
      <c r="A28" s="10" t="s">
        <v>13</v>
      </c>
      <c r="B28" s="10" t="s">
        <v>135</v>
      </c>
      <c r="C28" s="10" t="s">
        <v>136</v>
      </c>
      <c r="D28" s="10" t="s">
        <v>16</v>
      </c>
      <c r="E28" s="10">
        <v>52</v>
      </c>
      <c r="F28" s="26">
        <v>52.45</v>
      </c>
      <c r="G28" s="10" t="s">
        <v>96</v>
      </c>
      <c r="H28" s="10" t="s">
        <v>97</v>
      </c>
      <c r="J28" s="59" t="s">
        <v>120</v>
      </c>
      <c r="K28">
        <v>1.9</v>
      </c>
      <c r="L28" t="str">
        <f>VLOOKUP(J28,[1]CFPL!$B:$E,1,0)</f>
        <v>Cocktail Mix</v>
      </c>
    </row>
    <row r="29" spans="1:12" x14ac:dyDescent="0.35">
      <c r="A29" t="s">
        <v>100</v>
      </c>
      <c r="B29" t="s">
        <v>101</v>
      </c>
      <c r="C29" t="s">
        <v>101</v>
      </c>
      <c r="D29" t="s">
        <v>16</v>
      </c>
      <c r="E29">
        <v>37</v>
      </c>
      <c r="F29" s="26">
        <v>37.200000000000003</v>
      </c>
      <c r="G29" t="s">
        <v>96</v>
      </c>
      <c r="H29" t="s">
        <v>97</v>
      </c>
      <c r="J29" s="59" t="s">
        <v>116</v>
      </c>
      <c r="K29">
        <v>4</v>
      </c>
      <c r="L29" t="str">
        <f>VLOOKUP(J29,[1]CFPL!$B:$E,1,0)</f>
        <v>Cocoa Powder</v>
      </c>
    </row>
    <row r="30" spans="1:12" x14ac:dyDescent="0.35">
      <c r="A30" s="10" t="s">
        <v>43</v>
      </c>
      <c r="B30" s="10" t="s">
        <v>137</v>
      </c>
      <c r="C30" s="10" t="s">
        <v>138</v>
      </c>
      <c r="D30" s="10" t="s">
        <v>16</v>
      </c>
      <c r="E30" s="10">
        <v>1</v>
      </c>
      <c r="F30" s="26">
        <v>0.95</v>
      </c>
      <c r="G30" s="10" t="s">
        <v>96</v>
      </c>
      <c r="H30" s="10" t="s">
        <v>97</v>
      </c>
      <c r="J30" s="59" t="s">
        <v>158</v>
      </c>
      <c r="K30">
        <v>215.46</v>
      </c>
      <c r="L30" t="str">
        <f>VLOOKUP(J30,[1]CFPL!$B:$E,1,0)</f>
        <v>Cranberry Slice Apple Infused</v>
      </c>
    </row>
    <row r="31" spans="1:12" x14ac:dyDescent="0.35">
      <c r="A31" t="s">
        <v>139</v>
      </c>
      <c r="B31" t="s">
        <v>140</v>
      </c>
      <c r="C31" t="s">
        <v>141</v>
      </c>
      <c r="D31" t="s">
        <v>16</v>
      </c>
      <c r="E31">
        <v>1</v>
      </c>
      <c r="F31" s="26">
        <v>1.1000000000000001</v>
      </c>
      <c r="G31" t="s">
        <v>96</v>
      </c>
      <c r="H31" t="s">
        <v>97</v>
      </c>
      <c r="J31" s="59" t="s">
        <v>106</v>
      </c>
      <c r="K31">
        <v>143.69999999999999</v>
      </c>
      <c r="L31" t="str">
        <f>VLOOKUP(J31,[1]CFPL!$B:$E,1,0)</f>
        <v>Crunchy Caramel Trail Mix</v>
      </c>
    </row>
    <row r="32" spans="1:12" x14ac:dyDescent="0.35">
      <c r="A32" s="10" t="s">
        <v>142</v>
      </c>
      <c r="B32" s="10" t="s">
        <v>143</v>
      </c>
      <c r="C32" s="10" t="s">
        <v>144</v>
      </c>
      <c r="D32" s="10" t="s">
        <v>16</v>
      </c>
      <c r="E32" s="10">
        <v>1</v>
      </c>
      <c r="F32" s="26">
        <v>0.85</v>
      </c>
      <c r="G32" s="10" t="s">
        <v>96</v>
      </c>
      <c r="H32" s="10" t="s">
        <v>97</v>
      </c>
      <c r="J32" s="59" t="s">
        <v>173</v>
      </c>
      <c r="K32">
        <v>51.2</v>
      </c>
      <c r="L32" t="str">
        <f>VLOOKUP(J32,[1]CFPL!$B:$E,1,0)</f>
        <v>Dark Compound Chips</v>
      </c>
    </row>
    <row r="33" spans="1:12" x14ac:dyDescent="0.35">
      <c r="A33" t="s">
        <v>43</v>
      </c>
      <c r="B33" t="s">
        <v>145</v>
      </c>
      <c r="C33" t="s">
        <v>146</v>
      </c>
      <c r="D33" t="s">
        <v>16</v>
      </c>
      <c r="E33">
        <v>18</v>
      </c>
      <c r="F33" s="26">
        <v>18.399999999999999</v>
      </c>
      <c r="G33" t="s">
        <v>96</v>
      </c>
      <c r="H33" t="s">
        <v>97</v>
      </c>
      <c r="J33" s="59" t="s">
        <v>115</v>
      </c>
      <c r="K33">
        <v>82.2</v>
      </c>
      <c r="L33" t="str">
        <f>VLOOKUP(J33,[1]CFPL!$B:$E,1,0)</f>
        <v>Dehydrated Mango</v>
      </c>
    </row>
    <row r="34" spans="1:12" x14ac:dyDescent="0.35">
      <c r="A34" s="10" t="s">
        <v>36</v>
      </c>
      <c r="B34" s="10" t="s">
        <v>37</v>
      </c>
      <c r="C34" s="10" t="s">
        <v>147</v>
      </c>
      <c r="D34" s="10" t="s">
        <v>16</v>
      </c>
      <c r="E34" s="10">
        <v>60</v>
      </c>
      <c r="F34" s="26">
        <v>60.12</v>
      </c>
      <c r="G34" s="10" t="s">
        <v>96</v>
      </c>
      <c r="H34" s="10" t="s">
        <v>97</v>
      </c>
      <c r="J34" s="59" t="s">
        <v>109</v>
      </c>
      <c r="K34">
        <v>3011.5199999999995</v>
      </c>
      <c r="L34" t="str">
        <f>VLOOKUP(J34,[1]CFPL!$B:$E,1,0)</f>
        <v>Dried Blueberry</v>
      </c>
    </row>
    <row r="35" spans="1:12" x14ac:dyDescent="0.35">
      <c r="A35" t="s">
        <v>100</v>
      </c>
      <c r="B35" t="s">
        <v>101</v>
      </c>
      <c r="C35" t="s">
        <v>101</v>
      </c>
      <c r="D35" t="s">
        <v>16</v>
      </c>
      <c r="E35">
        <v>3</v>
      </c>
      <c r="F35" s="26">
        <v>3.4</v>
      </c>
      <c r="G35" t="s">
        <v>96</v>
      </c>
      <c r="H35" t="s">
        <v>97</v>
      </c>
      <c r="J35" s="59" t="s">
        <v>172</v>
      </c>
      <c r="K35">
        <v>55.35</v>
      </c>
      <c r="L35" t="str">
        <f>VLOOKUP(J35,[1]CFPL!$B:$E,1,0)</f>
        <v>Dried Blueberry Apple Infused</v>
      </c>
    </row>
    <row r="36" spans="1:12" x14ac:dyDescent="0.35">
      <c r="A36" s="10" t="s">
        <v>61</v>
      </c>
      <c r="B36" s="10" t="s">
        <v>61</v>
      </c>
      <c r="C36" s="10" t="s">
        <v>148</v>
      </c>
      <c r="D36" s="10" t="s">
        <v>16</v>
      </c>
      <c r="E36" s="10">
        <v>26</v>
      </c>
      <c r="F36" s="26">
        <v>26</v>
      </c>
      <c r="G36" s="10" t="s">
        <v>96</v>
      </c>
      <c r="H36" s="10" t="s">
        <v>97</v>
      </c>
      <c r="J36" s="59" t="s">
        <v>195</v>
      </c>
      <c r="K36">
        <v>45.36</v>
      </c>
      <c r="L36" t="str">
        <f>VLOOKUP(J36,[1]CFPL!$B:$E,1,0)</f>
        <v>Dried Cranberry Sliced</v>
      </c>
    </row>
    <row r="37" spans="1:12" x14ac:dyDescent="0.35">
      <c r="A37" t="s">
        <v>100</v>
      </c>
      <c r="B37" t="s">
        <v>149</v>
      </c>
      <c r="C37" t="s">
        <v>150</v>
      </c>
      <c r="D37" t="s">
        <v>16</v>
      </c>
      <c r="E37">
        <v>15</v>
      </c>
      <c r="F37" s="26">
        <v>14.8</v>
      </c>
      <c r="G37" t="s">
        <v>96</v>
      </c>
      <c r="H37" t="s">
        <v>97</v>
      </c>
      <c r="J37" s="59" t="s">
        <v>189</v>
      </c>
      <c r="K37">
        <v>1740.52</v>
      </c>
      <c r="L37" t="str">
        <f>VLOOKUP(J37,[1]CFPL!$B:$E,1,0)</f>
        <v>Dried Cranberry Whole</v>
      </c>
    </row>
    <row r="38" spans="1:12" x14ac:dyDescent="0.35">
      <c r="A38" s="10" t="s">
        <v>111</v>
      </c>
      <c r="B38" s="10" t="s">
        <v>151</v>
      </c>
      <c r="C38" s="10" t="s">
        <v>152</v>
      </c>
      <c r="D38" s="10" t="s">
        <v>16</v>
      </c>
      <c r="E38" s="10">
        <v>5</v>
      </c>
      <c r="F38" s="26">
        <v>5</v>
      </c>
      <c r="G38" s="10" t="s">
        <v>96</v>
      </c>
      <c r="H38" s="10" t="s">
        <v>97</v>
      </c>
      <c r="J38" s="59" t="s">
        <v>119</v>
      </c>
      <c r="K38">
        <v>3</v>
      </c>
      <c r="L38" t="str">
        <f>VLOOKUP(J38,[1]CFPL!$B:$E,1,0)</f>
        <v>Dried Ginger Powder - Saunth Powder</v>
      </c>
    </row>
    <row r="39" spans="1:12" x14ac:dyDescent="0.35">
      <c r="A39" t="s">
        <v>40</v>
      </c>
      <c r="B39" t="s">
        <v>41</v>
      </c>
      <c r="C39" t="s">
        <v>153</v>
      </c>
      <c r="D39" t="s">
        <v>16</v>
      </c>
      <c r="E39">
        <v>215</v>
      </c>
      <c r="F39" s="26">
        <v>215.46</v>
      </c>
      <c r="G39" t="s">
        <v>96</v>
      </c>
      <c r="H39" t="s">
        <v>97</v>
      </c>
      <c r="J39" s="59" t="s">
        <v>156</v>
      </c>
      <c r="K39">
        <v>80</v>
      </c>
      <c r="L39" t="str">
        <f>VLOOKUP(J39,[1]CFPL!$B:$E,1,0)</f>
        <v>Dried Goji Berry</v>
      </c>
    </row>
    <row r="40" spans="1:12" x14ac:dyDescent="0.35">
      <c r="A40" s="10" t="s">
        <v>61</v>
      </c>
      <c r="B40" s="10" t="s">
        <v>61</v>
      </c>
      <c r="C40" s="10" t="s">
        <v>154</v>
      </c>
      <c r="D40" s="10" t="s">
        <v>16</v>
      </c>
      <c r="E40" s="10">
        <v>52</v>
      </c>
      <c r="F40" s="26">
        <v>51.5</v>
      </c>
      <c r="G40" s="10" t="s">
        <v>96</v>
      </c>
      <c r="H40" s="10" t="s">
        <v>97</v>
      </c>
      <c r="J40" s="59" t="s">
        <v>160</v>
      </c>
      <c r="K40">
        <v>5</v>
      </c>
      <c r="L40" t="str">
        <f>VLOOKUP(J40,[1]CFPL!$B:$E,1,0)</f>
        <v>Dried Mango Powder - Amchur</v>
      </c>
    </row>
    <row r="41" spans="1:12" x14ac:dyDescent="0.35">
      <c r="A41" t="s">
        <v>111</v>
      </c>
      <c r="B41" t="s">
        <v>155</v>
      </c>
      <c r="C41" t="s">
        <v>156</v>
      </c>
      <c r="D41" t="s">
        <v>16</v>
      </c>
      <c r="E41">
        <v>80</v>
      </c>
      <c r="F41" s="26">
        <v>80</v>
      </c>
      <c r="G41" t="s">
        <v>96</v>
      </c>
      <c r="H41" t="s">
        <v>97</v>
      </c>
      <c r="J41" s="59" t="s">
        <v>113</v>
      </c>
      <c r="K41">
        <v>9.6999999999999993</v>
      </c>
      <c r="L41" t="str">
        <f>VLOOKUP(J41,[1]CFPL!$B:$E,1,0)</f>
        <v>Dried Orange Peel</v>
      </c>
    </row>
    <row r="42" spans="1:12" x14ac:dyDescent="0.35">
      <c r="A42" s="10" t="s">
        <v>61</v>
      </c>
      <c r="B42" s="10" t="s">
        <v>61</v>
      </c>
      <c r="C42" s="10" t="s">
        <v>62</v>
      </c>
      <c r="D42" s="10" t="s">
        <v>16</v>
      </c>
      <c r="E42" s="10">
        <v>5</v>
      </c>
      <c r="F42" s="26">
        <v>5</v>
      </c>
      <c r="G42" s="10" t="s">
        <v>96</v>
      </c>
      <c r="H42" s="10" t="s">
        <v>97</v>
      </c>
      <c r="J42" s="59" t="s">
        <v>152</v>
      </c>
      <c r="K42">
        <v>5</v>
      </c>
      <c r="L42" t="str">
        <f>VLOOKUP(J42,[1]CFPL!$B:$E,1,0)</f>
        <v>Dried Pineapple</v>
      </c>
    </row>
    <row r="43" spans="1:12" x14ac:dyDescent="0.35">
      <c r="A43" t="s">
        <v>139</v>
      </c>
      <c r="B43" t="s">
        <v>157</v>
      </c>
      <c r="C43" t="s">
        <v>158</v>
      </c>
      <c r="D43" t="s">
        <v>16</v>
      </c>
      <c r="E43">
        <v>204</v>
      </c>
      <c r="F43" s="26">
        <v>204.12</v>
      </c>
      <c r="G43" t="s">
        <v>96</v>
      </c>
      <c r="H43" t="s">
        <v>97</v>
      </c>
      <c r="J43" s="59" t="s">
        <v>126</v>
      </c>
      <c r="K43">
        <v>5068.9800000000005</v>
      </c>
      <c r="L43" t="str">
        <f>VLOOKUP(J43,[1]CFPL!$B:$E,1,0)</f>
        <v>Dried Prunes (Pitted)</v>
      </c>
    </row>
    <row r="44" spans="1:12" x14ac:dyDescent="0.35">
      <c r="A44" s="10" t="s">
        <v>100</v>
      </c>
      <c r="B44" s="10" t="s">
        <v>101</v>
      </c>
      <c r="C44" s="10" t="s">
        <v>102</v>
      </c>
      <c r="D44" s="10" t="s">
        <v>16</v>
      </c>
      <c r="E44" s="10">
        <v>54</v>
      </c>
      <c r="F44" s="26">
        <v>54.4</v>
      </c>
      <c r="G44" s="10" t="s">
        <v>96</v>
      </c>
      <c r="H44" s="10" t="s">
        <v>97</v>
      </c>
      <c r="J44" s="59" t="s">
        <v>177</v>
      </c>
      <c r="K44">
        <v>3429</v>
      </c>
      <c r="L44" t="str">
        <f>VLOOKUP(J44,[1]CFPL!$B:$E,1,0)</f>
        <v>DRY DATES-GRADE 2</v>
      </c>
    </row>
    <row r="45" spans="1:12" x14ac:dyDescent="0.35">
      <c r="A45" t="s">
        <v>22</v>
      </c>
      <c r="B45" t="s">
        <v>25</v>
      </c>
      <c r="C45" t="s">
        <v>159</v>
      </c>
      <c r="D45" t="s">
        <v>16</v>
      </c>
      <c r="E45">
        <v>25</v>
      </c>
      <c r="F45" s="26">
        <v>25</v>
      </c>
      <c r="G45" t="s">
        <v>96</v>
      </c>
      <c r="H45" t="s">
        <v>97</v>
      </c>
      <c r="J45" s="59" t="s">
        <v>144</v>
      </c>
      <c r="K45">
        <v>0.85</v>
      </c>
      <c r="L45" t="str">
        <f>VLOOKUP(J45,[1]CFPL!$B:$E,1,0)</f>
        <v>Ez Walnut Whole Loose</v>
      </c>
    </row>
    <row r="46" spans="1:12" x14ac:dyDescent="0.35">
      <c r="A46" s="10" t="s">
        <v>61</v>
      </c>
      <c r="B46" s="10" t="s">
        <v>61</v>
      </c>
      <c r="C46" s="10" t="s">
        <v>160</v>
      </c>
      <c r="D46" s="10" t="s">
        <v>16</v>
      </c>
      <c r="E46" s="10">
        <v>2</v>
      </c>
      <c r="F46" s="26">
        <v>2</v>
      </c>
      <c r="G46" s="10" t="s">
        <v>96</v>
      </c>
      <c r="H46" s="10" t="s">
        <v>97</v>
      </c>
      <c r="J46" s="59" t="s">
        <v>181</v>
      </c>
      <c r="K46">
        <v>76.7</v>
      </c>
      <c r="L46" t="str">
        <f>VLOOKUP(J46,[1]CFPL!$B:$E,1,0)</f>
        <v>GREEK DARK SEEDLESS RAISINS (Black Currant)</v>
      </c>
    </row>
    <row r="47" spans="1:12" x14ac:dyDescent="0.35">
      <c r="A47" t="s">
        <v>100</v>
      </c>
      <c r="B47" t="s">
        <v>149</v>
      </c>
      <c r="C47" t="s">
        <v>161</v>
      </c>
      <c r="D47" t="s">
        <v>16</v>
      </c>
      <c r="E47">
        <v>11</v>
      </c>
      <c r="F47" s="26">
        <v>11.34</v>
      </c>
      <c r="G47" t="s">
        <v>96</v>
      </c>
      <c r="H47" t="s">
        <v>97</v>
      </c>
      <c r="J47" s="59" t="s">
        <v>207</v>
      </c>
      <c r="K47">
        <v>28</v>
      </c>
      <c r="L47" t="str">
        <f>VLOOKUP(J47,[1]CFPL!$B:$E,1,0)</f>
        <v>Hazelnut Kernal</v>
      </c>
    </row>
    <row r="48" spans="1:12" x14ac:dyDescent="0.35">
      <c r="A48" s="10" t="s">
        <v>61</v>
      </c>
      <c r="B48" s="10" t="s">
        <v>61</v>
      </c>
      <c r="C48" s="10" t="s">
        <v>162</v>
      </c>
      <c r="D48" s="10" t="s">
        <v>16</v>
      </c>
      <c r="E48" s="10">
        <v>25</v>
      </c>
      <c r="F48" s="26">
        <v>25</v>
      </c>
      <c r="G48" s="10" t="s">
        <v>96</v>
      </c>
      <c r="H48" s="10" t="s">
        <v>97</v>
      </c>
      <c r="J48" s="59" t="s">
        <v>136</v>
      </c>
      <c r="K48">
        <v>52.45</v>
      </c>
      <c r="L48" t="str">
        <f>VLOOKUP(J48,[1]CFPL!$B:$E,1,0)</f>
        <v>Hemp Seeds</v>
      </c>
    </row>
    <row r="49" spans="1:12" x14ac:dyDescent="0.35">
      <c r="A49" t="s">
        <v>22</v>
      </c>
      <c r="B49" t="s">
        <v>25</v>
      </c>
      <c r="C49" t="s">
        <v>163</v>
      </c>
      <c r="D49" t="s">
        <v>16</v>
      </c>
      <c r="E49">
        <v>25</v>
      </c>
      <c r="F49" s="26">
        <v>25</v>
      </c>
      <c r="G49" t="s">
        <v>96</v>
      </c>
      <c r="H49" t="s">
        <v>97</v>
      </c>
      <c r="J49" s="59" t="s">
        <v>105</v>
      </c>
      <c r="K49">
        <v>12</v>
      </c>
      <c r="L49" t="e">
        <f>VLOOKUP(J49,[1]CFPL!$B:$E,1,0)</f>
        <v>#N/A</v>
      </c>
    </row>
    <row r="50" spans="1:12" x14ac:dyDescent="0.35">
      <c r="A50" s="10" t="s">
        <v>100</v>
      </c>
      <c r="B50" s="10" t="s">
        <v>149</v>
      </c>
      <c r="C50" s="10" t="s">
        <v>164</v>
      </c>
      <c r="D50" s="10" t="s">
        <v>16</v>
      </c>
      <c r="E50" s="10">
        <v>2</v>
      </c>
      <c r="F50" s="26">
        <v>2</v>
      </c>
      <c r="G50" s="10" t="s">
        <v>96</v>
      </c>
      <c r="H50" s="10" t="s">
        <v>97</v>
      </c>
      <c r="J50" s="59" t="s">
        <v>184</v>
      </c>
      <c r="K50">
        <v>50</v>
      </c>
      <c r="L50" t="str">
        <f>VLOOKUP(J50,[1]CFPL!$B:$E,1,0)</f>
        <v>Lemon Pepper Seasoning</v>
      </c>
    </row>
    <row r="51" spans="1:12" x14ac:dyDescent="0.35">
      <c r="A51" t="s">
        <v>100</v>
      </c>
      <c r="B51" t="s">
        <v>149</v>
      </c>
      <c r="C51" t="s">
        <v>165</v>
      </c>
      <c r="D51" t="s">
        <v>16</v>
      </c>
      <c r="E51">
        <v>11</v>
      </c>
      <c r="F51" s="26">
        <v>11</v>
      </c>
      <c r="G51" t="s">
        <v>96</v>
      </c>
      <c r="H51" t="s">
        <v>97</v>
      </c>
      <c r="J51" s="59" t="s">
        <v>95</v>
      </c>
      <c r="K51">
        <v>5</v>
      </c>
      <c r="L51" t="str">
        <f>VLOOKUP(J51,[1]CFPL!$B:$E,1,0)</f>
        <v>Lime Chilli Seasoning</v>
      </c>
    </row>
    <row r="52" spans="1:12" x14ac:dyDescent="0.35">
      <c r="A52" s="10" t="s">
        <v>100</v>
      </c>
      <c r="B52" s="10" t="s">
        <v>149</v>
      </c>
      <c r="C52" s="10" t="s">
        <v>150</v>
      </c>
      <c r="D52" s="10" t="s">
        <v>16</v>
      </c>
      <c r="E52" s="10">
        <v>1</v>
      </c>
      <c r="F52" s="26">
        <v>1.4</v>
      </c>
      <c r="G52" s="10" t="s">
        <v>96</v>
      </c>
      <c r="H52" s="10" t="s">
        <v>97</v>
      </c>
      <c r="J52" s="59" t="s">
        <v>150</v>
      </c>
      <c r="K52">
        <v>16.2</v>
      </c>
      <c r="L52" t="str">
        <f>VLOOKUP(J52,[1]CFPL!$B:$E,1,0)</f>
        <v>Macadamia Commercial Grade Style 4L</v>
      </c>
    </row>
    <row r="53" spans="1:12" x14ac:dyDescent="0.35">
      <c r="A53" t="s">
        <v>100</v>
      </c>
      <c r="B53" t="s">
        <v>149</v>
      </c>
      <c r="C53" t="s">
        <v>166</v>
      </c>
      <c r="D53" t="s">
        <v>16</v>
      </c>
      <c r="E53">
        <v>44</v>
      </c>
      <c r="F53" s="26">
        <v>44.08</v>
      </c>
      <c r="G53" t="s">
        <v>96</v>
      </c>
      <c r="H53" t="s">
        <v>97</v>
      </c>
      <c r="J53" s="59" t="s">
        <v>164</v>
      </c>
      <c r="K53">
        <v>2</v>
      </c>
      <c r="L53" t="str">
        <f>VLOOKUP(J53,[1]CFPL!$B:$E,1,0)</f>
        <v>Macadamia Kernel ( Kg )</v>
      </c>
    </row>
    <row r="54" spans="1:12" x14ac:dyDescent="0.35">
      <c r="A54" s="10" t="s">
        <v>22</v>
      </c>
      <c r="B54" s="10" t="s">
        <v>25</v>
      </c>
      <c r="C54" s="10" t="s">
        <v>163</v>
      </c>
      <c r="D54" s="10" t="s">
        <v>16</v>
      </c>
      <c r="E54" s="10">
        <v>1</v>
      </c>
      <c r="F54" s="26">
        <v>1</v>
      </c>
      <c r="G54" s="10" t="s">
        <v>96</v>
      </c>
      <c r="H54" s="10" t="s">
        <v>97</v>
      </c>
      <c r="J54" s="59" t="s">
        <v>166</v>
      </c>
      <c r="K54">
        <v>44.08</v>
      </c>
      <c r="L54" t="str">
        <f>VLOOKUP(J54,[1]CFPL!$B:$E,1,0)</f>
        <v>Macadamia Roasted - Size 4</v>
      </c>
    </row>
    <row r="55" spans="1:12" x14ac:dyDescent="0.35">
      <c r="A55" t="s">
        <v>61</v>
      </c>
      <c r="B55" t="s">
        <v>61</v>
      </c>
      <c r="C55" t="s">
        <v>123</v>
      </c>
      <c r="D55" t="s">
        <v>16</v>
      </c>
      <c r="E55">
        <v>2</v>
      </c>
      <c r="F55" s="26">
        <v>2</v>
      </c>
      <c r="G55" t="s">
        <v>96</v>
      </c>
      <c r="H55" t="s">
        <v>97</v>
      </c>
      <c r="J55" s="59" t="s">
        <v>161</v>
      </c>
      <c r="K55">
        <v>22.68</v>
      </c>
      <c r="L55" t="str">
        <f>VLOOKUP(J55,[1]CFPL!$B:$E,1,0)</f>
        <v>Macadamia Roasted - Size 4L</v>
      </c>
    </row>
    <row r="56" spans="1:12" x14ac:dyDescent="0.35">
      <c r="A56" s="10" t="s">
        <v>61</v>
      </c>
      <c r="B56" s="10" t="s">
        <v>61</v>
      </c>
      <c r="C56" s="10" t="s">
        <v>154</v>
      </c>
      <c r="D56" s="10" t="s">
        <v>16</v>
      </c>
      <c r="E56" s="10">
        <v>25</v>
      </c>
      <c r="F56" s="26">
        <v>25</v>
      </c>
      <c r="G56" s="10" t="s">
        <v>96</v>
      </c>
      <c r="H56" s="10" t="s">
        <v>97</v>
      </c>
      <c r="J56" s="59" t="s">
        <v>165</v>
      </c>
      <c r="K56">
        <v>11</v>
      </c>
      <c r="L56" t="str">
        <f>VLOOKUP(J56,[1]CFPL!$B:$E,1,0)</f>
        <v>Macadamia Roasted - Size 6</v>
      </c>
    </row>
    <row r="57" spans="1:12" x14ac:dyDescent="0.35">
      <c r="A57" t="s">
        <v>61</v>
      </c>
      <c r="B57" t="s">
        <v>61</v>
      </c>
      <c r="C57" t="s">
        <v>160</v>
      </c>
      <c r="D57" t="s">
        <v>16</v>
      </c>
      <c r="E57">
        <v>1</v>
      </c>
      <c r="F57" s="26">
        <v>1</v>
      </c>
      <c r="G57" t="s">
        <v>96</v>
      </c>
      <c r="H57" t="s">
        <v>97</v>
      </c>
      <c r="J57" s="59" t="s">
        <v>185</v>
      </c>
      <c r="K57">
        <v>25</v>
      </c>
      <c r="L57" t="str">
        <f>VLOOKUP(J57,[1]CFPL!$B:$E,1,0)</f>
        <v>Magic Masala Seasoning</v>
      </c>
    </row>
    <row r="58" spans="1:12" x14ac:dyDescent="0.35">
      <c r="A58" s="10" t="s">
        <v>61</v>
      </c>
      <c r="B58" s="10" t="s">
        <v>61</v>
      </c>
      <c r="C58" s="10" t="s">
        <v>167</v>
      </c>
      <c r="D58" s="10" t="s">
        <v>16</v>
      </c>
      <c r="E58" s="10">
        <v>2</v>
      </c>
      <c r="F58" s="26">
        <v>2</v>
      </c>
      <c r="G58" s="10" t="s">
        <v>96</v>
      </c>
      <c r="H58" s="10" t="s">
        <v>97</v>
      </c>
      <c r="J58" s="59" t="s">
        <v>200</v>
      </c>
      <c r="K58">
        <v>3</v>
      </c>
      <c r="L58" t="str">
        <f>VLOOKUP(J58,[1]CFPL!$B:$E,1,0)</f>
        <v>NASURE 19</v>
      </c>
    </row>
    <row r="59" spans="1:12" x14ac:dyDescent="0.35">
      <c r="A59" t="s">
        <v>61</v>
      </c>
      <c r="B59" t="s">
        <v>61</v>
      </c>
      <c r="C59" t="s">
        <v>168</v>
      </c>
      <c r="D59" t="s">
        <v>16</v>
      </c>
      <c r="E59">
        <v>3</v>
      </c>
      <c r="F59" s="26">
        <v>3</v>
      </c>
      <c r="G59" t="s">
        <v>96</v>
      </c>
      <c r="H59" t="s">
        <v>97</v>
      </c>
      <c r="J59" s="59" t="s">
        <v>130</v>
      </c>
      <c r="K59">
        <v>195</v>
      </c>
      <c r="L59" t="str">
        <f>VLOOKUP(J59,[1]CFPL!$B:$E,1,0)</f>
        <v>Orange Peel</v>
      </c>
    </row>
    <row r="60" spans="1:12" x14ac:dyDescent="0.35">
      <c r="A60" s="10" t="s">
        <v>61</v>
      </c>
      <c r="B60" s="10" t="s">
        <v>61</v>
      </c>
      <c r="C60" s="10" t="s">
        <v>62</v>
      </c>
      <c r="D60" s="10" t="s">
        <v>16</v>
      </c>
      <c r="E60" s="10">
        <v>1</v>
      </c>
      <c r="F60" s="26">
        <v>1.3</v>
      </c>
      <c r="G60" s="10" t="s">
        <v>96</v>
      </c>
      <c r="H60" s="10" t="s">
        <v>97</v>
      </c>
      <c r="J60" s="59" t="s">
        <v>199</v>
      </c>
      <c r="K60">
        <v>30</v>
      </c>
      <c r="L60" t="str">
        <f>VLOOKUP(J60,[1]CFPL!$B:$E,1,0)</f>
        <v>Orange Slice / Pieces</v>
      </c>
    </row>
    <row r="61" spans="1:12" x14ac:dyDescent="0.35">
      <c r="A61" t="s">
        <v>61</v>
      </c>
      <c r="B61" t="s">
        <v>61</v>
      </c>
      <c r="C61" t="s">
        <v>169</v>
      </c>
      <c r="D61" t="s">
        <v>16</v>
      </c>
      <c r="E61">
        <v>25</v>
      </c>
      <c r="F61" s="26">
        <v>25</v>
      </c>
      <c r="G61" t="s">
        <v>96</v>
      </c>
      <c r="H61" t="s">
        <v>97</v>
      </c>
      <c r="J61" s="59" t="s">
        <v>162</v>
      </c>
      <c r="K61">
        <v>25</v>
      </c>
      <c r="L61" t="str">
        <f>VLOOKUP(J61,[1]CFPL!$B:$E,1,0)</f>
        <v>Paan Seasoning AB319</v>
      </c>
    </row>
    <row r="62" spans="1:12" x14ac:dyDescent="0.35">
      <c r="A62" s="10" t="s">
        <v>61</v>
      </c>
      <c r="B62" s="10" t="s">
        <v>61</v>
      </c>
      <c r="C62" s="10" t="s">
        <v>170</v>
      </c>
      <c r="D62" s="10" t="s">
        <v>16</v>
      </c>
      <c r="E62" s="10">
        <v>10</v>
      </c>
      <c r="F62" s="26">
        <v>10</v>
      </c>
      <c r="G62" s="10" t="s">
        <v>96</v>
      </c>
      <c r="H62" s="10" t="s">
        <v>97</v>
      </c>
      <c r="J62" s="59" t="s">
        <v>101</v>
      </c>
      <c r="K62">
        <v>181.6</v>
      </c>
      <c r="L62" t="str">
        <f>VLOOKUP(J62,[1]CFPL!$B:$E,1,0)</f>
        <v>Pecan Nuts</v>
      </c>
    </row>
    <row r="63" spans="1:12" x14ac:dyDescent="0.35">
      <c r="A63" t="s">
        <v>107</v>
      </c>
      <c r="B63" t="s">
        <v>171</v>
      </c>
      <c r="C63" t="s">
        <v>172</v>
      </c>
      <c r="D63" t="s">
        <v>16</v>
      </c>
      <c r="E63">
        <v>45</v>
      </c>
      <c r="F63" s="26">
        <v>45.35</v>
      </c>
      <c r="G63" t="s">
        <v>96</v>
      </c>
      <c r="H63" t="s">
        <v>97</v>
      </c>
      <c r="J63" s="59" t="s">
        <v>102</v>
      </c>
      <c r="K63">
        <v>129.4</v>
      </c>
      <c r="L63" t="str">
        <f>VLOOKUP(J63,[1]CFPL!$B:$E,1,0)</f>
        <v>Pecans Nuts Inshell</v>
      </c>
    </row>
    <row r="64" spans="1:12" x14ac:dyDescent="0.35">
      <c r="A64" s="28" t="s">
        <v>61</v>
      </c>
      <c r="B64" s="28" t="s">
        <v>61</v>
      </c>
      <c r="C64" s="28" t="s">
        <v>123</v>
      </c>
      <c r="D64" s="28" t="s">
        <v>16</v>
      </c>
      <c r="E64" s="28">
        <v>2</v>
      </c>
      <c r="F64" s="28">
        <v>2</v>
      </c>
      <c r="G64" s="28" t="s">
        <v>96</v>
      </c>
      <c r="H64" s="28" t="s">
        <v>97</v>
      </c>
      <c r="I64" s="28" t="s">
        <v>282</v>
      </c>
      <c r="J64" s="59" t="s">
        <v>154</v>
      </c>
      <c r="K64">
        <v>76.5</v>
      </c>
      <c r="L64" t="str">
        <f>VLOOKUP(J64,[1]CFPL!$B:$E,1,0)</f>
        <v>Peri Peri Marination Seasoning</v>
      </c>
    </row>
    <row r="65" spans="1:12" x14ac:dyDescent="0.35">
      <c r="A65" t="s">
        <v>61</v>
      </c>
      <c r="B65" t="s">
        <v>61</v>
      </c>
      <c r="C65" t="s">
        <v>98</v>
      </c>
      <c r="D65" t="s">
        <v>16</v>
      </c>
      <c r="E65">
        <v>1</v>
      </c>
      <c r="F65" s="26">
        <v>0.9</v>
      </c>
      <c r="G65" t="s">
        <v>96</v>
      </c>
      <c r="H65" t="s">
        <v>97</v>
      </c>
      <c r="J65" s="59" t="s">
        <v>186</v>
      </c>
      <c r="K65">
        <v>5</v>
      </c>
      <c r="L65" t="str">
        <f>VLOOKUP(J65,[1]CFPL!$B:$E,1,0)</f>
        <v>Pink Salt.</v>
      </c>
    </row>
    <row r="66" spans="1:12" x14ac:dyDescent="0.35">
      <c r="A66" s="10" t="s">
        <v>100</v>
      </c>
      <c r="B66" s="10" t="s">
        <v>101</v>
      </c>
      <c r="C66" s="10" t="s">
        <v>101</v>
      </c>
      <c r="D66" s="10" t="s">
        <v>16</v>
      </c>
      <c r="E66" s="10">
        <v>141</v>
      </c>
      <c r="F66" s="26">
        <v>141</v>
      </c>
      <c r="G66" s="10" t="s">
        <v>96</v>
      </c>
      <c r="H66" s="10" t="s">
        <v>97</v>
      </c>
      <c r="J66" s="59" t="s">
        <v>183</v>
      </c>
      <c r="K66">
        <v>50</v>
      </c>
      <c r="L66" t="str">
        <f>VLOOKUP(J66,[1]CFPL!$B:$E,1,0)</f>
        <v>Pista Irani Inshell Roasted and Salted</v>
      </c>
    </row>
    <row r="67" spans="1:12" x14ac:dyDescent="0.35">
      <c r="A67" t="s">
        <v>61</v>
      </c>
      <c r="B67" t="s">
        <v>61</v>
      </c>
      <c r="C67" t="s">
        <v>167</v>
      </c>
      <c r="D67" t="s">
        <v>16</v>
      </c>
      <c r="E67">
        <v>2</v>
      </c>
      <c r="F67" s="26">
        <v>1.6</v>
      </c>
      <c r="G67" t="s">
        <v>96</v>
      </c>
      <c r="H67" t="s">
        <v>97</v>
      </c>
      <c r="J67" s="59" t="s">
        <v>121</v>
      </c>
      <c r="K67">
        <v>376.52</v>
      </c>
      <c r="L67" t="str">
        <f>VLOOKUP(J67,[1]CFPL!$B:$E,1,0)</f>
        <v>Pista Kernel</v>
      </c>
    </row>
    <row r="68" spans="1:12" x14ac:dyDescent="0.35">
      <c r="A68" s="10" t="s">
        <v>43</v>
      </c>
      <c r="B68" s="10" t="s">
        <v>145</v>
      </c>
      <c r="C68" s="10" t="s">
        <v>146</v>
      </c>
      <c r="D68" s="10" t="s">
        <v>16</v>
      </c>
      <c r="E68" s="10">
        <v>2</v>
      </c>
      <c r="F68" s="26">
        <v>2.4</v>
      </c>
      <c r="G68" s="10" t="s">
        <v>96</v>
      </c>
      <c r="H68" s="10" t="s">
        <v>97</v>
      </c>
      <c r="J68" s="59" t="s">
        <v>128</v>
      </c>
      <c r="K68">
        <v>26</v>
      </c>
      <c r="L68" t="str">
        <f>VLOOKUP(J68,[1]CFPL!$B:$E,1,0)</f>
        <v>Pizza Seasoning</v>
      </c>
    </row>
    <row r="69" spans="1:12" x14ac:dyDescent="0.35">
      <c r="A69" t="s">
        <v>36</v>
      </c>
      <c r="B69" t="s">
        <v>37</v>
      </c>
      <c r="C69" t="s">
        <v>99</v>
      </c>
      <c r="D69" t="s">
        <v>16</v>
      </c>
      <c r="E69">
        <v>440</v>
      </c>
      <c r="F69" s="26">
        <v>440</v>
      </c>
      <c r="G69" t="s">
        <v>96</v>
      </c>
      <c r="H69" t="s">
        <v>97</v>
      </c>
      <c r="J69" s="59" t="s">
        <v>193</v>
      </c>
      <c r="K69">
        <v>1340</v>
      </c>
      <c r="L69" t="str">
        <f>VLOOKUP(J69,[1]CFPL!$B:$E,1,0)</f>
        <v>PREGEFLO C100</v>
      </c>
    </row>
    <row r="70" spans="1:12" x14ac:dyDescent="0.35">
      <c r="A70" s="10" t="s">
        <v>22</v>
      </c>
      <c r="B70" s="10" t="s">
        <v>25</v>
      </c>
      <c r="C70" s="10" t="s">
        <v>173</v>
      </c>
      <c r="D70" s="10" t="s">
        <v>16</v>
      </c>
      <c r="E70" s="10">
        <v>51</v>
      </c>
      <c r="F70" s="26">
        <v>51.2</v>
      </c>
      <c r="G70" s="10" t="s">
        <v>96</v>
      </c>
      <c r="H70" s="10" t="s">
        <v>97</v>
      </c>
      <c r="J70" s="59" t="s">
        <v>170</v>
      </c>
      <c r="K70">
        <v>155</v>
      </c>
      <c r="L70" t="str">
        <f>VLOOKUP(J70,[1]CFPL!$B:$E,1,0)</f>
        <v>Pudina seasoning</v>
      </c>
    </row>
    <row r="71" spans="1:12" x14ac:dyDescent="0.35">
      <c r="A71" t="s">
        <v>66</v>
      </c>
      <c r="B71" t="s">
        <v>66</v>
      </c>
      <c r="C71" t="s">
        <v>174</v>
      </c>
      <c r="D71" t="s">
        <v>16</v>
      </c>
      <c r="E71">
        <v>14</v>
      </c>
      <c r="F71" s="26">
        <v>14</v>
      </c>
      <c r="G71" t="s">
        <v>96</v>
      </c>
      <c r="H71" t="s">
        <v>97</v>
      </c>
      <c r="J71" s="59" t="s">
        <v>30</v>
      </c>
      <c r="K71">
        <v>25500</v>
      </c>
      <c r="L71" t="str">
        <f>VLOOKUP(J71,[1]CFPL!$B:$E,1,0)</f>
        <v>Pumpkin Seed ( 5% )</v>
      </c>
    </row>
    <row r="72" spans="1:12" x14ac:dyDescent="0.35">
      <c r="A72" s="10" t="s">
        <v>66</v>
      </c>
      <c r="B72" s="10" t="s">
        <v>66</v>
      </c>
      <c r="C72" s="10" t="s">
        <v>174</v>
      </c>
      <c r="D72" s="10" t="s">
        <v>16</v>
      </c>
      <c r="E72" s="10">
        <v>18</v>
      </c>
      <c r="F72" s="26">
        <v>18</v>
      </c>
      <c r="G72" s="10" t="s">
        <v>96</v>
      </c>
      <c r="H72" s="10" t="s">
        <v>97</v>
      </c>
      <c r="J72" s="59" t="s">
        <v>110</v>
      </c>
      <c r="K72">
        <v>8</v>
      </c>
      <c r="L72" t="str">
        <f>VLOOKUP(J72,[1]CFPL!$B:$E,1,0)</f>
        <v>Pure Maple Syrup</v>
      </c>
    </row>
    <row r="73" spans="1:12" x14ac:dyDescent="0.35">
      <c r="A73" t="s">
        <v>100</v>
      </c>
      <c r="B73" t="s">
        <v>149</v>
      </c>
      <c r="C73" t="s">
        <v>161</v>
      </c>
      <c r="D73" t="s">
        <v>16</v>
      </c>
      <c r="E73">
        <v>11</v>
      </c>
      <c r="F73" s="26">
        <v>11.34</v>
      </c>
      <c r="G73" t="s">
        <v>96</v>
      </c>
      <c r="H73" t="s">
        <v>97</v>
      </c>
      <c r="J73" s="59" t="s">
        <v>210</v>
      </c>
      <c r="K73">
        <v>535</v>
      </c>
      <c r="L73" t="str">
        <f>VLOOKUP(J73,[1]CFPL!$B:$E,1,0)</f>
        <v>ROASTED BLANCHED PEANUT WHOLE</v>
      </c>
    </row>
    <row r="74" spans="1:12" x14ac:dyDescent="0.35">
      <c r="A74" s="10" t="s">
        <v>61</v>
      </c>
      <c r="B74" s="10" t="s">
        <v>61</v>
      </c>
      <c r="C74" s="10" t="s">
        <v>175</v>
      </c>
      <c r="D74" s="10" t="s">
        <v>16</v>
      </c>
      <c r="E74" s="10">
        <v>2</v>
      </c>
      <c r="F74" s="26">
        <v>1.5</v>
      </c>
      <c r="G74" s="10" t="s">
        <v>96</v>
      </c>
      <c r="H74" s="10" t="s">
        <v>97</v>
      </c>
      <c r="J74" s="59" t="s">
        <v>194</v>
      </c>
      <c r="K74">
        <v>900</v>
      </c>
      <c r="L74" t="str">
        <f>VLOOKUP(J74,[1]CFPL!$B:$E,1,0)</f>
        <v>SIDCOT STARCH</v>
      </c>
    </row>
    <row r="75" spans="1:12" x14ac:dyDescent="0.35">
      <c r="A75" t="s">
        <v>61</v>
      </c>
      <c r="B75" t="s">
        <v>61</v>
      </c>
      <c r="C75" t="s">
        <v>170</v>
      </c>
      <c r="D75" t="s">
        <v>16</v>
      </c>
      <c r="E75">
        <v>35</v>
      </c>
      <c r="F75" s="26">
        <v>35</v>
      </c>
      <c r="G75" t="s">
        <v>96</v>
      </c>
      <c r="H75" t="s">
        <v>97</v>
      </c>
      <c r="J75" s="59" t="s">
        <v>99</v>
      </c>
      <c r="K75">
        <v>641</v>
      </c>
      <c r="L75" t="str">
        <f>VLOOKUP(J75,[1]CFPL!$B:$E,1,0)</f>
        <v>Smoked Almonds</v>
      </c>
    </row>
    <row r="76" spans="1:12" x14ac:dyDescent="0.35">
      <c r="A76" s="10" t="s">
        <v>61</v>
      </c>
      <c r="B76" s="10" t="s">
        <v>61</v>
      </c>
      <c r="C76" s="10" t="s">
        <v>170</v>
      </c>
      <c r="D76" s="10" t="s">
        <v>16</v>
      </c>
      <c r="E76" s="10">
        <v>35</v>
      </c>
      <c r="F76" s="26">
        <v>35</v>
      </c>
      <c r="G76" s="10" t="s">
        <v>96</v>
      </c>
      <c r="H76" s="10" t="s">
        <v>97</v>
      </c>
      <c r="J76" s="59" t="s">
        <v>127</v>
      </c>
      <c r="K76">
        <v>175</v>
      </c>
      <c r="L76" t="str">
        <f>VLOOKUP(J76,[1]CFPL!$B:$E,1,0)</f>
        <v>Smokey BBQ seasoning</v>
      </c>
    </row>
    <row r="77" spans="1:12" x14ac:dyDescent="0.35">
      <c r="A77" t="s">
        <v>43</v>
      </c>
      <c r="B77" t="s">
        <v>145</v>
      </c>
      <c r="C77" t="s">
        <v>146</v>
      </c>
      <c r="D77" t="s">
        <v>16</v>
      </c>
      <c r="E77">
        <v>4</v>
      </c>
      <c r="F77" s="26">
        <v>4</v>
      </c>
      <c r="G77" t="s">
        <v>96</v>
      </c>
      <c r="H77" t="s">
        <v>97</v>
      </c>
      <c r="J77" s="59" t="s">
        <v>163</v>
      </c>
      <c r="K77">
        <v>26</v>
      </c>
      <c r="L77" t="str">
        <f>VLOOKUP(J77,[1]CFPL!$B:$E,1,0)</f>
        <v>Sour Cream And Onion Seasoning</v>
      </c>
    </row>
    <row r="78" spans="1:12" x14ac:dyDescent="0.35">
      <c r="A78" s="10" t="s">
        <v>50</v>
      </c>
      <c r="B78" s="10" t="s">
        <v>176</v>
      </c>
      <c r="C78" s="10" t="s">
        <v>177</v>
      </c>
      <c r="D78" s="10" t="s">
        <v>16</v>
      </c>
      <c r="E78" s="10">
        <v>90</v>
      </c>
      <c r="F78" s="26">
        <v>90</v>
      </c>
      <c r="G78" s="10" t="s">
        <v>96</v>
      </c>
      <c r="H78" s="10" t="s">
        <v>97</v>
      </c>
      <c r="J78" s="59" t="s">
        <v>169</v>
      </c>
      <c r="K78">
        <v>25</v>
      </c>
      <c r="L78" t="str">
        <f>VLOOKUP(J78,[1]CFPL!$B:$E,1,0)</f>
        <v>SWEET THAI CHILLI SEASONING</v>
      </c>
    </row>
    <row r="79" spans="1:12" x14ac:dyDescent="0.35">
      <c r="A79" s="27" t="s">
        <v>43</v>
      </c>
      <c r="B79" s="27" t="s">
        <v>145</v>
      </c>
      <c r="C79" s="27" t="s">
        <v>146</v>
      </c>
      <c r="D79" s="27" t="s">
        <v>16</v>
      </c>
      <c r="E79" s="27">
        <v>122</v>
      </c>
      <c r="F79" s="27">
        <v>122</v>
      </c>
      <c r="G79" s="27" t="s">
        <v>96</v>
      </c>
      <c r="H79" s="27" t="s">
        <v>97</v>
      </c>
      <c r="I79" s="27" t="s">
        <v>281</v>
      </c>
      <c r="J79" s="59" t="s">
        <v>123</v>
      </c>
      <c r="K79">
        <v>54</v>
      </c>
      <c r="L79" t="str">
        <f>VLOOKUP(J79,[1]CFPL!$B:$E,1,0)</f>
        <v>Tandoori Seasoning</v>
      </c>
    </row>
    <row r="80" spans="1:12" x14ac:dyDescent="0.35">
      <c r="A80" s="10" t="s">
        <v>36</v>
      </c>
      <c r="B80" s="10" t="s">
        <v>37</v>
      </c>
      <c r="C80" s="10" t="s">
        <v>178</v>
      </c>
      <c r="D80" s="10" t="s">
        <v>16</v>
      </c>
      <c r="E80" s="10">
        <v>50</v>
      </c>
      <c r="F80" s="26">
        <v>50</v>
      </c>
      <c r="G80" s="10" t="s">
        <v>96</v>
      </c>
      <c r="H80" s="10" t="s">
        <v>97</v>
      </c>
      <c r="J80" s="59" t="s">
        <v>188</v>
      </c>
      <c r="K80">
        <v>47</v>
      </c>
      <c r="L80" t="str">
        <f>VLOOKUP(J80,[1]CFPL!$B:$E,1,0)</f>
        <v>URBAN PLATTER ARABIC GUM POWDER</v>
      </c>
    </row>
    <row r="81" spans="1:12" x14ac:dyDescent="0.35">
      <c r="A81" t="s">
        <v>179</v>
      </c>
      <c r="B81" t="s">
        <v>180</v>
      </c>
      <c r="C81" t="s">
        <v>181</v>
      </c>
      <c r="D81" t="s">
        <v>16</v>
      </c>
      <c r="E81">
        <v>25</v>
      </c>
      <c r="F81" s="26">
        <v>25</v>
      </c>
      <c r="G81" t="s">
        <v>96</v>
      </c>
      <c r="H81" t="s">
        <v>97</v>
      </c>
      <c r="J81" s="59" t="s">
        <v>98</v>
      </c>
      <c r="K81">
        <v>4.9000000000000004</v>
      </c>
      <c r="L81" t="str">
        <f>VLOOKUP(J81,[1]CFPL!$B:$E,1,0)</f>
        <v>Urban Platter Chipotle Seasoning</v>
      </c>
    </row>
    <row r="82" spans="1:12" x14ac:dyDescent="0.35">
      <c r="A82" s="10" t="s">
        <v>61</v>
      </c>
      <c r="B82" s="10" t="s">
        <v>61</v>
      </c>
      <c r="C82" s="10" t="s">
        <v>122</v>
      </c>
      <c r="D82" s="10" t="s">
        <v>16</v>
      </c>
      <c r="E82" s="10">
        <v>120</v>
      </c>
      <c r="F82" s="26">
        <v>120</v>
      </c>
      <c r="G82" s="10" t="s">
        <v>96</v>
      </c>
      <c r="H82" s="10" t="s">
        <v>97</v>
      </c>
      <c r="J82" s="59" t="s">
        <v>167</v>
      </c>
      <c r="K82">
        <v>3.6</v>
      </c>
      <c r="L82" t="str">
        <f>VLOOKUP(J82,[1]CFPL!$B:$E,1,0)</f>
        <v>Urban Platter Soya Chaap Seasoning</v>
      </c>
    </row>
    <row r="83" spans="1:12" x14ac:dyDescent="0.35">
      <c r="A83" t="s">
        <v>17</v>
      </c>
      <c r="B83" t="s">
        <v>18</v>
      </c>
      <c r="C83" t="s">
        <v>133</v>
      </c>
      <c r="D83" t="s">
        <v>16</v>
      </c>
      <c r="E83">
        <v>10</v>
      </c>
      <c r="F83" s="26">
        <v>10</v>
      </c>
      <c r="G83" t="s">
        <v>96</v>
      </c>
      <c r="H83" t="s">
        <v>97</v>
      </c>
      <c r="J83" s="59" t="s">
        <v>197</v>
      </c>
      <c r="K83">
        <v>130</v>
      </c>
      <c r="L83" t="str">
        <f>VLOOKUP(J83,[1]CFPL!$B:$E,1,0)</f>
        <v>Walnut Tukda</v>
      </c>
    </row>
    <row r="84" spans="1:12" x14ac:dyDescent="0.35">
      <c r="A84" s="10" t="s">
        <v>40</v>
      </c>
      <c r="B84" s="10" t="s">
        <v>182</v>
      </c>
      <c r="C84" s="10" t="s">
        <v>183</v>
      </c>
      <c r="D84" s="10" t="s">
        <v>16</v>
      </c>
      <c r="E84" s="10">
        <v>50</v>
      </c>
      <c r="F84" s="26">
        <v>50</v>
      </c>
      <c r="G84" s="10" t="s">
        <v>96</v>
      </c>
      <c r="H84" s="10" t="s">
        <v>97</v>
      </c>
      <c r="J84" s="59" t="s">
        <v>148</v>
      </c>
      <c r="K84">
        <v>26</v>
      </c>
      <c r="L84" t="str">
        <f>VLOOKUP(J84,[1]CFPL!$B:$E,1,0)</f>
        <v>Wasabi Seasoning  AB343</v>
      </c>
    </row>
    <row r="85" spans="1:12" x14ac:dyDescent="0.35">
      <c r="A85" t="s">
        <v>61</v>
      </c>
      <c r="B85" t="s">
        <v>61</v>
      </c>
      <c r="C85" t="s">
        <v>184</v>
      </c>
      <c r="D85" t="s">
        <v>16</v>
      </c>
      <c r="E85">
        <v>20</v>
      </c>
      <c r="F85" s="26">
        <v>20</v>
      </c>
      <c r="G85" t="s">
        <v>96</v>
      </c>
      <c r="H85" t="s">
        <v>97</v>
      </c>
      <c r="J85" s="59" t="s">
        <v>2368</v>
      </c>
      <c r="K85">
        <v>52575.570000000007</v>
      </c>
      <c r="L85" t="e">
        <f>VLOOKUP(J85,[1]CFPL!$B:$E,1,0)</f>
        <v>#N/A</v>
      </c>
    </row>
    <row r="86" spans="1:12" x14ac:dyDescent="0.35">
      <c r="A86" s="10" t="s">
        <v>61</v>
      </c>
      <c r="B86" s="10" t="s">
        <v>61</v>
      </c>
      <c r="C86" s="10" t="s">
        <v>185</v>
      </c>
      <c r="D86" s="10" t="s">
        <v>16</v>
      </c>
      <c r="E86" s="10">
        <v>25</v>
      </c>
      <c r="F86" s="26">
        <v>25</v>
      </c>
      <c r="G86" s="10" t="s">
        <v>96</v>
      </c>
      <c r="H86" s="10" t="s">
        <v>97</v>
      </c>
    </row>
    <row r="87" spans="1:12" x14ac:dyDescent="0.35">
      <c r="A87" t="s">
        <v>61</v>
      </c>
      <c r="B87" t="s">
        <v>61</v>
      </c>
      <c r="C87" t="s">
        <v>160</v>
      </c>
      <c r="D87" t="s">
        <v>16</v>
      </c>
      <c r="E87">
        <v>2</v>
      </c>
      <c r="F87" s="26">
        <v>2</v>
      </c>
      <c r="G87" t="s">
        <v>96</v>
      </c>
      <c r="H87" t="s">
        <v>97</v>
      </c>
    </row>
    <row r="88" spans="1:12" x14ac:dyDescent="0.35">
      <c r="A88" s="10" t="s">
        <v>61</v>
      </c>
      <c r="B88" s="10" t="s">
        <v>61</v>
      </c>
      <c r="C88" s="10" t="s">
        <v>68</v>
      </c>
      <c r="D88" s="10" t="s">
        <v>16</v>
      </c>
      <c r="E88" s="10">
        <v>9</v>
      </c>
      <c r="F88" s="26">
        <v>9.35</v>
      </c>
      <c r="G88" s="10" t="s">
        <v>96</v>
      </c>
      <c r="H88" s="10" t="s">
        <v>97</v>
      </c>
    </row>
    <row r="89" spans="1:12" x14ac:dyDescent="0.35">
      <c r="A89" t="s">
        <v>66</v>
      </c>
      <c r="B89" t="s">
        <v>66</v>
      </c>
      <c r="C89" t="s">
        <v>186</v>
      </c>
      <c r="D89" t="s">
        <v>16</v>
      </c>
      <c r="E89">
        <v>5</v>
      </c>
      <c r="F89" s="26">
        <v>5</v>
      </c>
      <c r="G89" t="s">
        <v>96</v>
      </c>
      <c r="H89" t="s">
        <v>97</v>
      </c>
    </row>
    <row r="90" spans="1:12" x14ac:dyDescent="0.35">
      <c r="A90" s="10" t="s">
        <v>61</v>
      </c>
      <c r="B90" s="10" t="s">
        <v>61</v>
      </c>
      <c r="C90" s="10" t="s">
        <v>170</v>
      </c>
      <c r="D90" s="10" t="s">
        <v>16</v>
      </c>
      <c r="E90" s="10">
        <v>75</v>
      </c>
      <c r="F90" s="26">
        <v>75</v>
      </c>
      <c r="G90" s="10" t="s">
        <v>96</v>
      </c>
      <c r="H90" s="10" t="s">
        <v>97</v>
      </c>
    </row>
    <row r="91" spans="1:12" x14ac:dyDescent="0.35">
      <c r="A91" t="s">
        <v>61</v>
      </c>
      <c r="B91" t="s">
        <v>61</v>
      </c>
      <c r="C91" t="s">
        <v>187</v>
      </c>
      <c r="D91" t="s">
        <v>16</v>
      </c>
      <c r="E91">
        <v>10</v>
      </c>
      <c r="F91" s="26">
        <v>10</v>
      </c>
      <c r="G91" t="s">
        <v>96</v>
      </c>
      <c r="H91" t="s">
        <v>97</v>
      </c>
    </row>
    <row r="92" spans="1:12" x14ac:dyDescent="0.35">
      <c r="A92" s="10" t="s">
        <v>61</v>
      </c>
      <c r="B92" s="10" t="s">
        <v>61</v>
      </c>
      <c r="C92" s="10" t="s">
        <v>127</v>
      </c>
      <c r="D92" s="10" t="s">
        <v>16</v>
      </c>
      <c r="E92" s="10">
        <v>150</v>
      </c>
      <c r="F92" s="26">
        <v>150</v>
      </c>
      <c r="G92" s="10" t="s">
        <v>96</v>
      </c>
      <c r="H92" s="10" t="s">
        <v>97</v>
      </c>
    </row>
    <row r="93" spans="1:12" x14ac:dyDescent="0.35">
      <c r="A93" t="s">
        <v>61</v>
      </c>
      <c r="B93" t="s">
        <v>61</v>
      </c>
      <c r="C93" t="s">
        <v>128</v>
      </c>
      <c r="D93" t="s">
        <v>16</v>
      </c>
      <c r="E93">
        <v>25</v>
      </c>
      <c r="F93" s="26">
        <v>25</v>
      </c>
      <c r="G93" t="s">
        <v>96</v>
      </c>
      <c r="H93" t="s">
        <v>97</v>
      </c>
    </row>
    <row r="94" spans="1:12" x14ac:dyDescent="0.35">
      <c r="A94" s="10" t="s">
        <v>61</v>
      </c>
      <c r="B94" s="10" t="s">
        <v>61</v>
      </c>
      <c r="C94" s="10" t="s">
        <v>188</v>
      </c>
      <c r="D94" s="10" t="s">
        <v>16</v>
      </c>
      <c r="E94" s="10">
        <v>47</v>
      </c>
      <c r="F94" s="26">
        <v>47</v>
      </c>
      <c r="G94" s="10" t="s">
        <v>96</v>
      </c>
      <c r="H94" s="10" t="s">
        <v>97</v>
      </c>
    </row>
    <row r="95" spans="1:12" x14ac:dyDescent="0.35">
      <c r="A95" t="s">
        <v>61</v>
      </c>
      <c r="B95" t="s">
        <v>61</v>
      </c>
      <c r="C95" t="s">
        <v>184</v>
      </c>
      <c r="D95" t="s">
        <v>16</v>
      </c>
      <c r="E95">
        <v>30</v>
      </c>
      <c r="F95" s="26">
        <v>30</v>
      </c>
      <c r="G95" t="s">
        <v>96</v>
      </c>
      <c r="H95" t="s">
        <v>97</v>
      </c>
    </row>
    <row r="96" spans="1:12" x14ac:dyDescent="0.35">
      <c r="A96" s="10" t="s">
        <v>61</v>
      </c>
      <c r="B96" s="10" t="s">
        <v>61</v>
      </c>
      <c r="C96" s="10" t="s">
        <v>68</v>
      </c>
      <c r="D96" s="10" t="s">
        <v>16</v>
      </c>
      <c r="E96" s="10">
        <v>28</v>
      </c>
      <c r="F96" s="26">
        <v>28.05</v>
      </c>
      <c r="G96" s="10" t="s">
        <v>96</v>
      </c>
      <c r="H96" s="10" t="s">
        <v>97</v>
      </c>
    </row>
    <row r="97" spans="1:8" x14ac:dyDescent="0.35">
      <c r="A97" t="s">
        <v>61</v>
      </c>
      <c r="B97" t="s">
        <v>61</v>
      </c>
      <c r="C97" t="s">
        <v>62</v>
      </c>
      <c r="D97" t="s">
        <v>16</v>
      </c>
      <c r="E97">
        <v>75</v>
      </c>
      <c r="F97" s="26">
        <v>75</v>
      </c>
      <c r="G97" t="s">
        <v>96</v>
      </c>
      <c r="H97" t="s">
        <v>97</v>
      </c>
    </row>
    <row r="98" spans="1:8" x14ac:dyDescent="0.35">
      <c r="A98" s="10" t="s">
        <v>139</v>
      </c>
      <c r="B98" s="10" t="s">
        <v>140</v>
      </c>
      <c r="C98" s="10" t="s">
        <v>189</v>
      </c>
      <c r="D98" s="10" t="s">
        <v>16</v>
      </c>
      <c r="E98" s="10">
        <v>363</v>
      </c>
      <c r="F98" s="26">
        <v>362.88</v>
      </c>
      <c r="G98" s="10" t="s">
        <v>96</v>
      </c>
      <c r="H98" s="10" t="s">
        <v>97</v>
      </c>
    </row>
    <row r="99" spans="1:8" x14ac:dyDescent="0.35">
      <c r="A99" t="s">
        <v>50</v>
      </c>
      <c r="B99" t="s">
        <v>190</v>
      </c>
      <c r="C99" t="s">
        <v>191</v>
      </c>
      <c r="D99" t="s">
        <v>192</v>
      </c>
      <c r="E99" s="26">
        <v>260</v>
      </c>
      <c r="F99" s="26">
        <v>104</v>
      </c>
      <c r="G99" t="s">
        <v>96</v>
      </c>
      <c r="H99" t="s">
        <v>97</v>
      </c>
    </row>
    <row r="100" spans="1:8" x14ac:dyDescent="0.35">
      <c r="A100" s="10" t="s">
        <v>139</v>
      </c>
      <c r="B100" s="10" t="s">
        <v>140</v>
      </c>
      <c r="C100" s="10" t="s">
        <v>189</v>
      </c>
      <c r="D100" s="10" t="s">
        <v>16</v>
      </c>
      <c r="E100" s="10">
        <v>6</v>
      </c>
      <c r="F100" s="26">
        <v>5.5</v>
      </c>
      <c r="G100" s="10" t="s">
        <v>96</v>
      </c>
      <c r="H100" s="10" t="s">
        <v>97</v>
      </c>
    </row>
    <row r="101" spans="1:8" x14ac:dyDescent="0.35">
      <c r="A101" t="s">
        <v>22</v>
      </c>
      <c r="B101" t="s">
        <v>25</v>
      </c>
      <c r="C101" t="s">
        <v>193</v>
      </c>
      <c r="D101" t="s">
        <v>16</v>
      </c>
      <c r="E101">
        <v>60</v>
      </c>
      <c r="F101" s="26">
        <v>60</v>
      </c>
      <c r="G101" t="s">
        <v>96</v>
      </c>
      <c r="H101" t="s">
        <v>97</v>
      </c>
    </row>
    <row r="102" spans="1:8" x14ac:dyDescent="0.35">
      <c r="A102" s="10" t="s">
        <v>22</v>
      </c>
      <c r="B102" s="10" t="s">
        <v>25</v>
      </c>
      <c r="C102" s="10" t="s">
        <v>193</v>
      </c>
      <c r="D102" s="10" t="s">
        <v>16</v>
      </c>
      <c r="E102" s="10">
        <v>1000</v>
      </c>
      <c r="F102" s="26">
        <v>1000</v>
      </c>
      <c r="G102" s="10" t="s">
        <v>96</v>
      </c>
      <c r="H102" s="10" t="s">
        <v>97</v>
      </c>
    </row>
    <row r="103" spans="1:8" x14ac:dyDescent="0.35">
      <c r="A103" t="s">
        <v>22</v>
      </c>
      <c r="B103" t="s">
        <v>25</v>
      </c>
      <c r="C103" t="s">
        <v>194</v>
      </c>
      <c r="D103" t="s">
        <v>16</v>
      </c>
      <c r="E103">
        <v>550</v>
      </c>
      <c r="F103" s="26">
        <v>550</v>
      </c>
      <c r="G103" t="s">
        <v>96</v>
      </c>
      <c r="H103" t="s">
        <v>97</v>
      </c>
    </row>
    <row r="104" spans="1:8" x14ac:dyDescent="0.35">
      <c r="A104" s="10" t="s">
        <v>13</v>
      </c>
      <c r="B104" s="10" t="s">
        <v>29</v>
      </c>
      <c r="C104" s="10" t="s">
        <v>30</v>
      </c>
      <c r="D104" s="10" t="s">
        <v>16</v>
      </c>
      <c r="E104" s="10">
        <v>2400</v>
      </c>
      <c r="F104" s="26">
        <v>2400</v>
      </c>
      <c r="G104" s="10" t="s">
        <v>96</v>
      </c>
      <c r="H104" s="10" t="s">
        <v>97</v>
      </c>
    </row>
    <row r="105" spans="1:8" x14ac:dyDescent="0.35">
      <c r="A105" t="s">
        <v>13</v>
      </c>
      <c r="B105" t="s">
        <v>29</v>
      </c>
      <c r="C105" t="s">
        <v>30</v>
      </c>
      <c r="D105" t="s">
        <v>16</v>
      </c>
      <c r="E105">
        <v>16500</v>
      </c>
      <c r="F105" s="26">
        <v>16500</v>
      </c>
      <c r="G105" t="s">
        <v>96</v>
      </c>
      <c r="H105" t="s">
        <v>97</v>
      </c>
    </row>
    <row r="106" spans="1:8" x14ac:dyDescent="0.35">
      <c r="A106" s="10" t="s">
        <v>139</v>
      </c>
      <c r="B106" s="10" t="s">
        <v>157</v>
      </c>
      <c r="C106" s="10" t="s">
        <v>195</v>
      </c>
      <c r="D106" s="10" t="s">
        <v>16</v>
      </c>
      <c r="E106" s="10">
        <v>45</v>
      </c>
      <c r="F106" s="26">
        <v>45.36</v>
      </c>
      <c r="G106" s="10" t="s">
        <v>96</v>
      </c>
      <c r="H106" s="10" t="s">
        <v>97</v>
      </c>
    </row>
    <row r="107" spans="1:8" x14ac:dyDescent="0.35">
      <c r="A107" t="s">
        <v>13</v>
      </c>
      <c r="B107" t="s">
        <v>29</v>
      </c>
      <c r="C107" t="s">
        <v>30</v>
      </c>
      <c r="D107" t="s">
        <v>16</v>
      </c>
      <c r="E107">
        <v>6600</v>
      </c>
      <c r="F107" s="26">
        <v>6600</v>
      </c>
      <c r="G107" t="s">
        <v>96</v>
      </c>
      <c r="H107" t="s">
        <v>97</v>
      </c>
    </row>
    <row r="108" spans="1:8" x14ac:dyDescent="0.35">
      <c r="A108" s="10" t="s">
        <v>107</v>
      </c>
      <c r="B108" s="10" t="s">
        <v>108</v>
      </c>
      <c r="C108" s="10" t="s">
        <v>109</v>
      </c>
      <c r="D108" s="10" t="s">
        <v>16</v>
      </c>
      <c r="E108" s="10">
        <v>404</v>
      </c>
      <c r="F108" s="26">
        <v>404.06</v>
      </c>
      <c r="G108" s="10" t="s">
        <v>96</v>
      </c>
      <c r="H108" s="10" t="s">
        <v>97</v>
      </c>
    </row>
    <row r="109" spans="1:8" x14ac:dyDescent="0.35">
      <c r="A109" t="s">
        <v>107</v>
      </c>
      <c r="B109" t="s">
        <v>108</v>
      </c>
      <c r="C109" t="s">
        <v>109</v>
      </c>
      <c r="D109" t="s">
        <v>16</v>
      </c>
      <c r="E109">
        <v>9</v>
      </c>
      <c r="F109" s="26">
        <v>9.08</v>
      </c>
      <c r="G109" t="s">
        <v>96</v>
      </c>
      <c r="H109" t="s">
        <v>97</v>
      </c>
    </row>
    <row r="110" spans="1:8" x14ac:dyDescent="0.35">
      <c r="A110" s="10" t="s">
        <v>107</v>
      </c>
      <c r="B110" s="10" t="s">
        <v>108</v>
      </c>
      <c r="C110" s="10" t="s">
        <v>109</v>
      </c>
      <c r="D110" s="10" t="s">
        <v>16</v>
      </c>
      <c r="E110" s="10">
        <v>531</v>
      </c>
      <c r="F110" s="26">
        <v>531.17999999999995</v>
      </c>
      <c r="G110" s="10" t="s">
        <v>96</v>
      </c>
      <c r="H110" s="10" t="s">
        <v>97</v>
      </c>
    </row>
    <row r="111" spans="1:8" x14ac:dyDescent="0.35">
      <c r="A111" t="s">
        <v>107</v>
      </c>
      <c r="B111" t="s">
        <v>108</v>
      </c>
      <c r="C111" t="s">
        <v>109</v>
      </c>
      <c r="D111" t="s">
        <v>16</v>
      </c>
      <c r="E111">
        <v>767</v>
      </c>
      <c r="F111" s="26">
        <v>767.26</v>
      </c>
      <c r="G111" t="s">
        <v>96</v>
      </c>
      <c r="H111" t="s">
        <v>97</v>
      </c>
    </row>
    <row r="112" spans="1:8" x14ac:dyDescent="0.35">
      <c r="A112" s="10" t="s">
        <v>107</v>
      </c>
      <c r="B112" s="10" t="s">
        <v>108</v>
      </c>
      <c r="C112" s="10" t="s">
        <v>109</v>
      </c>
      <c r="D112" s="10" t="s">
        <v>16</v>
      </c>
      <c r="E112" s="10">
        <v>531</v>
      </c>
      <c r="F112" s="26">
        <v>531.17999999999995</v>
      </c>
      <c r="G112" s="10" t="s">
        <v>96</v>
      </c>
      <c r="H112" s="10" t="s">
        <v>97</v>
      </c>
    </row>
    <row r="113" spans="1:8" x14ac:dyDescent="0.35">
      <c r="A113" t="s">
        <v>142</v>
      </c>
      <c r="B113" t="s">
        <v>196</v>
      </c>
      <c r="C113" t="s">
        <v>197</v>
      </c>
      <c r="D113" t="s">
        <v>16</v>
      </c>
      <c r="E113">
        <v>130</v>
      </c>
      <c r="F113" s="26">
        <v>130</v>
      </c>
      <c r="G113" t="s">
        <v>96</v>
      </c>
      <c r="H113" t="s">
        <v>97</v>
      </c>
    </row>
    <row r="114" spans="1:8" x14ac:dyDescent="0.35">
      <c r="A114" s="10" t="s">
        <v>107</v>
      </c>
      <c r="B114" s="10" t="s">
        <v>108</v>
      </c>
      <c r="C114" s="10" t="s">
        <v>109</v>
      </c>
      <c r="D114" s="10" t="s">
        <v>16</v>
      </c>
      <c r="E114" s="10">
        <v>767</v>
      </c>
      <c r="F114" s="26">
        <v>767.26</v>
      </c>
      <c r="G114" s="10" t="s">
        <v>96</v>
      </c>
      <c r="H114" s="10" t="s">
        <v>97</v>
      </c>
    </row>
    <row r="115" spans="1:8" x14ac:dyDescent="0.35">
      <c r="A115" t="s">
        <v>61</v>
      </c>
      <c r="B115" t="s">
        <v>61</v>
      </c>
      <c r="C115" t="s">
        <v>198</v>
      </c>
      <c r="D115" t="s">
        <v>16</v>
      </c>
      <c r="E115">
        <v>50</v>
      </c>
      <c r="F115" s="26">
        <v>50</v>
      </c>
      <c r="G115" t="s">
        <v>96</v>
      </c>
      <c r="H115" t="s">
        <v>97</v>
      </c>
    </row>
    <row r="116" spans="1:8" x14ac:dyDescent="0.35">
      <c r="A116" s="10" t="s">
        <v>43</v>
      </c>
      <c r="B116" s="10" t="s">
        <v>44</v>
      </c>
      <c r="C116" s="10" t="s">
        <v>45</v>
      </c>
      <c r="D116" s="10" t="s">
        <v>16</v>
      </c>
      <c r="E116" s="10">
        <v>1000</v>
      </c>
      <c r="F116" s="26">
        <v>1000</v>
      </c>
      <c r="G116" s="10" t="s">
        <v>96</v>
      </c>
      <c r="H116" s="10" t="s">
        <v>97</v>
      </c>
    </row>
    <row r="117" spans="1:8" x14ac:dyDescent="0.35">
      <c r="A117" t="s">
        <v>111</v>
      </c>
      <c r="B117" t="s">
        <v>112</v>
      </c>
      <c r="C117" t="s">
        <v>199</v>
      </c>
      <c r="D117" t="s">
        <v>16</v>
      </c>
      <c r="E117">
        <v>30</v>
      </c>
      <c r="F117" s="26">
        <v>30</v>
      </c>
      <c r="G117" t="s">
        <v>96</v>
      </c>
      <c r="H117" t="s">
        <v>97</v>
      </c>
    </row>
    <row r="118" spans="1:8" x14ac:dyDescent="0.35">
      <c r="A118" s="10" t="s">
        <v>43</v>
      </c>
      <c r="B118" s="10" t="s">
        <v>44</v>
      </c>
      <c r="C118" s="10" t="s">
        <v>45</v>
      </c>
      <c r="D118" s="10" t="s">
        <v>16</v>
      </c>
      <c r="E118" s="10">
        <v>1000</v>
      </c>
      <c r="F118" s="26">
        <v>1000</v>
      </c>
      <c r="G118" s="10" t="s">
        <v>96</v>
      </c>
      <c r="H118" s="10" t="s">
        <v>97</v>
      </c>
    </row>
    <row r="119" spans="1:8" x14ac:dyDescent="0.35">
      <c r="A119" t="s">
        <v>22</v>
      </c>
      <c r="B119" t="s">
        <v>25</v>
      </c>
      <c r="C119" t="s">
        <v>200</v>
      </c>
      <c r="D119" t="s">
        <v>16</v>
      </c>
      <c r="E119">
        <v>3</v>
      </c>
      <c r="F119" s="26">
        <v>3</v>
      </c>
      <c r="G119" t="s">
        <v>96</v>
      </c>
      <c r="H119" t="s">
        <v>97</v>
      </c>
    </row>
    <row r="120" spans="1:8" x14ac:dyDescent="0.35">
      <c r="A120" s="10" t="s">
        <v>43</v>
      </c>
      <c r="B120" s="10" t="s">
        <v>44</v>
      </c>
      <c r="C120" s="10" t="s">
        <v>45</v>
      </c>
      <c r="D120" s="10" t="s">
        <v>16</v>
      </c>
      <c r="E120" s="10">
        <v>1000</v>
      </c>
      <c r="F120" s="26">
        <v>1000</v>
      </c>
      <c r="G120" s="10" t="s">
        <v>96</v>
      </c>
      <c r="H120" s="10" t="s">
        <v>97</v>
      </c>
    </row>
    <row r="121" spans="1:8" x14ac:dyDescent="0.35">
      <c r="A121" t="s">
        <v>36</v>
      </c>
      <c r="B121" t="s">
        <v>37</v>
      </c>
      <c r="C121" t="s">
        <v>38</v>
      </c>
      <c r="D121" t="s">
        <v>16</v>
      </c>
      <c r="E121">
        <v>336</v>
      </c>
      <c r="F121" s="26">
        <v>336.2</v>
      </c>
      <c r="G121" t="s">
        <v>96</v>
      </c>
      <c r="H121" t="s">
        <v>97</v>
      </c>
    </row>
    <row r="122" spans="1:8" x14ac:dyDescent="0.35">
      <c r="A122" s="10" t="s">
        <v>179</v>
      </c>
      <c r="B122" s="10" t="s">
        <v>180</v>
      </c>
      <c r="C122" s="10" t="s">
        <v>181</v>
      </c>
      <c r="D122" s="10" t="s">
        <v>16</v>
      </c>
      <c r="E122" s="10">
        <v>9</v>
      </c>
      <c r="F122" s="26">
        <v>9.1999999999999993</v>
      </c>
      <c r="G122" s="10" t="s">
        <v>96</v>
      </c>
      <c r="H122" s="10" t="s">
        <v>97</v>
      </c>
    </row>
    <row r="123" spans="1:8" x14ac:dyDescent="0.35">
      <c r="A123" t="s">
        <v>107</v>
      </c>
      <c r="B123" t="s">
        <v>171</v>
      </c>
      <c r="C123" t="s">
        <v>172</v>
      </c>
      <c r="D123" t="s">
        <v>16</v>
      </c>
      <c r="E123">
        <v>10</v>
      </c>
      <c r="F123" s="26">
        <v>10</v>
      </c>
      <c r="G123" t="s">
        <v>96</v>
      </c>
      <c r="H123" t="s">
        <v>97</v>
      </c>
    </row>
    <row r="124" spans="1:8" x14ac:dyDescent="0.35">
      <c r="A124" s="10" t="s">
        <v>124</v>
      </c>
      <c r="B124" s="10" t="s">
        <v>125</v>
      </c>
      <c r="C124" s="10" t="s">
        <v>126</v>
      </c>
      <c r="D124" s="10" t="s">
        <v>16</v>
      </c>
      <c r="E124" s="10">
        <v>1474</v>
      </c>
      <c r="F124" s="26">
        <v>1474.2</v>
      </c>
      <c r="G124" s="10" t="s">
        <v>96</v>
      </c>
      <c r="H124" s="10" t="s">
        <v>97</v>
      </c>
    </row>
    <row r="125" spans="1:8" x14ac:dyDescent="0.35">
      <c r="A125" t="s">
        <v>40</v>
      </c>
      <c r="B125" t="s">
        <v>48</v>
      </c>
      <c r="C125" t="s">
        <v>121</v>
      </c>
      <c r="D125" t="s">
        <v>16</v>
      </c>
      <c r="E125">
        <v>100</v>
      </c>
      <c r="F125" s="26">
        <v>100</v>
      </c>
      <c r="G125" t="s">
        <v>96</v>
      </c>
      <c r="H125" t="s">
        <v>97</v>
      </c>
    </row>
    <row r="126" spans="1:8" x14ac:dyDescent="0.35">
      <c r="A126" s="10" t="s">
        <v>61</v>
      </c>
      <c r="B126" s="10" t="s">
        <v>61</v>
      </c>
      <c r="C126" s="10" t="s">
        <v>201</v>
      </c>
      <c r="D126" s="10" t="s">
        <v>16</v>
      </c>
      <c r="E126" s="10">
        <v>50</v>
      </c>
      <c r="F126" s="26">
        <v>50</v>
      </c>
      <c r="G126" s="10" t="s">
        <v>96</v>
      </c>
      <c r="H126" s="10" t="s">
        <v>97</v>
      </c>
    </row>
    <row r="127" spans="1:8" x14ac:dyDescent="0.35">
      <c r="A127" t="s">
        <v>124</v>
      </c>
      <c r="B127" t="s">
        <v>125</v>
      </c>
      <c r="C127" t="s">
        <v>126</v>
      </c>
      <c r="D127" t="s">
        <v>16</v>
      </c>
      <c r="E127">
        <v>1588</v>
      </c>
      <c r="F127" s="26">
        <v>1587.6</v>
      </c>
      <c r="G127" t="s">
        <v>96</v>
      </c>
      <c r="H127" t="s">
        <v>97</v>
      </c>
    </row>
    <row r="128" spans="1:8" x14ac:dyDescent="0.35">
      <c r="A128" s="10" t="s">
        <v>124</v>
      </c>
      <c r="B128" s="10" t="s">
        <v>125</v>
      </c>
      <c r="C128" s="10" t="s">
        <v>126</v>
      </c>
      <c r="D128" s="10" t="s">
        <v>16</v>
      </c>
      <c r="E128" s="10">
        <v>1474</v>
      </c>
      <c r="F128" s="26">
        <v>1474.2</v>
      </c>
      <c r="G128" s="10" t="s">
        <v>96</v>
      </c>
      <c r="H128" s="10" t="s">
        <v>97</v>
      </c>
    </row>
    <row r="129" spans="1:8" x14ac:dyDescent="0.35">
      <c r="A129" t="s">
        <v>22</v>
      </c>
      <c r="B129" t="s">
        <v>25</v>
      </c>
      <c r="C129" t="s">
        <v>194</v>
      </c>
      <c r="D129" t="s">
        <v>16</v>
      </c>
      <c r="E129">
        <v>350</v>
      </c>
      <c r="F129" s="26">
        <v>350</v>
      </c>
      <c r="G129" t="s">
        <v>96</v>
      </c>
      <c r="H129" t="s">
        <v>97</v>
      </c>
    </row>
    <row r="130" spans="1:8" x14ac:dyDescent="0.35">
      <c r="A130" s="10" t="s">
        <v>61</v>
      </c>
      <c r="B130" s="10" t="s">
        <v>61</v>
      </c>
      <c r="C130" s="10" t="s">
        <v>198</v>
      </c>
      <c r="D130" s="10" t="s">
        <v>16</v>
      </c>
      <c r="E130" s="10">
        <v>200</v>
      </c>
      <c r="F130" s="26">
        <v>200</v>
      </c>
      <c r="G130" s="10" t="s">
        <v>96</v>
      </c>
      <c r="H130" s="10" t="s">
        <v>97</v>
      </c>
    </row>
    <row r="131" spans="1:8" x14ac:dyDescent="0.35">
      <c r="A131" t="s">
        <v>22</v>
      </c>
      <c r="B131" t="s">
        <v>25</v>
      </c>
      <c r="C131" t="s">
        <v>193</v>
      </c>
      <c r="D131" t="s">
        <v>16</v>
      </c>
      <c r="E131">
        <v>280</v>
      </c>
      <c r="F131" s="26">
        <v>280</v>
      </c>
      <c r="G131" t="s">
        <v>96</v>
      </c>
      <c r="H131" t="s">
        <v>97</v>
      </c>
    </row>
    <row r="132" spans="1:8" x14ac:dyDescent="0.35">
      <c r="A132" s="10" t="s">
        <v>179</v>
      </c>
      <c r="B132" s="10" t="s">
        <v>180</v>
      </c>
      <c r="C132" s="10" t="s">
        <v>181</v>
      </c>
      <c r="D132" s="10" t="s">
        <v>16</v>
      </c>
      <c r="E132" s="10">
        <v>30</v>
      </c>
      <c r="F132" s="26">
        <v>30</v>
      </c>
      <c r="G132" s="10" t="s">
        <v>96</v>
      </c>
      <c r="H132" s="10" t="s">
        <v>97</v>
      </c>
    </row>
    <row r="133" spans="1:8" x14ac:dyDescent="0.35">
      <c r="A133" t="s">
        <v>179</v>
      </c>
      <c r="B133" t="s">
        <v>180</v>
      </c>
      <c r="C133" t="s">
        <v>181</v>
      </c>
      <c r="D133" t="s">
        <v>16</v>
      </c>
      <c r="E133">
        <v>13</v>
      </c>
      <c r="F133" s="26">
        <v>12.5</v>
      </c>
      <c r="G133" t="s">
        <v>96</v>
      </c>
      <c r="H133" t="s">
        <v>97</v>
      </c>
    </row>
    <row r="134" spans="1:8" x14ac:dyDescent="0.35">
      <c r="A134" s="10" t="s">
        <v>50</v>
      </c>
      <c r="B134" s="10" t="s">
        <v>202</v>
      </c>
      <c r="C134" s="10" t="s">
        <v>203</v>
      </c>
      <c r="D134" s="10" t="s">
        <v>16</v>
      </c>
      <c r="E134" s="10">
        <v>70</v>
      </c>
      <c r="F134" s="26">
        <v>70</v>
      </c>
      <c r="G134" s="10" t="s">
        <v>96</v>
      </c>
      <c r="H134" s="10" t="s">
        <v>97</v>
      </c>
    </row>
    <row r="135" spans="1:8" x14ac:dyDescent="0.35">
      <c r="A135" t="s">
        <v>124</v>
      </c>
      <c r="B135" t="s">
        <v>125</v>
      </c>
      <c r="C135" t="s">
        <v>126</v>
      </c>
      <c r="D135" t="s">
        <v>16</v>
      </c>
      <c r="E135">
        <v>510</v>
      </c>
      <c r="F135" s="26">
        <v>510.3</v>
      </c>
      <c r="G135" t="s">
        <v>96</v>
      </c>
      <c r="H135" t="s">
        <v>97</v>
      </c>
    </row>
    <row r="136" spans="1:8" x14ac:dyDescent="0.35">
      <c r="A136" s="10" t="s">
        <v>50</v>
      </c>
      <c r="B136" s="10" t="s">
        <v>176</v>
      </c>
      <c r="C136" s="10" t="s">
        <v>177</v>
      </c>
      <c r="D136" s="10" t="s">
        <v>16</v>
      </c>
      <c r="E136" s="10">
        <v>2177</v>
      </c>
      <c r="F136" s="26">
        <v>2177</v>
      </c>
      <c r="G136" s="10" t="s">
        <v>96</v>
      </c>
      <c r="H136" s="10" t="s">
        <v>97</v>
      </c>
    </row>
    <row r="137" spans="1:8" x14ac:dyDescent="0.35">
      <c r="A137" t="s">
        <v>139</v>
      </c>
      <c r="B137" t="s">
        <v>157</v>
      </c>
      <c r="C137" t="s">
        <v>158</v>
      </c>
      <c r="D137" t="s">
        <v>16</v>
      </c>
      <c r="E137">
        <v>11</v>
      </c>
      <c r="F137" s="26">
        <v>11.34</v>
      </c>
      <c r="G137" t="s">
        <v>96</v>
      </c>
      <c r="H137" t="s">
        <v>97</v>
      </c>
    </row>
    <row r="138" spans="1:8" x14ac:dyDescent="0.35">
      <c r="A138" s="10" t="s">
        <v>50</v>
      </c>
      <c r="B138" s="10" t="s">
        <v>190</v>
      </c>
      <c r="C138" s="10" t="s">
        <v>204</v>
      </c>
      <c r="D138" s="10" t="s">
        <v>205</v>
      </c>
      <c r="E138" s="26">
        <v>2556</v>
      </c>
      <c r="F138" s="26">
        <v>2939.4</v>
      </c>
      <c r="G138" s="10" t="s">
        <v>96</v>
      </c>
      <c r="H138" s="10" t="s">
        <v>97</v>
      </c>
    </row>
    <row r="139" spans="1:8" x14ac:dyDescent="0.35">
      <c r="A139" t="s">
        <v>100</v>
      </c>
      <c r="B139" t="s">
        <v>206</v>
      </c>
      <c r="C139" t="s">
        <v>207</v>
      </c>
      <c r="D139" t="s">
        <v>16</v>
      </c>
      <c r="E139">
        <v>20</v>
      </c>
      <c r="F139" s="26">
        <v>20</v>
      </c>
      <c r="G139" t="s">
        <v>96</v>
      </c>
      <c r="H139" t="s">
        <v>97</v>
      </c>
    </row>
    <row r="140" spans="1:8" x14ac:dyDescent="0.35">
      <c r="A140" s="10" t="s">
        <v>50</v>
      </c>
      <c r="B140" s="10" t="s">
        <v>176</v>
      </c>
      <c r="C140" s="10" t="s">
        <v>177</v>
      </c>
      <c r="D140" s="10" t="s">
        <v>16</v>
      </c>
      <c r="E140" s="10">
        <v>1162</v>
      </c>
      <c r="F140" s="26">
        <v>1162</v>
      </c>
      <c r="G140" s="10" t="s">
        <v>96</v>
      </c>
      <c r="H140" s="10" t="s">
        <v>97</v>
      </c>
    </row>
    <row r="141" spans="1:8" x14ac:dyDescent="0.35">
      <c r="A141" t="s">
        <v>208</v>
      </c>
      <c r="B141" t="s">
        <v>209</v>
      </c>
      <c r="C141" t="s">
        <v>210</v>
      </c>
      <c r="D141" t="s">
        <v>16</v>
      </c>
      <c r="E141" s="26">
        <v>535</v>
      </c>
      <c r="F141" s="26">
        <v>535</v>
      </c>
      <c r="G141" t="s">
        <v>96</v>
      </c>
      <c r="H141" t="s">
        <v>97</v>
      </c>
    </row>
    <row r="142" spans="1:8" x14ac:dyDescent="0.35">
      <c r="A142" s="10" t="s">
        <v>139</v>
      </c>
      <c r="B142" s="10" t="s">
        <v>140</v>
      </c>
      <c r="C142" s="10" t="s">
        <v>189</v>
      </c>
      <c r="D142" s="10" t="s">
        <v>16</v>
      </c>
      <c r="E142" s="10">
        <v>1372</v>
      </c>
      <c r="F142" s="26">
        <v>1372.14</v>
      </c>
      <c r="G142" s="10" t="s">
        <v>96</v>
      </c>
      <c r="H142" s="10" t="s">
        <v>97</v>
      </c>
    </row>
    <row r="143" spans="1:8" x14ac:dyDescent="0.35">
      <c r="A143" t="s">
        <v>100</v>
      </c>
      <c r="B143" t="s">
        <v>206</v>
      </c>
      <c r="C143" t="s">
        <v>207</v>
      </c>
      <c r="D143" t="s">
        <v>16</v>
      </c>
      <c r="E143">
        <v>8</v>
      </c>
      <c r="F143" s="26">
        <v>8</v>
      </c>
      <c r="G143" t="s">
        <v>96</v>
      </c>
      <c r="H14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Consolidated</vt:lpstr>
      <vt:lpstr>Consolidated Rej</vt:lpstr>
      <vt:lpstr>Rack rej</vt:lpstr>
      <vt:lpstr>Production Rej</vt:lpstr>
      <vt:lpstr>Packing Off Grade</vt:lpstr>
      <vt:lpstr>Fumigation  Room</vt:lpstr>
      <vt:lpstr>Rack And Dock Area</vt:lpstr>
      <vt:lpstr>Production</vt:lpstr>
      <vt:lpstr>Packing Area</vt:lpstr>
      <vt:lpstr>Cold Rej</vt:lpstr>
      <vt:lpstr>Cold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Candor foods</dc:creator>
  <cp:lastModifiedBy>Candor Foods</cp:lastModifiedBy>
  <dcterms:created xsi:type="dcterms:W3CDTF">2026-02-23T10:32:20Z</dcterms:created>
  <dcterms:modified xsi:type="dcterms:W3CDTF">2026-02-26T09:35:19Z</dcterms:modified>
</cp:coreProperties>
</file>